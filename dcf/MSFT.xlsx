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164" fontId="4" fillId="2" borderId="0" pivotButton="0" quotePrefix="0" xfId="0"/>
    <xf numFmtId="0" fontId="5" fillId="2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7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builder default</t>
      </text>
    </comment>
    <comment ref="C20" authorId="0" shapeId="0">
      <text>
        <t>builder default</t>
      </text>
    </comment>
    <comment ref="B21" authorId="0" shapeId="0">
      <text>
        <t>builder default</t>
      </text>
    </comment>
    <comment ref="C21" authorId="0" shapeId="0">
      <text>
        <t>builder default</t>
      </text>
    </comment>
    <comment ref="B22" authorId="0" shapeId="0">
      <text>
        <t>builder default</t>
      </text>
    </comment>
    <comment ref="C22" authorId="0" shapeId="0">
      <text>
        <t>builder default</t>
      </text>
    </comment>
    <comment ref="B23" authorId="0" shapeId="0">
      <text>
        <t>builder default</t>
      </text>
    </comment>
    <comment ref="C23" authorId="0" shapeId="0">
      <text>
        <t>builder default</t>
      </text>
    </comment>
    <comment ref="B24" authorId="0" shapeId="0">
      <text>
        <t>builder default</t>
      </text>
    </comment>
    <comment ref="C24" authorId="0" shapeId="0">
      <text>
        <t>builder default</t>
      </text>
    </comment>
    <comment ref="B25" authorId="0" shapeId="0">
      <text>
        <t>builder default</t>
      </text>
    </comment>
    <comment ref="C25" authorId="0" shapeId="0">
      <text>
        <t>builder default</t>
      </text>
    </comment>
    <comment ref="B26" authorId="0" shapeId="0">
      <text>
        <t>builder default</t>
      </text>
    </comment>
    <comment ref="C26" authorId="0" shapeId="0">
      <text>
        <t>builder default</t>
      </text>
    </comment>
    <comment ref="B27" authorId="0" shapeId="0">
      <text>
        <t>builder default</t>
      </text>
    </comment>
    <comment ref="C27" authorId="0" shapeId="0">
      <text>
        <t>builder default</t>
      </text>
    </comment>
    <comment ref="B29" authorId="0" shapeId="0">
      <text>
        <t>builder default</t>
      </text>
    </comment>
    <comment ref="B30" authorId="0" shapeId="0">
      <text>
        <t>builder default</t>
      </text>
    </comment>
    <comment ref="B31" authorId="0" shapeId="0">
      <text>
        <t>builder default</t>
      </text>
    </comment>
    <comment ref="B34" authorId="0" shapeId="0">
      <text>
        <t>builder default — last-year capex +10% unless set to guidance; edits not tracked</t>
      </text>
    </comment>
    <comment ref="B35" authorId="0" shapeId="0">
      <text>
        <t>builder default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builder default</t>
      </text>
    </comment>
    <comment ref="B44" authorId="0" shapeId="0">
      <text>
        <t>builder default</t>
      </text>
    </comment>
    <comment ref="B45" authorId="0" shapeId="0">
      <text>
        <t>builder default</t>
      </text>
    </comment>
    <comment ref="B46" authorId="0" shapeId="0">
      <text>
        <t>builder default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Microsoft Corporation (MSFT)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2026-07-08</t>
        </is>
      </c>
    </row>
    <row r="5">
      <c r="A5" s="3" t="inlineStr">
        <is>
          <t>Data pulled (FMP)</t>
        </is>
      </c>
      <c r="B5" s="4" t="inlineStr">
        <is>
          <t>Q3 2026</t>
        </is>
      </c>
    </row>
    <row r="6">
      <c r="A6" s="3" t="inlineStr">
        <is>
          <t>Assumptions by</t>
        </is>
      </c>
      <c r="B6" s="4" t="inlineStr">
        <is>
          <t>builder defaults (consensus-anchored; no Opus pass)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Microsoft Corporation (MSFT)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IF(Model!F52&lt;=0,"n/a (neg. capital)",Model!G54-WACC!B15)</f>
        <v/>
      </c>
      <c r="C15" s="10">
        <f>IF(Model!F52&lt;=0,"n/a",IF(Model!G54-WACC!B15&lt;0,"!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Server Products And Cloud Services</t>
        </is>
      </c>
      <c r="B20" s="15" t="n">
        <v>0.161034873351075</v>
      </c>
      <c r="C20" s="15" t="n">
        <v>0.04999999999999999</v>
      </c>
      <c r="D20" s="16" t="n">
        <v>0.161034873351075</v>
      </c>
      <c r="E20" s="2" t="inlineStr"/>
    </row>
    <row r="21">
      <c r="A21" s="4" t="inlineStr">
        <is>
          <t>Microsoft Three Six Five Commercial Products And Cloud Services</t>
        </is>
      </c>
      <c r="B21" s="15" t="n">
        <v>0.1856908010335576</v>
      </c>
      <c r="C21" s="15" t="n">
        <v>0.05000000000000002</v>
      </c>
      <c r="D21" s="16" t="n">
        <v>0.1856908010335576</v>
      </c>
      <c r="E21" s="2" t="inlineStr"/>
    </row>
    <row r="22">
      <c r="A22" s="4" t="inlineStr">
        <is>
          <t>Gaming</t>
        </is>
      </c>
      <c r="B22" s="15" t="n">
        <v>0.209629269567664</v>
      </c>
      <c r="C22" s="15" t="n">
        <v>0.04999999999999999</v>
      </c>
      <c r="D22" s="16" t="n">
        <v>0.209629269567664</v>
      </c>
      <c r="E22" s="2" t="inlineStr"/>
    </row>
    <row r="23">
      <c r="A23" s="4" t="inlineStr">
        <is>
          <t>Linked In Corporation</t>
        </is>
      </c>
      <c r="B23" s="15" t="n">
        <v>0.2074853021500305</v>
      </c>
      <c r="C23" s="15" t="n">
        <v>0.05000000000000002</v>
      </c>
      <c r="D23" s="16" t="n">
        <v>0.2074853021500305</v>
      </c>
      <c r="E23" s="2" t="inlineStr"/>
    </row>
    <row r="24">
      <c r="A24" s="4" t="inlineStr">
        <is>
          <t>Windows</t>
        </is>
      </c>
      <c r="B24" s="15" t="n">
        <v>0.1001352454780021</v>
      </c>
      <c r="C24" s="15" t="n">
        <v>0.05</v>
      </c>
      <c r="D24" s="16" t="n">
        <v>0.1001352454780021</v>
      </c>
      <c r="E24" s="2" t="inlineStr"/>
    </row>
    <row r="25">
      <c r="A25" s="4" t="inlineStr">
        <is>
          <t>Search Advertising</t>
        </is>
      </c>
      <c r="B25" s="15" t="n">
        <v>0.219820966834102</v>
      </c>
      <c r="C25" s="15" t="n">
        <v>0.04999999999999999</v>
      </c>
      <c r="D25" s="16" t="n">
        <v>0.219820966834102</v>
      </c>
      <c r="E25" s="2" t="inlineStr"/>
    </row>
    <row r="26">
      <c r="A26" s="4" t="inlineStr">
        <is>
          <t>Microsoft Three Six Five Consumer Products and Cloud Services</t>
        </is>
      </c>
      <c r="B26" s="15" t="n">
        <v>0.1856908010335576</v>
      </c>
      <c r="C26" s="15" t="n">
        <v>0.05000000000000002</v>
      </c>
      <c r="D26" s="16" t="n">
        <v>0.1856908010335576</v>
      </c>
      <c r="E26" s="2" t="inlineStr"/>
    </row>
    <row r="27">
      <c r="A27" s="4" t="inlineStr">
        <is>
          <t>Dynamics Products And Cloud Services</t>
        </is>
      </c>
      <c r="B27" s="15" t="n">
        <v>0.3289250510203113</v>
      </c>
      <c r="C27" s="15" t="n">
        <v>0.04999999999999999</v>
      </c>
      <c r="D27" s="16" t="n">
        <v>0.3289250510203113</v>
      </c>
      <c r="E27" s="2" t="inlineStr"/>
    </row>
    <row r="28">
      <c r="A28" s="5" t="inlineStr">
        <is>
          <t xml:space="preserve">  PROFITABILITY &amp; TAX</t>
        </is>
      </c>
      <c r="B28" s="17" t="n">
        <v>0.1562352337697712</v>
      </c>
      <c r="C28" s="17" t="n">
        <v>0.05000000000000002</v>
      </c>
      <c r="D28" s="17" t="n">
        <v>0.1562352337697712</v>
      </c>
      <c r="E28" s="18" t="inlineStr"/>
    </row>
    <row r="29">
      <c r="A29" s="4" t="inlineStr">
        <is>
          <t>Near-term operating margin</t>
        </is>
      </c>
      <c r="B29" s="15" t="n">
        <v>0.5013754392966131</v>
      </c>
      <c r="C29" s="15" t="n">
        <v>0.04999999999999999</v>
      </c>
      <c r="D29" s="16" t="n">
        <v>0.5013754392966131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0.5030653107617276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9" t="n">
        <v>71006.10000000001</v>
      </c>
      <c r="D34" s="20" t="n">
        <v>71006.10000000001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21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2" t="n">
        <v>1.093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3">
        <f>WACC!B15</f>
        <v/>
      </c>
    </row>
    <row r="43">
      <c r="A43" s="4" t="inlineStr">
        <is>
          <t>Terminal method</t>
        </is>
      </c>
      <c r="B43" s="24" t="inlineStr">
        <is>
          <t>Exit multiple</t>
        </is>
      </c>
    </row>
    <row r="44">
      <c r="A44" s="4" t="inlineStr">
        <is>
          <t>Exit basis</t>
        </is>
      </c>
      <c r="B44" s="24" t="inlineStr">
        <is>
          <t>EV/EBITDA</t>
        </is>
      </c>
    </row>
    <row r="45">
      <c r="A45" s="4" t="inlineStr">
        <is>
          <t>Exit multiple</t>
        </is>
      </c>
      <c r="B45" s="21" t="n">
        <v>12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5" t="n">
        <v>393.5849914550781</v>
      </c>
    </row>
    <row r="49">
      <c r="A49" s="4" t="inlineStr">
        <is>
          <t>Growth fade curvature</t>
        </is>
      </c>
      <c r="B49" s="22" t="n">
        <v>2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6" t="n">
        <v>0.03</v>
      </c>
      <c r="D52" s="26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6" t="n">
        <v>0.01</v>
      </c>
      <c r="D53" s="26" t="n">
        <v>-0.01</v>
      </c>
    </row>
    <row r="54">
      <c r="A54" s="4" t="inlineStr">
        <is>
          <t>Operating margin, near-term</t>
        </is>
      </c>
      <c r="B54" s="27">
        <f>B29</f>
        <v/>
      </c>
      <c r="C54" s="26" t="n">
        <v>0.01</v>
      </c>
      <c r="D54" s="26" t="n">
        <v>-0.01</v>
      </c>
    </row>
    <row r="55">
      <c r="A55" s="4" t="inlineStr">
        <is>
          <t>Operating margin, terminal</t>
        </is>
      </c>
      <c r="B55" s="27">
        <f>B30</f>
        <v/>
      </c>
      <c r="C55" s="26" t="n">
        <v>0.02</v>
      </c>
      <c r="D55" s="26" t="n">
        <v>-0.02</v>
      </c>
    </row>
    <row r="56">
      <c r="A56" s="4" t="inlineStr">
        <is>
          <t>Exit multiple</t>
        </is>
      </c>
      <c r="B56" s="28">
        <f>B45</f>
        <v/>
      </c>
      <c r="C56" s="29" t="n">
        <v>2</v>
      </c>
      <c r="D56" s="29" t="n">
        <v>-2</v>
      </c>
    </row>
    <row r="57">
      <c r="A57" s="4" t="inlineStr">
        <is>
          <t>Terminal growth (g)</t>
        </is>
      </c>
      <c r="B57" s="27">
        <f>B46</f>
        <v/>
      </c>
      <c r="C57" s="26" t="n">
        <v>0.005</v>
      </c>
      <c r="D57" s="26" t="n">
        <v>-0.005</v>
      </c>
    </row>
    <row r="58">
      <c r="A58" s="3" t="inlineStr">
        <is>
          <t>Fair value / share — Base · Bull · Bear</t>
        </is>
      </c>
      <c r="B58" s="30" t="n">
        <v>416.0499666782675</v>
      </c>
      <c r="C58" s="30" t="n">
        <v>551.1785122220725</v>
      </c>
      <c r="D58" s="30" t="n">
        <v>309.8911055327284</v>
      </c>
    </row>
    <row r="59">
      <c r="A59" s="4" t="inlineStr">
        <is>
          <t>Upside vs current price</t>
        </is>
      </c>
      <c r="B59" s="31">
        <f>IFERROR(B58/$B$48-1,"")</f>
        <v/>
      </c>
      <c r="C59" s="31">
        <f>IFERROR(C58/$B$48-1,"")</f>
        <v/>
      </c>
      <c r="D59" s="31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2" t="n">
        <v>0.5</v>
      </c>
      <c r="C62" s="32" t="n">
        <v>0.25</v>
      </c>
      <c r="D62" s="32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0.04250259118853913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0.02550155471312348</v>
      </c>
      <c r="E66" s="2" t="inlineStr">
        <is>
          <t>fades near-&gt;terminal; also burdens the exit-multiple EBITDA</t>
        </is>
      </c>
    </row>
  </sheetData>
  <conditionalFormatting sqref="B20:B29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MSFT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no Opus assumptions file — every input is a builder default</t>
        </is>
      </c>
    </row>
    <row r="6">
      <c r="A6" s="5" t="inlineStr">
        <is>
          <t xml:space="preserve">  DASHBOARD INPUTS — value · source · reasoning</t>
        </is>
      </c>
      <c r="B6" s="6" t="n"/>
      <c r="C6" s="6" t="n"/>
      <c r="D6" s="6" t="n"/>
      <c r="E6" s="6" t="n"/>
      <c r="F6" s="6" t="n"/>
    </row>
    <row r="7">
      <c r="A7" s="3" t="inlineStr">
        <is>
          <t>Input</t>
        </is>
      </c>
      <c r="B7" s="3" t="inlineStr">
        <is>
          <t>Cell</t>
        </is>
      </c>
      <c r="C7" s="3" t="inlineStr">
        <is>
          <t>Current</t>
        </is>
      </c>
      <c r="D7" s="3" t="inlineStr">
        <is>
          <t>Source</t>
        </is>
      </c>
      <c r="E7" s="3" t="inlineStr">
        <is>
          <t>Opus value</t>
        </is>
      </c>
      <c r="F7" s="3" t="inlineStr">
        <is>
          <t>Note</t>
        </is>
      </c>
    </row>
    <row r="8">
      <c r="A8" t="inlineStr">
        <is>
          <t>Server Products And Cloud Services — near-term growth</t>
        </is>
      </c>
      <c r="B8" t="inlineStr">
        <is>
          <t>B20</t>
        </is>
      </c>
      <c r="C8" s="11">
        <f>Dashboard!B20</f>
        <v/>
      </c>
      <c r="D8" t="inlineStr">
        <is>
          <t>builder default</t>
        </is>
      </c>
      <c r="E8" t="inlineStr">
        <is>
          <t>—</t>
        </is>
      </c>
      <c r="F8" s="33" t="inlineStr"/>
    </row>
    <row r="9">
      <c r="A9" t="inlineStr">
        <is>
          <t>Server Products And Cloud Services — terminal growth</t>
        </is>
      </c>
      <c r="B9" t="inlineStr">
        <is>
          <t>C20</t>
        </is>
      </c>
      <c r="C9" s="11">
        <f>Dashboard!C20</f>
        <v/>
      </c>
      <c r="D9" t="inlineStr">
        <is>
          <t>builder default</t>
        </is>
      </c>
      <c r="E9" t="inlineStr">
        <is>
          <t>—</t>
        </is>
      </c>
      <c r="F9" s="33" t="inlineStr"/>
    </row>
    <row r="10">
      <c r="A10" t="inlineStr">
        <is>
          <t>Microsoft Three Six Five Commercial Products And Cloud Services — near-term growth</t>
        </is>
      </c>
      <c r="B10" t="inlineStr">
        <is>
          <t>B21</t>
        </is>
      </c>
      <c r="C10" s="11">
        <f>Dashboard!B21</f>
        <v/>
      </c>
      <c r="D10" t="inlineStr">
        <is>
          <t>builder default</t>
        </is>
      </c>
      <c r="E10" t="inlineStr">
        <is>
          <t>—</t>
        </is>
      </c>
      <c r="F10" s="33" t="inlineStr"/>
    </row>
    <row r="11">
      <c r="A11" t="inlineStr">
        <is>
          <t>Microsoft Three Six Five Commercial Products And Cloud Services — terminal growth</t>
        </is>
      </c>
      <c r="B11" t="inlineStr">
        <is>
          <t>C21</t>
        </is>
      </c>
      <c r="C11" s="11">
        <f>Dashboard!C21</f>
        <v/>
      </c>
      <c r="D11" t="inlineStr">
        <is>
          <t>builder default</t>
        </is>
      </c>
      <c r="E11" t="inlineStr">
        <is>
          <t>—</t>
        </is>
      </c>
      <c r="F11" s="33" t="inlineStr"/>
    </row>
    <row r="12">
      <c r="A12" t="inlineStr">
        <is>
          <t>Gaming — near-term growth</t>
        </is>
      </c>
      <c r="B12" t="inlineStr">
        <is>
          <t>B22</t>
        </is>
      </c>
      <c r="C12" s="11">
        <f>Dashboard!B22</f>
        <v/>
      </c>
      <c r="D12" t="inlineStr">
        <is>
          <t>builder default</t>
        </is>
      </c>
      <c r="E12" t="inlineStr">
        <is>
          <t>—</t>
        </is>
      </c>
      <c r="F12" s="33" t="inlineStr"/>
    </row>
    <row r="13">
      <c r="A13" t="inlineStr">
        <is>
          <t>Gaming — terminal growth</t>
        </is>
      </c>
      <c r="B13" t="inlineStr">
        <is>
          <t>C22</t>
        </is>
      </c>
      <c r="C13" s="11">
        <f>Dashboard!C22</f>
        <v/>
      </c>
      <c r="D13" t="inlineStr">
        <is>
          <t>builder default</t>
        </is>
      </c>
      <c r="E13" t="inlineStr">
        <is>
          <t>—</t>
        </is>
      </c>
      <c r="F13" s="33" t="inlineStr"/>
    </row>
    <row r="14">
      <c r="A14" t="inlineStr">
        <is>
          <t>Linked In Corporation — near-term growth</t>
        </is>
      </c>
      <c r="B14" t="inlineStr">
        <is>
          <t>B23</t>
        </is>
      </c>
      <c r="C14" s="11">
        <f>Dashboard!B23</f>
        <v/>
      </c>
      <c r="D14" t="inlineStr">
        <is>
          <t>builder default</t>
        </is>
      </c>
      <c r="E14" t="inlineStr">
        <is>
          <t>—</t>
        </is>
      </c>
      <c r="F14" s="33" t="inlineStr"/>
    </row>
    <row r="15">
      <c r="A15" t="inlineStr">
        <is>
          <t>Linked In Corporation — terminal growth</t>
        </is>
      </c>
      <c r="B15" t="inlineStr">
        <is>
          <t>C23</t>
        </is>
      </c>
      <c r="C15" s="11">
        <f>Dashboard!C23</f>
        <v/>
      </c>
      <c r="D15" t="inlineStr">
        <is>
          <t>builder default</t>
        </is>
      </c>
      <c r="E15" t="inlineStr">
        <is>
          <t>—</t>
        </is>
      </c>
      <c r="F15" s="33" t="inlineStr"/>
    </row>
    <row r="16">
      <c r="A16" t="inlineStr">
        <is>
          <t>Windows — near-term growth</t>
        </is>
      </c>
      <c r="B16" t="inlineStr">
        <is>
          <t>B24</t>
        </is>
      </c>
      <c r="C16" s="11">
        <f>Dashboard!B24</f>
        <v/>
      </c>
      <c r="D16" t="inlineStr">
        <is>
          <t>builder default</t>
        </is>
      </c>
      <c r="E16" t="inlineStr">
        <is>
          <t>—</t>
        </is>
      </c>
      <c r="F16" s="33" t="inlineStr"/>
    </row>
    <row r="17">
      <c r="A17" t="inlineStr">
        <is>
          <t>Windows — terminal growth</t>
        </is>
      </c>
      <c r="B17" t="inlineStr">
        <is>
          <t>C24</t>
        </is>
      </c>
      <c r="C17" s="11">
        <f>Dashboard!C24</f>
        <v/>
      </c>
      <c r="D17" t="inlineStr">
        <is>
          <t>builder default</t>
        </is>
      </c>
      <c r="E17" t="inlineStr">
        <is>
          <t>—</t>
        </is>
      </c>
      <c r="F17" s="33" t="inlineStr"/>
    </row>
    <row r="18">
      <c r="A18" t="inlineStr">
        <is>
          <t>Search Advertising — near-term growth</t>
        </is>
      </c>
      <c r="B18" t="inlineStr">
        <is>
          <t>B25</t>
        </is>
      </c>
      <c r="C18" s="11">
        <f>Dashboard!B25</f>
        <v/>
      </c>
      <c r="D18" t="inlineStr">
        <is>
          <t>builder default</t>
        </is>
      </c>
      <c r="E18" t="inlineStr">
        <is>
          <t>—</t>
        </is>
      </c>
      <c r="F18" s="33" t="inlineStr"/>
    </row>
    <row r="19">
      <c r="A19" t="inlineStr">
        <is>
          <t>Search Advertising — terminal growth</t>
        </is>
      </c>
      <c r="B19" t="inlineStr">
        <is>
          <t>C25</t>
        </is>
      </c>
      <c r="C19" s="11">
        <f>Dashboard!C25</f>
        <v/>
      </c>
      <c r="D19" t="inlineStr">
        <is>
          <t>builder default</t>
        </is>
      </c>
      <c r="E19" t="inlineStr">
        <is>
          <t>—</t>
        </is>
      </c>
      <c r="F19" s="33" t="inlineStr"/>
    </row>
    <row r="20">
      <c r="A20" t="inlineStr">
        <is>
          <t>Microsoft Three Six Five Consumer Products and Cloud Services — near-term growth</t>
        </is>
      </c>
      <c r="B20" t="inlineStr">
        <is>
          <t>B26</t>
        </is>
      </c>
      <c r="C20" s="11">
        <f>Dashboard!B26</f>
        <v/>
      </c>
      <c r="D20" t="inlineStr">
        <is>
          <t>builder default</t>
        </is>
      </c>
      <c r="E20" t="inlineStr">
        <is>
          <t>—</t>
        </is>
      </c>
      <c r="F20" s="33" t="inlineStr"/>
    </row>
    <row r="21">
      <c r="A21" t="inlineStr">
        <is>
          <t>Microsoft Three Six Five Consumer Products and Cloud Services — terminal growth</t>
        </is>
      </c>
      <c r="B21" t="inlineStr">
        <is>
          <t>C26</t>
        </is>
      </c>
      <c r="C21" s="11">
        <f>Dashboard!C26</f>
        <v/>
      </c>
      <c r="D21" t="inlineStr">
        <is>
          <t>builder default</t>
        </is>
      </c>
      <c r="E21" t="inlineStr">
        <is>
          <t>—</t>
        </is>
      </c>
      <c r="F21" s="33" t="inlineStr"/>
    </row>
    <row r="22">
      <c r="A22" t="inlineStr">
        <is>
          <t>Dynamics Products And Cloud Services — near-term growth</t>
        </is>
      </c>
      <c r="B22" t="inlineStr">
        <is>
          <t>B27</t>
        </is>
      </c>
      <c r="C22" s="11">
        <f>Dashboard!B27</f>
        <v/>
      </c>
      <c r="D22" t="inlineStr">
        <is>
          <t>builder default</t>
        </is>
      </c>
      <c r="E22" t="inlineStr">
        <is>
          <t>—</t>
        </is>
      </c>
      <c r="F22" s="33" t="inlineStr"/>
    </row>
    <row r="23">
      <c r="A23" t="inlineStr">
        <is>
          <t>Dynamics Products And Cloud Services — terminal growth</t>
        </is>
      </c>
      <c r="B23" t="inlineStr">
        <is>
          <t>C27</t>
        </is>
      </c>
      <c r="C23" s="11">
        <f>Dashboard!C27</f>
        <v/>
      </c>
      <c r="D23" t="inlineStr">
        <is>
          <t>builder default</t>
        </is>
      </c>
      <c r="E23" t="inlineStr">
        <is>
          <t>—</t>
        </is>
      </c>
      <c r="F23" s="33" t="inlineStr"/>
    </row>
    <row r="24">
      <c r="A24" t="inlineStr">
        <is>
          <t>Near-term operating margin</t>
        </is>
      </c>
      <c r="B24" t="inlineStr">
        <is>
          <t>B29</t>
        </is>
      </c>
      <c r="C24" s="11">
        <f>Dashboard!B29</f>
        <v/>
      </c>
      <c r="D24" t="inlineStr">
        <is>
          <t>builder default</t>
        </is>
      </c>
      <c r="E24" t="inlineStr">
        <is>
          <t>—</t>
        </is>
      </c>
      <c r="F24" s="33" t="inlineStr"/>
    </row>
    <row r="25">
      <c r="A25" t="inlineStr">
        <is>
          <t>Terminal operating margin</t>
        </is>
      </c>
      <c r="B25" t="inlineStr">
        <is>
          <t>B30</t>
        </is>
      </c>
      <c r="C25" s="11">
        <f>Dashboard!B30</f>
        <v/>
      </c>
      <c r="D25" t="inlineStr">
        <is>
          <t>builder default</t>
        </is>
      </c>
      <c r="E25" t="inlineStr">
        <is>
          <t>—</t>
        </is>
      </c>
      <c r="F25" s="33" t="inlineStr"/>
    </row>
    <row r="26">
      <c r="A26" t="inlineStr">
        <is>
          <t>Tax rate</t>
        </is>
      </c>
      <c r="B26" t="inlineStr">
        <is>
          <t>B31</t>
        </is>
      </c>
      <c r="C26" s="11">
        <f>Dashboard!B31</f>
        <v/>
      </c>
      <c r="D26" t="inlineStr">
        <is>
          <t>builder default</t>
        </is>
      </c>
      <c r="E26" t="inlineStr">
        <is>
          <t>—</t>
        </is>
      </c>
      <c r="F26" s="33" t="inlineStr"/>
    </row>
    <row r="27">
      <c r="A27" t="inlineStr">
        <is>
          <t>Terminal capex / D&amp;A</t>
        </is>
      </c>
      <c r="B27" t="inlineStr">
        <is>
          <t>B35</t>
        </is>
      </c>
      <c r="C27" s="13">
        <f>Dashboard!B35</f>
        <v/>
      </c>
      <c r="D27" t="inlineStr">
        <is>
          <t>builder default</t>
        </is>
      </c>
      <c r="E27" t="inlineStr">
        <is>
          <t>—</t>
        </is>
      </c>
      <c r="F27" s="33" t="inlineStr"/>
    </row>
    <row r="28">
      <c r="A28" t="inlineStr">
        <is>
          <t>Risk-free rate (10Y)</t>
        </is>
      </c>
      <c r="B28" t="inlineStr">
        <is>
          <t>B38</t>
        </is>
      </c>
      <c r="C28" s="11">
        <f>Dashboard!B38</f>
        <v/>
      </c>
      <c r="D28" t="inlineStr">
        <is>
          <t>builder default</t>
        </is>
      </c>
      <c r="E28" t="inlineStr">
        <is>
          <t>—</t>
        </is>
      </c>
      <c r="F28" s="33" t="inlineStr"/>
    </row>
    <row r="29">
      <c r="A29" t="inlineStr">
        <is>
          <t>Equity risk premium</t>
        </is>
      </c>
      <c r="B29" t="inlineStr">
        <is>
          <t>B39</t>
        </is>
      </c>
      <c r="C29" s="11">
        <f>Dashboard!B39</f>
        <v/>
      </c>
      <c r="D29" t="inlineStr">
        <is>
          <t>builder default</t>
        </is>
      </c>
      <c r="E29" t="inlineStr">
        <is>
          <t>—</t>
        </is>
      </c>
      <c r="F29" s="33" t="inlineStr"/>
    </row>
    <row r="30">
      <c r="A30" t="inlineStr">
        <is>
          <t>Beta (levered)</t>
        </is>
      </c>
      <c r="B30" t="inlineStr">
        <is>
          <t>B40</t>
        </is>
      </c>
      <c r="C30" s="34">
        <f>Dashboard!B40</f>
        <v/>
      </c>
      <c r="D30" t="inlineStr">
        <is>
          <t>builder default</t>
        </is>
      </c>
      <c r="E30" t="inlineStr">
        <is>
          <t>—</t>
        </is>
      </c>
      <c r="F30" s="33" t="inlineStr"/>
    </row>
    <row r="31">
      <c r="A31" t="inlineStr">
        <is>
          <t>Pre-tax cost of debt</t>
        </is>
      </c>
      <c r="B31" t="inlineStr">
        <is>
          <t>B41</t>
        </is>
      </c>
      <c r="C31" s="11">
        <f>Dashboard!B41</f>
        <v/>
      </c>
      <c r="D31" t="inlineStr">
        <is>
          <t>builder default</t>
        </is>
      </c>
      <c r="E31" t="inlineStr">
        <is>
          <t>—</t>
        </is>
      </c>
      <c r="F31" s="33" t="inlineStr"/>
    </row>
    <row r="32">
      <c r="A32" t="inlineStr">
        <is>
          <t>Terminal method</t>
        </is>
      </c>
      <c r="B32" t="inlineStr">
        <is>
          <t>B43</t>
        </is>
      </c>
      <c r="C32" s="12">
        <f>Dashboard!B43</f>
        <v/>
      </c>
      <c r="D32" t="inlineStr">
        <is>
          <t>builder default</t>
        </is>
      </c>
      <c r="E32" t="inlineStr">
        <is>
          <t>—</t>
        </is>
      </c>
      <c r="F32" s="33" t="inlineStr"/>
    </row>
    <row r="33">
      <c r="A33" t="inlineStr">
        <is>
          <t>Exit basis</t>
        </is>
      </c>
      <c r="B33" t="inlineStr">
        <is>
          <t>B44</t>
        </is>
      </c>
      <c r="C33" s="12">
        <f>Dashboard!B44</f>
        <v/>
      </c>
      <c r="D33" t="inlineStr">
        <is>
          <t>builder default</t>
        </is>
      </c>
      <c r="E33" t="inlineStr">
        <is>
          <t>—</t>
        </is>
      </c>
      <c r="F33" s="33" t="inlineStr"/>
    </row>
    <row r="34">
      <c r="A34" t="inlineStr">
        <is>
          <t>Exit multiple</t>
        </is>
      </c>
      <c r="B34" t="inlineStr">
        <is>
          <t>B45</t>
        </is>
      </c>
      <c r="C34" s="13">
        <f>Dashboard!B45</f>
        <v/>
      </c>
      <c r="D34" t="inlineStr">
        <is>
          <t>builder default</t>
        </is>
      </c>
      <c r="E34" t="inlineStr">
        <is>
          <t>—</t>
        </is>
      </c>
      <c r="F34" s="33" t="inlineStr"/>
    </row>
    <row r="35">
      <c r="A35" t="inlineStr">
        <is>
          <t>Terminal growth (g)</t>
        </is>
      </c>
      <c r="B35" t="inlineStr">
        <is>
          <t>B46</t>
        </is>
      </c>
      <c r="C35" s="11">
        <f>Dashboard!B46</f>
        <v/>
      </c>
      <c r="D35" t="inlineStr">
        <is>
          <t>builder default</t>
        </is>
      </c>
      <c r="E35" t="inlineStr">
        <is>
          <t>—</t>
        </is>
      </c>
      <c r="F35" s="33" t="inlineStr"/>
    </row>
    <row r="36">
      <c r="A36" t="inlineStr">
        <is>
          <t>2026 capex ($M)</t>
        </is>
      </c>
      <c r="B36" t="inlineStr">
        <is>
          <t>B34</t>
        </is>
      </c>
      <c r="C36" s="35">
        <f>Dashboard!B34</f>
        <v/>
      </c>
      <c r="D36" t="inlineStr">
        <is>
          <t>builder default</t>
        </is>
      </c>
      <c r="E36" t="inlineStr">
        <is>
          <t>—</t>
        </is>
      </c>
      <c r="F36" s="33" t="inlineStr">
        <is>
          <t>last-year capex +10% unless set to guidance; edits not tracked</t>
        </is>
      </c>
    </row>
    <row r="37">
      <c r="A37" t="inlineStr">
        <is>
          <t>Bull Δ — segment growth, near-term</t>
        </is>
      </c>
      <c r="B37" t="inlineStr">
        <is>
          <t>C52</t>
        </is>
      </c>
      <c r="C37" s="36">
        <f>Dashboard!C52</f>
        <v/>
      </c>
      <c r="D37" t="inlineStr">
        <is>
          <t>seed default</t>
        </is>
      </c>
      <c r="E37" t="inlineStr">
        <is>
          <t>3.0%</t>
        </is>
      </c>
      <c r="F37" s="33" t="inlineStr"/>
    </row>
    <row r="38">
      <c r="A38" t="inlineStr">
        <is>
          <t>Bear Δ — segment growth, near-term</t>
        </is>
      </c>
      <c r="B38" t="inlineStr">
        <is>
          <t>D52</t>
        </is>
      </c>
      <c r="C38" s="36">
        <f>Dashboard!D52</f>
        <v/>
      </c>
      <c r="D38" t="inlineStr">
        <is>
          <t>seed default</t>
        </is>
      </c>
      <c r="E38" t="inlineStr">
        <is>
          <t>-3.0%</t>
        </is>
      </c>
      <c r="F38" s="33" t="inlineStr"/>
    </row>
    <row r="39">
      <c r="A39" t="inlineStr">
        <is>
          <t>Bull Δ — segment growth, terminal</t>
        </is>
      </c>
      <c r="B39" t="inlineStr">
        <is>
          <t>C53</t>
        </is>
      </c>
      <c r="C39" s="36">
        <f>Dashboard!C53</f>
        <v/>
      </c>
      <c r="D39" t="inlineStr">
        <is>
          <t>seed default</t>
        </is>
      </c>
      <c r="E39" t="inlineStr">
        <is>
          <t>1.0%</t>
        </is>
      </c>
      <c r="F39" s="33" t="inlineStr"/>
    </row>
    <row r="40">
      <c r="A40" t="inlineStr">
        <is>
          <t>Bear Δ — segment growth, terminal</t>
        </is>
      </c>
      <c r="B40" t="inlineStr">
        <is>
          <t>D53</t>
        </is>
      </c>
      <c r="C40" s="36">
        <f>Dashboard!D53</f>
        <v/>
      </c>
      <c r="D40" t="inlineStr">
        <is>
          <t>seed default</t>
        </is>
      </c>
      <c r="E40" t="inlineStr">
        <is>
          <t>-1.0%</t>
        </is>
      </c>
      <c r="F40" s="33" t="inlineStr"/>
    </row>
    <row r="41">
      <c r="A41" t="inlineStr">
        <is>
          <t>Bull Δ — operating margin, near-term</t>
        </is>
      </c>
      <c r="B41" t="inlineStr">
        <is>
          <t>C54</t>
        </is>
      </c>
      <c r="C41" s="36">
        <f>Dashboard!C54</f>
        <v/>
      </c>
      <c r="D41" t="inlineStr">
        <is>
          <t>seed default</t>
        </is>
      </c>
      <c r="E41" t="inlineStr">
        <is>
          <t>1.0%</t>
        </is>
      </c>
      <c r="F41" s="33" t="inlineStr"/>
    </row>
    <row r="42">
      <c r="A42" t="inlineStr">
        <is>
          <t>Bear Δ — operating margin, near-term</t>
        </is>
      </c>
      <c r="B42" t="inlineStr">
        <is>
          <t>D54</t>
        </is>
      </c>
      <c r="C42" s="36">
        <f>Dashboard!D54</f>
        <v/>
      </c>
      <c r="D42" t="inlineStr">
        <is>
          <t>seed default</t>
        </is>
      </c>
      <c r="E42" t="inlineStr">
        <is>
          <t>-1.0%</t>
        </is>
      </c>
      <c r="F42" s="33" t="inlineStr"/>
    </row>
    <row r="43">
      <c r="A43" t="inlineStr">
        <is>
          <t>Bull Δ — operating margin, terminal</t>
        </is>
      </c>
      <c r="B43" t="inlineStr">
        <is>
          <t>C55</t>
        </is>
      </c>
      <c r="C43" s="36">
        <f>Dashboard!C55</f>
        <v/>
      </c>
      <c r="D43" t="inlineStr">
        <is>
          <t>seed default</t>
        </is>
      </c>
      <c r="E43" t="inlineStr">
        <is>
          <t>2.0%</t>
        </is>
      </c>
      <c r="F43" s="33" t="inlineStr"/>
    </row>
    <row r="44">
      <c r="A44" t="inlineStr">
        <is>
          <t>Bear Δ — operating margin, terminal</t>
        </is>
      </c>
      <c r="B44" t="inlineStr">
        <is>
          <t>D55</t>
        </is>
      </c>
      <c r="C44" s="36">
        <f>Dashboard!D55</f>
        <v/>
      </c>
      <c r="D44" t="inlineStr">
        <is>
          <t>seed default</t>
        </is>
      </c>
      <c r="E44" t="inlineStr">
        <is>
          <t>-2.0%</t>
        </is>
      </c>
      <c r="F44" s="33" t="inlineStr"/>
    </row>
    <row r="45">
      <c r="A45" t="inlineStr">
        <is>
          <t>Bull Δ — exit multiple</t>
        </is>
      </c>
      <c r="B45" t="inlineStr">
        <is>
          <t>C56</t>
        </is>
      </c>
      <c r="C45" s="37">
        <f>Dashboard!C56</f>
        <v/>
      </c>
      <c r="D45" t="inlineStr">
        <is>
          <t>seed default</t>
        </is>
      </c>
      <c r="E45" t="inlineStr">
        <is>
          <t>2.0x</t>
        </is>
      </c>
      <c r="F45" s="33" t="inlineStr"/>
    </row>
    <row r="46">
      <c r="A46" t="inlineStr">
        <is>
          <t>Bear Δ — exit multiple</t>
        </is>
      </c>
      <c r="B46" t="inlineStr">
        <is>
          <t>D56</t>
        </is>
      </c>
      <c r="C46" s="37">
        <f>Dashboard!D56</f>
        <v/>
      </c>
      <c r="D46" t="inlineStr">
        <is>
          <t>seed default</t>
        </is>
      </c>
      <c r="E46" t="inlineStr">
        <is>
          <t>-2.0x</t>
        </is>
      </c>
      <c r="F46" s="33" t="inlineStr"/>
    </row>
    <row r="47">
      <c r="A47" t="inlineStr">
        <is>
          <t>Bull Δ — terminal growth (g)</t>
        </is>
      </c>
      <c r="B47" t="inlineStr">
        <is>
          <t>C57</t>
        </is>
      </c>
      <c r="C47" s="36">
        <f>Dashboard!C57</f>
        <v/>
      </c>
      <c r="D47" t="inlineStr">
        <is>
          <t>seed default</t>
        </is>
      </c>
      <c r="E47" t="inlineStr">
        <is>
          <t>0.5%</t>
        </is>
      </c>
      <c r="F47" s="33" t="inlineStr"/>
    </row>
    <row r="48">
      <c r="A48" t="inlineStr">
        <is>
          <t>Bear Δ — terminal growth (g)</t>
        </is>
      </c>
      <c r="B48" t="inlineStr">
        <is>
          <t>D57</t>
        </is>
      </c>
      <c r="C48" s="36">
        <f>Dashboard!D57</f>
        <v/>
      </c>
      <c r="D48" t="inlineStr">
        <is>
          <t>seed default</t>
        </is>
      </c>
      <c r="E48" t="inlineStr">
        <is>
          <t>-0.5%</t>
        </is>
      </c>
      <c r="F48" s="3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8" t="inlineStr">
        <is>
          <t>Blue</t>
        </is>
      </c>
      <c r="B3" s="4" t="inlineStr">
        <is>
          <t>Hard-coded actuals (from FMP filings)</t>
        </is>
      </c>
    </row>
    <row r="4">
      <c r="A4" s="24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9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4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7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7">
        <f>B7*(1-B8)</f>
        <v/>
      </c>
    </row>
    <row r="10">
      <c r="A10" s="4" t="inlineStr">
        <is>
          <t>Market cap (E)</t>
        </is>
      </c>
      <c r="B10" s="35">
        <f>Dashboard!$B$48*Financials!AC17</f>
        <v/>
      </c>
    </row>
    <row r="11">
      <c r="A11" s="4" t="inlineStr">
        <is>
          <t>Total debt (D)</t>
        </is>
      </c>
      <c r="B11" s="35">
        <f>Financials!AC62</f>
        <v/>
      </c>
    </row>
    <row r="12">
      <c r="A12" s="4" t="inlineStr">
        <is>
          <t>Equity weight</t>
        </is>
      </c>
      <c r="B12" s="27">
        <f>B10/(B10+B11)</f>
        <v/>
      </c>
    </row>
    <row r="13">
      <c r="A13" s="4" t="inlineStr">
        <is>
          <t>Debt weight</t>
        </is>
      </c>
      <c r="B13" s="27">
        <f>B11/(B10+B11)</f>
        <v/>
      </c>
    </row>
    <row r="15">
      <c r="A15" s="3" t="inlineStr">
        <is>
          <t>WACC</t>
        </is>
      </c>
      <c r="B15" s="40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6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41" t="inlineStr">
        <is>
          <t>FY2021A</t>
        </is>
      </c>
      <c r="C1" s="41" t="inlineStr">
        <is>
          <t>FY2022A</t>
        </is>
      </c>
      <c r="D1" s="41" t="inlineStr">
        <is>
          <t>FY2023A</t>
        </is>
      </c>
      <c r="E1" s="41" t="inlineStr">
        <is>
          <t>FY2024A</t>
        </is>
      </c>
      <c r="F1" s="41" t="inlineStr">
        <is>
          <t>FY2025A</t>
        </is>
      </c>
      <c r="G1" s="42" t="inlineStr">
        <is>
          <t>FY2026E</t>
        </is>
      </c>
      <c r="H1" s="42" t="inlineStr">
        <is>
          <t>FY2027E</t>
        </is>
      </c>
      <c r="I1" s="42" t="inlineStr">
        <is>
          <t>FY2028E</t>
        </is>
      </c>
      <c r="J1" s="42" t="inlineStr">
        <is>
          <t>FY2029E</t>
        </is>
      </c>
      <c r="K1" s="42" t="inlineStr">
        <is>
          <t>FY2030E</t>
        </is>
      </c>
      <c r="L1" s="42" t="inlineStr">
        <is>
          <t>FY2031E</t>
        </is>
      </c>
      <c r="M1" s="42" t="inlineStr">
        <is>
          <t>FY2032E</t>
        </is>
      </c>
      <c r="N1" s="42" t="inlineStr">
        <is>
          <t>FY2033E</t>
        </is>
      </c>
      <c r="O1" s="42" t="inlineStr">
        <is>
          <t>FY2034E</t>
        </is>
      </c>
      <c r="P1" s="42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Server Products And Cloud Services</t>
        </is>
      </c>
      <c r="B4" s="35">
        <f>SUM(Financials!G19:J19)</f>
        <v/>
      </c>
      <c r="C4" s="35">
        <f>SUM(Financials!K19:N19)</f>
        <v/>
      </c>
      <c r="D4" s="35">
        <f>SUM(Financials!O19:R19)</f>
        <v/>
      </c>
      <c r="E4" s="35">
        <f>SUM(Financials!S19:V19)</f>
        <v/>
      </c>
      <c r="F4" s="35">
        <f>SUM(Financials!W19:Z19)</f>
        <v/>
      </c>
      <c r="G4" s="43">
        <f>F4*(1+G5)</f>
        <v/>
      </c>
      <c r="H4" s="43">
        <f>G4*(1+H5)</f>
        <v/>
      </c>
      <c r="I4" s="43">
        <f>H4*(1+I5)</f>
        <v/>
      </c>
      <c r="J4" s="43">
        <f>I4*(1+J5)</f>
        <v/>
      </c>
      <c r="K4" s="43">
        <f>J4*(1+K5)</f>
        <v/>
      </c>
      <c r="L4" s="43">
        <f>K4*(1+L5)</f>
        <v/>
      </c>
      <c r="M4" s="43">
        <f>L4*(1+M5)</f>
        <v/>
      </c>
      <c r="N4" s="43">
        <f>M4*(1+N5)</f>
        <v/>
      </c>
      <c r="O4" s="43">
        <f>N4*(1+O5)</f>
        <v/>
      </c>
      <c r="P4" s="43">
        <f>O4*(1+P5)</f>
        <v/>
      </c>
    </row>
    <row r="5">
      <c r="A5" s="4" t="inlineStr">
        <is>
          <t xml:space="preserve">    growth % (convex fade; curvature from Dashboard)</t>
        </is>
      </c>
      <c r="C5" s="27">
        <f>IFERROR(C4/B4-1,"")</f>
        <v/>
      </c>
      <c r="D5" s="27">
        <f>IFERROR(D4/C4-1,"")</f>
        <v/>
      </c>
      <c r="E5" s="27">
        <f>IFERROR(E4/D4-1,"")</f>
        <v/>
      </c>
      <c r="F5" s="27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Microsoft Three Six Five Commercial Products And Cloud Services</t>
        </is>
      </c>
      <c r="B6" s="35">
        <f>SUM(Financials!G22:J22)</f>
        <v/>
      </c>
      <c r="C6" s="35">
        <f>SUM(Financials!K22:N22)</f>
        <v/>
      </c>
      <c r="D6" s="35">
        <f>SUM(Financials!O22:R22)</f>
        <v/>
      </c>
      <c r="E6" s="35">
        <f>SUM(Financials!S22:V22)</f>
        <v/>
      </c>
      <c r="F6" s="35">
        <f>SUM(Financials!W22:Z22)</f>
        <v/>
      </c>
      <c r="G6" s="43">
        <f>F6*(1+G7)</f>
        <v/>
      </c>
      <c r="H6" s="43">
        <f>G6*(1+H7)</f>
        <v/>
      </c>
      <c r="I6" s="43">
        <f>H6*(1+I7)</f>
        <v/>
      </c>
      <c r="J6" s="43">
        <f>I6*(1+J7)</f>
        <v/>
      </c>
      <c r="K6" s="43">
        <f>J6*(1+K7)</f>
        <v/>
      </c>
      <c r="L6" s="43">
        <f>K6*(1+L7)</f>
        <v/>
      </c>
      <c r="M6" s="43">
        <f>L6*(1+M7)</f>
        <v/>
      </c>
      <c r="N6" s="43">
        <f>M6*(1+N7)</f>
        <v/>
      </c>
      <c r="O6" s="43">
        <f>N6*(1+O7)</f>
        <v/>
      </c>
      <c r="P6" s="43">
        <f>O6*(1+P7)</f>
        <v/>
      </c>
    </row>
    <row r="7">
      <c r="A7" s="4" t="inlineStr">
        <is>
          <t xml:space="preserve">    growth % (convex fade; curvature from Dashboard)</t>
        </is>
      </c>
      <c r="C7" s="27">
        <f>IFERROR(C6/B6-1,"")</f>
        <v/>
      </c>
      <c r="D7" s="27">
        <f>IFERROR(D6/C6-1,"")</f>
        <v/>
      </c>
      <c r="E7" s="27">
        <f>IFERROR(E6/D6-1,"")</f>
        <v/>
      </c>
      <c r="F7" s="27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4" t="inlineStr">
        <is>
          <t>Gaming</t>
        </is>
      </c>
      <c r="B8" s="35">
        <f>SUM(Financials!G25:J25)</f>
        <v/>
      </c>
      <c r="C8" s="35">
        <f>SUM(Financials!K25:N25)</f>
        <v/>
      </c>
      <c r="D8" s="35">
        <f>SUM(Financials!O25:R25)</f>
        <v/>
      </c>
      <c r="E8" s="35">
        <f>SUM(Financials!S25:V25)</f>
        <v/>
      </c>
      <c r="F8" s="35">
        <f>SUM(Financials!W25:Z25)</f>
        <v/>
      </c>
      <c r="G8" s="43">
        <f>F8*(1+G9)</f>
        <v/>
      </c>
      <c r="H8" s="43">
        <f>G8*(1+H9)</f>
        <v/>
      </c>
      <c r="I8" s="43">
        <f>H8*(1+I9)</f>
        <v/>
      </c>
      <c r="J8" s="43">
        <f>I8*(1+J9)</f>
        <v/>
      </c>
      <c r="K8" s="43">
        <f>J8*(1+K9)</f>
        <v/>
      </c>
      <c r="L8" s="43">
        <f>K8*(1+L9)</f>
        <v/>
      </c>
      <c r="M8" s="43">
        <f>L8*(1+M9)</f>
        <v/>
      </c>
      <c r="N8" s="43">
        <f>M8*(1+N9)</f>
        <v/>
      </c>
      <c r="O8" s="43">
        <f>N8*(1+O9)</f>
        <v/>
      </c>
      <c r="P8" s="43">
        <f>O8*(1+P9)</f>
        <v/>
      </c>
    </row>
    <row r="9">
      <c r="A9" s="4" t="inlineStr">
        <is>
          <t xml:space="preserve">    growth % (convex fade; curvature from Dashboard)</t>
        </is>
      </c>
      <c r="C9" s="27">
        <f>IFERROR(C8/B8-1,"")</f>
        <v/>
      </c>
      <c r="D9" s="27">
        <f>IFERROR(D8/C8-1,"")</f>
        <v/>
      </c>
      <c r="E9" s="27">
        <f>IFERROR(E8/D8-1,"")</f>
        <v/>
      </c>
      <c r="F9" s="27">
        <f>IFERROR(F8/E8-1,"")</f>
        <v/>
      </c>
      <c r="G9" s="11">
        <f>Dashboard!$C$22+(Dashboard!$B$22-Dashboard!$C$22)*((9-0)/9)^Dashboard!$B$49</f>
        <v/>
      </c>
      <c r="H9" s="11">
        <f>Dashboard!$C$22+(Dashboard!$B$22-Dashboard!$C$22)*((9-1)/9)^Dashboard!$B$49</f>
        <v/>
      </c>
      <c r="I9" s="11">
        <f>Dashboard!$C$22+(Dashboard!$B$22-Dashboard!$C$22)*((9-2)/9)^Dashboard!$B$49</f>
        <v/>
      </c>
      <c r="J9" s="11">
        <f>Dashboard!$C$22+(Dashboard!$B$22-Dashboard!$C$22)*((9-3)/9)^Dashboard!$B$49</f>
        <v/>
      </c>
      <c r="K9" s="11">
        <f>Dashboard!$C$22+(Dashboard!$B$22-Dashboard!$C$22)*((9-4)/9)^Dashboard!$B$49</f>
        <v/>
      </c>
      <c r="L9" s="11">
        <f>Dashboard!$C$22+(Dashboard!$B$22-Dashboard!$C$22)*((9-5)/9)^Dashboard!$B$49</f>
        <v/>
      </c>
      <c r="M9" s="11">
        <f>Dashboard!$C$22+(Dashboard!$B$22-Dashboard!$C$22)*((9-6)/9)^Dashboard!$B$49</f>
        <v/>
      </c>
      <c r="N9" s="11">
        <f>Dashboard!$C$22+(Dashboard!$B$22-Dashboard!$C$22)*((9-7)/9)^Dashboard!$B$49</f>
        <v/>
      </c>
      <c r="O9" s="11">
        <f>Dashboard!$C$22+(Dashboard!$B$22-Dashboard!$C$22)*((9-8)/9)^Dashboard!$B$49</f>
        <v/>
      </c>
      <c r="P9" s="11">
        <f>Dashboard!$C$22+(Dashboard!$B$22-Dashboard!$C$22)*((9-9)/9)^Dashboard!$B$49</f>
        <v/>
      </c>
    </row>
    <row r="10">
      <c r="A10" s="4" t="inlineStr">
        <is>
          <t>Linked In Corporation</t>
        </is>
      </c>
      <c r="B10" s="35">
        <f>SUM(Financials!G28:J28)</f>
        <v/>
      </c>
      <c r="C10" s="35">
        <f>SUM(Financials!K28:N28)</f>
        <v/>
      </c>
      <c r="D10" s="35">
        <f>SUM(Financials!O28:R28)</f>
        <v/>
      </c>
      <c r="E10" s="35">
        <f>SUM(Financials!S28:V28)</f>
        <v/>
      </c>
      <c r="F10" s="35">
        <f>SUM(Financials!W28:Z28)</f>
        <v/>
      </c>
      <c r="G10" s="43">
        <f>F10*(1+G11)</f>
        <v/>
      </c>
      <c r="H10" s="43">
        <f>G10*(1+H11)</f>
        <v/>
      </c>
      <c r="I10" s="43">
        <f>H10*(1+I11)</f>
        <v/>
      </c>
      <c r="J10" s="43">
        <f>I10*(1+J11)</f>
        <v/>
      </c>
      <c r="K10" s="43">
        <f>J10*(1+K11)</f>
        <v/>
      </c>
      <c r="L10" s="43">
        <f>K10*(1+L11)</f>
        <v/>
      </c>
      <c r="M10" s="43">
        <f>L10*(1+M11)</f>
        <v/>
      </c>
      <c r="N10" s="43">
        <f>M10*(1+N11)</f>
        <v/>
      </c>
      <c r="O10" s="43">
        <f>N10*(1+O11)</f>
        <v/>
      </c>
      <c r="P10" s="43">
        <f>O10*(1+P11)</f>
        <v/>
      </c>
    </row>
    <row r="11">
      <c r="A11" s="4" t="inlineStr">
        <is>
          <t xml:space="preserve">    growth % (convex fade; curvature from Dashboard)</t>
        </is>
      </c>
      <c r="C11" s="27">
        <f>IFERROR(C10/B10-1,"")</f>
        <v/>
      </c>
      <c r="D11" s="27">
        <f>IFERROR(D10/C10-1,"")</f>
        <v/>
      </c>
      <c r="E11" s="27">
        <f>IFERROR(E10/D10-1,"")</f>
        <v/>
      </c>
      <c r="F11" s="27">
        <f>IFERROR(F10/E10-1,"")</f>
        <v/>
      </c>
      <c r="G11" s="11">
        <f>Dashboard!$C$23+(Dashboard!$B$23-Dashboard!$C$23)*((9-0)/9)^Dashboard!$B$49</f>
        <v/>
      </c>
      <c r="H11" s="11">
        <f>Dashboard!$C$23+(Dashboard!$B$23-Dashboard!$C$23)*((9-1)/9)^Dashboard!$B$49</f>
        <v/>
      </c>
      <c r="I11" s="11">
        <f>Dashboard!$C$23+(Dashboard!$B$23-Dashboard!$C$23)*((9-2)/9)^Dashboard!$B$49</f>
        <v/>
      </c>
      <c r="J11" s="11">
        <f>Dashboard!$C$23+(Dashboard!$B$23-Dashboard!$C$23)*((9-3)/9)^Dashboard!$B$49</f>
        <v/>
      </c>
      <c r="K11" s="11">
        <f>Dashboard!$C$23+(Dashboard!$B$23-Dashboard!$C$23)*((9-4)/9)^Dashboard!$B$49</f>
        <v/>
      </c>
      <c r="L11" s="11">
        <f>Dashboard!$C$23+(Dashboard!$B$23-Dashboard!$C$23)*((9-5)/9)^Dashboard!$B$49</f>
        <v/>
      </c>
      <c r="M11" s="11">
        <f>Dashboard!$C$23+(Dashboard!$B$23-Dashboard!$C$23)*((9-6)/9)^Dashboard!$B$49</f>
        <v/>
      </c>
      <c r="N11" s="11">
        <f>Dashboard!$C$23+(Dashboard!$B$23-Dashboard!$C$23)*((9-7)/9)^Dashboard!$B$49</f>
        <v/>
      </c>
      <c r="O11" s="11">
        <f>Dashboard!$C$23+(Dashboard!$B$23-Dashboard!$C$23)*((9-8)/9)^Dashboard!$B$49</f>
        <v/>
      </c>
      <c r="P11" s="11">
        <f>Dashboard!$C$23+(Dashboard!$B$23-Dashboard!$C$23)*((9-9)/9)^Dashboard!$B$49</f>
        <v/>
      </c>
    </row>
    <row r="12">
      <c r="A12" s="4" t="inlineStr">
        <is>
          <t>Windows</t>
        </is>
      </c>
      <c r="B12" s="35">
        <f>SUM(Financials!G31:J31)</f>
        <v/>
      </c>
      <c r="C12" s="35">
        <f>SUM(Financials!K31:N31)</f>
        <v/>
      </c>
      <c r="D12" s="35">
        <f>SUM(Financials!O31:R31)</f>
        <v/>
      </c>
      <c r="E12" s="35">
        <f>SUM(Financials!S31:V31)</f>
        <v/>
      </c>
      <c r="F12" s="35">
        <f>SUM(Financials!W31:Z31)</f>
        <v/>
      </c>
      <c r="G12" s="43">
        <f>F12*(1+G13)</f>
        <v/>
      </c>
      <c r="H12" s="43">
        <f>G12*(1+H13)</f>
        <v/>
      </c>
      <c r="I12" s="43">
        <f>H12*(1+I13)</f>
        <v/>
      </c>
      <c r="J12" s="43">
        <f>I12*(1+J13)</f>
        <v/>
      </c>
      <c r="K12" s="43">
        <f>J12*(1+K13)</f>
        <v/>
      </c>
      <c r="L12" s="43">
        <f>K12*(1+L13)</f>
        <v/>
      </c>
      <c r="M12" s="43">
        <f>L12*(1+M13)</f>
        <v/>
      </c>
      <c r="N12" s="43">
        <f>M12*(1+N13)</f>
        <v/>
      </c>
      <c r="O12" s="43">
        <f>N12*(1+O13)</f>
        <v/>
      </c>
      <c r="P12" s="43">
        <f>O12*(1+P13)</f>
        <v/>
      </c>
    </row>
    <row r="13">
      <c r="A13" s="4" t="inlineStr">
        <is>
          <t xml:space="preserve">    growth % (convex fade; curvature from Dashboard)</t>
        </is>
      </c>
      <c r="C13" s="27">
        <f>IFERROR(C12/B12-1,"")</f>
        <v/>
      </c>
      <c r="D13" s="27">
        <f>IFERROR(D12/C12-1,"")</f>
        <v/>
      </c>
      <c r="E13" s="27">
        <f>IFERROR(E12/D12-1,"")</f>
        <v/>
      </c>
      <c r="F13" s="27">
        <f>IFERROR(F12/E12-1,"")</f>
        <v/>
      </c>
      <c r="G13" s="11">
        <f>Dashboard!$C$24+(Dashboard!$B$24-Dashboard!$C$24)*((9-0)/9)^Dashboard!$B$49</f>
        <v/>
      </c>
      <c r="H13" s="11">
        <f>Dashboard!$C$24+(Dashboard!$B$24-Dashboard!$C$24)*((9-1)/9)^Dashboard!$B$49</f>
        <v/>
      </c>
      <c r="I13" s="11">
        <f>Dashboard!$C$24+(Dashboard!$B$24-Dashboard!$C$24)*((9-2)/9)^Dashboard!$B$49</f>
        <v/>
      </c>
      <c r="J13" s="11">
        <f>Dashboard!$C$24+(Dashboard!$B$24-Dashboard!$C$24)*((9-3)/9)^Dashboard!$B$49</f>
        <v/>
      </c>
      <c r="K13" s="11">
        <f>Dashboard!$C$24+(Dashboard!$B$24-Dashboard!$C$24)*((9-4)/9)^Dashboard!$B$49</f>
        <v/>
      </c>
      <c r="L13" s="11">
        <f>Dashboard!$C$24+(Dashboard!$B$24-Dashboard!$C$24)*((9-5)/9)^Dashboard!$B$49</f>
        <v/>
      </c>
      <c r="M13" s="11">
        <f>Dashboard!$C$24+(Dashboard!$B$24-Dashboard!$C$24)*((9-6)/9)^Dashboard!$B$49</f>
        <v/>
      </c>
      <c r="N13" s="11">
        <f>Dashboard!$C$24+(Dashboard!$B$24-Dashboard!$C$24)*((9-7)/9)^Dashboard!$B$49</f>
        <v/>
      </c>
      <c r="O13" s="11">
        <f>Dashboard!$C$24+(Dashboard!$B$24-Dashboard!$C$24)*((9-8)/9)^Dashboard!$B$49</f>
        <v/>
      </c>
      <c r="P13" s="11">
        <f>Dashboard!$C$24+(Dashboard!$B$24-Dashboard!$C$24)*((9-9)/9)^Dashboard!$B$49</f>
        <v/>
      </c>
    </row>
    <row r="14">
      <c r="A14" s="4" t="inlineStr">
        <is>
          <t>Search Advertising</t>
        </is>
      </c>
      <c r="B14" s="35">
        <f>SUM(Financials!G34:J34)</f>
        <v/>
      </c>
      <c r="C14" s="35">
        <f>SUM(Financials!K34:N34)</f>
        <v/>
      </c>
      <c r="D14" s="35">
        <f>SUM(Financials!O34:R34)</f>
        <v/>
      </c>
      <c r="E14" s="35">
        <f>SUM(Financials!S34:V34)</f>
        <v/>
      </c>
      <c r="F14" s="35">
        <f>SUM(Financials!W34:Z34)</f>
        <v/>
      </c>
      <c r="G14" s="43">
        <f>F14*(1+G15)</f>
        <v/>
      </c>
      <c r="H14" s="43">
        <f>G14*(1+H15)</f>
        <v/>
      </c>
      <c r="I14" s="43">
        <f>H14*(1+I15)</f>
        <v/>
      </c>
      <c r="J14" s="43">
        <f>I14*(1+J15)</f>
        <v/>
      </c>
      <c r="K14" s="43">
        <f>J14*(1+K15)</f>
        <v/>
      </c>
      <c r="L14" s="43">
        <f>K14*(1+L15)</f>
        <v/>
      </c>
      <c r="M14" s="43">
        <f>L14*(1+M15)</f>
        <v/>
      </c>
      <c r="N14" s="43">
        <f>M14*(1+N15)</f>
        <v/>
      </c>
      <c r="O14" s="43">
        <f>N14*(1+O15)</f>
        <v/>
      </c>
      <c r="P14" s="43">
        <f>O14*(1+P15)</f>
        <v/>
      </c>
    </row>
    <row r="15">
      <c r="A15" s="4" t="inlineStr">
        <is>
          <t xml:space="preserve">    growth % (convex fade; curvature from Dashboard)</t>
        </is>
      </c>
      <c r="C15" s="27">
        <f>IFERROR(C14/B14-1,"")</f>
        <v/>
      </c>
      <c r="D15" s="27">
        <f>IFERROR(D14/C14-1,"")</f>
        <v/>
      </c>
      <c r="E15" s="27">
        <f>IFERROR(E14/D14-1,"")</f>
        <v/>
      </c>
      <c r="F15" s="27">
        <f>IFERROR(F14/E14-1,"")</f>
        <v/>
      </c>
      <c r="G15" s="11">
        <f>Dashboard!$C$25+(Dashboard!$B$25-Dashboard!$C$25)*((9-0)/9)^Dashboard!$B$49</f>
        <v/>
      </c>
      <c r="H15" s="11">
        <f>Dashboard!$C$25+(Dashboard!$B$25-Dashboard!$C$25)*((9-1)/9)^Dashboard!$B$49</f>
        <v/>
      </c>
      <c r="I15" s="11">
        <f>Dashboard!$C$25+(Dashboard!$B$25-Dashboard!$C$25)*((9-2)/9)^Dashboard!$B$49</f>
        <v/>
      </c>
      <c r="J15" s="11">
        <f>Dashboard!$C$25+(Dashboard!$B$25-Dashboard!$C$25)*((9-3)/9)^Dashboard!$B$49</f>
        <v/>
      </c>
      <c r="K15" s="11">
        <f>Dashboard!$C$25+(Dashboard!$B$25-Dashboard!$C$25)*((9-4)/9)^Dashboard!$B$49</f>
        <v/>
      </c>
      <c r="L15" s="11">
        <f>Dashboard!$C$25+(Dashboard!$B$25-Dashboard!$C$25)*((9-5)/9)^Dashboard!$B$49</f>
        <v/>
      </c>
      <c r="M15" s="11">
        <f>Dashboard!$C$25+(Dashboard!$B$25-Dashboard!$C$25)*((9-6)/9)^Dashboard!$B$49</f>
        <v/>
      </c>
      <c r="N15" s="11">
        <f>Dashboard!$C$25+(Dashboard!$B$25-Dashboard!$C$25)*((9-7)/9)^Dashboard!$B$49</f>
        <v/>
      </c>
      <c r="O15" s="11">
        <f>Dashboard!$C$25+(Dashboard!$B$25-Dashboard!$C$25)*((9-8)/9)^Dashboard!$B$49</f>
        <v/>
      </c>
      <c r="P15" s="11">
        <f>Dashboard!$C$25+(Dashboard!$B$25-Dashboard!$C$25)*((9-9)/9)^Dashboard!$B$49</f>
        <v/>
      </c>
    </row>
    <row r="16">
      <c r="A16" s="4" t="inlineStr">
        <is>
          <t>Microsoft Three Six Five Consumer Products and Cloud Services</t>
        </is>
      </c>
      <c r="B16" s="35">
        <f>SUM(Financials!G37:J37)</f>
        <v/>
      </c>
      <c r="C16" s="35">
        <f>SUM(Financials!K37:N37)</f>
        <v/>
      </c>
      <c r="D16" s="35">
        <f>SUM(Financials!O37:R37)</f>
        <v/>
      </c>
      <c r="E16" s="35">
        <f>SUM(Financials!S37:V37)</f>
        <v/>
      </c>
      <c r="F16" s="35">
        <f>SUM(Financials!W37:Z37)</f>
        <v/>
      </c>
      <c r="G16" s="43">
        <f>F16*(1+G17)</f>
        <v/>
      </c>
      <c r="H16" s="43">
        <f>G16*(1+H17)</f>
        <v/>
      </c>
      <c r="I16" s="43">
        <f>H16*(1+I17)</f>
        <v/>
      </c>
      <c r="J16" s="43">
        <f>I16*(1+J17)</f>
        <v/>
      </c>
      <c r="K16" s="43">
        <f>J16*(1+K17)</f>
        <v/>
      </c>
      <c r="L16" s="43">
        <f>K16*(1+L17)</f>
        <v/>
      </c>
      <c r="M16" s="43">
        <f>L16*(1+M17)</f>
        <v/>
      </c>
      <c r="N16" s="43">
        <f>M16*(1+N17)</f>
        <v/>
      </c>
      <c r="O16" s="43">
        <f>N16*(1+O17)</f>
        <v/>
      </c>
      <c r="P16" s="43">
        <f>O16*(1+P17)</f>
        <v/>
      </c>
    </row>
    <row r="17">
      <c r="A17" s="4" t="inlineStr">
        <is>
          <t xml:space="preserve">    growth % (convex fade; curvature from Dashboard)</t>
        </is>
      </c>
      <c r="C17" s="27">
        <f>IFERROR(C16/B16-1,"")</f>
        <v/>
      </c>
      <c r="D17" s="27">
        <f>IFERROR(D16/C16-1,"")</f>
        <v/>
      </c>
      <c r="E17" s="27">
        <f>IFERROR(E16/D16-1,"")</f>
        <v/>
      </c>
      <c r="F17" s="27">
        <f>IFERROR(F16/E16-1,"")</f>
        <v/>
      </c>
      <c r="G17" s="11">
        <f>Dashboard!$C$26+(Dashboard!$B$26-Dashboard!$C$26)*((9-0)/9)^Dashboard!$B$49</f>
        <v/>
      </c>
      <c r="H17" s="11">
        <f>Dashboard!$C$26+(Dashboard!$B$26-Dashboard!$C$26)*((9-1)/9)^Dashboard!$B$49</f>
        <v/>
      </c>
      <c r="I17" s="11">
        <f>Dashboard!$C$26+(Dashboard!$B$26-Dashboard!$C$26)*((9-2)/9)^Dashboard!$B$49</f>
        <v/>
      </c>
      <c r="J17" s="11">
        <f>Dashboard!$C$26+(Dashboard!$B$26-Dashboard!$C$26)*((9-3)/9)^Dashboard!$B$49</f>
        <v/>
      </c>
      <c r="K17" s="11">
        <f>Dashboard!$C$26+(Dashboard!$B$26-Dashboard!$C$26)*((9-4)/9)^Dashboard!$B$49</f>
        <v/>
      </c>
      <c r="L17" s="11">
        <f>Dashboard!$C$26+(Dashboard!$B$26-Dashboard!$C$26)*((9-5)/9)^Dashboard!$B$49</f>
        <v/>
      </c>
      <c r="M17" s="11">
        <f>Dashboard!$C$26+(Dashboard!$B$26-Dashboard!$C$26)*((9-6)/9)^Dashboard!$B$49</f>
        <v/>
      </c>
      <c r="N17" s="11">
        <f>Dashboard!$C$26+(Dashboard!$B$26-Dashboard!$C$26)*((9-7)/9)^Dashboard!$B$49</f>
        <v/>
      </c>
      <c r="O17" s="11">
        <f>Dashboard!$C$26+(Dashboard!$B$26-Dashboard!$C$26)*((9-8)/9)^Dashboard!$B$49</f>
        <v/>
      </c>
      <c r="P17" s="11">
        <f>Dashboard!$C$26+(Dashboard!$B$26-Dashboard!$C$26)*((9-9)/9)^Dashboard!$B$49</f>
        <v/>
      </c>
    </row>
    <row r="18">
      <c r="A18" s="4" t="inlineStr">
        <is>
          <t>Dynamics Products And Cloud Services</t>
        </is>
      </c>
      <c r="B18" s="35">
        <f>SUM(Financials!G40:J40)</f>
        <v/>
      </c>
      <c r="C18" s="35">
        <f>SUM(Financials!K40:N40)</f>
        <v/>
      </c>
      <c r="D18" s="35">
        <f>SUM(Financials!O40:R40)</f>
        <v/>
      </c>
      <c r="E18" s="35">
        <f>SUM(Financials!S40:V40)</f>
        <v/>
      </c>
      <c r="F18" s="35">
        <f>SUM(Financials!W40:Z40)</f>
        <v/>
      </c>
      <c r="G18" s="43">
        <f>F18*(1+G19)</f>
        <v/>
      </c>
      <c r="H18" s="43">
        <f>G18*(1+H19)</f>
        <v/>
      </c>
      <c r="I18" s="43">
        <f>H18*(1+I19)</f>
        <v/>
      </c>
      <c r="J18" s="43">
        <f>I18*(1+J19)</f>
        <v/>
      </c>
      <c r="K18" s="43">
        <f>J18*(1+K19)</f>
        <v/>
      </c>
      <c r="L18" s="43">
        <f>K18*(1+L19)</f>
        <v/>
      </c>
      <c r="M18" s="43">
        <f>L18*(1+M19)</f>
        <v/>
      </c>
      <c r="N18" s="43">
        <f>M18*(1+N19)</f>
        <v/>
      </c>
      <c r="O18" s="43">
        <f>N18*(1+O19)</f>
        <v/>
      </c>
      <c r="P18" s="43">
        <f>O18*(1+P19)</f>
        <v/>
      </c>
    </row>
    <row r="19">
      <c r="A19" s="4" t="inlineStr">
        <is>
          <t xml:space="preserve">    growth % (convex fade; curvature from Dashboard)</t>
        </is>
      </c>
      <c r="C19" s="27">
        <f>IFERROR(C18/B18-1,"")</f>
        <v/>
      </c>
      <c r="D19" s="27">
        <f>IFERROR(D18/C18-1,"")</f>
        <v/>
      </c>
      <c r="E19" s="27">
        <f>IFERROR(E18/D18-1,"")</f>
        <v/>
      </c>
      <c r="F19" s="27">
        <f>IFERROR(F18/E18-1,"")</f>
        <v/>
      </c>
      <c r="G19" s="11">
        <f>Dashboard!$C$27+(Dashboard!$B$27-Dashboard!$C$27)*((9-0)/9)^Dashboard!$B$49</f>
        <v/>
      </c>
      <c r="H19" s="11">
        <f>Dashboard!$C$27+(Dashboard!$B$27-Dashboard!$C$27)*((9-1)/9)^Dashboard!$B$49</f>
        <v/>
      </c>
      <c r="I19" s="11">
        <f>Dashboard!$C$27+(Dashboard!$B$27-Dashboard!$C$27)*((9-2)/9)^Dashboard!$B$49</f>
        <v/>
      </c>
      <c r="J19" s="11">
        <f>Dashboard!$C$27+(Dashboard!$B$27-Dashboard!$C$27)*((9-3)/9)^Dashboard!$B$49</f>
        <v/>
      </c>
      <c r="K19" s="11">
        <f>Dashboard!$C$27+(Dashboard!$B$27-Dashboard!$C$27)*((9-4)/9)^Dashboard!$B$49</f>
        <v/>
      </c>
      <c r="L19" s="11">
        <f>Dashboard!$C$27+(Dashboard!$B$27-Dashboard!$C$27)*((9-5)/9)^Dashboard!$B$49</f>
        <v/>
      </c>
      <c r="M19" s="11">
        <f>Dashboard!$C$27+(Dashboard!$B$27-Dashboard!$C$27)*((9-6)/9)^Dashboard!$B$49</f>
        <v/>
      </c>
      <c r="N19" s="11">
        <f>Dashboard!$C$27+(Dashboard!$B$27-Dashboard!$C$27)*((9-7)/9)^Dashboard!$B$49</f>
        <v/>
      </c>
      <c r="O19" s="11">
        <f>Dashboard!$C$27+(Dashboard!$B$27-Dashboard!$C$27)*((9-8)/9)^Dashboard!$B$49</f>
        <v/>
      </c>
      <c r="P19" s="11">
        <f>Dashboard!$C$27+(Dashboard!$B$27-Dashboard!$C$27)*((9-9)/9)^Dashboard!$B$49</f>
        <v/>
      </c>
    </row>
    <row r="20">
      <c r="A20" s="4" t="inlineStr">
        <is>
          <t>Enterprise Services</t>
        </is>
      </c>
      <c r="B20" s="35">
        <f>SUM(Financials!G43:J43)</f>
        <v/>
      </c>
      <c r="C20" s="35">
        <f>SUM(Financials!K43:N43)</f>
        <v/>
      </c>
      <c r="D20" s="35">
        <f>SUM(Financials!O43:R43)</f>
        <v/>
      </c>
      <c r="E20" s="35">
        <f>SUM(Financials!S43:V43)</f>
        <v/>
      </c>
      <c r="F20" s="35">
        <f>SUM(Financials!W43:Z43)</f>
        <v/>
      </c>
      <c r="G20" s="43">
        <f>F20*(1+G21)</f>
        <v/>
      </c>
      <c r="H20" s="43">
        <f>G20*(1+H21)</f>
        <v/>
      </c>
      <c r="I20" s="43">
        <f>H20*(1+I21)</f>
        <v/>
      </c>
      <c r="J20" s="43">
        <f>I20*(1+J21)</f>
        <v/>
      </c>
      <c r="K20" s="43">
        <f>J20*(1+K21)</f>
        <v/>
      </c>
      <c r="L20" s="43">
        <f>K20*(1+L21)</f>
        <v/>
      </c>
      <c r="M20" s="43">
        <f>L20*(1+M21)</f>
        <v/>
      </c>
      <c r="N20" s="43">
        <f>M20*(1+N21)</f>
        <v/>
      </c>
      <c r="O20" s="43">
        <f>N20*(1+O21)</f>
        <v/>
      </c>
      <c r="P20" s="43">
        <f>O20*(1+P21)</f>
        <v/>
      </c>
    </row>
    <row r="21">
      <c r="A21" s="4" t="inlineStr">
        <is>
          <t xml:space="preserve">    growth % (convex fade; curvature from Dashboard)</t>
        </is>
      </c>
      <c r="C21" s="27">
        <f>IFERROR(C20/B20-1,"")</f>
        <v/>
      </c>
      <c r="D21" s="27">
        <f>IFERROR(D20/C20-1,"")</f>
        <v/>
      </c>
      <c r="E21" s="27">
        <f>IFERROR(E20/D20-1,"")</f>
        <v/>
      </c>
      <c r="F21" s="27">
        <f>IFERROR(F20/E20-1,"")</f>
        <v/>
      </c>
      <c r="G21" s="11">
        <f>Dashboard!$C$28+(Dashboard!$B$28-Dashboard!$C$28)*((9-0)/9)^Dashboard!$B$49</f>
        <v/>
      </c>
      <c r="H21" s="11">
        <f>Dashboard!$C$28+(Dashboard!$B$28-Dashboard!$C$28)*((9-1)/9)^Dashboard!$B$49</f>
        <v/>
      </c>
      <c r="I21" s="11">
        <f>Dashboard!$C$28+(Dashboard!$B$28-Dashboard!$C$28)*((9-2)/9)^Dashboard!$B$49</f>
        <v/>
      </c>
      <c r="J21" s="11">
        <f>Dashboard!$C$28+(Dashboard!$B$28-Dashboard!$C$28)*((9-3)/9)^Dashboard!$B$49</f>
        <v/>
      </c>
      <c r="K21" s="11">
        <f>Dashboard!$C$28+(Dashboard!$B$28-Dashboard!$C$28)*((9-4)/9)^Dashboard!$B$49</f>
        <v/>
      </c>
      <c r="L21" s="11">
        <f>Dashboard!$C$28+(Dashboard!$B$28-Dashboard!$C$28)*((9-5)/9)^Dashboard!$B$49</f>
        <v/>
      </c>
      <c r="M21" s="11">
        <f>Dashboard!$C$28+(Dashboard!$B$28-Dashboard!$C$28)*((9-6)/9)^Dashboard!$B$49</f>
        <v/>
      </c>
      <c r="N21" s="11">
        <f>Dashboard!$C$28+(Dashboard!$B$28-Dashboard!$C$28)*((9-7)/9)^Dashboard!$B$49</f>
        <v/>
      </c>
      <c r="O21" s="11">
        <f>Dashboard!$C$28+(Dashboard!$B$28-Dashboard!$C$28)*((9-8)/9)^Dashboard!$B$49</f>
        <v/>
      </c>
      <c r="P21" s="11">
        <f>Dashboard!$C$28+(Dashboard!$B$28-Dashboard!$C$28)*((9-9)/9)^Dashboard!$B$49</f>
        <v/>
      </c>
    </row>
    <row r="22">
      <c r="A22" s="4" t="inlineStr">
        <is>
          <t>Other Products And Services</t>
        </is>
      </c>
      <c r="B22" s="35">
        <f>SUM(Financials!G46:J46)</f>
        <v/>
      </c>
      <c r="C22" s="35">
        <f>SUM(Financials!K46:N46)</f>
        <v/>
      </c>
      <c r="D22" s="35">
        <f>SUM(Financials!O46:R46)</f>
        <v/>
      </c>
      <c r="E22" s="35">
        <f>SUM(Financials!S46:V46)</f>
        <v/>
      </c>
      <c r="F22" s="35">
        <f>SUM(Financials!W46:Z46)</f>
        <v/>
      </c>
      <c r="G22" s="43">
        <f>F22*(1+G23)</f>
        <v/>
      </c>
      <c r="H22" s="43">
        <f>G22*(1+H23)</f>
        <v/>
      </c>
      <c r="I22" s="43">
        <f>H22*(1+I23)</f>
        <v/>
      </c>
      <c r="J22" s="43">
        <f>I22*(1+J23)</f>
        <v/>
      </c>
      <c r="K22" s="43">
        <f>J22*(1+K23)</f>
        <v/>
      </c>
      <c r="L22" s="43">
        <f>K22*(1+L23)</f>
        <v/>
      </c>
      <c r="M22" s="43">
        <f>L22*(1+M23)</f>
        <v/>
      </c>
      <c r="N22" s="43">
        <f>M22*(1+N23)</f>
        <v/>
      </c>
      <c r="O22" s="43">
        <f>N22*(1+O23)</f>
        <v/>
      </c>
      <c r="P22" s="43">
        <f>O22*(1+P23)</f>
        <v/>
      </c>
    </row>
    <row r="23">
      <c r="A23" s="4" t="inlineStr">
        <is>
          <t xml:space="preserve">    growth % (convex fade; curvature from Dashboard)</t>
        </is>
      </c>
      <c r="C23" s="27">
        <f>IFERROR(C22/B22-1,"")</f>
        <v/>
      </c>
      <c r="D23" s="27">
        <f>IFERROR(D22/C22-1,"")</f>
        <v/>
      </c>
      <c r="E23" s="27">
        <f>IFERROR(E22/D22-1,"")</f>
        <v/>
      </c>
      <c r="F23" s="27">
        <f>IFERROR(F22/E22-1,"")</f>
        <v/>
      </c>
      <c r="G23" s="11">
        <f>Dashboard!$C$29+(Dashboard!$B$29-Dashboard!$C$29)*((9-0)/9)^Dashboard!$B$49</f>
        <v/>
      </c>
      <c r="H23" s="11">
        <f>Dashboard!$C$29+(Dashboard!$B$29-Dashboard!$C$29)*((9-1)/9)^Dashboard!$B$49</f>
        <v/>
      </c>
      <c r="I23" s="11">
        <f>Dashboard!$C$29+(Dashboard!$B$29-Dashboard!$C$29)*((9-2)/9)^Dashboard!$B$49</f>
        <v/>
      </c>
      <c r="J23" s="11">
        <f>Dashboard!$C$29+(Dashboard!$B$29-Dashboard!$C$29)*((9-3)/9)^Dashboard!$B$49</f>
        <v/>
      </c>
      <c r="K23" s="11">
        <f>Dashboard!$C$29+(Dashboard!$B$29-Dashboard!$C$29)*((9-4)/9)^Dashboard!$B$49</f>
        <v/>
      </c>
      <c r="L23" s="11">
        <f>Dashboard!$C$29+(Dashboard!$B$29-Dashboard!$C$29)*((9-5)/9)^Dashboard!$B$49</f>
        <v/>
      </c>
      <c r="M23" s="11">
        <f>Dashboard!$C$29+(Dashboard!$B$29-Dashboard!$C$29)*((9-6)/9)^Dashboard!$B$49</f>
        <v/>
      </c>
      <c r="N23" s="11">
        <f>Dashboard!$C$29+(Dashboard!$B$29-Dashboard!$C$29)*((9-7)/9)^Dashboard!$B$49</f>
        <v/>
      </c>
      <c r="O23" s="11">
        <f>Dashboard!$C$29+(Dashboard!$B$29-Dashboard!$C$29)*((9-8)/9)^Dashboard!$B$49</f>
        <v/>
      </c>
      <c r="P23" s="11">
        <f>Dashboard!$C$29+(Dashboard!$B$29-Dashboard!$C$29)*((9-9)/9)^Dashboard!$B$49</f>
        <v/>
      </c>
    </row>
    <row r="24">
      <c r="A24" s="3" t="inlineStr">
        <is>
          <t>Total revenue</t>
        </is>
      </c>
      <c r="B24" s="44">
        <f>B4+B6+B8+B10+B12+B14+B16+B18+B20+B22</f>
        <v/>
      </c>
      <c r="C24" s="44">
        <f>C4+C6+C8+C10+C12+C14+C16+C18+C20+C22</f>
        <v/>
      </c>
      <c r="D24" s="44">
        <f>D4+D6+D8+D10+D12+D14+D16+D18+D20+D22</f>
        <v/>
      </c>
      <c r="E24" s="44">
        <f>E4+E6+E8+E10+E12+E14+E16+E18+E20+E22</f>
        <v/>
      </c>
      <c r="F24" s="44">
        <f>F4+F6+F8+F10+F12+F14+F16+F18+F20+F22</f>
        <v/>
      </c>
      <c r="G24" s="44">
        <f>G4+G6+G8+G10+G12+G14+G16+G18+G20+G22</f>
        <v/>
      </c>
      <c r="H24" s="44">
        <f>H4+H6+H8+H10+H12+H14+H16+H18+H20+H22</f>
        <v/>
      </c>
      <c r="I24" s="44">
        <f>I4+I6+I8+I10+I12+I14+I16+I18+I20+I22</f>
        <v/>
      </c>
      <c r="J24" s="44">
        <f>J4+J6+J8+J10+J12+J14+J16+J18+J20+J22</f>
        <v/>
      </c>
      <c r="K24" s="44">
        <f>K4+K6+K8+K10+K12+K14+K16+K18+K20+K22</f>
        <v/>
      </c>
      <c r="L24" s="44">
        <f>L4+L6+L8+L10+L12+L14+L16+L18+L20+L22</f>
        <v/>
      </c>
      <c r="M24" s="44">
        <f>M4+M6+M8+M10+M12+M14+M16+M18+M20+M22</f>
        <v/>
      </c>
      <c r="N24" s="44">
        <f>N4+N6+N8+N10+N12+N14+N16+N18+N20+N22</f>
        <v/>
      </c>
      <c r="O24" s="44">
        <f>O4+O6+O8+O10+O12+O14+O16+O18+O20+O22</f>
        <v/>
      </c>
      <c r="P24" s="44">
        <f>P4+P6+P8+P10+P12+P14+P16+P18+P20+P22</f>
        <v/>
      </c>
    </row>
    <row r="25">
      <c r="A25" s="4" t="inlineStr">
        <is>
          <t xml:space="preserve">    growth %</t>
        </is>
      </c>
      <c r="C25" s="27">
        <f>IFERROR(C24/B24-1,"")</f>
        <v/>
      </c>
      <c r="D25" s="27">
        <f>IFERROR(D24/C24-1,"")</f>
        <v/>
      </c>
      <c r="E25" s="27">
        <f>IFERROR(E24/D24-1,"")</f>
        <v/>
      </c>
      <c r="F25" s="27">
        <f>IFERROR(F24/E24-1,"")</f>
        <v/>
      </c>
      <c r="G25" s="27">
        <f>IFERROR(G24/F24-1,"")</f>
        <v/>
      </c>
      <c r="H25" s="27">
        <f>IFERROR(H24/G24-1,"")</f>
        <v/>
      </c>
      <c r="I25" s="27">
        <f>IFERROR(I24/H24-1,"")</f>
        <v/>
      </c>
      <c r="J25" s="27">
        <f>IFERROR(J24/I24-1,"")</f>
        <v/>
      </c>
      <c r="K25" s="27">
        <f>IFERROR(K24/J24-1,"")</f>
        <v/>
      </c>
      <c r="L25" s="27">
        <f>IFERROR(L24/K24-1,"")</f>
        <v/>
      </c>
      <c r="M25" s="27">
        <f>IFERROR(M24/L24-1,"")</f>
        <v/>
      </c>
      <c r="N25" s="27">
        <f>IFERROR(N24/M24-1,"")</f>
        <v/>
      </c>
      <c r="O25" s="27">
        <f>IFERROR(O24/N24-1,"")</f>
        <v/>
      </c>
      <c r="P25" s="27">
        <f>IFERROR(P24/O24-1,"")</f>
        <v/>
      </c>
    </row>
    <row r="27">
      <c r="A27" s="5" t="inlineStr">
        <is>
          <t xml:space="preserve">  COST STRUCTURE (yellow = % of revenue)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</row>
    <row r="28">
      <c r="A28" s="4" t="inlineStr">
        <is>
          <t>Cost of revenue</t>
        </is>
      </c>
      <c r="B28" s="35">
        <f>SUM(Financials!G5:J5)</f>
        <v/>
      </c>
      <c r="C28" s="35">
        <f>SUM(Financials!K5:N5)</f>
        <v/>
      </c>
      <c r="D28" s="35">
        <f>SUM(Financials!O5:R5)</f>
        <v/>
      </c>
      <c r="E28" s="35">
        <f>SUM(Financials!S5:V5)</f>
        <v/>
      </c>
      <c r="F28" s="35">
        <f>SUM(Financials!W5:Z5)</f>
        <v/>
      </c>
      <c r="G28" s="43">
        <f>G24*G29</f>
        <v/>
      </c>
      <c r="H28" s="43">
        <f>H24*H29</f>
        <v/>
      </c>
      <c r="I28" s="43">
        <f>I24*I29</f>
        <v/>
      </c>
      <c r="J28" s="43">
        <f>J24*J29</f>
        <v/>
      </c>
      <c r="K28" s="43">
        <f>K24*K29</f>
        <v/>
      </c>
      <c r="L28" s="43">
        <f>L24*L29</f>
        <v/>
      </c>
      <c r="M28" s="43">
        <f>M24*M29</f>
        <v/>
      </c>
      <c r="N28" s="43">
        <f>N24*N29</f>
        <v/>
      </c>
      <c r="O28" s="43">
        <f>O24*O29</f>
        <v/>
      </c>
      <c r="P28" s="43">
        <f>P24*P29</f>
        <v/>
      </c>
    </row>
    <row r="29">
      <c r="A29" s="4" t="inlineStr">
        <is>
          <t xml:space="preserve">    % of revenue</t>
        </is>
      </c>
      <c r="B29" s="27">
        <f>IFERROR(B28/B24,"")</f>
        <v/>
      </c>
      <c r="C29" s="27">
        <f>IFERROR(C28/C24,"")</f>
        <v/>
      </c>
      <c r="D29" s="27">
        <f>IFERROR(D28/D24,"")</f>
        <v/>
      </c>
      <c r="E29" s="27">
        <f>IFERROR(E28/E24,"")</f>
        <v/>
      </c>
      <c r="F29" s="27">
        <f>IFERROR(F28/F24,"")</f>
        <v/>
      </c>
      <c r="G29" s="15" t="n">
        <v>0.3117625761383482</v>
      </c>
      <c r="H29" s="15" t="n">
        <v>0.3117625761383482</v>
      </c>
      <c r="I29" s="15" t="n">
        <v>0.3117625761383482</v>
      </c>
      <c r="J29" s="15" t="n">
        <v>0.3117625761383482</v>
      </c>
      <c r="K29" s="15" t="n">
        <v>0.3117625761383482</v>
      </c>
      <c r="L29" s="15" t="n">
        <v>0.3117625761383482</v>
      </c>
      <c r="M29" s="15" t="n">
        <v>0.3117625761383482</v>
      </c>
      <c r="N29" s="15" t="n">
        <v>0.3117625761383482</v>
      </c>
      <c r="O29" s="15" t="n">
        <v>0.3117625761383482</v>
      </c>
      <c r="P29" s="15" t="n">
        <v>0.3117625761383482</v>
      </c>
    </row>
    <row r="30">
      <c r="A30" s="4" t="inlineStr">
        <is>
          <t>R&amp;D / Technology</t>
        </is>
      </c>
      <c r="B30" s="35">
        <f>SUM(Financials!G7:J7)</f>
        <v/>
      </c>
      <c r="C30" s="35">
        <f>SUM(Financials!K7:N7)</f>
        <v/>
      </c>
      <c r="D30" s="35">
        <f>SUM(Financials!O7:R7)</f>
        <v/>
      </c>
      <c r="E30" s="35">
        <f>SUM(Financials!S7:V7)</f>
        <v/>
      </c>
      <c r="F30" s="35">
        <f>SUM(Financials!W7:Z7)</f>
        <v/>
      </c>
      <c r="G30" s="43">
        <f>G24*G31</f>
        <v/>
      </c>
      <c r="H30" s="43">
        <f>H24*H31</f>
        <v/>
      </c>
      <c r="I30" s="43">
        <f>I24*I31</f>
        <v/>
      </c>
      <c r="J30" s="43">
        <f>J24*J31</f>
        <v/>
      </c>
      <c r="K30" s="43">
        <f>K24*K31</f>
        <v/>
      </c>
      <c r="L30" s="43">
        <f>L24*L31</f>
        <v/>
      </c>
      <c r="M30" s="43">
        <f>M24*M31</f>
        <v/>
      </c>
      <c r="N30" s="43">
        <f>N24*N31</f>
        <v/>
      </c>
      <c r="O30" s="43">
        <f>O24*O31</f>
        <v/>
      </c>
      <c r="P30" s="43">
        <f>P24*P31</f>
        <v/>
      </c>
    </row>
    <row r="31">
      <c r="A31" s="4" t="inlineStr">
        <is>
          <t xml:space="preserve">    % of revenue</t>
        </is>
      </c>
      <c r="B31" s="27">
        <f>IFERROR(B30/B24,"")</f>
        <v/>
      </c>
      <c r="C31" s="27">
        <f>IFERROR(C30/C24,"")</f>
        <v/>
      </c>
      <c r="D31" s="27">
        <f>IFERROR(D30/D24,"")</f>
        <v/>
      </c>
      <c r="E31" s="27">
        <f>IFERROR(E30/E24,"")</f>
        <v/>
      </c>
      <c r="F31" s="27">
        <f>IFERROR(F30/F24,"")</f>
        <v/>
      </c>
      <c r="G31" s="15" t="n">
        <v>0.1153185387116469</v>
      </c>
      <c r="H31" s="15" t="n">
        <v>0.1153185387116469</v>
      </c>
      <c r="I31" s="15" t="n">
        <v>0.1153185387116469</v>
      </c>
      <c r="J31" s="15" t="n">
        <v>0.1153185387116469</v>
      </c>
      <c r="K31" s="15" t="n">
        <v>0.1153185387116469</v>
      </c>
      <c r="L31" s="15" t="n">
        <v>0.1153185387116469</v>
      </c>
      <c r="M31" s="15" t="n">
        <v>0.1153185387116469</v>
      </c>
      <c r="N31" s="15" t="n">
        <v>0.1153185387116469</v>
      </c>
      <c r="O31" s="15" t="n">
        <v>0.1153185387116469</v>
      </c>
      <c r="P31" s="15" t="n">
        <v>0.1153185387116469</v>
      </c>
    </row>
    <row r="32">
      <c r="A32" s="4" t="inlineStr">
        <is>
          <t>SG&amp;A</t>
        </is>
      </c>
      <c r="B32" s="35">
        <f>SUM(Financials!G9:J9)</f>
        <v/>
      </c>
      <c r="C32" s="35">
        <f>SUM(Financials!K9:N9)</f>
        <v/>
      </c>
      <c r="D32" s="35">
        <f>SUM(Financials!O9:R9)</f>
        <v/>
      </c>
      <c r="E32" s="35">
        <f>SUM(Financials!S9:V9)</f>
        <v/>
      </c>
      <c r="F32" s="35">
        <f>SUM(Financials!W9:Z9)</f>
        <v/>
      </c>
      <c r="G32" s="43">
        <f>G24*G33</f>
        <v/>
      </c>
      <c r="H32" s="43">
        <f>H24*H33</f>
        <v/>
      </c>
      <c r="I32" s="43">
        <f>I24*I33</f>
        <v/>
      </c>
      <c r="J32" s="43">
        <f>J24*J33</f>
        <v/>
      </c>
      <c r="K32" s="43">
        <f>K24*K33</f>
        <v/>
      </c>
      <c r="L32" s="43">
        <f>L24*L33</f>
        <v/>
      </c>
      <c r="M32" s="43">
        <f>M24*M33</f>
        <v/>
      </c>
      <c r="N32" s="43">
        <f>N24*N33</f>
        <v/>
      </c>
      <c r="O32" s="43">
        <f>O24*O33</f>
        <v/>
      </c>
      <c r="P32" s="43">
        <f>P24*P33</f>
        <v/>
      </c>
    </row>
    <row r="33">
      <c r="A33" s="4" t="inlineStr">
        <is>
          <t xml:space="preserve">    % of revenue</t>
        </is>
      </c>
      <c r="B33" s="27">
        <f>IFERROR(B32/B24,"")</f>
        <v/>
      </c>
      <c r="C33" s="27">
        <f>IFERROR(C32/C24,"")</f>
        <v/>
      </c>
      <c r="D33" s="27">
        <f>IFERROR(D32/D24,"")</f>
        <v/>
      </c>
      <c r="E33" s="27">
        <f>IFERROR(E32/E24,"")</f>
        <v/>
      </c>
      <c r="F33" s="27">
        <f>IFERROR(F32/F24,"")</f>
        <v/>
      </c>
      <c r="G33" s="15" t="n">
        <v>0.1166993227414065</v>
      </c>
      <c r="H33" s="15" t="n">
        <v>0.1166993227414065</v>
      </c>
      <c r="I33" s="15" t="n">
        <v>0.1166993227414065</v>
      </c>
      <c r="J33" s="15" t="n">
        <v>0.1166993227414065</v>
      </c>
      <c r="K33" s="15" t="n">
        <v>0.1166993227414065</v>
      </c>
      <c r="L33" s="15" t="n">
        <v>0.1166993227414065</v>
      </c>
      <c r="M33" s="15" t="n">
        <v>0.1166993227414065</v>
      </c>
      <c r="N33" s="15" t="n">
        <v>0.1166993227414065</v>
      </c>
      <c r="O33" s="15" t="n">
        <v>0.1166993227414065</v>
      </c>
      <c r="P33" s="15" t="n">
        <v>0.1166993227414065</v>
      </c>
    </row>
    <row r="34">
      <c r="A34" s="4" t="inlineStr">
        <is>
          <t>Other opex (fulfilment, etc.)</t>
        </is>
      </c>
      <c r="B34" s="35">
        <f>B24-(B28+B30+B32)-SUM(Financials!G13:J13)</f>
        <v/>
      </c>
      <c r="C34" s="35">
        <f>C24-(C28+C30+C32)-SUM(Financials!K13:N13)</f>
        <v/>
      </c>
      <c r="D34" s="35">
        <f>D24-(D28+D30+D32)-SUM(Financials!O13:R13)</f>
        <v/>
      </c>
      <c r="E34" s="35">
        <f>E24-(E28+E30+E32)-SUM(Financials!S13:V13)</f>
        <v/>
      </c>
      <c r="F34" s="35">
        <f>F24-(F28+F30+F32)-SUM(Financials!W13:Z13)</f>
        <v/>
      </c>
      <c r="G34" s="35">
        <f>G24*(1-(Dashboard!$B$29+(Dashboard!$B$30-Dashboard!$B$29)*MIN(1,0/4)))-(G28+G30+G32)</f>
        <v/>
      </c>
      <c r="H34" s="35">
        <f>H24*(1-(Dashboard!$B$29+(Dashboard!$B$30-Dashboard!$B$29)*MIN(1,1/4)))-(H28+H30+H32)</f>
        <v/>
      </c>
      <c r="I34" s="35">
        <f>I24*(1-(Dashboard!$B$29+(Dashboard!$B$30-Dashboard!$B$29)*MIN(1,2/4)))-(I28+I30+I32)</f>
        <v/>
      </c>
      <c r="J34" s="35">
        <f>J24*(1-(Dashboard!$B$29+(Dashboard!$B$30-Dashboard!$B$29)*MIN(1,3/4)))-(J28+J30+J32)</f>
        <v/>
      </c>
      <c r="K34" s="35">
        <f>K24*(1-(Dashboard!$B$29+(Dashboard!$B$30-Dashboard!$B$29)*MIN(1,4/4)))-(K28+K30+K32)</f>
        <v/>
      </c>
      <c r="L34" s="35">
        <f>L24*(1-(Dashboard!$B$29+(Dashboard!$B$30-Dashboard!$B$29)*MIN(1,5/4)))-(L28+L30+L32)</f>
        <v/>
      </c>
      <c r="M34" s="35">
        <f>M24*(1-(Dashboard!$B$29+(Dashboard!$B$30-Dashboard!$B$29)*MIN(1,6/4)))-(M28+M30+M32)</f>
        <v/>
      </c>
      <c r="N34" s="35">
        <f>N24*(1-(Dashboard!$B$29+(Dashboard!$B$30-Dashboard!$B$29)*MIN(1,7/4)))-(N28+N30+N32)</f>
        <v/>
      </c>
      <c r="O34" s="35">
        <f>O24*(1-(Dashboard!$B$29+(Dashboard!$B$30-Dashboard!$B$29)*MIN(1,8/4)))-(O28+O30+O32)</f>
        <v/>
      </c>
      <c r="P34" s="35">
        <f>P24*(1-(Dashboard!$B$29+(Dashboard!$B$30-Dashboard!$B$29)*MIN(1,9/4)))-(P28+P30+P32)</f>
        <v/>
      </c>
    </row>
    <row r="35">
      <c r="A35" s="4" t="inlineStr">
        <is>
          <t xml:space="preserve">    % of revenue</t>
        </is>
      </c>
      <c r="B35" s="27">
        <f>IFERROR(B34/B24,"")</f>
        <v/>
      </c>
      <c r="C35" s="27">
        <f>IFERROR(C34/C24,"")</f>
        <v/>
      </c>
      <c r="D35" s="27">
        <f>IFERROR(D34/D24,"")</f>
        <v/>
      </c>
      <c r="E35" s="27">
        <f>IFERROR(E34/E24,"")</f>
        <v/>
      </c>
      <c r="F35" s="27">
        <f>IFERROR(F34/F24,"")</f>
        <v/>
      </c>
      <c r="G35" s="27">
        <f>IFERROR(G34/G24,"")</f>
        <v/>
      </c>
      <c r="H35" s="27">
        <f>IFERROR(H34/H24,"")</f>
        <v/>
      </c>
      <c r="I35" s="27">
        <f>IFERROR(I34/I24,"")</f>
        <v/>
      </c>
      <c r="J35" s="27">
        <f>IFERROR(J34/J24,"")</f>
        <v/>
      </c>
      <c r="K35" s="27">
        <f>IFERROR(K34/K24,"")</f>
        <v/>
      </c>
      <c r="L35" s="27">
        <f>IFERROR(L34/L24,"")</f>
        <v/>
      </c>
      <c r="M35" s="27">
        <f>IFERROR(M34/M24,"")</f>
        <v/>
      </c>
      <c r="N35" s="27">
        <f>IFERROR(N34/N24,"")</f>
        <v/>
      </c>
      <c r="O35" s="27">
        <f>IFERROR(O34/O24,"")</f>
        <v/>
      </c>
      <c r="P35" s="27">
        <f>IFERROR(P34/P24,"")</f>
        <v/>
      </c>
    </row>
    <row r="37">
      <c r="A37" s="3" t="inlineStr">
        <is>
          <t>Operating income (EBIT)</t>
        </is>
      </c>
      <c r="B37" s="44">
        <f>B24-(B28+B30+B32)-B34</f>
        <v/>
      </c>
      <c r="C37" s="44">
        <f>C24-(C28+C30+C32)-C34</f>
        <v/>
      </c>
      <c r="D37" s="44">
        <f>D24-(D28+D30+D32)-D34</f>
        <v/>
      </c>
      <c r="E37" s="44">
        <f>E24-(E28+E30+E32)-E34</f>
        <v/>
      </c>
      <c r="F37" s="44">
        <f>F24-(F28+F30+F32)-F34</f>
        <v/>
      </c>
      <c r="G37" s="44">
        <f>G24-(G28+G30+G32)-G34</f>
        <v/>
      </c>
      <c r="H37" s="44">
        <f>H24-(H28+H30+H32)-H34</f>
        <v/>
      </c>
      <c r="I37" s="44">
        <f>I24-(I28+I30+I32)-I34</f>
        <v/>
      </c>
      <c r="J37" s="44">
        <f>J24-(J28+J30+J32)-J34</f>
        <v/>
      </c>
      <c r="K37" s="44">
        <f>K24-(K28+K30+K32)-K34</f>
        <v/>
      </c>
      <c r="L37" s="44">
        <f>L24-(L28+L30+L32)-L34</f>
        <v/>
      </c>
      <c r="M37" s="44">
        <f>M24-(M28+M30+M32)-M34</f>
        <v/>
      </c>
      <c r="N37" s="44">
        <f>N24-(N28+N30+N32)-N34</f>
        <v/>
      </c>
      <c r="O37" s="44">
        <f>O24-(O28+O30+O32)-O34</f>
        <v/>
      </c>
      <c r="P37" s="44">
        <f>P24-(P28+P30+P32)-P34</f>
        <v/>
      </c>
    </row>
    <row r="38">
      <c r="A38" s="4" t="inlineStr">
        <is>
          <t xml:space="preserve">    operating margin</t>
        </is>
      </c>
      <c r="B38" s="27">
        <f>IFERROR(B37/B24,"")</f>
        <v/>
      </c>
      <c r="C38" s="27">
        <f>IFERROR(C37/C24,"")</f>
        <v/>
      </c>
      <c r="D38" s="27">
        <f>IFERROR(D37/D24,"")</f>
        <v/>
      </c>
      <c r="E38" s="27">
        <f>IFERROR(E37/E24,"")</f>
        <v/>
      </c>
      <c r="F38" s="27">
        <f>IFERROR(F37/F24,"")</f>
        <v/>
      </c>
      <c r="G38" s="27">
        <f>IFERROR(G37/G24,"")</f>
        <v/>
      </c>
      <c r="H38" s="27">
        <f>IFERROR(H37/H24,"")</f>
        <v/>
      </c>
      <c r="I38" s="27">
        <f>IFERROR(I37/I24,"")</f>
        <v/>
      </c>
      <c r="J38" s="27">
        <f>IFERROR(J37/J24,"")</f>
        <v/>
      </c>
      <c r="K38" s="27">
        <f>IFERROR(K37/K24,"")</f>
        <v/>
      </c>
      <c r="L38" s="27">
        <f>IFERROR(L37/L24,"")</f>
        <v/>
      </c>
      <c r="M38" s="27">
        <f>IFERROR(M37/M24,"")</f>
        <v/>
      </c>
      <c r="N38" s="27">
        <f>IFERROR(N37/N24,"")</f>
        <v/>
      </c>
      <c r="O38" s="27">
        <f>IFERROR(O37/O24,"")</f>
        <v/>
      </c>
      <c r="P38" s="27">
        <f>IFERROR(P37/P24,"")</f>
        <v/>
      </c>
    </row>
    <row r="40">
      <c r="A40" s="5" t="inlineStr">
        <is>
          <t xml:space="preserve">  FCF BRIDGE (NOPAT + D&amp;A + SBC - dNWC - Capex)</t>
        </is>
      </c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</row>
    <row r="41">
      <c r="A41" s="4" t="inlineStr">
        <is>
          <t>NOPAT = EBIT x (1 - tax)</t>
        </is>
      </c>
      <c r="B41" s="35">
        <f>B37*(1-Valuation!$B$5)</f>
        <v/>
      </c>
      <c r="C41" s="35">
        <f>C37*(1-Valuation!$B$5)</f>
        <v/>
      </c>
      <c r="D41" s="35">
        <f>D37*(1-Valuation!$B$5)</f>
        <v/>
      </c>
      <c r="E41" s="35">
        <f>E37*(1-Valuation!$B$5)</f>
        <v/>
      </c>
      <c r="F41" s="35">
        <f>F37*(1-Valuation!$B$5)</f>
        <v/>
      </c>
      <c r="G41" s="35">
        <f>G37*(1-Valuation!$B$5)</f>
        <v/>
      </c>
      <c r="H41" s="35">
        <f>H37*(1-Valuation!$B$5)</f>
        <v/>
      </c>
      <c r="I41" s="35">
        <f>I37*(1-Valuation!$B$5)</f>
        <v/>
      </c>
      <c r="J41" s="35">
        <f>J37*(1-Valuation!$B$5)</f>
        <v/>
      </c>
      <c r="K41" s="35">
        <f>K37*(1-Valuation!$B$5)</f>
        <v/>
      </c>
      <c r="L41" s="35">
        <f>L37*(1-Valuation!$B$5)</f>
        <v/>
      </c>
      <c r="M41" s="35">
        <f>M37*(1-Valuation!$B$5)</f>
        <v/>
      </c>
      <c r="N41" s="35">
        <f>N37*(1-Valuation!$B$5)</f>
        <v/>
      </c>
      <c r="O41" s="35">
        <f>O37*(1-Valuation!$B$5)</f>
        <v/>
      </c>
      <c r="P41" s="35">
        <f>P37*(1-Valuation!$B$5)</f>
        <v/>
      </c>
    </row>
    <row r="42">
      <c r="A42" s="4" t="inlineStr">
        <is>
          <t>+ D&amp;A</t>
        </is>
      </c>
      <c r="B42" s="35">
        <f>SUM(Financials!G65:J65)</f>
        <v/>
      </c>
      <c r="C42" s="35">
        <f>SUM(Financials!K65:N65)</f>
        <v/>
      </c>
      <c r="D42" s="35">
        <f>SUM(Financials!O65:R65)</f>
        <v/>
      </c>
      <c r="E42" s="35">
        <f>SUM(Financials!S65:V65)</f>
        <v/>
      </c>
      <c r="F42" s="35">
        <f>SUM(Financials!W65:Z65)</f>
        <v/>
      </c>
      <c r="G42" s="43">
        <f>G24*0.1171</f>
        <v/>
      </c>
      <c r="H42" s="43">
        <f>H24*0.1171</f>
        <v/>
      </c>
      <c r="I42" s="43">
        <f>I24*0.1171</f>
        <v/>
      </c>
      <c r="J42" s="43">
        <f>J24*0.1171</f>
        <v/>
      </c>
      <c r="K42" s="43">
        <f>K24*0.1171</f>
        <v/>
      </c>
      <c r="L42" s="43">
        <f>L24*0.1171</f>
        <v/>
      </c>
      <c r="M42" s="43">
        <f>M24*0.1171</f>
        <v/>
      </c>
      <c r="N42" s="43">
        <f>N24*0.1171</f>
        <v/>
      </c>
      <c r="O42" s="43">
        <f>O24*0.1171</f>
        <v/>
      </c>
      <c r="P42" s="43">
        <f>P24*0.1171</f>
        <v/>
      </c>
    </row>
    <row r="43">
      <c r="A43" s="4" t="inlineStr">
        <is>
          <t>+ SBC (non-cash)</t>
        </is>
      </c>
      <c r="B43" s="35">
        <f>SUM(Financials!G66:J66)</f>
        <v/>
      </c>
      <c r="C43" s="35">
        <f>SUM(Financials!K66:N66)</f>
        <v/>
      </c>
      <c r="D43" s="35">
        <f>SUM(Financials!O66:R66)</f>
        <v/>
      </c>
      <c r="E43" s="35">
        <f>SUM(Financials!S66:V66)</f>
        <v/>
      </c>
      <c r="F43" s="35">
        <f>SUM(Financials!W66:Z66)</f>
        <v/>
      </c>
      <c r="G43" s="35">
        <f>G24*(Dashboard!$B$65+(Dashboard!$B$66-Dashboard!$B$65)*0/9)</f>
        <v/>
      </c>
      <c r="H43" s="35">
        <f>H24*(Dashboard!$B$65+(Dashboard!$B$66-Dashboard!$B$65)*1/9)</f>
        <v/>
      </c>
      <c r="I43" s="35">
        <f>I24*(Dashboard!$B$65+(Dashboard!$B$66-Dashboard!$B$65)*2/9)</f>
        <v/>
      </c>
      <c r="J43" s="35">
        <f>J24*(Dashboard!$B$65+(Dashboard!$B$66-Dashboard!$B$65)*3/9)</f>
        <v/>
      </c>
      <c r="K43" s="35">
        <f>K24*(Dashboard!$B$65+(Dashboard!$B$66-Dashboard!$B$65)*4/9)</f>
        <v/>
      </c>
      <c r="L43" s="35">
        <f>L24*(Dashboard!$B$65+(Dashboard!$B$66-Dashboard!$B$65)*5/9)</f>
        <v/>
      </c>
      <c r="M43" s="35">
        <f>M24*(Dashboard!$B$65+(Dashboard!$B$66-Dashboard!$B$65)*6/9)</f>
        <v/>
      </c>
      <c r="N43" s="35">
        <f>N24*(Dashboard!$B$65+(Dashboard!$B$66-Dashboard!$B$65)*7/9)</f>
        <v/>
      </c>
      <c r="O43" s="35">
        <f>O24*(Dashboard!$B$65+(Dashboard!$B$66-Dashboard!$B$65)*8/9)</f>
        <v/>
      </c>
      <c r="P43" s="35">
        <f>P24*(Dashboard!$B$65+(Dashboard!$B$66-Dashboard!$B$65)*9/9)</f>
        <v/>
      </c>
    </row>
    <row r="44">
      <c r="A44" s="4" t="inlineStr">
        <is>
          <t>- dNWC</t>
        </is>
      </c>
      <c r="G44" s="43">
        <f>(G24-F24)*0.0050</f>
        <v/>
      </c>
      <c r="H44" s="43">
        <f>(H24-G24)*0.0050</f>
        <v/>
      </c>
      <c r="I44" s="43">
        <f>(I24-H24)*0.0050</f>
        <v/>
      </c>
      <c r="J44" s="43">
        <f>(J24-I24)*0.0050</f>
        <v/>
      </c>
      <c r="K44" s="43">
        <f>(K24-J24)*0.0050</f>
        <v/>
      </c>
      <c r="L44" s="43">
        <f>(L24-K24)*0.0050</f>
        <v/>
      </c>
      <c r="M44" s="43">
        <f>(M24-L24)*0.0050</f>
        <v/>
      </c>
      <c r="N44" s="43">
        <f>(N24-M24)*0.0050</f>
        <v/>
      </c>
      <c r="O44" s="43">
        <f>(O24-N24)*0.0050</f>
        <v/>
      </c>
      <c r="P44" s="43">
        <f>(P24-O24)*0.0050</f>
        <v/>
      </c>
    </row>
    <row r="45">
      <c r="A45" s="4" t="inlineStr">
        <is>
          <t>- Capex</t>
        </is>
      </c>
      <c r="B45" s="35">
        <f>-SUM(Financials!G69:J69)</f>
        <v/>
      </c>
      <c r="C45" s="35">
        <f>-SUM(Financials!K69:N69)</f>
        <v/>
      </c>
      <c r="D45" s="35">
        <f>-SUM(Financials!O69:R69)</f>
        <v/>
      </c>
      <c r="E45" s="35">
        <f>-SUM(Financials!S69:V69)</f>
        <v/>
      </c>
      <c r="F45" s="35">
        <f>-SUM(Financials!W69:Z69)</f>
        <v/>
      </c>
      <c r="G45" s="43">
        <f>G42*G46</f>
        <v/>
      </c>
      <c r="H45" s="43">
        <f>H42*H46</f>
        <v/>
      </c>
      <c r="I45" s="43">
        <f>I42*I46</f>
        <v/>
      </c>
      <c r="J45" s="43">
        <f>J42*J46</f>
        <v/>
      </c>
      <c r="K45" s="43">
        <f>K42*K46</f>
        <v/>
      </c>
      <c r="L45" s="43">
        <f>L42*L46</f>
        <v/>
      </c>
      <c r="M45" s="43">
        <f>M42*M46</f>
        <v/>
      </c>
      <c r="N45" s="43">
        <f>N42*N46</f>
        <v/>
      </c>
      <c r="O45" s="43">
        <f>O42*O46</f>
        <v/>
      </c>
      <c r="P45" s="43">
        <f>P42*P46</f>
        <v/>
      </c>
    </row>
    <row r="46">
      <c r="A46" s="4" t="inlineStr">
        <is>
          <t xml:space="preserve">    Capex / D&amp;A  (from Dashboard: $cap'26 -&gt; terminal)</t>
        </is>
      </c>
      <c r="B46" s="28">
        <f>IFERROR(B45/B42,"")</f>
        <v/>
      </c>
      <c r="C46" s="28">
        <f>IFERROR(C45/C42,"")</f>
        <v/>
      </c>
      <c r="D46" s="28">
        <f>IFERROR(D45/D42,"")</f>
        <v/>
      </c>
      <c r="E46" s="28">
        <f>IFERROR(E45/E42,"")</f>
        <v/>
      </c>
      <c r="F46" s="28">
        <f>IFERROR(F45/F42,"")</f>
        <v/>
      </c>
      <c r="G46" s="13">
        <f>(Dashboard!$B$34/G42)+(Dashboard!$B$35-(Dashboard!$B$34/G42))*0/9</f>
        <v/>
      </c>
      <c r="H46" s="13">
        <f>(Dashboard!$B$34/G42)+(Dashboard!$B$35-(Dashboard!$B$34/G42))*1/9</f>
        <v/>
      </c>
      <c r="I46" s="13">
        <f>(Dashboard!$B$34/G42)+(Dashboard!$B$35-(Dashboard!$B$34/G42))*2/9</f>
        <v/>
      </c>
      <c r="J46" s="13">
        <f>(Dashboard!$B$34/G42)+(Dashboard!$B$35-(Dashboard!$B$34/G42))*3/9</f>
        <v/>
      </c>
      <c r="K46" s="13">
        <f>(Dashboard!$B$34/G42)+(Dashboard!$B$35-(Dashboard!$B$34/G42))*4/9</f>
        <v/>
      </c>
      <c r="L46" s="13">
        <f>(Dashboard!$B$34/G42)+(Dashboard!$B$35-(Dashboard!$B$34/G42))*5/9</f>
        <v/>
      </c>
      <c r="M46" s="13">
        <f>(Dashboard!$B$34/G42)+(Dashboard!$B$35-(Dashboard!$B$34/G42))*6/9</f>
        <v/>
      </c>
      <c r="N46" s="13">
        <f>(Dashboard!$B$34/G42)+(Dashboard!$B$35-(Dashboard!$B$34/G42))*7/9</f>
        <v/>
      </c>
      <c r="O46" s="13">
        <f>(Dashboard!$B$34/G42)+(Dashboard!$B$35-(Dashboard!$B$34/G42))*8/9</f>
        <v/>
      </c>
      <c r="P46" s="13">
        <f>(Dashboard!$B$34/G42)+(Dashboard!$B$35-(Dashboard!$B$34/G42))*9/9</f>
        <v/>
      </c>
    </row>
    <row r="48">
      <c r="A48" s="3" t="inlineStr">
        <is>
          <t>FCFF (firm)</t>
        </is>
      </c>
      <c r="B48" s="44">
        <f>B41+B42+B43-B44-B45</f>
        <v/>
      </c>
      <c r="C48" s="44">
        <f>C41+C42+C43-C44-C45</f>
        <v/>
      </c>
      <c r="D48" s="44">
        <f>D41+D42+D43-D44-D45</f>
        <v/>
      </c>
      <c r="E48" s="44">
        <f>E41+E42+E43-E44-E45</f>
        <v/>
      </c>
      <c r="F48" s="44">
        <f>F41+F42+F43-F44-F45</f>
        <v/>
      </c>
      <c r="G48" s="44">
        <f>G41+G42+G43-G44-G45</f>
        <v/>
      </c>
      <c r="H48" s="44">
        <f>H41+H42+H43-H44-H45</f>
        <v/>
      </c>
      <c r="I48" s="44">
        <f>I41+I42+I43-I44-I45</f>
        <v/>
      </c>
      <c r="J48" s="44">
        <f>J41+J42+J43-J44-J45</f>
        <v/>
      </c>
      <c r="K48" s="44">
        <f>K41+K42+K43-K44-K45</f>
        <v/>
      </c>
      <c r="L48" s="44">
        <f>L41+L42+L43-L44-L45</f>
        <v/>
      </c>
      <c r="M48" s="44">
        <f>M41+M42+M43-M44-M45</f>
        <v/>
      </c>
      <c r="N48" s="44">
        <f>N41+N42+N43-N44-N45</f>
        <v/>
      </c>
      <c r="O48" s="44">
        <f>O41+O42+O43-O44-O45</f>
        <v/>
      </c>
      <c r="P48" s="44">
        <f>P41+P42+P43-P44-P45</f>
        <v/>
      </c>
    </row>
    <row r="49">
      <c r="A49" s="3" t="inlineStr">
        <is>
          <t>Valuation FCF (NOPAT + D&amp;A - dNWC - Capex - after-tax SBC)</t>
        </is>
      </c>
      <c r="B49" s="45">
        <f>B48-B43-B43*(1-Valuation!$B$5)</f>
        <v/>
      </c>
      <c r="C49" s="45">
        <f>C48-C43-C43*(1-Valuation!$B$5)</f>
        <v/>
      </c>
      <c r="D49" s="45">
        <f>D48-D43-D43*(1-Valuation!$B$5)</f>
        <v/>
      </c>
      <c r="E49" s="45">
        <f>E48-E43-E43*(1-Valuation!$B$5)</f>
        <v/>
      </c>
      <c r="F49" s="45">
        <f>F48-F43-F43*(1-Valuation!$B$5)</f>
        <v/>
      </c>
      <c r="G49" s="45">
        <f>G48-G43-G43*(1-Valuation!$B$5)</f>
        <v/>
      </c>
      <c r="H49" s="45">
        <f>H48-H43-H43*(1-Valuation!$B$5)</f>
        <v/>
      </c>
      <c r="I49" s="45">
        <f>I48-I43-I43*(1-Valuation!$B$5)</f>
        <v/>
      </c>
      <c r="J49" s="45">
        <f>J48-J43-J43*(1-Valuation!$B$5)</f>
        <v/>
      </c>
      <c r="K49" s="45">
        <f>K48-K43-K43*(1-Valuation!$B$5)</f>
        <v/>
      </c>
      <c r="L49" s="45">
        <f>L48-L43-L43*(1-Valuation!$B$5)</f>
        <v/>
      </c>
      <c r="M49" s="45">
        <f>M48-M43-M43*(1-Valuation!$B$5)</f>
        <v/>
      </c>
      <c r="N49" s="45">
        <f>N48-N43-N43*(1-Valuation!$B$5)</f>
        <v/>
      </c>
      <c r="O49" s="45">
        <f>O48-O43-O43*(1-Valuation!$B$5)</f>
        <v/>
      </c>
      <c r="P49" s="45">
        <f>P48-P43-P43*(1-Valuation!$B$5)</f>
        <v/>
      </c>
    </row>
    <row r="51">
      <c r="A51" s="5" t="inlineStr">
        <is>
          <t xml:space="preserve">  RETURNS ON CAPITAL &amp; EFFICIENCY  (is new revenue/capital earning its keep?)</t>
        </is>
      </c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</row>
    <row r="52">
      <c r="A52" s="4" t="inlineStr">
        <is>
          <t>Invested capital (debt + equity - cash)</t>
        </is>
      </c>
      <c r="B52" s="35">
        <f>Financials!J63+Financials!J62-Financials!J57</f>
        <v/>
      </c>
      <c r="C52" s="35">
        <f>Financials!N63+Financials!N62-Financials!N57</f>
        <v/>
      </c>
      <c r="D52" s="35">
        <f>Financials!R63+Financials!R62-Financials!R57</f>
        <v/>
      </c>
      <c r="E52" s="35">
        <f>Financials!V63+Financials!V62-Financials!V57</f>
        <v/>
      </c>
      <c r="F52" s="35">
        <f>Financials!Z63+Financials!Z62-Financials!Z57</f>
        <v/>
      </c>
      <c r="G52" s="43">
        <f>F52+G45-G42+G44</f>
        <v/>
      </c>
      <c r="H52" s="43">
        <f>G52+H45-H42+H44</f>
        <v/>
      </c>
      <c r="I52" s="43">
        <f>H52+I45-I42+I44</f>
        <v/>
      </c>
      <c r="J52" s="43">
        <f>I52+J45-J42+J44</f>
        <v/>
      </c>
      <c r="K52" s="43">
        <f>J52+K45-K42+K44</f>
        <v/>
      </c>
      <c r="L52" s="43">
        <f>K52+L45-L42+L44</f>
        <v/>
      </c>
      <c r="M52" s="43">
        <f>L52+M45-M42+M44</f>
        <v/>
      </c>
      <c r="N52" s="43">
        <f>M52+N45-N42+N44</f>
        <v/>
      </c>
      <c r="O52" s="43">
        <f>N52+O45-O42+O44</f>
        <v/>
      </c>
      <c r="P52" s="43">
        <f>O52+P45-P42+P44</f>
        <v/>
      </c>
    </row>
    <row r="53">
      <c r="A53" s="4" t="inlineStr">
        <is>
          <t>Book equity (year-end)</t>
        </is>
      </c>
      <c r="B53" s="35">
        <f>Financials!J63</f>
        <v/>
      </c>
      <c r="C53" s="35">
        <f>Financials!N63</f>
        <v/>
      </c>
      <c r="D53" s="35">
        <f>Financials!R63</f>
        <v/>
      </c>
      <c r="E53" s="35">
        <f>Financials!V63</f>
        <v/>
      </c>
      <c r="F53" s="35">
        <f>Financials!Z63</f>
        <v/>
      </c>
      <c r="G53" s="43">
        <f>F53+G41</f>
        <v/>
      </c>
      <c r="H53" s="43">
        <f>G53+H41</f>
        <v/>
      </c>
      <c r="I53" s="43">
        <f>H53+I41</f>
        <v/>
      </c>
      <c r="J53" s="43">
        <f>I53+J41</f>
        <v/>
      </c>
      <c r="K53" s="43">
        <f>J53+K41</f>
        <v/>
      </c>
      <c r="L53" s="43">
        <f>K53+L41</f>
        <v/>
      </c>
      <c r="M53" s="43">
        <f>L53+M41</f>
        <v/>
      </c>
      <c r="N53" s="43">
        <f>M53+N41</f>
        <v/>
      </c>
      <c r="O53" s="43">
        <f>N53+O41</f>
        <v/>
      </c>
      <c r="P53" s="43">
        <f>O53+P41</f>
        <v/>
      </c>
    </row>
    <row r="54">
      <c r="A54" s="3" t="inlineStr">
        <is>
          <t xml:space="preserve">  ROIC (NOPAT / beg. invested capital)</t>
        </is>
      </c>
      <c r="C54" s="27">
        <f>IFERROR(C41/B52,"")</f>
        <v/>
      </c>
      <c r="D54" s="27">
        <f>IFERROR(D41/C52,"")</f>
        <v/>
      </c>
      <c r="E54" s="27">
        <f>IFERROR(E41/D52,"")</f>
        <v/>
      </c>
      <c r="F54" s="27">
        <f>IFERROR(F41/E52,"")</f>
        <v/>
      </c>
      <c r="G54" s="27">
        <f>IFERROR(G41/F52,"")</f>
        <v/>
      </c>
      <c r="H54" s="27">
        <f>IFERROR(H41/G52,"")</f>
        <v/>
      </c>
      <c r="I54" s="27">
        <f>IFERROR(I41/H52,"")</f>
        <v/>
      </c>
      <c r="J54" s="27">
        <f>IFERROR(J41/I52,"")</f>
        <v/>
      </c>
      <c r="K54" s="27">
        <f>IFERROR(K41/J52,"")</f>
        <v/>
      </c>
      <c r="L54" s="27">
        <f>IFERROR(L41/K52,"")</f>
        <v/>
      </c>
      <c r="M54" s="27">
        <f>IFERROR(M41/L52,"")</f>
        <v/>
      </c>
      <c r="N54" s="27">
        <f>IFERROR(N41/M52,"")</f>
        <v/>
      </c>
      <c r="O54" s="27">
        <f>IFERROR(O41/N52,"")</f>
        <v/>
      </c>
      <c r="P54" s="27">
        <f>IFERROR(P41/O52,"")</f>
        <v/>
      </c>
    </row>
    <row r="55">
      <c r="A55" s="3" t="inlineStr">
        <is>
          <t xml:space="preserve">  ROE (earnings / beg. equity)</t>
        </is>
      </c>
      <c r="C55" s="11">
        <f>IFERROR(SUM(Financials!K15:N15)/B53,"")</f>
        <v/>
      </c>
      <c r="D55" s="11">
        <f>IFERROR(SUM(Financials!O15:R15)/C53,"")</f>
        <v/>
      </c>
      <c r="E55" s="11">
        <f>IFERROR(SUM(Financials!S15:V15)/D53,"")</f>
        <v/>
      </c>
      <c r="F55" s="11">
        <f>IFERROR(SUM(Financials!W15:Z15)/E53,"")</f>
        <v/>
      </c>
      <c r="G55" s="27">
        <f>IFERROR(G41/F53,"")</f>
        <v/>
      </c>
      <c r="H55" s="27">
        <f>IFERROR(H41/G53,"")</f>
        <v/>
      </c>
      <c r="I55" s="27">
        <f>IFERROR(I41/H53,"")</f>
        <v/>
      </c>
      <c r="J55" s="27">
        <f>IFERROR(J41/I53,"")</f>
        <v/>
      </c>
      <c r="K55" s="27">
        <f>IFERROR(K41/J53,"")</f>
        <v/>
      </c>
      <c r="L55" s="27">
        <f>IFERROR(L41/K53,"")</f>
        <v/>
      </c>
      <c r="M55" s="27">
        <f>IFERROR(M41/L53,"")</f>
        <v/>
      </c>
      <c r="N55" s="27">
        <f>IFERROR(N41/M53,"")</f>
        <v/>
      </c>
      <c r="O55" s="27">
        <f>IFERROR(O41/N53,"")</f>
        <v/>
      </c>
      <c r="P55" s="27">
        <f>IFERROR(P41/O53,"")</f>
        <v/>
      </c>
    </row>
    <row r="56">
      <c r="A56" s="4" t="inlineStr">
        <is>
          <t xml:space="preserve">  ROIC - WACC spread (value created)</t>
        </is>
      </c>
      <c r="C56" s="11">
        <f>IFERROR(C54-WACC!$B$15,"")</f>
        <v/>
      </c>
      <c r="D56" s="11">
        <f>IFERROR(D54-WACC!$B$15,"")</f>
        <v/>
      </c>
      <c r="E56" s="11">
        <f>IFERROR(E54-WACC!$B$15,"")</f>
        <v/>
      </c>
      <c r="F56" s="11">
        <f>IFERROR(F54-WACC!$B$15,"")</f>
        <v/>
      </c>
      <c r="G56" s="11">
        <f>IFERROR(G54-WACC!$B$15,"")</f>
        <v/>
      </c>
      <c r="H56" s="11">
        <f>IFERROR(H54-WACC!$B$15,"")</f>
        <v/>
      </c>
      <c r="I56" s="11">
        <f>IFERROR(I54-WACC!$B$15,"")</f>
        <v/>
      </c>
      <c r="J56" s="11">
        <f>IFERROR(J54-WACC!$B$15,"")</f>
        <v/>
      </c>
      <c r="K56" s="11">
        <f>IFERROR(K54-WACC!$B$15,"")</f>
        <v/>
      </c>
      <c r="L56" s="11">
        <f>IFERROR(L54-WACC!$B$15,"")</f>
        <v/>
      </c>
      <c r="M56" s="11">
        <f>IFERROR(M54-WACC!$B$15,"")</f>
        <v/>
      </c>
      <c r="N56" s="11">
        <f>IFERROR(N54-WACC!$B$15,"")</f>
        <v/>
      </c>
      <c r="O56" s="11">
        <f>IFERROR(O54-WACC!$B$15,"")</f>
        <v/>
      </c>
      <c r="P56" s="11">
        <f>IFERROR(P54-WACC!$B$15,"")</f>
        <v/>
      </c>
    </row>
    <row r="57">
      <c r="A57" s="4" t="inlineStr">
        <is>
          <t xml:space="preserve">  Incremental op margin (ΔEBIT / ΔRev)</t>
        </is>
      </c>
      <c r="C57" s="27">
        <f>IFERROR((C37-B37)/(C24-B24),"")</f>
        <v/>
      </c>
      <c r="D57" s="27">
        <f>IFERROR((D37-C37)/(D24-C24),"")</f>
        <v/>
      </c>
      <c r="E57" s="27">
        <f>IFERROR((E37-D37)/(E24-D24),"")</f>
        <v/>
      </c>
      <c r="F57" s="27">
        <f>IFERROR((F37-E37)/(F24-E24),"")</f>
        <v/>
      </c>
      <c r="G57" s="27">
        <f>IFERROR((G37-F37)/(G24-F24),"")</f>
        <v/>
      </c>
      <c r="H57" s="27">
        <f>IFERROR((H37-G37)/(H24-G24),"")</f>
        <v/>
      </c>
      <c r="I57" s="27">
        <f>IFERROR((I37-H37)/(I24-H24),"")</f>
        <v/>
      </c>
      <c r="J57" s="27">
        <f>IFERROR((J37-I37)/(J24-I24),"")</f>
        <v/>
      </c>
      <c r="K57" s="27">
        <f>IFERROR((K37-J37)/(K24-J24),"")</f>
        <v/>
      </c>
      <c r="L57" s="27">
        <f>IFERROR((L37-K37)/(L24-K24),"")</f>
        <v/>
      </c>
      <c r="M57" s="27">
        <f>IFERROR((M37-L37)/(M24-L24),"")</f>
        <v/>
      </c>
      <c r="N57" s="27">
        <f>IFERROR((N37-M37)/(N24-M24),"")</f>
        <v/>
      </c>
      <c r="O57" s="27">
        <f>IFERROR((O37-N37)/(O24-N24),"")</f>
        <v/>
      </c>
      <c r="P57" s="27">
        <f>IFERROR((P37-O37)/(P24-O24),"")</f>
        <v/>
      </c>
    </row>
    <row r="58">
      <c r="A58" s="3" t="inlineStr">
        <is>
          <t xml:space="preserve">  ROIIC (ΔNOPAT / ΔInvested capital)</t>
        </is>
      </c>
      <c r="C58" s="27">
        <f>IFERROR((C41-B41)/(C52-B52),"")</f>
        <v/>
      </c>
      <c r="D58" s="27">
        <f>IFERROR((D41-C41)/(D52-C52),"")</f>
        <v/>
      </c>
      <c r="E58" s="27">
        <f>IFERROR((E41-D41)/(E52-D52),"")</f>
        <v/>
      </c>
      <c r="F58" s="27">
        <f>IFERROR((F41-E41)/(F52-E52),"")</f>
        <v/>
      </c>
      <c r="G58" s="27">
        <f>IFERROR((G41-F41)/(G52-F52),"")</f>
        <v/>
      </c>
      <c r="H58" s="27">
        <f>IFERROR((H41-G41)/(H52-G52),"")</f>
        <v/>
      </c>
      <c r="I58" s="27">
        <f>IFERROR((I41-H41)/(I52-H52),"")</f>
        <v/>
      </c>
      <c r="J58" s="27">
        <f>IFERROR((J41-I41)/(J52-I52),"")</f>
        <v/>
      </c>
      <c r="K58" s="27">
        <f>IFERROR((K41-J41)/(K52-J52),"")</f>
        <v/>
      </c>
      <c r="L58" s="27">
        <f>IFERROR((L41-K41)/(L52-K52),"")</f>
        <v/>
      </c>
      <c r="M58" s="27">
        <f>IFERROR((M41-L41)/(M52-L52),"")</f>
        <v/>
      </c>
      <c r="N58" s="27">
        <f>IFERROR((N41-M41)/(N52-M52),"")</f>
        <v/>
      </c>
      <c r="O58" s="27">
        <f>IFERROR((O41-N41)/(O52-N52),"")</f>
        <v/>
      </c>
      <c r="P58" s="27">
        <f>IFERROR((P41-O41)/(P52-O52),"")</f>
        <v/>
      </c>
    </row>
    <row r="59">
      <c r="A59" s="4" t="inlineStr">
        <is>
          <t xml:space="preserve">  Sales-to-capital (ΔRev / ΔInvested capital)</t>
        </is>
      </c>
      <c r="C59" s="46">
        <f>IFERROR((C24-B24)/(C52-B52),"")</f>
        <v/>
      </c>
      <c r="D59" s="46">
        <f>IFERROR((D24-C24)/(D52-C52),"")</f>
        <v/>
      </c>
      <c r="E59" s="46">
        <f>IFERROR((E24-D24)/(E52-D52),"")</f>
        <v/>
      </c>
      <c r="F59" s="46">
        <f>IFERROR((F24-E24)/(F52-E52),"")</f>
        <v/>
      </c>
      <c r="G59" s="46">
        <f>IFERROR((G24-F24)/(G52-F52),"")</f>
        <v/>
      </c>
      <c r="H59" s="46">
        <f>IFERROR((H24-G24)/(H52-G52),"")</f>
        <v/>
      </c>
      <c r="I59" s="46">
        <f>IFERROR((I24-H24)/(I52-H52),"")</f>
        <v/>
      </c>
      <c r="J59" s="46">
        <f>IFERROR((J24-I24)/(J52-I52),"")</f>
        <v/>
      </c>
      <c r="K59" s="46">
        <f>IFERROR((K24-J24)/(K52-J52),"")</f>
        <v/>
      </c>
      <c r="L59" s="46">
        <f>IFERROR((L24-K24)/(L52-K52),"")</f>
        <v/>
      </c>
      <c r="M59" s="46">
        <f>IFERROR((M24-L24)/(M52-L52),"")</f>
        <v/>
      </c>
      <c r="N59" s="46">
        <f>IFERROR((N24-M24)/(N52-M52),"")</f>
        <v/>
      </c>
      <c r="O59" s="46">
        <f>IFERROR((O24-N24)/(O52-N52),"")</f>
        <v/>
      </c>
      <c r="P59" s="46">
        <f>IFERROR((P24-O24)/(P52-O52),"")</f>
        <v/>
      </c>
    </row>
    <row r="60">
      <c r="A60" s="4" t="inlineStr">
        <is>
          <t xml:space="preserve">  Reinvestment rate (ΔInvested capital / NOPAT)</t>
        </is>
      </c>
      <c r="C60" s="27">
        <f>IFERROR((C52-B52)/C41,"")</f>
        <v/>
      </c>
      <c r="D60" s="27">
        <f>IFERROR((D52-C52)/D41,"")</f>
        <v/>
      </c>
      <c r="E60" s="27">
        <f>IFERROR((E52-D52)/E41,"")</f>
        <v/>
      </c>
      <c r="F60" s="27">
        <f>IFERROR((F52-E52)/F41,"")</f>
        <v/>
      </c>
      <c r="G60" s="27">
        <f>IFERROR((G52-F52)/G41,"")</f>
        <v/>
      </c>
      <c r="H60" s="27">
        <f>IFERROR((H52-G52)/H41,"")</f>
        <v/>
      </c>
      <c r="I60" s="27">
        <f>IFERROR((I52-H52)/I41,"")</f>
        <v/>
      </c>
      <c r="J60" s="27">
        <f>IFERROR((J52-I52)/J41,"")</f>
        <v/>
      </c>
      <c r="K60" s="27">
        <f>IFERROR((K52-J52)/K41,"")</f>
        <v/>
      </c>
      <c r="L60" s="27">
        <f>IFERROR((L52-K52)/L41,"")</f>
        <v/>
      </c>
      <c r="M60" s="27">
        <f>IFERROR((M52-L52)/M41,"")</f>
        <v/>
      </c>
      <c r="N60" s="27">
        <f>IFERROR((N52-M52)/N41,"")</f>
        <v/>
      </c>
      <c r="O60" s="27">
        <f>IFERROR((O52-N52)/O41,"")</f>
        <v/>
      </c>
      <c r="P60" s="27">
        <f>IFERROR((P52-O52)/P41,"")</f>
        <v/>
      </c>
    </row>
    <row r="62">
      <c r="A62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7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7" t="inlineStr">
        <is>
          <t>Q4 2019</t>
        </is>
      </c>
      <c r="C1" s="47" t="inlineStr">
        <is>
          <t>Q1 2020</t>
        </is>
      </c>
      <c r="D1" s="47" t="inlineStr">
        <is>
          <t>Q2 2020</t>
        </is>
      </c>
      <c r="E1" s="47" t="inlineStr">
        <is>
          <t>Q3 2020</t>
        </is>
      </c>
      <c r="F1" s="47" t="inlineStr">
        <is>
          <t>Q4 2020</t>
        </is>
      </c>
      <c r="G1" s="47" t="inlineStr">
        <is>
          <t>Q1 2021</t>
        </is>
      </c>
      <c r="H1" s="47" t="inlineStr">
        <is>
          <t>Q2 2021</t>
        </is>
      </c>
      <c r="I1" s="47" t="inlineStr">
        <is>
          <t>Q3 2021</t>
        </is>
      </c>
      <c r="J1" s="47" t="inlineStr">
        <is>
          <t>Q4 2021</t>
        </is>
      </c>
      <c r="K1" s="47" t="inlineStr">
        <is>
          <t>Q1 2022</t>
        </is>
      </c>
      <c r="L1" s="47" t="inlineStr">
        <is>
          <t>Q2 2022</t>
        </is>
      </c>
      <c r="M1" s="47" t="inlineStr">
        <is>
          <t>Q3 2022</t>
        </is>
      </c>
      <c r="N1" s="47" t="inlineStr">
        <is>
          <t>Q4 2022</t>
        </is>
      </c>
      <c r="O1" s="47" t="inlineStr">
        <is>
          <t>Q1 2023</t>
        </is>
      </c>
      <c r="P1" s="47" t="inlineStr">
        <is>
          <t>Q2 2023</t>
        </is>
      </c>
      <c r="Q1" s="47" t="inlineStr">
        <is>
          <t>Q3 2023</t>
        </is>
      </c>
      <c r="R1" s="47" t="inlineStr">
        <is>
          <t>Q4 2023</t>
        </is>
      </c>
      <c r="S1" s="47" t="inlineStr">
        <is>
          <t>Q1 2024</t>
        </is>
      </c>
      <c r="T1" s="47" t="inlineStr">
        <is>
          <t>Q2 2024</t>
        </is>
      </c>
      <c r="U1" s="47" t="inlineStr">
        <is>
          <t>Q3 2024</t>
        </is>
      </c>
      <c r="V1" s="47" t="inlineStr">
        <is>
          <t>Q4 2024</t>
        </is>
      </c>
      <c r="W1" s="47" t="inlineStr">
        <is>
          <t>Q1 2025</t>
        </is>
      </c>
      <c r="X1" s="47" t="inlineStr">
        <is>
          <t>Q2 2025</t>
        </is>
      </c>
      <c r="Y1" s="47" t="inlineStr">
        <is>
          <t>Q3 2025</t>
        </is>
      </c>
      <c r="Z1" s="47" t="inlineStr">
        <is>
          <t>Q4 2025</t>
        </is>
      </c>
      <c r="AA1" s="47" t="inlineStr">
        <is>
          <t>Q1 2026</t>
        </is>
      </c>
      <c r="AB1" s="47" t="inlineStr">
        <is>
          <t>Q2 2026</t>
        </is>
      </c>
      <c r="AC1" s="47" t="inlineStr">
        <is>
          <t>Q3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20" t="n">
        <v>33717</v>
      </c>
      <c r="C3" s="20" t="n">
        <v>33055</v>
      </c>
      <c r="D3" s="20" t="n">
        <v>36906</v>
      </c>
      <c r="E3" s="20" t="n">
        <v>35021</v>
      </c>
      <c r="F3" s="20" t="n">
        <v>38033</v>
      </c>
      <c r="G3" s="20" t="n">
        <v>37154</v>
      </c>
      <c r="H3" s="20" t="n">
        <v>43076</v>
      </c>
      <c r="I3" s="20" t="n">
        <v>41706</v>
      </c>
      <c r="J3" s="20" t="n">
        <v>46152</v>
      </c>
      <c r="K3" s="20" t="n">
        <v>45317</v>
      </c>
      <c r="L3" s="20" t="n">
        <v>51728</v>
      </c>
      <c r="M3" s="20" t="n">
        <v>49360</v>
      </c>
      <c r="N3" s="20" t="n">
        <v>51865</v>
      </c>
      <c r="O3" s="20" t="n">
        <v>50122</v>
      </c>
      <c r="P3" s="20" t="n">
        <v>52747</v>
      </c>
      <c r="Q3" s="20" t="n">
        <v>52857</v>
      </c>
      <c r="R3" s="20" t="n">
        <v>56189</v>
      </c>
      <c r="S3" s="20" t="n">
        <v>56517</v>
      </c>
      <c r="T3" s="20" t="n">
        <v>62020</v>
      </c>
      <c r="U3" s="20" t="n">
        <v>61858</v>
      </c>
      <c r="V3" s="20" t="n">
        <v>64727</v>
      </c>
      <c r="W3" s="20" t="n">
        <v>65585</v>
      </c>
      <c r="X3" s="20" t="n">
        <v>69632</v>
      </c>
      <c r="Y3" s="20" t="n">
        <v>70066</v>
      </c>
      <c r="Z3" s="20" t="n">
        <v>76441</v>
      </c>
      <c r="AA3" s="20" t="n">
        <v>77673</v>
      </c>
      <c r="AB3" s="20" t="n">
        <v>81273</v>
      </c>
      <c r="AC3" s="20" t="n">
        <v>82886</v>
      </c>
    </row>
    <row r="4">
      <c r="A4" s="4" t="inlineStr">
        <is>
          <t xml:space="preserve">    % YoY</t>
        </is>
      </c>
      <c r="F4" s="27">
        <f>IFERROR(F3/B3-1,"")</f>
        <v/>
      </c>
      <c r="G4" s="27">
        <f>IFERROR(G3/C3-1,"")</f>
        <v/>
      </c>
      <c r="H4" s="27">
        <f>IFERROR(H3/D3-1,"")</f>
        <v/>
      </c>
      <c r="I4" s="27">
        <f>IFERROR(I3/E3-1,"")</f>
        <v/>
      </c>
      <c r="J4" s="27">
        <f>IFERROR(J3/F3-1,"")</f>
        <v/>
      </c>
      <c r="K4" s="27">
        <f>IFERROR(K3/G3-1,"")</f>
        <v/>
      </c>
      <c r="L4" s="27">
        <f>IFERROR(L3/H3-1,"")</f>
        <v/>
      </c>
      <c r="M4" s="27">
        <f>IFERROR(M3/I3-1,"")</f>
        <v/>
      </c>
      <c r="N4" s="27">
        <f>IFERROR(N3/J3-1,"")</f>
        <v/>
      </c>
      <c r="O4" s="27">
        <f>IFERROR(O3/K3-1,"")</f>
        <v/>
      </c>
      <c r="P4" s="27">
        <f>IFERROR(P3/L3-1,"")</f>
        <v/>
      </c>
      <c r="Q4" s="27">
        <f>IFERROR(Q3/M3-1,"")</f>
        <v/>
      </c>
      <c r="R4" s="27">
        <f>IFERROR(R3/N3-1,"")</f>
        <v/>
      </c>
      <c r="S4" s="27">
        <f>IFERROR(S3/O3-1,"")</f>
        <v/>
      </c>
      <c r="T4" s="27">
        <f>IFERROR(T3/P3-1,"")</f>
        <v/>
      </c>
      <c r="U4" s="27">
        <f>IFERROR(U3/Q3-1,"")</f>
        <v/>
      </c>
      <c r="V4" s="27">
        <f>IFERROR(V3/R3-1,"")</f>
        <v/>
      </c>
      <c r="W4" s="27">
        <f>IFERROR(W3/S3-1,"")</f>
        <v/>
      </c>
      <c r="X4" s="27">
        <f>IFERROR(X3/T3-1,"")</f>
        <v/>
      </c>
      <c r="Y4" s="27">
        <f>IFERROR(Y3/U3-1,"")</f>
        <v/>
      </c>
      <c r="Z4" s="27">
        <f>IFERROR(Z3/V3-1,"")</f>
        <v/>
      </c>
      <c r="AA4" s="27">
        <f>IFERROR(AA3/W3-1,"")</f>
        <v/>
      </c>
      <c r="AB4" s="27">
        <f>IFERROR(AB3/X3-1,"")</f>
        <v/>
      </c>
      <c r="AC4" s="27">
        <f>IFERROR(AC3/Y3-1,"")</f>
        <v/>
      </c>
    </row>
    <row r="5">
      <c r="A5" s="4" t="inlineStr">
        <is>
          <t>Cost of Revenue</t>
        </is>
      </c>
      <c r="B5" s="20" t="n">
        <v>10412</v>
      </c>
      <c r="C5" s="20" t="n">
        <v>10406</v>
      </c>
      <c r="D5" s="20" t="n">
        <v>12358</v>
      </c>
      <c r="E5" s="20" t="n">
        <v>10975</v>
      </c>
      <c r="F5" s="20" t="n">
        <v>12339</v>
      </c>
      <c r="G5" s="20" t="n">
        <v>11002</v>
      </c>
      <c r="H5" s="20" t="n">
        <v>14194</v>
      </c>
      <c r="I5" s="20" t="n">
        <v>13045</v>
      </c>
      <c r="J5" s="20" t="n">
        <v>13991</v>
      </c>
      <c r="K5" s="20" t="n">
        <v>13646</v>
      </c>
      <c r="L5" s="20" t="n">
        <v>16960</v>
      </c>
      <c r="M5" s="20" t="n">
        <v>15615</v>
      </c>
      <c r="N5" s="20" t="n">
        <v>16429</v>
      </c>
      <c r="O5" s="20" t="n">
        <v>15452</v>
      </c>
      <c r="P5" s="20" t="n">
        <v>17488</v>
      </c>
      <c r="Q5" s="20" t="n">
        <v>16128</v>
      </c>
      <c r="R5" s="20" t="n">
        <v>16795</v>
      </c>
      <c r="S5" s="20" t="n">
        <v>16302</v>
      </c>
      <c r="T5" s="20" t="n">
        <v>19623</v>
      </c>
      <c r="U5" s="20" t="n">
        <v>18505</v>
      </c>
      <c r="V5" s="20" t="n">
        <v>19684</v>
      </c>
      <c r="W5" s="20" t="n">
        <v>20099</v>
      </c>
      <c r="X5" s="20" t="n">
        <v>21799</v>
      </c>
      <c r="Y5" s="20" t="n">
        <v>21919</v>
      </c>
      <c r="Z5" s="20" t="n">
        <v>24014</v>
      </c>
      <c r="AA5" s="20" t="n">
        <v>24043</v>
      </c>
      <c r="AB5" s="20" t="n">
        <v>25978</v>
      </c>
      <c r="AC5" s="20" t="n">
        <v>26828</v>
      </c>
    </row>
    <row r="6">
      <c r="A6" s="4" t="inlineStr">
        <is>
          <t xml:space="preserve">    % of revenue</t>
        </is>
      </c>
      <c r="B6" s="27">
        <f>IFERROR(B5/B3,"")</f>
        <v/>
      </c>
      <c r="C6" s="27">
        <f>IFERROR(C5/C3,"")</f>
        <v/>
      </c>
      <c r="D6" s="27">
        <f>IFERROR(D5/D3,"")</f>
        <v/>
      </c>
      <c r="E6" s="27">
        <f>IFERROR(E5/E3,"")</f>
        <v/>
      </c>
      <c r="F6" s="27">
        <f>IFERROR(F5/F3,"")</f>
        <v/>
      </c>
      <c r="G6" s="27">
        <f>IFERROR(G5/G3,"")</f>
        <v/>
      </c>
      <c r="H6" s="27">
        <f>IFERROR(H5/H3,"")</f>
        <v/>
      </c>
      <c r="I6" s="27">
        <f>IFERROR(I5/I3,"")</f>
        <v/>
      </c>
      <c r="J6" s="27">
        <f>IFERROR(J5/J3,"")</f>
        <v/>
      </c>
      <c r="K6" s="27">
        <f>IFERROR(K5/K3,"")</f>
        <v/>
      </c>
      <c r="L6" s="27">
        <f>IFERROR(L5/L3,"")</f>
        <v/>
      </c>
      <c r="M6" s="27">
        <f>IFERROR(M5/M3,"")</f>
        <v/>
      </c>
      <c r="N6" s="27">
        <f>IFERROR(N5/N3,"")</f>
        <v/>
      </c>
      <c r="O6" s="27">
        <f>IFERROR(O5/O3,"")</f>
        <v/>
      </c>
      <c r="P6" s="27">
        <f>IFERROR(P5/P3,"")</f>
        <v/>
      </c>
      <c r="Q6" s="27">
        <f>IFERROR(Q5/Q3,"")</f>
        <v/>
      </c>
      <c r="R6" s="27">
        <f>IFERROR(R5/R3,"")</f>
        <v/>
      </c>
      <c r="S6" s="27">
        <f>IFERROR(S5/S3,"")</f>
        <v/>
      </c>
      <c r="T6" s="27">
        <f>IFERROR(T5/T3,"")</f>
        <v/>
      </c>
      <c r="U6" s="27">
        <f>IFERROR(U5/U3,"")</f>
        <v/>
      </c>
      <c r="V6" s="27">
        <f>IFERROR(V5/V3,"")</f>
        <v/>
      </c>
      <c r="W6" s="27">
        <f>IFERROR(W5/W3,"")</f>
        <v/>
      </c>
      <c r="X6" s="27">
        <f>IFERROR(X5/X3,"")</f>
        <v/>
      </c>
      <c r="Y6" s="27">
        <f>IFERROR(Y5/Y3,"")</f>
        <v/>
      </c>
      <c r="Z6" s="27">
        <f>IFERROR(Z5/Z3,"")</f>
        <v/>
      </c>
      <c r="AA6" s="27">
        <f>IFERROR(AA5/AA3,"")</f>
        <v/>
      </c>
      <c r="AB6" s="27">
        <f>IFERROR(AB5/AB3,"")</f>
        <v/>
      </c>
      <c r="AC6" s="27">
        <f>IFERROR(AC5/AC3,"")</f>
        <v/>
      </c>
    </row>
    <row r="7">
      <c r="A7" s="4" t="inlineStr">
        <is>
          <t>R&amp;D Expense</t>
        </is>
      </c>
      <c r="B7" s="20" t="n">
        <v>4513</v>
      </c>
      <c r="C7" s="20" t="n">
        <v>4565</v>
      </c>
      <c r="D7" s="20" t="n">
        <v>4603</v>
      </c>
      <c r="E7" s="20" t="n">
        <v>4887</v>
      </c>
      <c r="F7" s="20" t="n">
        <v>5214</v>
      </c>
      <c r="G7" s="20" t="n">
        <v>4926</v>
      </c>
      <c r="H7" s="20" t="n">
        <v>4899</v>
      </c>
      <c r="I7" s="20" t="n">
        <v>5204</v>
      </c>
      <c r="J7" s="20" t="n">
        <v>5687</v>
      </c>
      <c r="K7" s="20" t="n">
        <v>5599</v>
      </c>
      <c r="L7" s="20" t="n">
        <v>5758</v>
      </c>
      <c r="M7" s="20" t="n">
        <v>6306</v>
      </c>
      <c r="N7" s="20" t="n">
        <v>6849</v>
      </c>
      <c r="O7" s="20" t="n">
        <v>6628</v>
      </c>
      <c r="P7" s="20" t="n">
        <v>6844</v>
      </c>
      <c r="Q7" s="20" t="n">
        <v>6984</v>
      </c>
      <c r="R7" s="20" t="n">
        <v>6739</v>
      </c>
      <c r="S7" s="20" t="n">
        <v>6659</v>
      </c>
      <c r="T7" s="20" t="n">
        <v>7142</v>
      </c>
      <c r="U7" s="20" t="n">
        <v>7653</v>
      </c>
      <c r="V7" s="20" t="n">
        <v>8056</v>
      </c>
      <c r="W7" s="20" t="n">
        <v>7544</v>
      </c>
      <c r="X7" s="20" t="n">
        <v>7917</v>
      </c>
      <c r="Y7" s="20" t="n">
        <v>8198</v>
      </c>
      <c r="Z7" s="20" t="n">
        <v>8829</v>
      </c>
      <c r="AA7" s="20" t="n">
        <v>8146</v>
      </c>
      <c r="AB7" s="20" t="n">
        <v>8504</v>
      </c>
      <c r="AC7" s="20" t="n">
        <v>8915</v>
      </c>
    </row>
    <row r="8">
      <c r="A8" s="4" t="inlineStr">
        <is>
          <t xml:space="preserve">    % of revenue</t>
        </is>
      </c>
      <c r="B8" s="27">
        <f>IFERROR(B7/B3,"")</f>
        <v/>
      </c>
      <c r="C8" s="27">
        <f>IFERROR(C7/C3,"")</f>
        <v/>
      </c>
      <c r="D8" s="27">
        <f>IFERROR(D7/D3,"")</f>
        <v/>
      </c>
      <c r="E8" s="27">
        <f>IFERROR(E7/E3,"")</f>
        <v/>
      </c>
      <c r="F8" s="27">
        <f>IFERROR(F7/F3,"")</f>
        <v/>
      </c>
      <c r="G8" s="27">
        <f>IFERROR(G7/G3,"")</f>
        <v/>
      </c>
      <c r="H8" s="27">
        <f>IFERROR(H7/H3,"")</f>
        <v/>
      </c>
      <c r="I8" s="27">
        <f>IFERROR(I7/I3,"")</f>
        <v/>
      </c>
      <c r="J8" s="27">
        <f>IFERROR(J7/J3,"")</f>
        <v/>
      </c>
      <c r="K8" s="27">
        <f>IFERROR(K7/K3,"")</f>
        <v/>
      </c>
      <c r="L8" s="27">
        <f>IFERROR(L7/L3,"")</f>
        <v/>
      </c>
      <c r="M8" s="27">
        <f>IFERROR(M7/M3,"")</f>
        <v/>
      </c>
      <c r="N8" s="27">
        <f>IFERROR(N7/N3,"")</f>
        <v/>
      </c>
      <c r="O8" s="27">
        <f>IFERROR(O7/O3,"")</f>
        <v/>
      </c>
      <c r="P8" s="27">
        <f>IFERROR(P7/P3,"")</f>
        <v/>
      </c>
      <c r="Q8" s="27">
        <f>IFERROR(Q7/Q3,"")</f>
        <v/>
      </c>
      <c r="R8" s="27">
        <f>IFERROR(R7/R3,"")</f>
        <v/>
      </c>
      <c r="S8" s="27">
        <f>IFERROR(S7/S3,"")</f>
        <v/>
      </c>
      <c r="T8" s="27">
        <f>IFERROR(T7/T3,"")</f>
        <v/>
      </c>
      <c r="U8" s="27">
        <f>IFERROR(U7/U3,"")</f>
        <v/>
      </c>
      <c r="V8" s="27">
        <f>IFERROR(V7/V3,"")</f>
        <v/>
      </c>
      <c r="W8" s="27">
        <f>IFERROR(W7/W3,"")</f>
        <v/>
      </c>
      <c r="X8" s="27">
        <f>IFERROR(X7/X3,"")</f>
        <v/>
      </c>
      <c r="Y8" s="27">
        <f>IFERROR(Y7/Y3,"")</f>
        <v/>
      </c>
      <c r="Z8" s="27">
        <f>IFERROR(Z7/Z3,"")</f>
        <v/>
      </c>
      <c r="AA8" s="27">
        <f>IFERROR(AA7/AA3,"")</f>
        <v/>
      </c>
      <c r="AB8" s="27">
        <f>IFERROR(AB7/AB3,"")</f>
        <v/>
      </c>
      <c r="AC8" s="27">
        <f>IFERROR(AC7/AC3,"")</f>
        <v/>
      </c>
    </row>
    <row r="9">
      <c r="A9" s="4" t="inlineStr">
        <is>
          <t>SG&amp;A Expense</t>
        </is>
      </c>
      <c r="B9" s="20" t="n">
        <v>6387</v>
      </c>
      <c r="C9" s="20" t="n">
        <v>5398</v>
      </c>
      <c r="D9" s="20" t="n">
        <v>6054</v>
      </c>
      <c r="E9" s="20" t="n">
        <v>6184</v>
      </c>
      <c r="F9" s="20" t="n">
        <v>7073</v>
      </c>
      <c r="G9" s="20" t="n">
        <v>5350</v>
      </c>
      <c r="H9" s="20" t="n">
        <v>6086</v>
      </c>
      <c r="I9" s="20" t="n">
        <v>6409</v>
      </c>
      <c r="J9" s="20" t="n">
        <v>7379</v>
      </c>
      <c r="K9" s="20" t="n">
        <v>5834</v>
      </c>
      <c r="L9" s="20" t="n">
        <v>6763</v>
      </c>
      <c r="M9" s="20" t="n">
        <v>7075</v>
      </c>
      <c r="N9" s="20" t="n">
        <v>8053</v>
      </c>
      <c r="O9" s="20" t="n">
        <v>6524</v>
      </c>
      <c r="P9" s="20" t="n">
        <v>8016</v>
      </c>
      <c r="Q9" s="20" t="n">
        <v>7393</v>
      </c>
      <c r="R9" s="20" t="n">
        <v>8401</v>
      </c>
      <c r="S9" s="20" t="n">
        <v>6661</v>
      </c>
      <c r="T9" s="20" t="n">
        <v>8223</v>
      </c>
      <c r="U9" s="20" t="n">
        <v>8119</v>
      </c>
      <c r="V9" s="20" t="n">
        <v>9062</v>
      </c>
      <c r="W9" s="20" t="n">
        <v>7390</v>
      </c>
      <c r="X9" s="20" t="n">
        <v>8263</v>
      </c>
      <c r="Y9" s="20" t="n">
        <v>7949</v>
      </c>
      <c r="Z9" s="20" t="n">
        <v>9275</v>
      </c>
      <c r="AA9" s="20" t="n">
        <v>7523</v>
      </c>
      <c r="AB9" s="20" t="n">
        <v>8516</v>
      </c>
      <c r="AC9" s="20" t="n">
        <v>8745</v>
      </c>
    </row>
    <row r="10">
      <c r="A10" s="4" t="inlineStr">
        <is>
          <t xml:space="preserve">    % of revenue</t>
        </is>
      </c>
      <c r="B10" s="27">
        <f>IFERROR(B9/B3,"")</f>
        <v/>
      </c>
      <c r="C10" s="27">
        <f>IFERROR(C9/C3,"")</f>
        <v/>
      </c>
      <c r="D10" s="27">
        <f>IFERROR(D9/D3,"")</f>
        <v/>
      </c>
      <c r="E10" s="27">
        <f>IFERROR(E9/E3,"")</f>
        <v/>
      </c>
      <c r="F10" s="27">
        <f>IFERROR(F9/F3,"")</f>
        <v/>
      </c>
      <c r="G10" s="27">
        <f>IFERROR(G9/G3,"")</f>
        <v/>
      </c>
      <c r="H10" s="27">
        <f>IFERROR(H9/H3,"")</f>
        <v/>
      </c>
      <c r="I10" s="27">
        <f>IFERROR(I9/I3,"")</f>
        <v/>
      </c>
      <c r="J10" s="27">
        <f>IFERROR(J9/J3,"")</f>
        <v/>
      </c>
      <c r="K10" s="27">
        <f>IFERROR(K9/K3,"")</f>
        <v/>
      </c>
      <c r="L10" s="27">
        <f>IFERROR(L9/L3,"")</f>
        <v/>
      </c>
      <c r="M10" s="27">
        <f>IFERROR(M9/M3,"")</f>
        <v/>
      </c>
      <c r="N10" s="27">
        <f>IFERROR(N9/N3,"")</f>
        <v/>
      </c>
      <c r="O10" s="27">
        <f>IFERROR(O9/O3,"")</f>
        <v/>
      </c>
      <c r="P10" s="27">
        <f>IFERROR(P9/P3,"")</f>
        <v/>
      </c>
      <c r="Q10" s="27">
        <f>IFERROR(Q9/Q3,"")</f>
        <v/>
      </c>
      <c r="R10" s="27">
        <f>IFERROR(R9/R3,"")</f>
        <v/>
      </c>
      <c r="S10" s="27">
        <f>IFERROR(S9/S3,"")</f>
        <v/>
      </c>
      <c r="T10" s="27">
        <f>IFERROR(T9/T3,"")</f>
        <v/>
      </c>
      <c r="U10" s="27">
        <f>IFERROR(U9/U3,"")</f>
        <v/>
      </c>
      <c r="V10" s="27">
        <f>IFERROR(V9/V3,"")</f>
        <v/>
      </c>
      <c r="W10" s="27">
        <f>IFERROR(W9/W3,"")</f>
        <v/>
      </c>
      <c r="X10" s="27">
        <f>IFERROR(X9/X3,"")</f>
        <v/>
      </c>
      <c r="Y10" s="27">
        <f>IFERROR(Y9/Y3,"")</f>
        <v/>
      </c>
      <c r="Z10" s="27">
        <f>IFERROR(Z9/Z3,"")</f>
        <v/>
      </c>
      <c r="AA10" s="27">
        <f>IFERROR(AA9/AA3,"")</f>
        <v/>
      </c>
      <c r="AB10" s="27">
        <f>IFERROR(AB9/AB3,"")</f>
        <v/>
      </c>
      <c r="AC10" s="27">
        <f>IFERROR(AC9/AC3,"")</f>
        <v/>
      </c>
    </row>
    <row r="11">
      <c r="A11" s="4" t="inlineStr">
        <is>
          <t>Gross Profit</t>
        </is>
      </c>
      <c r="B11" s="20" t="n">
        <v>23305</v>
      </c>
      <c r="C11" s="20" t="n">
        <v>22649</v>
      </c>
      <c r="D11" s="20" t="n">
        <v>24548</v>
      </c>
      <c r="E11" s="20" t="n">
        <v>24046</v>
      </c>
      <c r="F11" s="20" t="n">
        <v>25694</v>
      </c>
      <c r="G11" s="20" t="n">
        <v>26152</v>
      </c>
      <c r="H11" s="20" t="n">
        <v>28882</v>
      </c>
      <c r="I11" s="20" t="n">
        <v>28661</v>
      </c>
      <c r="J11" s="20" t="n">
        <v>32161</v>
      </c>
      <c r="K11" s="20" t="n">
        <v>31671</v>
      </c>
      <c r="L11" s="20" t="n">
        <v>34768</v>
      </c>
      <c r="M11" s="20" t="n">
        <v>33745</v>
      </c>
      <c r="N11" s="20" t="n">
        <v>35436</v>
      </c>
      <c r="O11" s="20" t="n">
        <v>34670</v>
      </c>
      <c r="P11" s="20" t="n">
        <v>35259</v>
      </c>
      <c r="Q11" s="20" t="n">
        <v>36729</v>
      </c>
      <c r="R11" s="20" t="n">
        <v>39394</v>
      </c>
      <c r="S11" s="20" t="n">
        <v>40215</v>
      </c>
      <c r="T11" s="20" t="n">
        <v>42397</v>
      </c>
      <c r="U11" s="20" t="n">
        <v>43353</v>
      </c>
      <c r="V11" s="20" t="n">
        <v>45043</v>
      </c>
      <c r="W11" s="20" t="n">
        <v>45486</v>
      </c>
      <c r="X11" s="20" t="n">
        <v>47833</v>
      </c>
      <c r="Y11" s="20" t="n">
        <v>48147</v>
      </c>
      <c r="Z11" s="20" t="n">
        <v>52427</v>
      </c>
      <c r="AA11" s="20" t="n">
        <v>53630</v>
      </c>
      <c r="AB11" s="20" t="n">
        <v>55295</v>
      </c>
      <c r="AC11" s="20" t="n">
        <v>56058</v>
      </c>
    </row>
    <row r="12">
      <c r="A12" s="4" t="inlineStr">
        <is>
          <t xml:space="preserve">    gross margin</t>
        </is>
      </c>
      <c r="B12" s="27">
        <f>IFERROR(B11/B3,"")</f>
        <v/>
      </c>
      <c r="C12" s="27">
        <f>IFERROR(C11/C3,"")</f>
        <v/>
      </c>
      <c r="D12" s="27">
        <f>IFERROR(D11/D3,"")</f>
        <v/>
      </c>
      <c r="E12" s="27">
        <f>IFERROR(E11/E3,"")</f>
        <v/>
      </c>
      <c r="F12" s="27">
        <f>IFERROR(F11/F3,"")</f>
        <v/>
      </c>
      <c r="G12" s="27">
        <f>IFERROR(G11/G3,"")</f>
        <v/>
      </c>
      <c r="H12" s="27">
        <f>IFERROR(H11/H3,"")</f>
        <v/>
      </c>
      <c r="I12" s="27">
        <f>IFERROR(I11/I3,"")</f>
        <v/>
      </c>
      <c r="J12" s="27">
        <f>IFERROR(J11/J3,"")</f>
        <v/>
      </c>
      <c r="K12" s="27">
        <f>IFERROR(K11/K3,"")</f>
        <v/>
      </c>
      <c r="L12" s="27">
        <f>IFERROR(L11/L3,"")</f>
        <v/>
      </c>
      <c r="M12" s="27">
        <f>IFERROR(M11/M3,"")</f>
        <v/>
      </c>
      <c r="N12" s="27">
        <f>IFERROR(N11/N3,"")</f>
        <v/>
      </c>
      <c r="O12" s="27">
        <f>IFERROR(O11/O3,"")</f>
        <v/>
      </c>
      <c r="P12" s="27">
        <f>IFERROR(P11/P3,"")</f>
        <v/>
      </c>
      <c r="Q12" s="27">
        <f>IFERROR(Q11/Q3,"")</f>
        <v/>
      </c>
      <c r="R12" s="27">
        <f>IFERROR(R11/R3,"")</f>
        <v/>
      </c>
      <c r="S12" s="27">
        <f>IFERROR(S11/S3,"")</f>
        <v/>
      </c>
      <c r="T12" s="27">
        <f>IFERROR(T11/T3,"")</f>
        <v/>
      </c>
      <c r="U12" s="27">
        <f>IFERROR(U11/U3,"")</f>
        <v/>
      </c>
      <c r="V12" s="27">
        <f>IFERROR(V11/V3,"")</f>
        <v/>
      </c>
      <c r="W12" s="27">
        <f>IFERROR(W11/W3,"")</f>
        <v/>
      </c>
      <c r="X12" s="27">
        <f>IFERROR(X11/X3,"")</f>
        <v/>
      </c>
      <c r="Y12" s="27">
        <f>IFERROR(Y11/Y3,"")</f>
        <v/>
      </c>
      <c r="Z12" s="27">
        <f>IFERROR(Z11/Z3,"")</f>
        <v/>
      </c>
      <c r="AA12" s="27">
        <f>IFERROR(AA11/AA3,"")</f>
        <v/>
      </c>
      <c r="AB12" s="27">
        <f>IFERROR(AB11/AB3,"")</f>
        <v/>
      </c>
      <c r="AC12" s="27">
        <f>IFERROR(AC11/AC3,"")</f>
        <v/>
      </c>
    </row>
    <row r="13">
      <c r="A13" s="4" t="inlineStr">
        <is>
          <t>Operating Income</t>
        </is>
      </c>
      <c r="B13" s="20" t="n">
        <v>12405</v>
      </c>
      <c r="C13" s="20" t="n">
        <v>12686</v>
      </c>
      <c r="D13" s="20" t="n">
        <v>13891</v>
      </c>
      <c r="E13" s="20" t="n">
        <v>12975</v>
      </c>
      <c r="F13" s="20" t="n">
        <v>13407</v>
      </c>
      <c r="G13" s="20" t="n">
        <v>15876</v>
      </c>
      <c r="H13" s="20" t="n">
        <v>17897</v>
      </c>
      <c r="I13" s="20" t="n">
        <v>17048</v>
      </c>
      <c r="J13" s="20" t="n">
        <v>19095</v>
      </c>
      <c r="K13" s="20" t="n">
        <v>20238</v>
      </c>
      <c r="L13" s="20" t="n">
        <v>22247</v>
      </c>
      <c r="M13" s="20" t="n">
        <v>20364</v>
      </c>
      <c r="N13" s="20" t="n">
        <v>20534</v>
      </c>
      <c r="O13" s="20" t="n">
        <v>21518</v>
      </c>
      <c r="P13" s="20" t="n">
        <v>20399</v>
      </c>
      <c r="Q13" s="20" t="n">
        <v>22352</v>
      </c>
      <c r="R13" s="20" t="n">
        <v>24254</v>
      </c>
      <c r="S13" s="20" t="n">
        <v>26895</v>
      </c>
      <c r="T13" s="20" t="n">
        <v>27032</v>
      </c>
      <c r="U13" s="20" t="n">
        <v>27581</v>
      </c>
      <c r="V13" s="20" t="n">
        <v>27925</v>
      </c>
      <c r="W13" s="20" t="n">
        <v>30552</v>
      </c>
      <c r="X13" s="20" t="n">
        <v>31653</v>
      </c>
      <c r="Y13" s="20" t="n">
        <v>32000</v>
      </c>
      <c r="Z13" s="20" t="n">
        <v>34323</v>
      </c>
      <c r="AA13" s="20" t="n">
        <v>37961</v>
      </c>
      <c r="AB13" s="20" t="n">
        <v>38275</v>
      </c>
      <c r="AC13" s="20" t="n">
        <v>38398</v>
      </c>
    </row>
    <row r="14">
      <c r="A14" s="4" t="inlineStr">
        <is>
          <t xml:space="preserve">    operating margin</t>
        </is>
      </c>
      <c r="B14" s="27">
        <f>IFERROR(B13/B3,"")</f>
        <v/>
      </c>
      <c r="C14" s="27">
        <f>IFERROR(C13/C3,"")</f>
        <v/>
      </c>
      <c r="D14" s="27">
        <f>IFERROR(D13/D3,"")</f>
        <v/>
      </c>
      <c r="E14" s="27">
        <f>IFERROR(E13/E3,"")</f>
        <v/>
      </c>
      <c r="F14" s="27">
        <f>IFERROR(F13/F3,"")</f>
        <v/>
      </c>
      <c r="G14" s="27">
        <f>IFERROR(G13/G3,"")</f>
        <v/>
      </c>
      <c r="H14" s="27">
        <f>IFERROR(H13/H3,"")</f>
        <v/>
      </c>
      <c r="I14" s="27">
        <f>IFERROR(I13/I3,"")</f>
        <v/>
      </c>
      <c r="J14" s="27">
        <f>IFERROR(J13/J3,"")</f>
        <v/>
      </c>
      <c r="K14" s="27">
        <f>IFERROR(K13/K3,"")</f>
        <v/>
      </c>
      <c r="L14" s="27">
        <f>IFERROR(L13/L3,"")</f>
        <v/>
      </c>
      <c r="M14" s="27">
        <f>IFERROR(M13/M3,"")</f>
        <v/>
      </c>
      <c r="N14" s="27">
        <f>IFERROR(N13/N3,"")</f>
        <v/>
      </c>
      <c r="O14" s="27">
        <f>IFERROR(O13/O3,"")</f>
        <v/>
      </c>
      <c r="P14" s="27">
        <f>IFERROR(P13/P3,"")</f>
        <v/>
      </c>
      <c r="Q14" s="27">
        <f>IFERROR(Q13/Q3,"")</f>
        <v/>
      </c>
      <c r="R14" s="27">
        <f>IFERROR(R13/R3,"")</f>
        <v/>
      </c>
      <c r="S14" s="27">
        <f>IFERROR(S13/S3,"")</f>
        <v/>
      </c>
      <c r="T14" s="27">
        <f>IFERROR(T13/T3,"")</f>
        <v/>
      </c>
      <c r="U14" s="27">
        <f>IFERROR(U13/U3,"")</f>
        <v/>
      </c>
      <c r="V14" s="27">
        <f>IFERROR(V13/V3,"")</f>
        <v/>
      </c>
      <c r="W14" s="27">
        <f>IFERROR(W13/W3,"")</f>
        <v/>
      </c>
      <c r="X14" s="27">
        <f>IFERROR(X13/X3,"")</f>
        <v/>
      </c>
      <c r="Y14" s="27">
        <f>IFERROR(Y13/Y3,"")</f>
        <v/>
      </c>
      <c r="Z14" s="27">
        <f>IFERROR(Z13/Z3,"")</f>
        <v/>
      </c>
      <c r="AA14" s="27">
        <f>IFERROR(AA13/AA3,"")</f>
        <v/>
      </c>
      <c r="AB14" s="27">
        <f>IFERROR(AB13/AB3,"")</f>
        <v/>
      </c>
      <c r="AC14" s="27">
        <f>IFERROR(AC13/AC3,"")</f>
        <v/>
      </c>
    </row>
    <row r="15">
      <c r="A15" s="4" t="inlineStr">
        <is>
          <t>Net Income</t>
        </is>
      </c>
      <c r="B15" s="20" t="n">
        <v>13187</v>
      </c>
      <c r="C15" s="20" t="n">
        <v>10678</v>
      </c>
      <c r="D15" s="20" t="n">
        <v>11649</v>
      </c>
      <c r="E15" s="20" t="n">
        <v>10752</v>
      </c>
      <c r="F15" s="20" t="n">
        <v>11202</v>
      </c>
      <c r="G15" s="20" t="n">
        <v>13893</v>
      </c>
      <c r="H15" s="20" t="n">
        <v>15463</v>
      </c>
      <c r="I15" s="20" t="n">
        <v>15457</v>
      </c>
      <c r="J15" s="20" t="n">
        <v>16458</v>
      </c>
      <c r="K15" s="20" t="n">
        <v>20505</v>
      </c>
      <c r="L15" s="20" t="n">
        <v>18765</v>
      </c>
      <c r="M15" s="20" t="n">
        <v>16728</v>
      </c>
      <c r="N15" s="20" t="n">
        <v>16740</v>
      </c>
      <c r="O15" s="20" t="n">
        <v>17556</v>
      </c>
      <c r="P15" s="20" t="n">
        <v>16425</v>
      </c>
      <c r="Q15" s="20" t="n">
        <v>18299</v>
      </c>
      <c r="R15" s="20" t="n">
        <v>20081</v>
      </c>
      <c r="S15" s="20" t="n">
        <v>22291</v>
      </c>
      <c r="T15" s="20" t="n">
        <v>21870</v>
      </c>
      <c r="U15" s="20" t="n">
        <v>21939</v>
      </c>
      <c r="V15" s="20" t="n">
        <v>22036</v>
      </c>
      <c r="W15" s="20" t="n">
        <v>24667</v>
      </c>
      <c r="X15" s="20" t="n">
        <v>24108</v>
      </c>
      <c r="Y15" s="20" t="n">
        <v>25824</v>
      </c>
      <c r="Z15" s="20" t="n">
        <v>27233</v>
      </c>
      <c r="AA15" s="20" t="n">
        <v>27747</v>
      </c>
      <c r="AB15" s="20" t="n">
        <v>38458</v>
      </c>
      <c r="AC15" s="20" t="n">
        <v>31778</v>
      </c>
    </row>
    <row r="16">
      <c r="A16" s="4" t="inlineStr">
        <is>
          <t xml:space="preserve">    net margin</t>
        </is>
      </c>
      <c r="B16" s="27">
        <f>IFERROR(B15/B3,"")</f>
        <v/>
      </c>
      <c r="C16" s="27">
        <f>IFERROR(C15/C3,"")</f>
        <v/>
      </c>
      <c r="D16" s="27">
        <f>IFERROR(D15/D3,"")</f>
        <v/>
      </c>
      <c r="E16" s="27">
        <f>IFERROR(E15/E3,"")</f>
        <v/>
      </c>
      <c r="F16" s="27">
        <f>IFERROR(F15/F3,"")</f>
        <v/>
      </c>
      <c r="G16" s="27">
        <f>IFERROR(G15/G3,"")</f>
        <v/>
      </c>
      <c r="H16" s="27">
        <f>IFERROR(H15/H3,"")</f>
        <v/>
      </c>
      <c r="I16" s="27">
        <f>IFERROR(I15/I3,"")</f>
        <v/>
      </c>
      <c r="J16" s="27">
        <f>IFERROR(J15/J3,"")</f>
        <v/>
      </c>
      <c r="K16" s="27">
        <f>IFERROR(K15/K3,"")</f>
        <v/>
      </c>
      <c r="L16" s="27">
        <f>IFERROR(L15/L3,"")</f>
        <v/>
      </c>
      <c r="M16" s="27">
        <f>IFERROR(M15/M3,"")</f>
        <v/>
      </c>
      <c r="N16" s="27">
        <f>IFERROR(N15/N3,"")</f>
        <v/>
      </c>
      <c r="O16" s="27">
        <f>IFERROR(O15/O3,"")</f>
        <v/>
      </c>
      <c r="P16" s="27">
        <f>IFERROR(P15/P3,"")</f>
        <v/>
      </c>
      <c r="Q16" s="27">
        <f>IFERROR(Q15/Q3,"")</f>
        <v/>
      </c>
      <c r="R16" s="27">
        <f>IFERROR(R15/R3,"")</f>
        <v/>
      </c>
      <c r="S16" s="27">
        <f>IFERROR(S15/S3,"")</f>
        <v/>
      </c>
      <c r="T16" s="27">
        <f>IFERROR(T15/T3,"")</f>
        <v/>
      </c>
      <c r="U16" s="27">
        <f>IFERROR(U15/U3,"")</f>
        <v/>
      </c>
      <c r="V16" s="27">
        <f>IFERROR(V15/V3,"")</f>
        <v/>
      </c>
      <c r="W16" s="27">
        <f>IFERROR(W15/W3,"")</f>
        <v/>
      </c>
      <c r="X16" s="27">
        <f>IFERROR(X15/X3,"")</f>
        <v/>
      </c>
      <c r="Y16" s="27">
        <f>IFERROR(Y15/Y3,"")</f>
        <v/>
      </c>
      <c r="Z16" s="27">
        <f>IFERROR(Z15/Z3,"")</f>
        <v/>
      </c>
      <c r="AA16" s="27">
        <f>IFERROR(AA15/AA3,"")</f>
        <v/>
      </c>
      <c r="AB16" s="27">
        <f>IFERROR(AB15/AB3,"")</f>
        <v/>
      </c>
      <c r="AC16" s="27">
        <f>IFERROR(AC15/AC3,"")</f>
        <v/>
      </c>
    </row>
    <row r="17">
      <c r="A17" s="4" t="inlineStr">
        <is>
          <t>Diluted Shares (M)</t>
        </is>
      </c>
      <c r="B17" s="20" t="n">
        <v>7730</v>
      </c>
      <c r="C17" s="20" t="n">
        <v>7710</v>
      </c>
      <c r="D17" s="20" t="n">
        <v>7691</v>
      </c>
      <c r="E17" s="20" t="n">
        <v>7675</v>
      </c>
      <c r="F17" s="20" t="n">
        <v>7650</v>
      </c>
      <c r="G17" s="20" t="n">
        <v>7637</v>
      </c>
      <c r="H17" s="20" t="n">
        <v>7616</v>
      </c>
      <c r="I17" s="20" t="n">
        <v>7597</v>
      </c>
      <c r="J17" s="20" t="n">
        <v>7581</v>
      </c>
      <c r="K17" s="20" t="n">
        <v>7567</v>
      </c>
      <c r="L17" s="20" t="n">
        <v>7555</v>
      </c>
      <c r="M17" s="20" t="n">
        <v>7534</v>
      </c>
      <c r="N17" s="20" t="n">
        <v>7506</v>
      </c>
      <c r="O17" s="20" t="n">
        <v>7485</v>
      </c>
      <c r="P17" s="20" t="n">
        <v>7473</v>
      </c>
      <c r="Q17" s="20" t="n">
        <v>7464</v>
      </c>
      <c r="R17" s="20" t="n">
        <v>7467</v>
      </c>
      <c r="S17" s="20" t="n">
        <v>7462</v>
      </c>
      <c r="T17" s="20" t="n">
        <v>7468</v>
      </c>
      <c r="U17" s="20" t="n">
        <v>7472</v>
      </c>
      <c r="V17" s="20" t="n">
        <v>7472</v>
      </c>
      <c r="W17" s="20" t="n">
        <v>7470</v>
      </c>
      <c r="X17" s="20" t="n">
        <v>7468</v>
      </c>
      <c r="Y17" s="20" t="n">
        <v>7461</v>
      </c>
      <c r="Z17" s="20" t="n">
        <v>7461</v>
      </c>
      <c r="AA17" s="20" t="n">
        <v>7466</v>
      </c>
      <c r="AB17" s="20" t="n">
        <v>7460</v>
      </c>
      <c r="AC17" s="20" t="n">
        <v>7445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Server Products And Cloud Services</t>
        </is>
      </c>
      <c r="B19" s="20" t="n">
        <v>9720</v>
      </c>
      <c r="C19" s="20" t="n">
        <v>9192</v>
      </c>
      <c r="D19" s="20" t="n">
        <v>10119</v>
      </c>
      <c r="E19" s="20" t="n">
        <v>10490</v>
      </c>
      <c r="F19" s="20" t="n">
        <v>11578</v>
      </c>
      <c r="G19" s="20" t="n">
        <v>11195</v>
      </c>
      <c r="H19" s="20" t="n">
        <v>12729</v>
      </c>
      <c r="I19" s="20" t="n">
        <v>13204</v>
      </c>
      <c r="J19" s="20" t="n">
        <v>15461</v>
      </c>
      <c r="K19" s="20" t="n">
        <v>15069</v>
      </c>
      <c r="L19" s="20" t="n">
        <v>16375</v>
      </c>
      <c r="M19" s="20" t="n">
        <v>17038</v>
      </c>
      <c r="N19" s="20" t="n">
        <v>18839</v>
      </c>
      <c r="O19" s="20" t="n">
        <v>18388</v>
      </c>
      <c r="P19" s="20" t="n">
        <v>19594</v>
      </c>
      <c r="Q19" s="20" t="n">
        <v>20025</v>
      </c>
      <c r="R19" s="20" t="n">
        <v>21963</v>
      </c>
      <c r="S19" s="20" t="n">
        <v>22308</v>
      </c>
      <c r="T19" s="20" t="n">
        <v>23953</v>
      </c>
      <c r="U19" s="20" t="n">
        <v>24832</v>
      </c>
      <c r="V19" s="20" t="n">
        <v>24633</v>
      </c>
      <c r="W19" s="20" t="n">
        <v>22155</v>
      </c>
      <c r="X19" s="20" t="n">
        <v>23641</v>
      </c>
      <c r="Y19" s="20" t="n">
        <v>24761</v>
      </c>
      <c r="Z19" s="20" t="n">
        <v>27878</v>
      </c>
      <c r="AA19" s="20" t="n">
        <v>28872</v>
      </c>
      <c r="AB19" s="20" t="n">
        <v>30865</v>
      </c>
      <c r="AC19" s="20" t="n">
        <v>32592</v>
      </c>
    </row>
    <row r="20">
      <c r="A20" s="4" t="inlineStr">
        <is>
          <t xml:space="preserve">    % YoY</t>
        </is>
      </c>
      <c r="F20" s="27">
        <f>IFERROR(F19/B19-1,"")</f>
        <v/>
      </c>
      <c r="G20" s="27">
        <f>IFERROR(G19/C19-1,"")</f>
        <v/>
      </c>
      <c r="H20" s="27">
        <f>IFERROR(H19/D19-1,"")</f>
        <v/>
      </c>
      <c r="I20" s="27">
        <f>IFERROR(I19/E19-1,"")</f>
        <v/>
      </c>
      <c r="J20" s="27">
        <f>IFERROR(J19/F19-1,"")</f>
        <v/>
      </c>
      <c r="K20" s="27">
        <f>IFERROR(K19/G19-1,"")</f>
        <v/>
      </c>
      <c r="L20" s="27">
        <f>IFERROR(L19/H19-1,"")</f>
        <v/>
      </c>
      <c r="M20" s="27">
        <f>IFERROR(M19/I19-1,"")</f>
        <v/>
      </c>
      <c r="N20" s="27">
        <f>IFERROR(N19/J19-1,"")</f>
        <v/>
      </c>
      <c r="O20" s="27">
        <f>IFERROR(O19/K19-1,"")</f>
        <v/>
      </c>
      <c r="P20" s="27">
        <f>IFERROR(P19/L19-1,"")</f>
        <v/>
      </c>
      <c r="Q20" s="27">
        <f>IFERROR(Q19/M19-1,"")</f>
        <v/>
      </c>
      <c r="R20" s="27">
        <f>IFERROR(R19/N19-1,"")</f>
        <v/>
      </c>
      <c r="S20" s="27">
        <f>IFERROR(S19/O19-1,"")</f>
        <v/>
      </c>
      <c r="T20" s="27">
        <f>IFERROR(T19/P19-1,"")</f>
        <v/>
      </c>
      <c r="U20" s="27">
        <f>IFERROR(U19/Q19-1,"")</f>
        <v/>
      </c>
      <c r="V20" s="27">
        <f>IFERROR(V19/R19-1,"")</f>
        <v/>
      </c>
      <c r="W20" s="27">
        <f>IFERROR(W19/S19-1,"")</f>
        <v/>
      </c>
      <c r="X20" s="27">
        <f>IFERROR(X19/T19-1,"")</f>
        <v/>
      </c>
      <c r="Y20" s="27">
        <f>IFERROR(Y19/U19-1,"")</f>
        <v/>
      </c>
      <c r="Z20" s="27">
        <f>IFERROR(Z19/V19-1,"")</f>
        <v/>
      </c>
      <c r="AA20" s="27">
        <f>IFERROR(AA19/W19-1,"")</f>
        <v/>
      </c>
      <c r="AB20" s="27">
        <f>IFERROR(AB19/X19-1,"")</f>
        <v/>
      </c>
      <c r="AC20" s="27">
        <f>IFERROR(AC19/Y19-1,"")</f>
        <v/>
      </c>
    </row>
    <row r="21">
      <c r="A21" s="4" t="inlineStr">
        <is>
          <t xml:space="preserve">    % of revenue</t>
        </is>
      </c>
      <c r="B21" s="27">
        <f>IFERROR(B19/B3,"")</f>
        <v/>
      </c>
      <c r="C21" s="27">
        <f>IFERROR(C19/C3,"")</f>
        <v/>
      </c>
      <c r="D21" s="27">
        <f>IFERROR(D19/D3,"")</f>
        <v/>
      </c>
      <c r="E21" s="27">
        <f>IFERROR(E19/E3,"")</f>
        <v/>
      </c>
      <c r="F21" s="27">
        <f>IFERROR(F19/F3,"")</f>
        <v/>
      </c>
      <c r="G21" s="27">
        <f>IFERROR(G19/G3,"")</f>
        <v/>
      </c>
      <c r="H21" s="27">
        <f>IFERROR(H19/H3,"")</f>
        <v/>
      </c>
      <c r="I21" s="27">
        <f>IFERROR(I19/I3,"")</f>
        <v/>
      </c>
      <c r="J21" s="27">
        <f>IFERROR(J19/J3,"")</f>
        <v/>
      </c>
      <c r="K21" s="27">
        <f>IFERROR(K19/K3,"")</f>
        <v/>
      </c>
      <c r="L21" s="27">
        <f>IFERROR(L19/L3,"")</f>
        <v/>
      </c>
      <c r="M21" s="27">
        <f>IFERROR(M19/M3,"")</f>
        <v/>
      </c>
      <c r="N21" s="27">
        <f>IFERROR(N19/N3,"")</f>
        <v/>
      </c>
      <c r="O21" s="27">
        <f>IFERROR(O19/O3,"")</f>
        <v/>
      </c>
      <c r="P21" s="27">
        <f>IFERROR(P19/P3,"")</f>
        <v/>
      </c>
      <c r="Q21" s="27">
        <f>IFERROR(Q19/Q3,"")</f>
        <v/>
      </c>
      <c r="R21" s="27">
        <f>IFERROR(R19/R3,"")</f>
        <v/>
      </c>
      <c r="S21" s="27">
        <f>IFERROR(S19/S3,"")</f>
        <v/>
      </c>
      <c r="T21" s="27">
        <f>IFERROR(T19/T3,"")</f>
        <v/>
      </c>
      <c r="U21" s="27">
        <f>IFERROR(U19/U3,"")</f>
        <v/>
      </c>
      <c r="V21" s="27">
        <f>IFERROR(V19/V3,"")</f>
        <v/>
      </c>
      <c r="W21" s="27">
        <f>IFERROR(W19/W3,"")</f>
        <v/>
      </c>
      <c r="X21" s="27">
        <f>IFERROR(X19/X3,"")</f>
        <v/>
      </c>
      <c r="Y21" s="27">
        <f>IFERROR(Y19/Y3,"")</f>
        <v/>
      </c>
      <c r="Z21" s="27">
        <f>IFERROR(Z19/Z3,"")</f>
        <v/>
      </c>
      <c r="AA21" s="27">
        <f>IFERROR(AA19/AA3,"")</f>
        <v/>
      </c>
      <c r="AB21" s="27">
        <f>IFERROR(AB19/AB3,"")</f>
        <v/>
      </c>
      <c r="AC21" s="27">
        <f>IFERROR(AC19/AC3,"")</f>
        <v/>
      </c>
    </row>
    <row r="22">
      <c r="A22" s="4" t="inlineStr">
        <is>
          <t>Microsoft Three Six Five Commercial Products And Cloud Services</t>
        </is>
      </c>
      <c r="W22" s="20" t="n">
        <v>20449</v>
      </c>
      <c r="X22" s="20" t="n">
        <v>21117</v>
      </c>
      <c r="Y22" s="20" t="n">
        <v>21883</v>
      </c>
      <c r="Z22" s="20" t="n">
        <v>24318</v>
      </c>
      <c r="AA22" s="20" t="n">
        <v>23966</v>
      </c>
      <c r="AB22" s="20" t="n">
        <v>24524</v>
      </c>
      <c r="AC22" s="20" t="n">
        <v>25593</v>
      </c>
    </row>
    <row r="23">
      <c r="A23" s="4" t="inlineStr">
        <is>
          <t xml:space="preserve">    % YoY</t>
        </is>
      </c>
      <c r="F23" s="27">
        <f>IFERROR(F22/B22-1,"")</f>
        <v/>
      </c>
      <c r="G23" s="27">
        <f>IFERROR(G22/C22-1,"")</f>
        <v/>
      </c>
      <c r="H23" s="27">
        <f>IFERROR(H22/D22-1,"")</f>
        <v/>
      </c>
      <c r="I23" s="27">
        <f>IFERROR(I22/E22-1,"")</f>
        <v/>
      </c>
      <c r="J23" s="27">
        <f>IFERROR(J22/F22-1,"")</f>
        <v/>
      </c>
      <c r="K23" s="27">
        <f>IFERROR(K22/G22-1,"")</f>
        <v/>
      </c>
      <c r="L23" s="27">
        <f>IFERROR(L22/H22-1,"")</f>
        <v/>
      </c>
      <c r="M23" s="27">
        <f>IFERROR(M22/I22-1,"")</f>
        <v/>
      </c>
      <c r="N23" s="27">
        <f>IFERROR(N22/J22-1,"")</f>
        <v/>
      </c>
      <c r="O23" s="27">
        <f>IFERROR(O22/K22-1,"")</f>
        <v/>
      </c>
      <c r="P23" s="27">
        <f>IFERROR(P22/L22-1,"")</f>
        <v/>
      </c>
      <c r="Q23" s="27">
        <f>IFERROR(Q22/M22-1,"")</f>
        <v/>
      </c>
      <c r="R23" s="27">
        <f>IFERROR(R22/N22-1,"")</f>
        <v/>
      </c>
      <c r="S23" s="27">
        <f>IFERROR(S22/O22-1,"")</f>
        <v/>
      </c>
      <c r="T23" s="27">
        <f>IFERROR(T22/P22-1,"")</f>
        <v/>
      </c>
      <c r="U23" s="27">
        <f>IFERROR(U22/Q22-1,"")</f>
        <v/>
      </c>
      <c r="V23" s="27">
        <f>IFERROR(V22/R22-1,"")</f>
        <v/>
      </c>
      <c r="W23" s="27">
        <f>IFERROR(W22/S22-1,"")</f>
        <v/>
      </c>
      <c r="X23" s="27">
        <f>IFERROR(X22/T22-1,"")</f>
        <v/>
      </c>
      <c r="Y23" s="27">
        <f>IFERROR(Y22/U22-1,"")</f>
        <v/>
      </c>
      <c r="Z23" s="27">
        <f>IFERROR(Z22/V22-1,"")</f>
        <v/>
      </c>
      <c r="AA23" s="27">
        <f>IFERROR(AA22/W22-1,"")</f>
        <v/>
      </c>
      <c r="AB23" s="27">
        <f>IFERROR(AB22/X22-1,"")</f>
        <v/>
      </c>
      <c r="AC23" s="27">
        <f>IFERROR(AC22/Y22-1,"")</f>
        <v/>
      </c>
    </row>
    <row r="24">
      <c r="A24" s="4" t="inlineStr">
        <is>
          <t xml:space="preserve">    % of revenue</t>
        </is>
      </c>
      <c r="B24" s="27">
        <f>IFERROR(B22/B3,"")</f>
        <v/>
      </c>
      <c r="C24" s="27">
        <f>IFERROR(C22/C3,"")</f>
        <v/>
      </c>
      <c r="D24" s="27">
        <f>IFERROR(D22/D3,"")</f>
        <v/>
      </c>
      <c r="E24" s="27">
        <f>IFERROR(E22/E3,"")</f>
        <v/>
      </c>
      <c r="F24" s="27">
        <f>IFERROR(F22/F3,"")</f>
        <v/>
      </c>
      <c r="G24" s="27">
        <f>IFERROR(G22/G3,"")</f>
        <v/>
      </c>
      <c r="H24" s="27">
        <f>IFERROR(H22/H3,"")</f>
        <v/>
      </c>
      <c r="I24" s="27">
        <f>IFERROR(I22/I3,"")</f>
        <v/>
      </c>
      <c r="J24" s="27">
        <f>IFERROR(J22/J3,"")</f>
        <v/>
      </c>
      <c r="K24" s="27">
        <f>IFERROR(K22/K3,"")</f>
        <v/>
      </c>
      <c r="L24" s="27">
        <f>IFERROR(L22/L3,"")</f>
        <v/>
      </c>
      <c r="M24" s="27">
        <f>IFERROR(M22/M3,"")</f>
        <v/>
      </c>
      <c r="N24" s="27">
        <f>IFERROR(N22/N3,"")</f>
        <v/>
      </c>
      <c r="O24" s="27">
        <f>IFERROR(O22/O3,"")</f>
        <v/>
      </c>
      <c r="P24" s="27">
        <f>IFERROR(P22/P3,"")</f>
        <v/>
      </c>
      <c r="Q24" s="27">
        <f>IFERROR(Q22/Q3,"")</f>
        <v/>
      </c>
      <c r="R24" s="27">
        <f>IFERROR(R22/R3,"")</f>
        <v/>
      </c>
      <c r="S24" s="27">
        <f>IFERROR(S22/S3,"")</f>
        <v/>
      </c>
      <c r="T24" s="27">
        <f>IFERROR(T22/T3,"")</f>
        <v/>
      </c>
      <c r="U24" s="27">
        <f>IFERROR(U22/U3,"")</f>
        <v/>
      </c>
      <c r="V24" s="27">
        <f>IFERROR(V22/V3,"")</f>
        <v/>
      </c>
      <c r="W24" s="27">
        <f>IFERROR(W22/W3,"")</f>
        <v/>
      </c>
      <c r="X24" s="27">
        <f>IFERROR(X22/X3,"")</f>
        <v/>
      </c>
      <c r="Y24" s="27">
        <f>IFERROR(Y22/Y3,"")</f>
        <v/>
      </c>
      <c r="Z24" s="27">
        <f>IFERROR(Z22/Z3,"")</f>
        <v/>
      </c>
      <c r="AA24" s="27">
        <f>IFERROR(AA22/AA3,"")</f>
        <v/>
      </c>
      <c r="AB24" s="27">
        <f>IFERROR(AB22/AB3,"")</f>
        <v/>
      </c>
      <c r="AC24" s="27">
        <f>IFERROR(AC22/AC3,"")</f>
        <v/>
      </c>
    </row>
    <row r="25">
      <c r="A25" s="4" t="inlineStr">
        <is>
          <t>Gaming</t>
        </is>
      </c>
      <c r="B25" s="20" t="n">
        <v>2053</v>
      </c>
      <c r="C25" s="20" t="n">
        <v>2542</v>
      </c>
      <c r="D25" s="20" t="n">
        <v>3327</v>
      </c>
      <c r="E25" s="20" t="n">
        <v>2349</v>
      </c>
      <c r="F25" s="20" t="n">
        <v>3357</v>
      </c>
      <c r="G25" s="20" t="n">
        <v>3092</v>
      </c>
      <c r="H25" s="20" t="n">
        <v>5031</v>
      </c>
      <c r="I25" s="20" t="n">
        <v>3533</v>
      </c>
      <c r="J25" s="20" t="n">
        <v>3714</v>
      </c>
      <c r="K25" s="20" t="n">
        <v>3593</v>
      </c>
      <c r="L25" s="20" t="n">
        <v>5442</v>
      </c>
      <c r="M25" s="20" t="n">
        <v>3740</v>
      </c>
      <c r="N25" s="20" t="n">
        <v>3455</v>
      </c>
      <c r="O25" s="20" t="n">
        <v>3610</v>
      </c>
      <c r="P25" s="20" t="n">
        <v>4758</v>
      </c>
      <c r="Q25" s="20" t="n">
        <v>3607</v>
      </c>
      <c r="R25" s="20" t="n">
        <v>3491</v>
      </c>
      <c r="S25" s="20" t="n">
        <v>3919</v>
      </c>
      <c r="T25" s="20" t="n">
        <v>7111</v>
      </c>
      <c r="U25" s="20" t="n">
        <v>5451</v>
      </c>
      <c r="V25" s="20" t="n">
        <v>5022</v>
      </c>
      <c r="W25" s="20" t="n">
        <v>5621</v>
      </c>
      <c r="X25" s="20" t="n">
        <v>6581</v>
      </c>
      <c r="Y25" s="20" t="n">
        <v>5721</v>
      </c>
      <c r="Z25" s="20" t="n">
        <v>5532</v>
      </c>
      <c r="AA25" s="20" t="n">
        <v>5508</v>
      </c>
      <c r="AB25" s="20" t="n">
        <v>5958</v>
      </c>
      <c r="AC25" s="20" t="n">
        <v>5341</v>
      </c>
    </row>
    <row r="26">
      <c r="A26" s="4" t="inlineStr">
        <is>
          <t xml:space="preserve">    % YoY</t>
        </is>
      </c>
      <c r="F26" s="27">
        <f>IFERROR(F25/B25-1,"")</f>
        <v/>
      </c>
      <c r="G26" s="27">
        <f>IFERROR(G25/C25-1,"")</f>
        <v/>
      </c>
      <c r="H26" s="27">
        <f>IFERROR(H25/D25-1,"")</f>
        <v/>
      </c>
      <c r="I26" s="27">
        <f>IFERROR(I25/E25-1,"")</f>
        <v/>
      </c>
      <c r="J26" s="27">
        <f>IFERROR(J25/F25-1,"")</f>
        <v/>
      </c>
      <c r="K26" s="27">
        <f>IFERROR(K25/G25-1,"")</f>
        <v/>
      </c>
      <c r="L26" s="27">
        <f>IFERROR(L25/H25-1,"")</f>
        <v/>
      </c>
      <c r="M26" s="27">
        <f>IFERROR(M25/I25-1,"")</f>
        <v/>
      </c>
      <c r="N26" s="27">
        <f>IFERROR(N25/J25-1,"")</f>
        <v/>
      </c>
      <c r="O26" s="27">
        <f>IFERROR(O25/K25-1,"")</f>
        <v/>
      </c>
      <c r="P26" s="27">
        <f>IFERROR(P25/L25-1,"")</f>
        <v/>
      </c>
      <c r="Q26" s="27">
        <f>IFERROR(Q25/M25-1,"")</f>
        <v/>
      </c>
      <c r="R26" s="27">
        <f>IFERROR(R25/N25-1,"")</f>
        <v/>
      </c>
      <c r="S26" s="27">
        <f>IFERROR(S25/O25-1,"")</f>
        <v/>
      </c>
      <c r="T26" s="27">
        <f>IFERROR(T25/P25-1,"")</f>
        <v/>
      </c>
      <c r="U26" s="27">
        <f>IFERROR(U25/Q25-1,"")</f>
        <v/>
      </c>
      <c r="V26" s="27">
        <f>IFERROR(V25/R25-1,"")</f>
        <v/>
      </c>
      <c r="W26" s="27">
        <f>IFERROR(W25/S25-1,"")</f>
        <v/>
      </c>
      <c r="X26" s="27">
        <f>IFERROR(X25/T25-1,"")</f>
        <v/>
      </c>
      <c r="Y26" s="27">
        <f>IFERROR(Y25/U25-1,"")</f>
        <v/>
      </c>
      <c r="Z26" s="27">
        <f>IFERROR(Z25/V25-1,"")</f>
        <v/>
      </c>
      <c r="AA26" s="27">
        <f>IFERROR(AA25/W25-1,"")</f>
        <v/>
      </c>
      <c r="AB26" s="27">
        <f>IFERROR(AB25/X25-1,"")</f>
        <v/>
      </c>
      <c r="AC26" s="27">
        <f>IFERROR(AC25/Y25-1,"")</f>
        <v/>
      </c>
    </row>
    <row r="27">
      <c r="A27" s="4" t="inlineStr">
        <is>
          <t xml:space="preserve">    % of revenue</t>
        </is>
      </c>
      <c r="B27" s="27">
        <f>IFERROR(B25/B3,"")</f>
        <v/>
      </c>
      <c r="C27" s="27">
        <f>IFERROR(C25/C3,"")</f>
        <v/>
      </c>
      <c r="D27" s="27">
        <f>IFERROR(D25/D3,"")</f>
        <v/>
      </c>
      <c r="E27" s="27">
        <f>IFERROR(E25/E3,"")</f>
        <v/>
      </c>
      <c r="F27" s="27">
        <f>IFERROR(F25/F3,"")</f>
        <v/>
      </c>
      <c r="G27" s="27">
        <f>IFERROR(G25/G3,"")</f>
        <v/>
      </c>
      <c r="H27" s="27">
        <f>IFERROR(H25/H3,"")</f>
        <v/>
      </c>
      <c r="I27" s="27">
        <f>IFERROR(I25/I3,"")</f>
        <v/>
      </c>
      <c r="J27" s="27">
        <f>IFERROR(J25/J3,"")</f>
        <v/>
      </c>
      <c r="K27" s="27">
        <f>IFERROR(K25/K3,"")</f>
        <v/>
      </c>
      <c r="L27" s="27">
        <f>IFERROR(L25/L3,"")</f>
        <v/>
      </c>
      <c r="M27" s="27">
        <f>IFERROR(M25/M3,"")</f>
        <v/>
      </c>
      <c r="N27" s="27">
        <f>IFERROR(N25/N3,"")</f>
        <v/>
      </c>
      <c r="O27" s="27">
        <f>IFERROR(O25/O3,"")</f>
        <v/>
      </c>
      <c r="P27" s="27">
        <f>IFERROR(P25/P3,"")</f>
        <v/>
      </c>
      <c r="Q27" s="27">
        <f>IFERROR(Q25/Q3,"")</f>
        <v/>
      </c>
      <c r="R27" s="27">
        <f>IFERROR(R25/R3,"")</f>
        <v/>
      </c>
      <c r="S27" s="27">
        <f>IFERROR(S25/S3,"")</f>
        <v/>
      </c>
      <c r="T27" s="27">
        <f>IFERROR(T25/T3,"")</f>
        <v/>
      </c>
      <c r="U27" s="27">
        <f>IFERROR(U25/U3,"")</f>
        <v/>
      </c>
      <c r="V27" s="27">
        <f>IFERROR(V25/V3,"")</f>
        <v/>
      </c>
      <c r="W27" s="27">
        <f>IFERROR(W25/W3,"")</f>
        <v/>
      </c>
      <c r="X27" s="27">
        <f>IFERROR(X25/X3,"")</f>
        <v/>
      </c>
      <c r="Y27" s="27">
        <f>IFERROR(Y25/Y3,"")</f>
        <v/>
      </c>
      <c r="Z27" s="27">
        <f>IFERROR(Z25/Z3,"")</f>
        <v/>
      </c>
      <c r="AA27" s="27">
        <f>IFERROR(AA25/AA3,"")</f>
        <v/>
      </c>
      <c r="AB27" s="27">
        <f>IFERROR(AB25/AB3,"")</f>
        <v/>
      </c>
      <c r="AC27" s="27">
        <f>IFERROR(AC25/AC3,"")</f>
        <v/>
      </c>
    </row>
    <row r="28">
      <c r="A28" s="4" t="inlineStr">
        <is>
          <t>Linked In Corporation</t>
        </is>
      </c>
      <c r="B28" s="20" t="n">
        <v>1835</v>
      </c>
      <c r="C28" s="20" t="n">
        <v>1909</v>
      </c>
      <c r="D28" s="20" t="n">
        <v>2102</v>
      </c>
      <c r="E28" s="20" t="n">
        <v>2050</v>
      </c>
      <c r="F28" s="20" t="n">
        <v>2016</v>
      </c>
      <c r="G28" s="20" t="n">
        <v>2206</v>
      </c>
      <c r="H28" s="20" t="n">
        <v>2577</v>
      </c>
      <c r="I28" s="20" t="n">
        <v>2562</v>
      </c>
      <c r="J28" s="20" t="n">
        <v>2944</v>
      </c>
      <c r="K28" s="20" t="n">
        <v>3136</v>
      </c>
      <c r="L28" s="20" t="n">
        <v>3531</v>
      </c>
      <c r="M28" s="20" t="n">
        <v>3437</v>
      </c>
      <c r="N28" s="20" t="n">
        <v>3712</v>
      </c>
      <c r="O28" s="20" t="n">
        <v>3663</v>
      </c>
      <c r="P28" s="20" t="n">
        <v>3876</v>
      </c>
      <c r="Q28" s="20" t="n">
        <v>3697</v>
      </c>
      <c r="R28" s="20" t="n">
        <v>3909</v>
      </c>
      <c r="S28" s="20" t="n">
        <v>3913</v>
      </c>
      <c r="T28" s="20" t="n">
        <v>4195</v>
      </c>
      <c r="U28" s="20" t="n">
        <v>4013</v>
      </c>
      <c r="V28" s="20" t="n">
        <v>4250</v>
      </c>
      <c r="W28" s="20" t="n">
        <v>4292</v>
      </c>
      <c r="X28" s="20" t="n">
        <v>4587</v>
      </c>
      <c r="Y28" s="20" t="n">
        <v>4311</v>
      </c>
      <c r="Z28" s="20" t="n">
        <v>4622</v>
      </c>
      <c r="AA28" s="20" t="n">
        <v>4714</v>
      </c>
      <c r="AB28" s="20" t="n">
        <v>5082</v>
      </c>
      <c r="AC28" s="20" t="n">
        <v>4832</v>
      </c>
    </row>
    <row r="29">
      <c r="A29" s="4" t="inlineStr">
        <is>
          <t xml:space="preserve">    % YoY</t>
        </is>
      </c>
      <c r="F29" s="27">
        <f>IFERROR(F28/B28-1,"")</f>
        <v/>
      </c>
      <c r="G29" s="27">
        <f>IFERROR(G28/C28-1,"")</f>
        <v/>
      </c>
      <c r="H29" s="27">
        <f>IFERROR(H28/D28-1,"")</f>
        <v/>
      </c>
      <c r="I29" s="27">
        <f>IFERROR(I28/E28-1,"")</f>
        <v/>
      </c>
      <c r="J29" s="27">
        <f>IFERROR(J28/F28-1,"")</f>
        <v/>
      </c>
      <c r="K29" s="27">
        <f>IFERROR(K28/G28-1,"")</f>
        <v/>
      </c>
      <c r="L29" s="27">
        <f>IFERROR(L28/H28-1,"")</f>
        <v/>
      </c>
      <c r="M29" s="27">
        <f>IFERROR(M28/I28-1,"")</f>
        <v/>
      </c>
      <c r="N29" s="27">
        <f>IFERROR(N28/J28-1,"")</f>
        <v/>
      </c>
      <c r="O29" s="27">
        <f>IFERROR(O28/K28-1,"")</f>
        <v/>
      </c>
      <c r="P29" s="27">
        <f>IFERROR(P28/L28-1,"")</f>
        <v/>
      </c>
      <c r="Q29" s="27">
        <f>IFERROR(Q28/M28-1,"")</f>
        <v/>
      </c>
      <c r="R29" s="27">
        <f>IFERROR(R28/N28-1,"")</f>
        <v/>
      </c>
      <c r="S29" s="27">
        <f>IFERROR(S28/O28-1,"")</f>
        <v/>
      </c>
      <c r="T29" s="27">
        <f>IFERROR(T28/P28-1,"")</f>
        <v/>
      </c>
      <c r="U29" s="27">
        <f>IFERROR(U28/Q28-1,"")</f>
        <v/>
      </c>
      <c r="V29" s="27">
        <f>IFERROR(V28/R28-1,"")</f>
        <v/>
      </c>
      <c r="W29" s="27">
        <f>IFERROR(W28/S28-1,"")</f>
        <v/>
      </c>
      <c r="X29" s="27">
        <f>IFERROR(X28/T28-1,"")</f>
        <v/>
      </c>
      <c r="Y29" s="27">
        <f>IFERROR(Y28/U28-1,"")</f>
        <v/>
      </c>
      <c r="Z29" s="27">
        <f>IFERROR(Z28/V28-1,"")</f>
        <v/>
      </c>
      <c r="AA29" s="27">
        <f>IFERROR(AA28/W28-1,"")</f>
        <v/>
      </c>
      <c r="AB29" s="27">
        <f>IFERROR(AB28/X28-1,"")</f>
        <v/>
      </c>
      <c r="AC29" s="27">
        <f>IFERROR(AC28/Y28-1,"")</f>
        <v/>
      </c>
    </row>
    <row r="30">
      <c r="A30" s="4" t="inlineStr">
        <is>
          <t xml:space="preserve">    % of revenue</t>
        </is>
      </c>
      <c r="B30" s="27">
        <f>IFERROR(B28/B3,"")</f>
        <v/>
      </c>
      <c r="C30" s="27">
        <f>IFERROR(C28/C3,"")</f>
        <v/>
      </c>
      <c r="D30" s="27">
        <f>IFERROR(D28/D3,"")</f>
        <v/>
      </c>
      <c r="E30" s="27">
        <f>IFERROR(E28/E3,"")</f>
        <v/>
      </c>
      <c r="F30" s="27">
        <f>IFERROR(F28/F3,"")</f>
        <v/>
      </c>
      <c r="G30" s="27">
        <f>IFERROR(G28/G3,"")</f>
        <v/>
      </c>
      <c r="H30" s="27">
        <f>IFERROR(H28/H3,"")</f>
        <v/>
      </c>
      <c r="I30" s="27">
        <f>IFERROR(I28/I3,"")</f>
        <v/>
      </c>
      <c r="J30" s="27">
        <f>IFERROR(J28/J3,"")</f>
        <v/>
      </c>
      <c r="K30" s="27">
        <f>IFERROR(K28/K3,"")</f>
        <v/>
      </c>
      <c r="L30" s="27">
        <f>IFERROR(L28/L3,"")</f>
        <v/>
      </c>
      <c r="M30" s="27">
        <f>IFERROR(M28/M3,"")</f>
        <v/>
      </c>
      <c r="N30" s="27">
        <f>IFERROR(N28/N3,"")</f>
        <v/>
      </c>
      <c r="O30" s="27">
        <f>IFERROR(O28/O3,"")</f>
        <v/>
      </c>
      <c r="P30" s="27">
        <f>IFERROR(P28/P3,"")</f>
        <v/>
      </c>
      <c r="Q30" s="27">
        <f>IFERROR(Q28/Q3,"")</f>
        <v/>
      </c>
      <c r="R30" s="27">
        <f>IFERROR(R28/R3,"")</f>
        <v/>
      </c>
      <c r="S30" s="27">
        <f>IFERROR(S28/S3,"")</f>
        <v/>
      </c>
      <c r="T30" s="27">
        <f>IFERROR(T28/T3,"")</f>
        <v/>
      </c>
      <c r="U30" s="27">
        <f>IFERROR(U28/U3,"")</f>
        <v/>
      </c>
      <c r="V30" s="27">
        <f>IFERROR(V28/V3,"")</f>
        <v/>
      </c>
      <c r="W30" s="27">
        <f>IFERROR(W28/W3,"")</f>
        <v/>
      </c>
      <c r="X30" s="27">
        <f>IFERROR(X28/X3,"")</f>
        <v/>
      </c>
      <c r="Y30" s="27">
        <f>IFERROR(Y28/Y3,"")</f>
        <v/>
      </c>
      <c r="Z30" s="27">
        <f>IFERROR(Z28/Z3,"")</f>
        <v/>
      </c>
      <c r="AA30" s="27">
        <f>IFERROR(AA28/AA3,"")</f>
        <v/>
      </c>
      <c r="AB30" s="27">
        <f>IFERROR(AB28/AB3,"")</f>
        <v/>
      </c>
      <c r="AC30" s="27">
        <f>IFERROR(AC28/AC3,"")</f>
        <v/>
      </c>
    </row>
    <row r="31">
      <c r="A31" s="4" t="inlineStr">
        <is>
          <t>Windows</t>
        </is>
      </c>
      <c r="B31" s="20" t="n">
        <v>5792</v>
      </c>
      <c r="C31" s="20" t="n">
        <v>5353</v>
      </c>
      <c r="D31" s="20" t="n">
        <v>5593</v>
      </c>
      <c r="E31" s="20" t="n">
        <v>5220</v>
      </c>
      <c r="F31" s="20" t="n">
        <v>6128</v>
      </c>
      <c r="G31" s="20" t="n">
        <v>5305</v>
      </c>
      <c r="H31" s="20" t="n">
        <v>5716</v>
      </c>
      <c r="I31" s="20" t="n">
        <v>5646</v>
      </c>
      <c r="J31" s="20" t="n">
        <v>6560</v>
      </c>
      <c r="K31" s="20" t="n">
        <v>5676</v>
      </c>
      <c r="L31" s="20" t="n">
        <v>6600</v>
      </c>
      <c r="M31" s="20" t="n">
        <v>6077</v>
      </c>
      <c r="N31" s="20" t="n">
        <v>6408</v>
      </c>
      <c r="O31" s="20" t="n">
        <v>5313</v>
      </c>
      <c r="P31" s="20" t="n">
        <v>4808</v>
      </c>
      <c r="Q31" s="20" t="n">
        <v>5328</v>
      </c>
      <c r="R31" s="20" t="n">
        <v>6058</v>
      </c>
      <c r="S31" s="20" t="n">
        <v>5567</v>
      </c>
      <c r="T31" s="20" t="n">
        <v>5262</v>
      </c>
      <c r="U31" s="20" t="n">
        <v>5929</v>
      </c>
      <c r="V31" s="20" t="n">
        <v>6486</v>
      </c>
      <c r="W31" s="20" t="n">
        <v>4329</v>
      </c>
      <c r="X31" s="20" t="n">
        <v>4512</v>
      </c>
      <c r="Y31" s="20" t="n">
        <v>4144</v>
      </c>
      <c r="Z31" s="20" t="n">
        <v>4329</v>
      </c>
      <c r="AA31" s="20" t="n">
        <v>4551</v>
      </c>
      <c r="AB31" s="20" t="n">
        <v>4479</v>
      </c>
      <c r="AC31" s="20" t="n">
        <v>4041</v>
      </c>
    </row>
    <row r="32">
      <c r="A32" s="4" t="inlineStr">
        <is>
          <t xml:space="preserve">    % YoY</t>
        </is>
      </c>
      <c r="F32" s="27">
        <f>IFERROR(F31/B31-1,"")</f>
        <v/>
      </c>
      <c r="G32" s="27">
        <f>IFERROR(G31/C31-1,"")</f>
        <v/>
      </c>
      <c r="H32" s="27">
        <f>IFERROR(H31/D31-1,"")</f>
        <v/>
      </c>
      <c r="I32" s="27">
        <f>IFERROR(I31/E31-1,"")</f>
        <v/>
      </c>
      <c r="J32" s="27">
        <f>IFERROR(J31/F31-1,"")</f>
        <v/>
      </c>
      <c r="K32" s="27">
        <f>IFERROR(K31/G31-1,"")</f>
        <v/>
      </c>
      <c r="L32" s="27">
        <f>IFERROR(L31/H31-1,"")</f>
        <v/>
      </c>
      <c r="M32" s="27">
        <f>IFERROR(M31/I31-1,"")</f>
        <v/>
      </c>
      <c r="N32" s="27">
        <f>IFERROR(N31/J31-1,"")</f>
        <v/>
      </c>
      <c r="O32" s="27">
        <f>IFERROR(O31/K31-1,"")</f>
        <v/>
      </c>
      <c r="P32" s="27">
        <f>IFERROR(P31/L31-1,"")</f>
        <v/>
      </c>
      <c r="Q32" s="27">
        <f>IFERROR(Q31/M31-1,"")</f>
        <v/>
      </c>
      <c r="R32" s="27">
        <f>IFERROR(R31/N31-1,"")</f>
        <v/>
      </c>
      <c r="S32" s="27">
        <f>IFERROR(S31/O31-1,"")</f>
        <v/>
      </c>
      <c r="T32" s="27">
        <f>IFERROR(T31/P31-1,"")</f>
        <v/>
      </c>
      <c r="U32" s="27">
        <f>IFERROR(U31/Q31-1,"")</f>
        <v/>
      </c>
      <c r="V32" s="27">
        <f>IFERROR(V31/R31-1,"")</f>
        <v/>
      </c>
      <c r="W32" s="27">
        <f>IFERROR(W31/S31-1,"")</f>
        <v/>
      </c>
      <c r="X32" s="27">
        <f>IFERROR(X31/T31-1,"")</f>
        <v/>
      </c>
      <c r="Y32" s="27">
        <f>IFERROR(Y31/U31-1,"")</f>
        <v/>
      </c>
      <c r="Z32" s="27">
        <f>IFERROR(Z31/V31-1,"")</f>
        <v/>
      </c>
      <c r="AA32" s="27">
        <f>IFERROR(AA31/W31-1,"")</f>
        <v/>
      </c>
      <c r="AB32" s="27">
        <f>IFERROR(AB31/X31-1,"")</f>
        <v/>
      </c>
      <c r="AC32" s="27">
        <f>IFERROR(AC31/Y31-1,"")</f>
        <v/>
      </c>
    </row>
    <row r="33">
      <c r="A33" s="4" t="inlineStr">
        <is>
          <t xml:space="preserve">    % of revenue</t>
        </is>
      </c>
      <c r="B33" s="27">
        <f>IFERROR(B31/B3,"")</f>
        <v/>
      </c>
      <c r="C33" s="27">
        <f>IFERROR(C31/C3,"")</f>
        <v/>
      </c>
      <c r="D33" s="27">
        <f>IFERROR(D31/D3,"")</f>
        <v/>
      </c>
      <c r="E33" s="27">
        <f>IFERROR(E31/E3,"")</f>
        <v/>
      </c>
      <c r="F33" s="27">
        <f>IFERROR(F31/F3,"")</f>
        <v/>
      </c>
      <c r="G33" s="27">
        <f>IFERROR(G31/G3,"")</f>
        <v/>
      </c>
      <c r="H33" s="27">
        <f>IFERROR(H31/H3,"")</f>
        <v/>
      </c>
      <c r="I33" s="27">
        <f>IFERROR(I31/I3,"")</f>
        <v/>
      </c>
      <c r="J33" s="27">
        <f>IFERROR(J31/J3,"")</f>
        <v/>
      </c>
      <c r="K33" s="27">
        <f>IFERROR(K31/K3,"")</f>
        <v/>
      </c>
      <c r="L33" s="27">
        <f>IFERROR(L31/L3,"")</f>
        <v/>
      </c>
      <c r="M33" s="27">
        <f>IFERROR(M31/M3,"")</f>
        <v/>
      </c>
      <c r="N33" s="27">
        <f>IFERROR(N31/N3,"")</f>
        <v/>
      </c>
      <c r="O33" s="27">
        <f>IFERROR(O31/O3,"")</f>
        <v/>
      </c>
      <c r="P33" s="27">
        <f>IFERROR(P31/P3,"")</f>
        <v/>
      </c>
      <c r="Q33" s="27">
        <f>IFERROR(Q31/Q3,"")</f>
        <v/>
      </c>
      <c r="R33" s="27">
        <f>IFERROR(R31/R3,"")</f>
        <v/>
      </c>
      <c r="S33" s="27">
        <f>IFERROR(S31/S3,"")</f>
        <v/>
      </c>
      <c r="T33" s="27">
        <f>IFERROR(T31/T3,"")</f>
        <v/>
      </c>
      <c r="U33" s="27">
        <f>IFERROR(U31/U3,"")</f>
        <v/>
      </c>
      <c r="V33" s="27">
        <f>IFERROR(V31/V3,"")</f>
        <v/>
      </c>
      <c r="W33" s="27">
        <f>IFERROR(W31/W3,"")</f>
        <v/>
      </c>
      <c r="X33" s="27">
        <f>IFERROR(X31/X3,"")</f>
        <v/>
      </c>
      <c r="Y33" s="27">
        <f>IFERROR(Y31/Y3,"")</f>
        <v/>
      </c>
      <c r="Z33" s="27">
        <f>IFERROR(Z31/Z3,"")</f>
        <v/>
      </c>
      <c r="AA33" s="27">
        <f>IFERROR(AA31/AA3,"")</f>
        <v/>
      </c>
      <c r="AB33" s="27">
        <f>IFERROR(AB31/AB3,"")</f>
        <v/>
      </c>
      <c r="AC33" s="27">
        <f>IFERROR(AC31/AC3,"")</f>
        <v/>
      </c>
    </row>
    <row r="34">
      <c r="A34" s="4" t="inlineStr">
        <is>
          <t>Search Advertising</t>
        </is>
      </c>
      <c r="B34" s="20" t="n">
        <v>1953</v>
      </c>
      <c r="C34" s="20" t="n">
        <v>1991</v>
      </c>
      <c r="D34" s="20" t="n">
        <v>2163</v>
      </c>
      <c r="E34" s="20" t="n">
        <v>1986</v>
      </c>
      <c r="F34" s="20" t="n">
        <v>1600</v>
      </c>
      <c r="G34" s="20" t="n">
        <v>1789</v>
      </c>
      <c r="H34" s="20" t="n">
        <v>2184</v>
      </c>
      <c r="I34" s="20" t="n">
        <v>2218</v>
      </c>
      <c r="J34" s="20" t="n">
        <v>2337</v>
      </c>
      <c r="K34" s="20" t="n">
        <v>2656</v>
      </c>
      <c r="L34" s="20" t="n">
        <v>3064</v>
      </c>
      <c r="M34" s="20" t="n">
        <v>2945</v>
      </c>
      <c r="N34" s="20" t="n">
        <v>2926</v>
      </c>
      <c r="O34" s="20" t="n">
        <v>2928</v>
      </c>
      <c r="P34" s="20" t="n">
        <v>3223</v>
      </c>
      <c r="Q34" s="20" t="n">
        <v>3045</v>
      </c>
      <c r="R34" s="20" t="n">
        <v>3012</v>
      </c>
      <c r="S34" s="20" t="n">
        <v>3053</v>
      </c>
      <c r="T34" s="20" t="n">
        <v>3220</v>
      </c>
      <c r="U34" s="20" t="n">
        <v>3134</v>
      </c>
      <c r="V34" s="20" t="n">
        <v>3165</v>
      </c>
      <c r="W34" s="20" t="n">
        <v>3225</v>
      </c>
      <c r="X34" s="20" t="n">
        <v>3558</v>
      </c>
      <c r="Y34" s="20" t="n">
        <v>3504</v>
      </c>
      <c r="Z34" s="20" t="n">
        <v>3591</v>
      </c>
      <c r="AA34" s="20" t="n">
        <v>3697</v>
      </c>
      <c r="AB34" s="20" t="n">
        <v>3812</v>
      </c>
      <c r="AC34" s="20" t="n">
        <v>3808</v>
      </c>
    </row>
    <row r="35">
      <c r="A35" s="4" t="inlineStr">
        <is>
          <t xml:space="preserve">    % YoY</t>
        </is>
      </c>
      <c r="F35" s="27">
        <f>IFERROR(F34/B34-1,"")</f>
        <v/>
      </c>
      <c r="G35" s="27">
        <f>IFERROR(G34/C34-1,"")</f>
        <v/>
      </c>
      <c r="H35" s="27">
        <f>IFERROR(H34/D34-1,"")</f>
        <v/>
      </c>
      <c r="I35" s="27">
        <f>IFERROR(I34/E34-1,"")</f>
        <v/>
      </c>
      <c r="J35" s="27">
        <f>IFERROR(J34/F34-1,"")</f>
        <v/>
      </c>
      <c r="K35" s="27">
        <f>IFERROR(K34/G34-1,"")</f>
        <v/>
      </c>
      <c r="L35" s="27">
        <f>IFERROR(L34/H34-1,"")</f>
        <v/>
      </c>
      <c r="M35" s="27">
        <f>IFERROR(M34/I34-1,"")</f>
        <v/>
      </c>
      <c r="N35" s="27">
        <f>IFERROR(N34/J34-1,"")</f>
        <v/>
      </c>
      <c r="O35" s="27">
        <f>IFERROR(O34/K34-1,"")</f>
        <v/>
      </c>
      <c r="P35" s="27">
        <f>IFERROR(P34/L34-1,"")</f>
        <v/>
      </c>
      <c r="Q35" s="27">
        <f>IFERROR(Q34/M34-1,"")</f>
        <v/>
      </c>
      <c r="R35" s="27">
        <f>IFERROR(R34/N34-1,"")</f>
        <v/>
      </c>
      <c r="S35" s="27">
        <f>IFERROR(S34/O34-1,"")</f>
        <v/>
      </c>
      <c r="T35" s="27">
        <f>IFERROR(T34/P34-1,"")</f>
        <v/>
      </c>
      <c r="U35" s="27">
        <f>IFERROR(U34/Q34-1,"")</f>
        <v/>
      </c>
      <c r="V35" s="27">
        <f>IFERROR(V34/R34-1,"")</f>
        <v/>
      </c>
      <c r="W35" s="27">
        <f>IFERROR(W34/S34-1,"")</f>
        <v/>
      </c>
      <c r="X35" s="27">
        <f>IFERROR(X34/T34-1,"")</f>
        <v/>
      </c>
      <c r="Y35" s="27">
        <f>IFERROR(Y34/U34-1,"")</f>
        <v/>
      </c>
      <c r="Z35" s="27">
        <f>IFERROR(Z34/V34-1,"")</f>
        <v/>
      </c>
      <c r="AA35" s="27">
        <f>IFERROR(AA34/W34-1,"")</f>
        <v/>
      </c>
      <c r="AB35" s="27">
        <f>IFERROR(AB34/X34-1,"")</f>
        <v/>
      </c>
      <c r="AC35" s="27">
        <f>IFERROR(AC34/Y34-1,"")</f>
        <v/>
      </c>
    </row>
    <row r="36">
      <c r="A36" s="4" t="inlineStr">
        <is>
          <t xml:space="preserve">    % of revenue</t>
        </is>
      </c>
      <c r="B36" s="27">
        <f>IFERROR(B34/B3,"")</f>
        <v/>
      </c>
      <c r="C36" s="27">
        <f>IFERROR(C34/C3,"")</f>
        <v/>
      </c>
      <c r="D36" s="27">
        <f>IFERROR(D34/D3,"")</f>
        <v/>
      </c>
      <c r="E36" s="27">
        <f>IFERROR(E34/E3,"")</f>
        <v/>
      </c>
      <c r="F36" s="27">
        <f>IFERROR(F34/F3,"")</f>
        <v/>
      </c>
      <c r="G36" s="27">
        <f>IFERROR(G34/G3,"")</f>
        <v/>
      </c>
      <c r="H36" s="27">
        <f>IFERROR(H34/H3,"")</f>
        <v/>
      </c>
      <c r="I36" s="27">
        <f>IFERROR(I34/I3,"")</f>
        <v/>
      </c>
      <c r="J36" s="27">
        <f>IFERROR(J34/J3,"")</f>
        <v/>
      </c>
      <c r="K36" s="27">
        <f>IFERROR(K34/K3,"")</f>
        <v/>
      </c>
      <c r="L36" s="27">
        <f>IFERROR(L34/L3,"")</f>
        <v/>
      </c>
      <c r="M36" s="27">
        <f>IFERROR(M34/M3,"")</f>
        <v/>
      </c>
      <c r="N36" s="27">
        <f>IFERROR(N34/N3,"")</f>
        <v/>
      </c>
      <c r="O36" s="27">
        <f>IFERROR(O34/O3,"")</f>
        <v/>
      </c>
      <c r="P36" s="27">
        <f>IFERROR(P34/P3,"")</f>
        <v/>
      </c>
      <c r="Q36" s="27">
        <f>IFERROR(Q34/Q3,"")</f>
        <v/>
      </c>
      <c r="R36" s="27">
        <f>IFERROR(R34/R3,"")</f>
        <v/>
      </c>
      <c r="S36" s="27">
        <f>IFERROR(S34/S3,"")</f>
        <v/>
      </c>
      <c r="T36" s="27">
        <f>IFERROR(T34/T3,"")</f>
        <v/>
      </c>
      <c r="U36" s="27">
        <f>IFERROR(U34/U3,"")</f>
        <v/>
      </c>
      <c r="V36" s="27">
        <f>IFERROR(V34/V3,"")</f>
        <v/>
      </c>
      <c r="W36" s="27">
        <f>IFERROR(W34/W3,"")</f>
        <v/>
      </c>
      <c r="X36" s="27">
        <f>IFERROR(X34/X3,"")</f>
        <v/>
      </c>
      <c r="Y36" s="27">
        <f>IFERROR(Y34/Y3,"")</f>
        <v/>
      </c>
      <c r="Z36" s="27">
        <f>IFERROR(Z34/Z3,"")</f>
        <v/>
      </c>
      <c r="AA36" s="27">
        <f>IFERROR(AA34/AA3,"")</f>
        <v/>
      </c>
      <c r="AB36" s="27">
        <f>IFERROR(AB34/AB3,"")</f>
        <v/>
      </c>
      <c r="AC36" s="27">
        <f>IFERROR(AC34/AC3,"")</f>
        <v/>
      </c>
    </row>
    <row r="37">
      <c r="A37" s="4" t="inlineStr">
        <is>
          <t>Microsoft Three Six Five Consumer Products and Cloud Services</t>
        </is>
      </c>
      <c r="W37" s="20" t="n">
        <v>1727</v>
      </c>
      <c r="X37" s="20" t="n">
        <v>1821</v>
      </c>
      <c r="Y37" s="20" t="n">
        <v>1821</v>
      </c>
      <c r="Z37" s="20" t="n">
        <v>2035</v>
      </c>
      <c r="AA37" s="20" t="n">
        <v>2204</v>
      </c>
      <c r="AB37" s="20" t="n">
        <v>2305</v>
      </c>
      <c r="AC37" s="20" t="n">
        <v>2297</v>
      </c>
    </row>
    <row r="38">
      <c r="A38" s="4" t="inlineStr">
        <is>
          <t xml:space="preserve">    % YoY</t>
        </is>
      </c>
      <c r="F38" s="27">
        <f>IFERROR(F37/B37-1,"")</f>
        <v/>
      </c>
      <c r="G38" s="27">
        <f>IFERROR(G37/C37-1,"")</f>
        <v/>
      </c>
      <c r="H38" s="27">
        <f>IFERROR(H37/D37-1,"")</f>
        <v/>
      </c>
      <c r="I38" s="27">
        <f>IFERROR(I37/E37-1,"")</f>
        <v/>
      </c>
      <c r="J38" s="27">
        <f>IFERROR(J37/F37-1,"")</f>
        <v/>
      </c>
      <c r="K38" s="27">
        <f>IFERROR(K37/G37-1,"")</f>
        <v/>
      </c>
      <c r="L38" s="27">
        <f>IFERROR(L37/H37-1,"")</f>
        <v/>
      </c>
      <c r="M38" s="27">
        <f>IFERROR(M37/I37-1,"")</f>
        <v/>
      </c>
      <c r="N38" s="27">
        <f>IFERROR(N37/J37-1,"")</f>
        <v/>
      </c>
      <c r="O38" s="27">
        <f>IFERROR(O37/K37-1,"")</f>
        <v/>
      </c>
      <c r="P38" s="27">
        <f>IFERROR(P37/L37-1,"")</f>
        <v/>
      </c>
      <c r="Q38" s="27">
        <f>IFERROR(Q37/M37-1,"")</f>
        <v/>
      </c>
      <c r="R38" s="27">
        <f>IFERROR(R37/N37-1,"")</f>
        <v/>
      </c>
      <c r="S38" s="27">
        <f>IFERROR(S37/O37-1,"")</f>
        <v/>
      </c>
      <c r="T38" s="27">
        <f>IFERROR(T37/P37-1,"")</f>
        <v/>
      </c>
      <c r="U38" s="27">
        <f>IFERROR(U37/Q37-1,"")</f>
        <v/>
      </c>
      <c r="V38" s="27">
        <f>IFERROR(V37/R37-1,"")</f>
        <v/>
      </c>
      <c r="W38" s="27">
        <f>IFERROR(W37/S37-1,"")</f>
        <v/>
      </c>
      <c r="X38" s="27">
        <f>IFERROR(X37/T37-1,"")</f>
        <v/>
      </c>
      <c r="Y38" s="27">
        <f>IFERROR(Y37/U37-1,"")</f>
        <v/>
      </c>
      <c r="Z38" s="27">
        <f>IFERROR(Z37/V37-1,"")</f>
        <v/>
      </c>
      <c r="AA38" s="27">
        <f>IFERROR(AA37/W37-1,"")</f>
        <v/>
      </c>
      <c r="AB38" s="27">
        <f>IFERROR(AB37/X37-1,"")</f>
        <v/>
      </c>
      <c r="AC38" s="27">
        <f>IFERROR(AC37/Y37-1,"")</f>
        <v/>
      </c>
    </row>
    <row r="39">
      <c r="A39" s="4" t="inlineStr">
        <is>
          <t xml:space="preserve">    % of revenue</t>
        </is>
      </c>
      <c r="B39" s="27">
        <f>IFERROR(B37/B3,"")</f>
        <v/>
      </c>
      <c r="C39" s="27">
        <f>IFERROR(C37/C3,"")</f>
        <v/>
      </c>
      <c r="D39" s="27">
        <f>IFERROR(D37/D3,"")</f>
        <v/>
      </c>
      <c r="E39" s="27">
        <f>IFERROR(E37/E3,"")</f>
        <v/>
      </c>
      <c r="F39" s="27">
        <f>IFERROR(F37/F3,"")</f>
        <v/>
      </c>
      <c r="G39" s="27">
        <f>IFERROR(G37/G3,"")</f>
        <v/>
      </c>
      <c r="H39" s="27">
        <f>IFERROR(H37/H3,"")</f>
        <v/>
      </c>
      <c r="I39" s="27">
        <f>IFERROR(I37/I3,"")</f>
        <v/>
      </c>
      <c r="J39" s="27">
        <f>IFERROR(J37/J3,"")</f>
        <v/>
      </c>
      <c r="K39" s="27">
        <f>IFERROR(K37/K3,"")</f>
        <v/>
      </c>
      <c r="L39" s="27">
        <f>IFERROR(L37/L3,"")</f>
        <v/>
      </c>
      <c r="M39" s="27">
        <f>IFERROR(M37/M3,"")</f>
        <v/>
      </c>
      <c r="N39" s="27">
        <f>IFERROR(N37/N3,"")</f>
        <v/>
      </c>
      <c r="O39" s="27">
        <f>IFERROR(O37/O3,"")</f>
        <v/>
      </c>
      <c r="P39" s="27">
        <f>IFERROR(P37/P3,"")</f>
        <v/>
      </c>
      <c r="Q39" s="27">
        <f>IFERROR(Q37/Q3,"")</f>
        <v/>
      </c>
      <c r="R39" s="27">
        <f>IFERROR(R37/R3,"")</f>
        <v/>
      </c>
      <c r="S39" s="27">
        <f>IFERROR(S37/S3,"")</f>
        <v/>
      </c>
      <c r="T39" s="27">
        <f>IFERROR(T37/T3,"")</f>
        <v/>
      </c>
      <c r="U39" s="27">
        <f>IFERROR(U37/U3,"")</f>
        <v/>
      </c>
      <c r="V39" s="27">
        <f>IFERROR(V37/V3,"")</f>
        <v/>
      </c>
      <c r="W39" s="27">
        <f>IFERROR(W37/W3,"")</f>
        <v/>
      </c>
      <c r="X39" s="27">
        <f>IFERROR(X37/X3,"")</f>
        <v/>
      </c>
      <c r="Y39" s="27">
        <f>IFERROR(Y37/Y3,"")</f>
        <v/>
      </c>
      <c r="Z39" s="27">
        <f>IFERROR(Z37/Z3,"")</f>
        <v/>
      </c>
      <c r="AA39" s="27">
        <f>IFERROR(AA37/AA3,"")</f>
        <v/>
      </c>
      <c r="AB39" s="27">
        <f>IFERROR(AB37/AB3,"")</f>
        <v/>
      </c>
      <c r="AC39" s="27">
        <f>IFERROR(AC37/AC3,"")</f>
        <v/>
      </c>
    </row>
    <row r="40">
      <c r="A40" s="4" t="inlineStr">
        <is>
          <t>Dynamics Products And Cloud Services</t>
        </is>
      </c>
      <c r="T40" s="20" t="n">
        <v>1576</v>
      </c>
      <c r="U40" s="20" t="n">
        <v>1646</v>
      </c>
      <c r="V40" s="20" t="n">
        <v>3069</v>
      </c>
      <c r="W40" s="20" t="n">
        <v>1849</v>
      </c>
      <c r="X40" s="20" t="n">
        <v>1913</v>
      </c>
      <c r="Y40" s="20" t="n">
        <v>1929</v>
      </c>
      <c r="Z40" s="20" t="n">
        <v>2136</v>
      </c>
      <c r="AA40" s="20" t="n">
        <v>2136</v>
      </c>
      <c r="AB40" s="20" t="n">
        <v>2204</v>
      </c>
      <c r="AC40" s="20" t="n">
        <v>2292</v>
      </c>
    </row>
    <row r="41">
      <c r="A41" s="4" t="inlineStr">
        <is>
          <t xml:space="preserve">    % YoY</t>
        </is>
      </c>
      <c r="F41" s="27">
        <f>IFERROR(F40/B40-1,"")</f>
        <v/>
      </c>
      <c r="G41" s="27">
        <f>IFERROR(G40/C40-1,"")</f>
        <v/>
      </c>
      <c r="H41" s="27">
        <f>IFERROR(H40/D40-1,"")</f>
        <v/>
      </c>
      <c r="I41" s="27">
        <f>IFERROR(I40/E40-1,"")</f>
        <v/>
      </c>
      <c r="J41" s="27">
        <f>IFERROR(J40/F40-1,"")</f>
        <v/>
      </c>
      <c r="K41" s="27">
        <f>IFERROR(K40/G40-1,"")</f>
        <v/>
      </c>
      <c r="L41" s="27">
        <f>IFERROR(L40/H40-1,"")</f>
        <v/>
      </c>
      <c r="M41" s="27">
        <f>IFERROR(M40/I40-1,"")</f>
        <v/>
      </c>
      <c r="N41" s="27">
        <f>IFERROR(N40/J40-1,"")</f>
        <v/>
      </c>
      <c r="O41" s="27">
        <f>IFERROR(O40/K40-1,"")</f>
        <v/>
      </c>
      <c r="P41" s="27">
        <f>IFERROR(P40/L40-1,"")</f>
        <v/>
      </c>
      <c r="Q41" s="27">
        <f>IFERROR(Q40/M40-1,"")</f>
        <v/>
      </c>
      <c r="R41" s="27">
        <f>IFERROR(R40/N40-1,"")</f>
        <v/>
      </c>
      <c r="S41" s="27">
        <f>IFERROR(S40/O40-1,"")</f>
        <v/>
      </c>
      <c r="T41" s="27">
        <f>IFERROR(T40/P40-1,"")</f>
        <v/>
      </c>
      <c r="U41" s="27">
        <f>IFERROR(U40/Q40-1,"")</f>
        <v/>
      </c>
      <c r="V41" s="27">
        <f>IFERROR(V40/R40-1,"")</f>
        <v/>
      </c>
      <c r="W41" s="27">
        <f>IFERROR(W40/S40-1,"")</f>
        <v/>
      </c>
      <c r="X41" s="27">
        <f>IFERROR(X40/T40-1,"")</f>
        <v/>
      </c>
      <c r="Y41" s="27">
        <f>IFERROR(Y40/U40-1,"")</f>
        <v/>
      </c>
      <c r="Z41" s="27">
        <f>IFERROR(Z40/V40-1,"")</f>
        <v/>
      </c>
      <c r="AA41" s="27">
        <f>IFERROR(AA40/W40-1,"")</f>
        <v/>
      </c>
      <c r="AB41" s="27">
        <f>IFERROR(AB40/X40-1,"")</f>
        <v/>
      </c>
      <c r="AC41" s="27">
        <f>IFERROR(AC40/Y40-1,"")</f>
        <v/>
      </c>
    </row>
    <row r="42">
      <c r="A42" s="4" t="inlineStr">
        <is>
          <t xml:space="preserve">    % of revenue</t>
        </is>
      </c>
      <c r="B42" s="27">
        <f>IFERROR(B40/B3,"")</f>
        <v/>
      </c>
      <c r="C42" s="27">
        <f>IFERROR(C40/C3,"")</f>
        <v/>
      </c>
      <c r="D42" s="27">
        <f>IFERROR(D40/D3,"")</f>
        <v/>
      </c>
      <c r="E42" s="27">
        <f>IFERROR(E40/E3,"")</f>
        <v/>
      </c>
      <c r="F42" s="27">
        <f>IFERROR(F40/F3,"")</f>
        <v/>
      </c>
      <c r="G42" s="27">
        <f>IFERROR(G40/G3,"")</f>
        <v/>
      </c>
      <c r="H42" s="27">
        <f>IFERROR(H40/H3,"")</f>
        <v/>
      </c>
      <c r="I42" s="27">
        <f>IFERROR(I40/I3,"")</f>
        <v/>
      </c>
      <c r="J42" s="27">
        <f>IFERROR(J40/J3,"")</f>
        <v/>
      </c>
      <c r="K42" s="27">
        <f>IFERROR(K40/K3,"")</f>
        <v/>
      </c>
      <c r="L42" s="27">
        <f>IFERROR(L40/L3,"")</f>
        <v/>
      </c>
      <c r="M42" s="27">
        <f>IFERROR(M40/M3,"")</f>
        <v/>
      </c>
      <c r="N42" s="27">
        <f>IFERROR(N40/N3,"")</f>
        <v/>
      </c>
      <c r="O42" s="27">
        <f>IFERROR(O40/O3,"")</f>
        <v/>
      </c>
      <c r="P42" s="27">
        <f>IFERROR(P40/P3,"")</f>
        <v/>
      </c>
      <c r="Q42" s="27">
        <f>IFERROR(Q40/Q3,"")</f>
        <v/>
      </c>
      <c r="R42" s="27">
        <f>IFERROR(R40/R3,"")</f>
        <v/>
      </c>
      <c r="S42" s="27">
        <f>IFERROR(S40/S3,"")</f>
        <v/>
      </c>
      <c r="T42" s="27">
        <f>IFERROR(T40/T3,"")</f>
        <v/>
      </c>
      <c r="U42" s="27">
        <f>IFERROR(U40/U3,"")</f>
        <v/>
      </c>
      <c r="V42" s="27">
        <f>IFERROR(V40/V3,"")</f>
        <v/>
      </c>
      <c r="W42" s="27">
        <f>IFERROR(W40/W3,"")</f>
        <v/>
      </c>
      <c r="X42" s="27">
        <f>IFERROR(X40/X3,"")</f>
        <v/>
      </c>
      <c r="Y42" s="27">
        <f>IFERROR(Y40/Y3,"")</f>
        <v/>
      </c>
      <c r="Z42" s="27">
        <f>IFERROR(Z40/Z3,"")</f>
        <v/>
      </c>
      <c r="AA42" s="27">
        <f>IFERROR(AA40/AA3,"")</f>
        <v/>
      </c>
      <c r="AB42" s="27">
        <f>IFERROR(AB40/AB3,"")</f>
        <v/>
      </c>
      <c r="AC42" s="27">
        <f>IFERROR(AC40/AC3,"")</f>
        <v/>
      </c>
    </row>
    <row r="43">
      <c r="A43" s="4" t="inlineStr">
        <is>
          <t>Enterprise Services</t>
        </is>
      </c>
      <c r="B43" s="20" t="n">
        <v>1611</v>
      </c>
      <c r="C43" s="20" t="n">
        <v>1545</v>
      </c>
      <c r="D43" s="20" t="n">
        <v>1612</v>
      </c>
      <c r="E43" s="20" t="n">
        <v>1633</v>
      </c>
      <c r="F43" s="20" t="n">
        <v>1619</v>
      </c>
      <c r="G43" s="20" t="n">
        <v>1637</v>
      </c>
      <c r="H43" s="20" t="n">
        <v>1695</v>
      </c>
      <c r="I43" s="20" t="n">
        <v>1803</v>
      </c>
      <c r="J43" s="20" t="n">
        <v>1808</v>
      </c>
      <c r="K43" s="20" t="n">
        <v>1791</v>
      </c>
      <c r="L43" s="20" t="n">
        <v>1823</v>
      </c>
      <c r="M43" s="20" t="n">
        <v>1891</v>
      </c>
      <c r="N43" s="20" t="n">
        <v>1902</v>
      </c>
      <c r="O43" s="20" t="n">
        <v>1876</v>
      </c>
      <c r="P43" s="20" t="n">
        <v>1862</v>
      </c>
      <c r="Q43" s="20" t="n">
        <v>2007</v>
      </c>
      <c r="R43" s="20" t="n">
        <v>1977</v>
      </c>
      <c r="S43" s="20" t="n">
        <v>1944</v>
      </c>
      <c r="T43" s="20" t="n">
        <v>1917</v>
      </c>
      <c r="U43" s="20" t="n">
        <v>1861</v>
      </c>
      <c r="V43" s="20" t="n">
        <v>1870</v>
      </c>
      <c r="W43" s="20" t="n">
        <v>1928</v>
      </c>
      <c r="X43" s="20" t="n">
        <v>1892</v>
      </c>
      <c r="Y43" s="20" t="n">
        <v>1946</v>
      </c>
      <c r="Z43" s="20" t="n">
        <v>1994</v>
      </c>
      <c r="AA43" s="20" t="n">
        <v>2022</v>
      </c>
      <c r="AB43" s="20" t="n">
        <v>2038</v>
      </c>
      <c r="AC43" s="20" t="n">
        <v>2087</v>
      </c>
    </row>
    <row r="44">
      <c r="A44" s="4" t="inlineStr">
        <is>
          <t xml:space="preserve">    % YoY</t>
        </is>
      </c>
      <c r="F44" s="27">
        <f>IFERROR(F43/B43-1,"")</f>
        <v/>
      </c>
      <c r="G44" s="27">
        <f>IFERROR(G43/C43-1,"")</f>
        <v/>
      </c>
      <c r="H44" s="27">
        <f>IFERROR(H43/D43-1,"")</f>
        <v/>
      </c>
      <c r="I44" s="27">
        <f>IFERROR(I43/E43-1,"")</f>
        <v/>
      </c>
      <c r="J44" s="27">
        <f>IFERROR(J43/F43-1,"")</f>
        <v/>
      </c>
      <c r="K44" s="27">
        <f>IFERROR(K43/G43-1,"")</f>
        <v/>
      </c>
      <c r="L44" s="27">
        <f>IFERROR(L43/H43-1,"")</f>
        <v/>
      </c>
      <c r="M44" s="27">
        <f>IFERROR(M43/I43-1,"")</f>
        <v/>
      </c>
      <c r="N44" s="27">
        <f>IFERROR(N43/J43-1,"")</f>
        <v/>
      </c>
      <c r="O44" s="27">
        <f>IFERROR(O43/K43-1,"")</f>
        <v/>
      </c>
      <c r="P44" s="27">
        <f>IFERROR(P43/L43-1,"")</f>
        <v/>
      </c>
      <c r="Q44" s="27">
        <f>IFERROR(Q43/M43-1,"")</f>
        <v/>
      </c>
      <c r="R44" s="27">
        <f>IFERROR(R43/N43-1,"")</f>
        <v/>
      </c>
      <c r="S44" s="27">
        <f>IFERROR(S43/O43-1,"")</f>
        <v/>
      </c>
      <c r="T44" s="27">
        <f>IFERROR(T43/P43-1,"")</f>
        <v/>
      </c>
      <c r="U44" s="27">
        <f>IFERROR(U43/Q43-1,"")</f>
        <v/>
      </c>
      <c r="V44" s="27">
        <f>IFERROR(V43/R43-1,"")</f>
        <v/>
      </c>
      <c r="W44" s="27">
        <f>IFERROR(W43/S43-1,"")</f>
        <v/>
      </c>
      <c r="X44" s="27">
        <f>IFERROR(X43/T43-1,"")</f>
        <v/>
      </c>
      <c r="Y44" s="27">
        <f>IFERROR(Y43/U43-1,"")</f>
        <v/>
      </c>
      <c r="Z44" s="27">
        <f>IFERROR(Z43/V43-1,"")</f>
        <v/>
      </c>
      <c r="AA44" s="27">
        <f>IFERROR(AA43/W43-1,"")</f>
        <v/>
      </c>
      <c r="AB44" s="27">
        <f>IFERROR(AB43/X43-1,"")</f>
        <v/>
      </c>
      <c r="AC44" s="27">
        <f>IFERROR(AC43/Y43-1,"")</f>
        <v/>
      </c>
    </row>
    <row r="45">
      <c r="A45" s="4" t="inlineStr">
        <is>
          <t xml:space="preserve">    % of revenue</t>
        </is>
      </c>
      <c r="B45" s="27">
        <f>IFERROR(B43/B3,"")</f>
        <v/>
      </c>
      <c r="C45" s="27">
        <f>IFERROR(C43/C3,"")</f>
        <v/>
      </c>
      <c r="D45" s="27">
        <f>IFERROR(D43/D3,"")</f>
        <v/>
      </c>
      <c r="E45" s="27">
        <f>IFERROR(E43/E3,"")</f>
        <v/>
      </c>
      <c r="F45" s="27">
        <f>IFERROR(F43/F3,"")</f>
        <v/>
      </c>
      <c r="G45" s="27">
        <f>IFERROR(G43/G3,"")</f>
        <v/>
      </c>
      <c r="H45" s="27">
        <f>IFERROR(H43/H3,"")</f>
        <v/>
      </c>
      <c r="I45" s="27">
        <f>IFERROR(I43/I3,"")</f>
        <v/>
      </c>
      <c r="J45" s="27">
        <f>IFERROR(J43/J3,"")</f>
        <v/>
      </c>
      <c r="K45" s="27">
        <f>IFERROR(K43/K3,"")</f>
        <v/>
      </c>
      <c r="L45" s="27">
        <f>IFERROR(L43/L3,"")</f>
        <v/>
      </c>
      <c r="M45" s="27">
        <f>IFERROR(M43/M3,"")</f>
        <v/>
      </c>
      <c r="N45" s="27">
        <f>IFERROR(N43/N3,"")</f>
        <v/>
      </c>
      <c r="O45" s="27">
        <f>IFERROR(O43/O3,"")</f>
        <v/>
      </c>
      <c r="P45" s="27">
        <f>IFERROR(P43/P3,"")</f>
        <v/>
      </c>
      <c r="Q45" s="27">
        <f>IFERROR(Q43/Q3,"")</f>
        <v/>
      </c>
      <c r="R45" s="27">
        <f>IFERROR(R43/R3,"")</f>
        <v/>
      </c>
      <c r="S45" s="27">
        <f>IFERROR(S43/S3,"")</f>
        <v/>
      </c>
      <c r="T45" s="27">
        <f>IFERROR(T43/T3,"")</f>
        <v/>
      </c>
      <c r="U45" s="27">
        <f>IFERROR(U43/U3,"")</f>
        <v/>
      </c>
      <c r="V45" s="27">
        <f>IFERROR(V43/V3,"")</f>
        <v/>
      </c>
      <c r="W45" s="27">
        <f>IFERROR(W43/W3,"")</f>
        <v/>
      </c>
      <c r="X45" s="27">
        <f>IFERROR(X43/X3,"")</f>
        <v/>
      </c>
      <c r="Y45" s="27">
        <f>IFERROR(Y43/Y3,"")</f>
        <v/>
      </c>
      <c r="Z45" s="27">
        <f>IFERROR(Z43/Z3,"")</f>
        <v/>
      </c>
      <c r="AA45" s="27">
        <f>IFERROR(AA43/AA3,"")</f>
        <v/>
      </c>
      <c r="AB45" s="27">
        <f>IFERROR(AB43/AB3,"")</f>
        <v/>
      </c>
      <c r="AC45" s="27">
        <f>IFERROR(AC43/AC3,"")</f>
        <v/>
      </c>
    </row>
    <row r="46">
      <c r="A46" s="4" t="inlineStr">
        <is>
          <t>Other Products And Services</t>
        </is>
      </c>
      <c r="B46" s="20" t="n">
        <v>779</v>
      </c>
      <c r="C46" s="20" t="n">
        <v>855</v>
      </c>
      <c r="D46" s="20" t="n">
        <v>959</v>
      </c>
      <c r="E46" s="20" t="n">
        <v>961</v>
      </c>
      <c r="F46" s="20" t="n">
        <v>993</v>
      </c>
      <c r="G46" s="20" t="n">
        <v>1032</v>
      </c>
      <c r="H46" s="20" t="n">
        <v>1143</v>
      </c>
      <c r="I46" s="20" t="n">
        <v>1125</v>
      </c>
      <c r="J46" s="20" t="n">
        <v>1179</v>
      </c>
      <c r="K46" s="20" t="n">
        <v>1227</v>
      </c>
      <c r="L46" s="20" t="n">
        <v>1357</v>
      </c>
      <c r="M46" s="20" t="n">
        <v>1304</v>
      </c>
      <c r="N46" s="20" t="n">
        <v>1403</v>
      </c>
      <c r="O46" s="20" t="n">
        <v>1348</v>
      </c>
      <c r="P46" s="20" t="n">
        <v>1359</v>
      </c>
      <c r="Q46" s="20" t="n">
        <v>1428</v>
      </c>
      <c r="R46" s="20" t="n">
        <v>-3924</v>
      </c>
      <c r="S46" s="20" t="n">
        <v>8</v>
      </c>
      <c r="T46" s="20" t="n">
        <v>11</v>
      </c>
      <c r="U46" s="20" t="n">
        <v>14</v>
      </c>
      <c r="V46" s="20" t="n">
        <v>12</v>
      </c>
      <c r="W46" s="20" t="n">
        <v>10</v>
      </c>
      <c r="X46" s="20" t="n">
        <v>10</v>
      </c>
      <c r="Y46" s="20" t="n">
        <v>46</v>
      </c>
      <c r="Z46" s="20" t="n">
        <v>6</v>
      </c>
      <c r="AA46" s="20" t="n">
        <v>3</v>
      </c>
      <c r="AB46" s="20" t="n">
        <v>6</v>
      </c>
      <c r="AC46" s="20" t="n">
        <v>3</v>
      </c>
    </row>
    <row r="47">
      <c r="A47" s="4" t="inlineStr">
        <is>
          <t xml:space="preserve">    % YoY</t>
        </is>
      </c>
      <c r="F47" s="27">
        <f>IFERROR(F46/B46-1,"")</f>
        <v/>
      </c>
      <c r="G47" s="27">
        <f>IFERROR(G46/C46-1,"")</f>
        <v/>
      </c>
      <c r="H47" s="27">
        <f>IFERROR(H46/D46-1,"")</f>
        <v/>
      </c>
      <c r="I47" s="27">
        <f>IFERROR(I46/E46-1,"")</f>
        <v/>
      </c>
      <c r="J47" s="27">
        <f>IFERROR(J46/F46-1,"")</f>
        <v/>
      </c>
      <c r="K47" s="27">
        <f>IFERROR(K46/G46-1,"")</f>
        <v/>
      </c>
      <c r="L47" s="27">
        <f>IFERROR(L46/H46-1,"")</f>
        <v/>
      </c>
      <c r="M47" s="27">
        <f>IFERROR(M46/I46-1,"")</f>
        <v/>
      </c>
      <c r="N47" s="27">
        <f>IFERROR(N46/J46-1,"")</f>
        <v/>
      </c>
      <c r="O47" s="27">
        <f>IFERROR(O46/K46-1,"")</f>
        <v/>
      </c>
      <c r="P47" s="27">
        <f>IFERROR(P46/L46-1,"")</f>
        <v/>
      </c>
      <c r="Q47" s="27">
        <f>IFERROR(Q46/M46-1,"")</f>
        <v/>
      </c>
      <c r="R47" s="27">
        <f>IFERROR(R46/N46-1,"")</f>
        <v/>
      </c>
      <c r="S47" s="27">
        <f>IFERROR(S46/O46-1,"")</f>
        <v/>
      </c>
      <c r="T47" s="27">
        <f>IFERROR(T46/P46-1,"")</f>
        <v/>
      </c>
      <c r="U47" s="27">
        <f>IFERROR(U46/Q46-1,"")</f>
        <v/>
      </c>
      <c r="V47" s="27">
        <f>IFERROR(V46/R46-1,"")</f>
        <v/>
      </c>
      <c r="W47" s="27">
        <f>IFERROR(W46/S46-1,"")</f>
        <v/>
      </c>
      <c r="X47" s="27">
        <f>IFERROR(X46/T46-1,"")</f>
        <v/>
      </c>
      <c r="Y47" s="27">
        <f>IFERROR(Y46/U46-1,"")</f>
        <v/>
      </c>
      <c r="Z47" s="27">
        <f>IFERROR(Z46/V46-1,"")</f>
        <v/>
      </c>
      <c r="AA47" s="27">
        <f>IFERROR(AA46/W46-1,"")</f>
        <v/>
      </c>
      <c r="AB47" s="27">
        <f>IFERROR(AB46/X46-1,"")</f>
        <v/>
      </c>
      <c r="AC47" s="27">
        <f>IFERROR(AC46/Y46-1,"")</f>
        <v/>
      </c>
    </row>
    <row r="48">
      <c r="A48" s="4" t="inlineStr">
        <is>
          <t xml:space="preserve">    % of revenue</t>
        </is>
      </c>
      <c r="B48" s="27">
        <f>IFERROR(B46/B3,"")</f>
        <v/>
      </c>
      <c r="C48" s="27">
        <f>IFERROR(C46/C3,"")</f>
        <v/>
      </c>
      <c r="D48" s="27">
        <f>IFERROR(D46/D3,"")</f>
        <v/>
      </c>
      <c r="E48" s="27">
        <f>IFERROR(E46/E3,"")</f>
        <v/>
      </c>
      <c r="F48" s="27">
        <f>IFERROR(F46/F3,"")</f>
        <v/>
      </c>
      <c r="G48" s="27">
        <f>IFERROR(G46/G3,"")</f>
        <v/>
      </c>
      <c r="H48" s="27">
        <f>IFERROR(H46/H3,"")</f>
        <v/>
      </c>
      <c r="I48" s="27">
        <f>IFERROR(I46/I3,"")</f>
        <v/>
      </c>
      <c r="J48" s="27">
        <f>IFERROR(J46/J3,"")</f>
        <v/>
      </c>
      <c r="K48" s="27">
        <f>IFERROR(K46/K3,"")</f>
        <v/>
      </c>
      <c r="L48" s="27">
        <f>IFERROR(L46/L3,"")</f>
        <v/>
      </c>
      <c r="M48" s="27">
        <f>IFERROR(M46/M3,"")</f>
        <v/>
      </c>
      <c r="N48" s="27">
        <f>IFERROR(N46/N3,"")</f>
        <v/>
      </c>
      <c r="O48" s="27">
        <f>IFERROR(O46/O3,"")</f>
        <v/>
      </c>
      <c r="P48" s="27">
        <f>IFERROR(P46/P3,"")</f>
        <v/>
      </c>
      <c r="Q48" s="27">
        <f>IFERROR(Q46/Q3,"")</f>
        <v/>
      </c>
      <c r="R48" s="27">
        <f>IFERROR(R46/R3,"")</f>
        <v/>
      </c>
      <c r="S48" s="27">
        <f>IFERROR(S46/S3,"")</f>
        <v/>
      </c>
      <c r="T48" s="27">
        <f>IFERROR(T46/T3,"")</f>
        <v/>
      </c>
      <c r="U48" s="27">
        <f>IFERROR(U46/U3,"")</f>
        <v/>
      </c>
      <c r="V48" s="27">
        <f>IFERROR(V46/V3,"")</f>
        <v/>
      </c>
      <c r="W48" s="27">
        <f>IFERROR(W46/W3,"")</f>
        <v/>
      </c>
      <c r="X48" s="27">
        <f>IFERROR(X46/X3,"")</f>
        <v/>
      </c>
      <c r="Y48" s="27">
        <f>IFERROR(Y46/Y3,"")</f>
        <v/>
      </c>
      <c r="Z48" s="27">
        <f>IFERROR(Z46/Z3,"")</f>
        <v/>
      </c>
      <c r="AA48" s="27">
        <f>IFERROR(AA46/AA3,"")</f>
        <v/>
      </c>
      <c r="AB48" s="27">
        <f>IFERROR(AB46/AB3,"")</f>
        <v/>
      </c>
      <c r="AC48" s="27">
        <f>IFERROR(AC46/AC3,"")</f>
        <v/>
      </c>
    </row>
    <row r="49">
      <c r="A49" s="5" t="inlineStr">
        <is>
          <t xml:space="preserve">  REVENUE BY SEGMENT — GEOGRAPHY (% YoY, % of revenue)</t>
        </is>
      </c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6" t="n"/>
      <c r="AB49" s="6" t="n"/>
      <c r="AC49" s="6" t="n"/>
    </row>
    <row r="50">
      <c r="A50" s="4" t="inlineStr">
        <is>
          <t>UNITED STATES</t>
        </is>
      </c>
      <c r="B50" s="20" t="n">
        <v>17300</v>
      </c>
      <c r="C50" s="20" t="n">
        <v>17270</v>
      </c>
      <c r="D50" s="20" t="n">
        <v>19149</v>
      </c>
      <c r="E50" s="20" t="n">
        <v>17428</v>
      </c>
      <c r="F50" s="20" t="n">
        <v>19313</v>
      </c>
      <c r="G50" s="20" t="n">
        <v>19025</v>
      </c>
      <c r="H50" s="20" t="n">
        <v>21836</v>
      </c>
      <c r="I50" s="20" t="n">
        <v>20373</v>
      </c>
      <c r="J50" s="20" t="n">
        <v>22719</v>
      </c>
      <c r="K50" s="20" t="n">
        <v>22830</v>
      </c>
      <c r="L50" s="20" t="n">
        <v>26463</v>
      </c>
      <c r="M50" s="20" t="n">
        <v>24771</v>
      </c>
      <c r="N50" s="20" t="n">
        <v>26154</v>
      </c>
      <c r="O50" s="20" t="n">
        <v>25867</v>
      </c>
      <c r="P50" s="20" t="n">
        <v>26976</v>
      </c>
      <c r="Q50" s="20" t="n">
        <v>26007</v>
      </c>
      <c r="R50" s="20" t="n">
        <v>27894</v>
      </c>
      <c r="S50" s="20" t="n">
        <v>28812</v>
      </c>
      <c r="T50" s="20" t="n">
        <v>32295</v>
      </c>
      <c r="U50" s="20" t="n">
        <v>31437</v>
      </c>
      <c r="V50" s="20" t="n">
        <v>32160</v>
      </c>
      <c r="W50" s="20" t="n">
        <v>33913</v>
      </c>
      <c r="X50" s="20" t="n">
        <v>35537</v>
      </c>
      <c r="Y50" s="20" t="n">
        <v>36084</v>
      </c>
      <c r="Z50" s="20" t="n">
        <v>39012</v>
      </c>
      <c r="AA50" s="20" t="n">
        <v>40077</v>
      </c>
      <c r="AB50" s="20" t="n">
        <v>41410</v>
      </c>
      <c r="AC50" s="20" t="n">
        <v>42336</v>
      </c>
    </row>
    <row r="51">
      <c r="A51" s="4" t="inlineStr">
        <is>
          <t xml:space="preserve">    % YoY</t>
        </is>
      </c>
      <c r="F51" s="27">
        <f>IFERROR(F50/B50-1,"")</f>
        <v/>
      </c>
      <c r="G51" s="27">
        <f>IFERROR(G50/C50-1,"")</f>
        <v/>
      </c>
      <c r="H51" s="27">
        <f>IFERROR(H50/D50-1,"")</f>
        <v/>
      </c>
      <c r="I51" s="27">
        <f>IFERROR(I50/E50-1,"")</f>
        <v/>
      </c>
      <c r="J51" s="27">
        <f>IFERROR(J50/F50-1,"")</f>
        <v/>
      </c>
      <c r="K51" s="27">
        <f>IFERROR(K50/G50-1,"")</f>
        <v/>
      </c>
      <c r="L51" s="27">
        <f>IFERROR(L50/H50-1,"")</f>
        <v/>
      </c>
      <c r="M51" s="27">
        <f>IFERROR(M50/I50-1,"")</f>
        <v/>
      </c>
      <c r="N51" s="27">
        <f>IFERROR(N50/J50-1,"")</f>
        <v/>
      </c>
      <c r="O51" s="27">
        <f>IFERROR(O50/K50-1,"")</f>
        <v/>
      </c>
      <c r="P51" s="27">
        <f>IFERROR(P50/L50-1,"")</f>
        <v/>
      </c>
      <c r="Q51" s="27">
        <f>IFERROR(Q50/M50-1,"")</f>
        <v/>
      </c>
      <c r="R51" s="27">
        <f>IFERROR(R50/N50-1,"")</f>
        <v/>
      </c>
      <c r="S51" s="27">
        <f>IFERROR(S50/O50-1,"")</f>
        <v/>
      </c>
      <c r="T51" s="27">
        <f>IFERROR(T50/P50-1,"")</f>
        <v/>
      </c>
      <c r="U51" s="27">
        <f>IFERROR(U50/Q50-1,"")</f>
        <v/>
      </c>
      <c r="V51" s="27">
        <f>IFERROR(V50/R50-1,"")</f>
        <v/>
      </c>
      <c r="W51" s="27">
        <f>IFERROR(W50/S50-1,"")</f>
        <v/>
      </c>
      <c r="X51" s="27">
        <f>IFERROR(X50/T50-1,"")</f>
        <v/>
      </c>
      <c r="Y51" s="27">
        <f>IFERROR(Y50/U50-1,"")</f>
        <v/>
      </c>
      <c r="Z51" s="27">
        <f>IFERROR(Z50/V50-1,"")</f>
        <v/>
      </c>
      <c r="AA51" s="27">
        <f>IFERROR(AA50/W50-1,"")</f>
        <v/>
      </c>
      <c r="AB51" s="27">
        <f>IFERROR(AB50/X50-1,"")</f>
        <v/>
      </c>
      <c r="AC51" s="27">
        <f>IFERROR(AC50/Y50-1,"")</f>
        <v/>
      </c>
    </row>
    <row r="52">
      <c r="A52" s="4" t="inlineStr">
        <is>
          <t xml:space="preserve">    % of revenue</t>
        </is>
      </c>
      <c r="B52" s="27">
        <f>IFERROR(B50/B3,"")</f>
        <v/>
      </c>
      <c r="C52" s="27">
        <f>IFERROR(C50/C3,"")</f>
        <v/>
      </c>
      <c r="D52" s="27">
        <f>IFERROR(D50/D3,"")</f>
        <v/>
      </c>
      <c r="E52" s="27">
        <f>IFERROR(E50/E3,"")</f>
        <v/>
      </c>
      <c r="F52" s="27">
        <f>IFERROR(F50/F3,"")</f>
        <v/>
      </c>
      <c r="G52" s="27">
        <f>IFERROR(G50/G3,"")</f>
        <v/>
      </c>
      <c r="H52" s="27">
        <f>IFERROR(H50/H3,"")</f>
        <v/>
      </c>
      <c r="I52" s="27">
        <f>IFERROR(I50/I3,"")</f>
        <v/>
      </c>
      <c r="J52" s="27">
        <f>IFERROR(J50/J3,"")</f>
        <v/>
      </c>
      <c r="K52" s="27">
        <f>IFERROR(K50/K3,"")</f>
        <v/>
      </c>
      <c r="L52" s="27">
        <f>IFERROR(L50/L3,"")</f>
        <v/>
      </c>
      <c r="M52" s="27">
        <f>IFERROR(M50/M3,"")</f>
        <v/>
      </c>
      <c r="N52" s="27">
        <f>IFERROR(N50/N3,"")</f>
        <v/>
      </c>
      <c r="O52" s="27">
        <f>IFERROR(O50/O3,"")</f>
        <v/>
      </c>
      <c r="P52" s="27">
        <f>IFERROR(P50/P3,"")</f>
        <v/>
      </c>
      <c r="Q52" s="27">
        <f>IFERROR(Q50/Q3,"")</f>
        <v/>
      </c>
      <c r="R52" s="27">
        <f>IFERROR(R50/R3,"")</f>
        <v/>
      </c>
      <c r="S52" s="27">
        <f>IFERROR(S50/S3,"")</f>
        <v/>
      </c>
      <c r="T52" s="27">
        <f>IFERROR(T50/T3,"")</f>
        <v/>
      </c>
      <c r="U52" s="27">
        <f>IFERROR(U50/U3,"")</f>
        <v/>
      </c>
      <c r="V52" s="27">
        <f>IFERROR(V50/V3,"")</f>
        <v/>
      </c>
      <c r="W52" s="27">
        <f>IFERROR(W50/W3,"")</f>
        <v/>
      </c>
      <c r="X52" s="27">
        <f>IFERROR(X50/X3,"")</f>
        <v/>
      </c>
      <c r="Y52" s="27">
        <f>IFERROR(Y50/Y3,"")</f>
        <v/>
      </c>
      <c r="Z52" s="27">
        <f>IFERROR(Z50/Z3,"")</f>
        <v/>
      </c>
      <c r="AA52" s="27">
        <f>IFERROR(AA50/AA3,"")</f>
        <v/>
      </c>
      <c r="AB52" s="27">
        <f>IFERROR(AB50/AB3,"")</f>
        <v/>
      </c>
      <c r="AC52" s="27">
        <f>IFERROR(AC50/AC3,"")</f>
        <v/>
      </c>
    </row>
    <row r="53">
      <c r="A53" s="4" t="inlineStr">
        <is>
          <t>Non Us</t>
        </is>
      </c>
      <c r="B53" s="20" t="n">
        <v>16417</v>
      </c>
      <c r="C53" s="20" t="n">
        <v>15785</v>
      </c>
      <c r="D53" s="20" t="n">
        <v>17757</v>
      </c>
      <c r="E53" s="20" t="n">
        <v>17593</v>
      </c>
      <c r="F53" s="20" t="n">
        <v>18720</v>
      </c>
      <c r="G53" s="20" t="n">
        <v>18129</v>
      </c>
      <c r="H53" s="20" t="n">
        <v>21240</v>
      </c>
      <c r="I53" s="20" t="n">
        <v>21333</v>
      </c>
      <c r="J53" s="20" t="n">
        <v>23433</v>
      </c>
      <c r="K53" s="20" t="n">
        <v>22487</v>
      </c>
      <c r="L53" s="20" t="n">
        <v>25265</v>
      </c>
      <c r="M53" s="20" t="n">
        <v>24589</v>
      </c>
      <c r="N53" s="20" t="n">
        <v>25711</v>
      </c>
      <c r="O53" s="20" t="n">
        <v>24255</v>
      </c>
      <c r="P53" s="20" t="n">
        <v>25771</v>
      </c>
      <c r="Q53" s="20" t="n">
        <v>26850</v>
      </c>
      <c r="R53" s="20" t="n">
        <v>28295</v>
      </c>
      <c r="S53" s="20" t="n">
        <v>27705</v>
      </c>
      <c r="T53" s="20" t="n">
        <v>29725</v>
      </c>
      <c r="U53" s="20" t="n">
        <v>30421</v>
      </c>
      <c r="V53" s="20" t="n">
        <v>32567</v>
      </c>
      <c r="W53" s="20" t="n">
        <v>31672</v>
      </c>
      <c r="X53" s="20" t="n">
        <v>34095</v>
      </c>
      <c r="Y53" s="20" t="n">
        <v>33982</v>
      </c>
      <c r="Z53" s="20" t="n">
        <v>37429</v>
      </c>
      <c r="AA53" s="20" t="n">
        <v>37596</v>
      </c>
      <c r="AB53" s="20" t="n">
        <v>39863</v>
      </c>
      <c r="AC53" s="20" t="n">
        <v>40550</v>
      </c>
    </row>
    <row r="54">
      <c r="A54" s="4" t="inlineStr">
        <is>
          <t xml:space="preserve">    % YoY</t>
        </is>
      </c>
      <c r="F54" s="27">
        <f>IFERROR(F53/B53-1,"")</f>
        <v/>
      </c>
      <c r="G54" s="27">
        <f>IFERROR(G53/C53-1,"")</f>
        <v/>
      </c>
      <c r="H54" s="27">
        <f>IFERROR(H53/D53-1,"")</f>
        <v/>
      </c>
      <c r="I54" s="27">
        <f>IFERROR(I53/E53-1,"")</f>
        <v/>
      </c>
      <c r="J54" s="27">
        <f>IFERROR(J53/F53-1,"")</f>
        <v/>
      </c>
      <c r="K54" s="27">
        <f>IFERROR(K53/G53-1,"")</f>
        <v/>
      </c>
      <c r="L54" s="27">
        <f>IFERROR(L53/H53-1,"")</f>
        <v/>
      </c>
      <c r="M54" s="27">
        <f>IFERROR(M53/I53-1,"")</f>
        <v/>
      </c>
      <c r="N54" s="27">
        <f>IFERROR(N53/J53-1,"")</f>
        <v/>
      </c>
      <c r="O54" s="27">
        <f>IFERROR(O53/K53-1,"")</f>
        <v/>
      </c>
      <c r="P54" s="27">
        <f>IFERROR(P53/L53-1,"")</f>
        <v/>
      </c>
      <c r="Q54" s="27">
        <f>IFERROR(Q53/M53-1,"")</f>
        <v/>
      </c>
      <c r="R54" s="27">
        <f>IFERROR(R53/N53-1,"")</f>
        <v/>
      </c>
      <c r="S54" s="27">
        <f>IFERROR(S53/O53-1,"")</f>
        <v/>
      </c>
      <c r="T54" s="27">
        <f>IFERROR(T53/P53-1,"")</f>
        <v/>
      </c>
      <c r="U54" s="27">
        <f>IFERROR(U53/Q53-1,"")</f>
        <v/>
      </c>
      <c r="V54" s="27">
        <f>IFERROR(V53/R53-1,"")</f>
        <v/>
      </c>
      <c r="W54" s="27">
        <f>IFERROR(W53/S53-1,"")</f>
        <v/>
      </c>
      <c r="X54" s="27">
        <f>IFERROR(X53/T53-1,"")</f>
        <v/>
      </c>
      <c r="Y54" s="27">
        <f>IFERROR(Y53/U53-1,"")</f>
        <v/>
      </c>
      <c r="Z54" s="27">
        <f>IFERROR(Z53/V53-1,"")</f>
        <v/>
      </c>
      <c r="AA54" s="27">
        <f>IFERROR(AA53/W53-1,"")</f>
        <v/>
      </c>
      <c r="AB54" s="27">
        <f>IFERROR(AB53/X53-1,"")</f>
        <v/>
      </c>
      <c r="AC54" s="27">
        <f>IFERROR(AC53/Y53-1,"")</f>
        <v/>
      </c>
    </row>
    <row r="55">
      <c r="A55" s="4" t="inlineStr">
        <is>
          <t xml:space="preserve">    % of revenue</t>
        </is>
      </c>
      <c r="B55" s="27">
        <f>IFERROR(B53/B3,"")</f>
        <v/>
      </c>
      <c r="C55" s="27">
        <f>IFERROR(C53/C3,"")</f>
        <v/>
      </c>
      <c r="D55" s="27">
        <f>IFERROR(D53/D3,"")</f>
        <v/>
      </c>
      <c r="E55" s="27">
        <f>IFERROR(E53/E3,"")</f>
        <v/>
      </c>
      <c r="F55" s="27">
        <f>IFERROR(F53/F3,"")</f>
        <v/>
      </c>
      <c r="G55" s="27">
        <f>IFERROR(G53/G3,"")</f>
        <v/>
      </c>
      <c r="H55" s="27">
        <f>IFERROR(H53/H3,"")</f>
        <v/>
      </c>
      <c r="I55" s="27">
        <f>IFERROR(I53/I3,"")</f>
        <v/>
      </c>
      <c r="J55" s="27">
        <f>IFERROR(J53/J3,"")</f>
        <v/>
      </c>
      <c r="K55" s="27">
        <f>IFERROR(K53/K3,"")</f>
        <v/>
      </c>
      <c r="L55" s="27">
        <f>IFERROR(L53/L3,"")</f>
        <v/>
      </c>
      <c r="M55" s="27">
        <f>IFERROR(M53/M3,"")</f>
        <v/>
      </c>
      <c r="N55" s="27">
        <f>IFERROR(N53/N3,"")</f>
        <v/>
      </c>
      <c r="O55" s="27">
        <f>IFERROR(O53/O3,"")</f>
        <v/>
      </c>
      <c r="P55" s="27">
        <f>IFERROR(P53/P3,"")</f>
        <v/>
      </c>
      <c r="Q55" s="27">
        <f>IFERROR(Q53/Q3,"")</f>
        <v/>
      </c>
      <c r="R55" s="27">
        <f>IFERROR(R53/R3,"")</f>
        <v/>
      </c>
      <c r="S55" s="27">
        <f>IFERROR(S53/S3,"")</f>
        <v/>
      </c>
      <c r="T55" s="27">
        <f>IFERROR(T53/T3,"")</f>
        <v/>
      </c>
      <c r="U55" s="27">
        <f>IFERROR(U53/U3,"")</f>
        <v/>
      </c>
      <c r="V55" s="27">
        <f>IFERROR(V53/V3,"")</f>
        <v/>
      </c>
      <c r="W55" s="27">
        <f>IFERROR(W53/W3,"")</f>
        <v/>
      </c>
      <c r="X55" s="27">
        <f>IFERROR(X53/X3,"")</f>
        <v/>
      </c>
      <c r="Y55" s="27">
        <f>IFERROR(Y53/Y3,"")</f>
        <v/>
      </c>
      <c r="Z55" s="27">
        <f>IFERROR(Z53/Z3,"")</f>
        <v/>
      </c>
      <c r="AA55" s="27">
        <f>IFERROR(AA53/AA3,"")</f>
        <v/>
      </c>
      <c r="AB55" s="27">
        <f>IFERROR(AB53/AB3,"")</f>
        <v/>
      </c>
      <c r="AC55" s="27">
        <f>IFERROR(AC53/AC3,"")</f>
        <v/>
      </c>
    </row>
    <row r="56">
      <c r="A56" s="5" t="inlineStr">
        <is>
          <t xml:space="preserve">  BALANCE SHEET</t>
        </is>
      </c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  <c r="AA56" s="6" t="n"/>
      <c r="AB56" s="6" t="n"/>
      <c r="AC56" s="6" t="n"/>
    </row>
    <row r="57">
      <c r="A57" s="4" t="inlineStr">
        <is>
          <t>Cash &amp; ST Investments</t>
        </is>
      </c>
      <c r="B57" s="20" t="n">
        <v>133819</v>
      </c>
      <c r="C57" s="20" t="n">
        <v>136636</v>
      </c>
      <c r="D57" s="20" t="n">
        <v>134253</v>
      </c>
      <c r="E57" s="20" t="n">
        <v>137626</v>
      </c>
      <c r="F57" s="20" t="n">
        <v>136527</v>
      </c>
      <c r="G57" s="20" t="n">
        <v>137977</v>
      </c>
      <c r="H57" s="20" t="n">
        <v>131968</v>
      </c>
      <c r="I57" s="20" t="n">
        <v>125407</v>
      </c>
      <c r="J57" s="20" t="n">
        <v>130256</v>
      </c>
      <c r="K57" s="20" t="n">
        <v>130584</v>
      </c>
      <c r="L57" s="20" t="n">
        <v>125348</v>
      </c>
      <c r="M57" s="20" t="n">
        <v>104660</v>
      </c>
      <c r="N57" s="20" t="n">
        <v>104749</v>
      </c>
      <c r="O57" s="20" t="n">
        <v>107244</v>
      </c>
      <c r="P57" s="20" t="n">
        <v>99495</v>
      </c>
      <c r="Q57" s="20" t="n">
        <v>104419</v>
      </c>
      <c r="R57" s="20" t="n">
        <v>111256</v>
      </c>
      <c r="S57" s="20" t="n">
        <v>143945</v>
      </c>
      <c r="T57" s="20" t="n">
        <v>80982</v>
      </c>
      <c r="U57" s="20" t="n">
        <v>80013</v>
      </c>
      <c r="V57" s="20" t="n">
        <v>75531</v>
      </c>
      <c r="W57" s="20" t="n">
        <v>78429</v>
      </c>
      <c r="X57" s="20" t="n">
        <v>71551</v>
      </c>
      <c r="Y57" s="20" t="n">
        <v>79612</v>
      </c>
      <c r="Z57" s="20" t="n">
        <v>94555</v>
      </c>
      <c r="AA57" s="20" t="n">
        <v>102005</v>
      </c>
      <c r="AB57" s="20" t="n">
        <v>89456</v>
      </c>
      <c r="AC57" s="20" t="n">
        <v>78272</v>
      </c>
    </row>
    <row r="58">
      <c r="A58" s="4" t="inlineStr">
        <is>
          <t>Total Current Assets</t>
        </is>
      </c>
      <c r="B58" s="20" t="n">
        <v>175552</v>
      </c>
      <c r="C58" s="20" t="n">
        <v>165896</v>
      </c>
      <c r="D58" s="20" t="n">
        <v>167074</v>
      </c>
      <c r="E58" s="20" t="n">
        <v>170505</v>
      </c>
      <c r="F58" s="20" t="n">
        <v>181915</v>
      </c>
      <c r="G58" s="20" t="n">
        <v>177077</v>
      </c>
      <c r="H58" s="20" t="n">
        <v>173973</v>
      </c>
      <c r="I58" s="20" t="n">
        <v>165614</v>
      </c>
      <c r="J58" s="20" t="n">
        <v>184406</v>
      </c>
      <c r="K58" s="20" t="n">
        <v>174326</v>
      </c>
      <c r="L58" s="20" t="n">
        <v>174188</v>
      </c>
      <c r="M58" s="20" t="n">
        <v>153922</v>
      </c>
      <c r="N58" s="20" t="n">
        <v>169684</v>
      </c>
      <c r="O58" s="20" t="n">
        <v>160812</v>
      </c>
      <c r="P58" s="20" t="n">
        <v>157823</v>
      </c>
      <c r="Q58" s="20" t="n">
        <v>163889</v>
      </c>
      <c r="R58" s="20" t="n">
        <v>184257</v>
      </c>
      <c r="S58" s="20" t="n">
        <v>207586</v>
      </c>
      <c r="T58" s="20" t="n">
        <v>147393</v>
      </c>
      <c r="U58" s="20" t="n">
        <v>147180</v>
      </c>
      <c r="V58" s="20" t="n">
        <v>159734</v>
      </c>
      <c r="W58" s="20" t="n">
        <v>149926</v>
      </c>
      <c r="X58" s="20" t="n">
        <v>147080</v>
      </c>
      <c r="Y58" s="20" t="n">
        <v>156644</v>
      </c>
      <c r="Z58" s="20" t="n">
        <v>191131</v>
      </c>
      <c r="AA58" s="20" t="n">
        <v>189066</v>
      </c>
      <c r="AB58" s="20" t="n">
        <v>180190</v>
      </c>
      <c r="AC58" s="20" t="n">
        <v>175329</v>
      </c>
    </row>
    <row r="59">
      <c r="A59" s="4" t="inlineStr">
        <is>
          <t>PP&amp;E (net)</t>
        </is>
      </c>
      <c r="B59" s="20" t="n">
        <v>43856</v>
      </c>
      <c r="C59" s="20" t="n">
        <v>46299</v>
      </c>
      <c r="D59" s="20" t="n">
        <v>48961</v>
      </c>
      <c r="E59" s="20" t="n">
        <v>49669</v>
      </c>
      <c r="F59" s="20" t="n">
        <v>52904</v>
      </c>
      <c r="G59" s="20" t="n">
        <v>56974</v>
      </c>
      <c r="H59" s="20" t="n">
        <v>62035</v>
      </c>
      <c r="I59" s="20" t="n">
        <v>65618</v>
      </c>
      <c r="J59" s="20" t="n">
        <v>70803</v>
      </c>
      <c r="K59" s="20" t="n">
        <v>75347</v>
      </c>
      <c r="L59" s="20" t="n">
        <v>79568</v>
      </c>
      <c r="M59" s="20" t="n">
        <v>83214</v>
      </c>
      <c r="N59" s="20" t="n">
        <v>87546</v>
      </c>
      <c r="O59" s="20" t="n">
        <v>90384</v>
      </c>
      <c r="P59" s="20" t="n">
        <v>96379</v>
      </c>
      <c r="Q59" s="20" t="n">
        <v>102011</v>
      </c>
      <c r="R59" s="20" t="n">
        <v>109987</v>
      </c>
      <c r="S59" s="20" t="n">
        <v>117937</v>
      </c>
      <c r="T59" s="20" t="n">
        <v>128706</v>
      </c>
      <c r="U59" s="20" t="n">
        <v>138746</v>
      </c>
      <c r="V59" s="20" t="n">
        <v>154552</v>
      </c>
      <c r="W59" s="20" t="n">
        <v>173391</v>
      </c>
      <c r="X59" s="20" t="n">
        <v>189718</v>
      </c>
      <c r="Y59" s="20" t="n">
        <v>208414</v>
      </c>
      <c r="Z59" s="20" t="n">
        <v>229789</v>
      </c>
      <c r="AA59" s="20" t="n">
        <v>255652</v>
      </c>
      <c r="AB59" s="20" t="n">
        <v>286229</v>
      </c>
      <c r="AC59" s="20" t="n">
        <v>307631</v>
      </c>
    </row>
    <row r="60">
      <c r="A60" s="4" t="inlineStr">
        <is>
          <t>Total Assets</t>
        </is>
      </c>
      <c r="B60" s="20" t="n">
        <v>286556</v>
      </c>
      <c r="C60" s="20" t="n">
        <v>278955</v>
      </c>
      <c r="D60" s="20" t="n">
        <v>282794</v>
      </c>
      <c r="E60" s="20" t="n">
        <v>285449</v>
      </c>
      <c r="F60" s="20" t="n">
        <v>301311</v>
      </c>
      <c r="G60" s="20" t="n">
        <v>301001</v>
      </c>
      <c r="H60" s="20" t="n">
        <v>304137</v>
      </c>
      <c r="I60" s="20" t="n">
        <v>308879</v>
      </c>
      <c r="J60" s="20" t="n">
        <v>333779</v>
      </c>
      <c r="K60" s="20" t="n">
        <v>335418</v>
      </c>
      <c r="L60" s="20" t="n">
        <v>340389</v>
      </c>
      <c r="M60" s="20" t="n">
        <v>344607</v>
      </c>
      <c r="N60" s="20" t="n">
        <v>364840</v>
      </c>
      <c r="O60" s="20" t="n">
        <v>359784</v>
      </c>
      <c r="P60" s="20" t="n">
        <v>364552</v>
      </c>
      <c r="Q60" s="20" t="n">
        <v>380088</v>
      </c>
      <c r="R60" s="20" t="n">
        <v>411976</v>
      </c>
      <c r="S60" s="20" t="n">
        <v>445785</v>
      </c>
      <c r="T60" s="20" t="n">
        <v>470558</v>
      </c>
      <c r="U60" s="20" t="n">
        <v>484275</v>
      </c>
      <c r="V60" s="20" t="n">
        <v>512163</v>
      </c>
      <c r="W60" s="20" t="n">
        <v>523013</v>
      </c>
      <c r="X60" s="20" t="n">
        <v>533898</v>
      </c>
      <c r="Y60" s="20" t="n">
        <v>562624</v>
      </c>
      <c r="Z60" s="20" t="n">
        <v>619003</v>
      </c>
      <c r="AA60" s="20" t="n">
        <v>636351</v>
      </c>
      <c r="AB60" s="20" t="n">
        <v>665302</v>
      </c>
      <c r="AC60" s="20" t="n">
        <v>694228</v>
      </c>
    </row>
    <row r="61">
      <c r="A61" s="4" t="inlineStr">
        <is>
          <t>Total Current Liabilities</t>
        </is>
      </c>
      <c r="B61" s="20" t="n">
        <v>69420</v>
      </c>
      <c r="C61" s="20" t="n">
        <v>58118</v>
      </c>
      <c r="D61" s="20" t="n">
        <v>59640</v>
      </c>
      <c r="E61" s="20" t="n">
        <v>58707</v>
      </c>
      <c r="F61" s="20" t="n">
        <v>72310</v>
      </c>
      <c r="G61" s="20" t="n">
        <v>70056</v>
      </c>
      <c r="H61" s="20" t="n">
        <v>67486</v>
      </c>
      <c r="I61" s="20" t="n">
        <v>72193</v>
      </c>
      <c r="J61" s="20" t="n">
        <v>88657</v>
      </c>
      <c r="K61" s="20" t="n">
        <v>80528</v>
      </c>
      <c r="L61" s="20" t="n">
        <v>77510</v>
      </c>
      <c r="M61" s="20" t="n">
        <v>77439</v>
      </c>
      <c r="N61" s="20" t="n">
        <v>95082</v>
      </c>
      <c r="O61" s="20" t="n">
        <v>87389</v>
      </c>
      <c r="P61" s="20" t="n">
        <v>81718</v>
      </c>
      <c r="Q61" s="20" t="n">
        <v>85691</v>
      </c>
      <c r="R61" s="20" t="n">
        <v>104149</v>
      </c>
      <c r="S61" s="20" t="n">
        <v>124792</v>
      </c>
      <c r="T61" s="20" t="n">
        <v>121016</v>
      </c>
      <c r="U61" s="20" t="n">
        <v>118525</v>
      </c>
      <c r="V61" s="20" t="n">
        <v>125286</v>
      </c>
      <c r="W61" s="20" t="n">
        <v>115200</v>
      </c>
      <c r="X61" s="20" t="n">
        <v>108882</v>
      </c>
      <c r="Y61" s="20" t="n">
        <v>114206</v>
      </c>
      <c r="Z61" s="20" t="n">
        <v>141218</v>
      </c>
      <c r="AA61" s="20" t="n">
        <v>134996</v>
      </c>
      <c r="AB61" s="20" t="n">
        <v>130005</v>
      </c>
      <c r="AC61" s="20" t="n">
        <v>136661</v>
      </c>
    </row>
    <row r="62">
      <c r="A62" s="4" t="inlineStr">
        <is>
          <t>Long-term Debt</t>
        </is>
      </c>
      <c r="B62" s="20" t="n">
        <v>66662</v>
      </c>
      <c r="C62" s="20" t="n">
        <v>66478</v>
      </c>
      <c r="D62" s="20" t="n">
        <v>63361</v>
      </c>
      <c r="E62" s="20" t="n">
        <v>62862</v>
      </c>
      <c r="F62" s="20" t="n">
        <v>59578</v>
      </c>
      <c r="G62" s="20" t="n">
        <v>57055</v>
      </c>
      <c r="H62" s="20" t="n">
        <v>55136</v>
      </c>
      <c r="I62" s="20" t="n">
        <v>50007</v>
      </c>
      <c r="J62" s="20" t="n">
        <v>50074</v>
      </c>
      <c r="K62" s="20" t="n">
        <v>50039</v>
      </c>
      <c r="L62" s="20" t="n">
        <v>48260</v>
      </c>
      <c r="M62" s="20" t="n">
        <v>48177</v>
      </c>
      <c r="N62" s="20" t="n">
        <v>47032</v>
      </c>
      <c r="O62" s="20" t="n">
        <v>45374</v>
      </c>
      <c r="P62" s="20" t="n">
        <v>44119</v>
      </c>
      <c r="Q62" s="20" t="n">
        <v>41965</v>
      </c>
      <c r="R62" s="20" t="n">
        <v>41990</v>
      </c>
      <c r="S62" s="20" t="n">
        <v>41946</v>
      </c>
      <c r="T62" s="20" t="n">
        <v>44928</v>
      </c>
      <c r="U62" s="20" t="n">
        <v>42658</v>
      </c>
      <c r="V62" s="20" t="n">
        <v>42688</v>
      </c>
      <c r="W62" s="20" t="n">
        <v>42868</v>
      </c>
      <c r="X62" s="20" t="n">
        <v>39722</v>
      </c>
      <c r="Y62" s="20" t="n">
        <v>39882</v>
      </c>
      <c r="Z62" s="20" t="n">
        <v>40152</v>
      </c>
      <c r="AA62" s="20" t="n">
        <v>35376</v>
      </c>
      <c r="AB62" s="20" t="n">
        <v>35425</v>
      </c>
      <c r="AC62" s="20" t="n">
        <v>48126</v>
      </c>
    </row>
    <row r="63">
      <c r="A63" s="4" t="inlineStr">
        <is>
          <t>Total Equity</t>
        </is>
      </c>
      <c r="B63" s="20" t="n">
        <v>102330</v>
      </c>
      <c r="C63" s="20" t="n">
        <v>106061</v>
      </c>
      <c r="D63" s="20" t="n">
        <v>110109</v>
      </c>
      <c r="E63" s="20" t="n">
        <v>114501</v>
      </c>
      <c r="F63" s="20" t="n">
        <v>118304</v>
      </c>
      <c r="G63" s="20" t="n">
        <v>123392</v>
      </c>
      <c r="H63" s="20" t="n">
        <v>130236</v>
      </c>
      <c r="I63" s="20" t="n">
        <v>134505</v>
      </c>
      <c r="J63" s="20" t="n">
        <v>141988</v>
      </c>
      <c r="K63" s="20" t="n">
        <v>151978</v>
      </c>
      <c r="L63" s="20" t="n">
        <v>160010</v>
      </c>
      <c r="M63" s="20" t="n">
        <v>162924</v>
      </c>
      <c r="N63" s="20" t="n">
        <v>166542</v>
      </c>
      <c r="O63" s="20" t="n">
        <v>173566</v>
      </c>
      <c r="P63" s="20" t="n">
        <v>183136</v>
      </c>
      <c r="Q63" s="20" t="n">
        <v>194683</v>
      </c>
      <c r="R63" s="20" t="n">
        <v>206223</v>
      </c>
      <c r="S63" s="20" t="n">
        <v>220714</v>
      </c>
      <c r="T63" s="20" t="n">
        <v>238268</v>
      </c>
      <c r="U63" s="20" t="n">
        <v>253152</v>
      </c>
      <c r="V63" s="20" t="n">
        <v>268477</v>
      </c>
      <c r="W63" s="20" t="n">
        <v>287723</v>
      </c>
      <c r="X63" s="20" t="n">
        <v>302695</v>
      </c>
      <c r="Y63" s="20" t="n">
        <v>321891</v>
      </c>
      <c r="Z63" s="20" t="n">
        <v>343479</v>
      </c>
      <c r="AA63" s="20" t="n">
        <v>363076</v>
      </c>
      <c r="AB63" s="20" t="n">
        <v>390875</v>
      </c>
      <c r="AC63" s="20" t="n">
        <v>414367</v>
      </c>
    </row>
    <row r="64">
      <c r="A64" s="5" t="inlineStr">
        <is>
          <t xml:space="preserve">  CASH FLOW</t>
        </is>
      </c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  <c r="AA64" s="6" t="n"/>
      <c r="AB64" s="6" t="n"/>
      <c r="AC64" s="6" t="n"/>
    </row>
    <row r="65">
      <c r="A65" s="4" t="inlineStr">
        <is>
          <t>D&amp;A</t>
        </is>
      </c>
      <c r="B65" s="20" t="n">
        <v>2924</v>
      </c>
      <c r="C65" s="20" t="n">
        <v>2971</v>
      </c>
      <c r="D65" s="20" t="n">
        <v>3203</v>
      </c>
      <c r="E65" s="20" t="n">
        <v>3118</v>
      </c>
      <c r="F65" s="20" t="n">
        <v>3504</v>
      </c>
      <c r="G65" s="20" t="n">
        <v>2645</v>
      </c>
      <c r="H65" s="20" t="n">
        <v>2761</v>
      </c>
      <c r="I65" s="20" t="n">
        <v>2936</v>
      </c>
      <c r="J65" s="20" t="n">
        <v>3344</v>
      </c>
      <c r="K65" s="20" t="n">
        <v>3212</v>
      </c>
      <c r="L65" s="20" t="n">
        <v>3496</v>
      </c>
      <c r="M65" s="20" t="n">
        <v>3773</v>
      </c>
      <c r="N65" s="20" t="n">
        <v>3979</v>
      </c>
      <c r="O65" s="20" t="n">
        <v>2790</v>
      </c>
      <c r="P65" s="20" t="n">
        <v>3648</v>
      </c>
      <c r="Q65" s="20" t="n">
        <v>3549</v>
      </c>
      <c r="R65" s="20" t="n">
        <v>3874</v>
      </c>
      <c r="S65" s="20" t="n">
        <v>3921</v>
      </c>
      <c r="T65" s="20" t="n">
        <v>5959</v>
      </c>
      <c r="U65" s="20" t="n">
        <v>6027</v>
      </c>
      <c r="V65" s="20" t="n">
        <v>6380</v>
      </c>
      <c r="W65" s="20" t="n">
        <v>7383</v>
      </c>
      <c r="X65" s="20" t="n">
        <v>5667</v>
      </c>
      <c r="Y65" s="20" t="n">
        <v>8740</v>
      </c>
      <c r="Z65" s="20" t="n">
        <v>11203</v>
      </c>
      <c r="AA65" s="20" t="n">
        <v>13061</v>
      </c>
      <c r="AB65" s="20" t="n">
        <v>9198</v>
      </c>
      <c r="AC65" s="20" t="n">
        <v>10167</v>
      </c>
    </row>
    <row r="66">
      <c r="A66" s="4" t="inlineStr">
        <is>
          <t>Stock-based Compensation</t>
        </is>
      </c>
      <c r="B66" s="20" t="n">
        <v>1190</v>
      </c>
      <c r="C66" s="20" t="n">
        <v>1262</v>
      </c>
      <c r="D66" s="20" t="n">
        <v>1340</v>
      </c>
      <c r="E66" s="20" t="n">
        <v>1338</v>
      </c>
      <c r="F66" s="20" t="n">
        <v>1349</v>
      </c>
      <c r="G66" s="20" t="n">
        <v>1456</v>
      </c>
      <c r="H66" s="20" t="n">
        <v>1566</v>
      </c>
      <c r="I66" s="20" t="n">
        <v>1525</v>
      </c>
      <c r="J66" s="20" t="n">
        <v>1571</v>
      </c>
      <c r="K66" s="20" t="n">
        <v>1702</v>
      </c>
      <c r="L66" s="20" t="n">
        <v>1897</v>
      </c>
      <c r="M66" s="20" t="n">
        <v>1906</v>
      </c>
      <c r="N66" s="20" t="n">
        <v>1997</v>
      </c>
      <c r="O66" s="20" t="n">
        <v>2192</v>
      </c>
      <c r="P66" s="20" t="n">
        <v>2538</v>
      </c>
      <c r="Q66" s="20" t="n">
        <v>2465</v>
      </c>
      <c r="R66" s="20" t="n">
        <v>2416</v>
      </c>
      <c r="S66" s="20" t="n">
        <v>2507</v>
      </c>
      <c r="T66" s="20" t="n">
        <v>2828</v>
      </c>
      <c r="U66" s="20" t="n">
        <v>2703</v>
      </c>
      <c r="V66" s="20" t="n">
        <v>2696</v>
      </c>
      <c r="W66" s="20" t="n">
        <v>2832</v>
      </c>
      <c r="X66" s="20" t="n">
        <v>3089</v>
      </c>
      <c r="Y66" s="20" t="n">
        <v>2980</v>
      </c>
      <c r="Z66" s="20" t="n">
        <v>3073</v>
      </c>
      <c r="AA66" s="20" t="n">
        <v>2983</v>
      </c>
      <c r="AB66" s="20" t="n">
        <v>3219</v>
      </c>
      <c r="AC66" s="20" t="n">
        <v>3081</v>
      </c>
    </row>
    <row r="67">
      <c r="A67" s="4" t="inlineStr">
        <is>
          <t>Change in Working Capital</t>
        </is>
      </c>
      <c r="B67" s="20" t="n">
        <v>4852</v>
      </c>
      <c r="C67" s="20" t="n">
        <v>-927</v>
      </c>
      <c r="D67" s="20" t="n">
        <v>-5256</v>
      </c>
      <c r="E67" s="20" t="n">
        <v>2450</v>
      </c>
      <c r="F67" s="20" t="n">
        <v>2250</v>
      </c>
      <c r="G67" s="20" t="n">
        <v>1480</v>
      </c>
      <c r="H67" s="20" t="n">
        <v>-6903</v>
      </c>
      <c r="I67" s="20" t="n">
        <v>2700</v>
      </c>
      <c r="J67" s="20" t="n">
        <v>1787</v>
      </c>
      <c r="K67" s="20" t="n">
        <v>5455</v>
      </c>
      <c r="L67" s="20" t="n">
        <v>-9554</v>
      </c>
      <c r="M67" s="20" t="n">
        <v>3072</v>
      </c>
      <c r="N67" s="20" t="n">
        <v>1473</v>
      </c>
      <c r="O67" s="20" t="n">
        <v>1873</v>
      </c>
      <c r="P67" s="20" t="n">
        <v>-10347</v>
      </c>
      <c r="Q67" s="20" t="n">
        <v>1843</v>
      </c>
      <c r="R67" s="20" t="n">
        <v>4243</v>
      </c>
      <c r="S67" s="20" t="n">
        <v>2418</v>
      </c>
      <c r="T67" s="20" t="n">
        <v>-10300</v>
      </c>
      <c r="U67" s="20" t="n">
        <v>2522</v>
      </c>
      <c r="V67" s="20" t="n">
        <v>7184</v>
      </c>
      <c r="W67" s="20" t="n">
        <v>856</v>
      </c>
      <c r="X67" s="20" t="n">
        <v>-11551</v>
      </c>
      <c r="Y67" s="20" t="n">
        <v>2042</v>
      </c>
      <c r="Z67" s="20" t="n">
        <v>3303</v>
      </c>
      <c r="AA67" s="20" t="n">
        <v>-218</v>
      </c>
      <c r="AB67" s="20" t="n">
        <v>-9632</v>
      </c>
      <c r="AC67" s="20" t="n">
        <v>331</v>
      </c>
    </row>
    <row r="68">
      <c r="A68" s="4" t="inlineStr">
        <is>
          <t>Operating Cash Flow</t>
        </is>
      </c>
      <c r="B68" s="20" t="n">
        <v>16108</v>
      </c>
      <c r="C68" s="20" t="n">
        <v>13818</v>
      </c>
      <c r="D68" s="20" t="n">
        <v>10680</v>
      </c>
      <c r="E68" s="20" t="n">
        <v>17504</v>
      </c>
      <c r="F68" s="20" t="n">
        <v>18673</v>
      </c>
      <c r="G68" s="20" t="n">
        <v>19335</v>
      </c>
      <c r="H68" s="20" t="n">
        <v>12516</v>
      </c>
      <c r="I68" s="20" t="n">
        <v>22179</v>
      </c>
      <c r="J68" s="20" t="n">
        <v>22710</v>
      </c>
      <c r="K68" s="20" t="n">
        <v>24540</v>
      </c>
      <c r="L68" s="20" t="n">
        <v>14480</v>
      </c>
      <c r="M68" s="20" t="n">
        <v>25386</v>
      </c>
      <c r="N68" s="20" t="n">
        <v>24629</v>
      </c>
      <c r="O68" s="20" t="n">
        <v>23198</v>
      </c>
      <c r="P68" s="20" t="n">
        <v>11173</v>
      </c>
      <c r="Q68" s="20" t="n">
        <v>24441</v>
      </c>
      <c r="R68" s="20" t="n">
        <v>28770</v>
      </c>
      <c r="S68" s="20" t="n">
        <v>30583</v>
      </c>
      <c r="T68" s="20" t="n">
        <v>18853</v>
      </c>
      <c r="U68" s="20" t="n">
        <v>31917</v>
      </c>
      <c r="V68" s="20" t="n">
        <v>37195</v>
      </c>
      <c r="W68" s="20" t="n">
        <v>34180</v>
      </c>
      <c r="X68" s="20" t="n">
        <v>22291</v>
      </c>
      <c r="Y68" s="20" t="n">
        <v>37044</v>
      </c>
      <c r="Z68" s="20" t="n">
        <v>42647</v>
      </c>
      <c r="AA68" s="20" t="n">
        <v>45057</v>
      </c>
      <c r="AB68" s="20" t="n">
        <v>35758</v>
      </c>
      <c r="AC68" s="20" t="n">
        <v>46679</v>
      </c>
    </row>
    <row r="69">
      <c r="A69" s="4" t="inlineStr">
        <is>
          <t>Capex</t>
        </is>
      </c>
      <c r="B69" s="20" t="n">
        <v>-4051</v>
      </c>
      <c r="C69" s="20" t="n">
        <v>-3385</v>
      </c>
      <c r="D69" s="20" t="n">
        <v>-3545</v>
      </c>
      <c r="E69" s="20" t="n">
        <v>-3767</v>
      </c>
      <c r="F69" s="20" t="n">
        <v>-4744</v>
      </c>
      <c r="G69" s="20" t="n">
        <v>-4907</v>
      </c>
      <c r="H69" s="20" t="n">
        <v>-4174</v>
      </c>
      <c r="I69" s="20" t="n">
        <v>-5089</v>
      </c>
      <c r="J69" s="20" t="n">
        <v>-6452</v>
      </c>
      <c r="K69" s="20" t="n">
        <v>-5810</v>
      </c>
      <c r="L69" s="20" t="n">
        <v>-5865</v>
      </c>
      <c r="M69" s="20" t="n">
        <v>-5340</v>
      </c>
      <c r="N69" s="20" t="n">
        <v>-6871</v>
      </c>
      <c r="O69" s="20" t="n">
        <v>-6283</v>
      </c>
      <c r="P69" s="20" t="n">
        <v>-6274</v>
      </c>
      <c r="Q69" s="20" t="n">
        <v>-6607</v>
      </c>
      <c r="R69" s="20" t="n">
        <v>-8943</v>
      </c>
      <c r="S69" s="20" t="n">
        <v>-9917</v>
      </c>
      <c r="T69" s="20" t="n">
        <v>-9735</v>
      </c>
      <c r="U69" s="20" t="n">
        <v>-10952</v>
      </c>
      <c r="V69" s="20" t="n">
        <v>-13873</v>
      </c>
      <c r="W69" s="20" t="n">
        <v>-14923</v>
      </c>
      <c r="X69" s="20" t="n">
        <v>-15804</v>
      </c>
      <c r="Y69" s="20" t="n">
        <v>-16745</v>
      </c>
      <c r="Z69" s="20" t="n">
        <v>-17079</v>
      </c>
      <c r="AA69" s="20" t="n">
        <v>-19394</v>
      </c>
      <c r="AB69" s="20" t="n">
        <v>-29876</v>
      </c>
      <c r="AC69" s="20" t="n">
        <v>-30876</v>
      </c>
    </row>
    <row r="70">
      <c r="A70" s="4" t="inlineStr">
        <is>
          <t>Free Cash Flow</t>
        </is>
      </c>
      <c r="B70" s="20" t="n">
        <v>12057</v>
      </c>
      <c r="C70" s="20" t="n">
        <v>10433</v>
      </c>
      <c r="D70" s="20" t="n">
        <v>7135</v>
      </c>
      <c r="E70" s="20" t="n">
        <v>13737</v>
      </c>
      <c r="F70" s="20" t="n">
        <v>13929</v>
      </c>
      <c r="G70" s="20" t="n">
        <v>14428</v>
      </c>
      <c r="H70" s="20" t="n">
        <v>8342</v>
      </c>
      <c r="I70" s="20" t="n">
        <v>17090</v>
      </c>
      <c r="J70" s="20" t="n">
        <v>16258</v>
      </c>
      <c r="K70" s="20" t="n">
        <v>18730</v>
      </c>
      <c r="L70" s="20" t="n">
        <v>8615</v>
      </c>
      <c r="M70" s="20" t="n">
        <v>20046</v>
      </c>
      <c r="N70" s="20" t="n">
        <v>17758</v>
      </c>
      <c r="O70" s="20" t="n">
        <v>16915</v>
      </c>
      <c r="P70" s="20" t="n">
        <v>4899</v>
      </c>
      <c r="Q70" s="20" t="n">
        <v>17834</v>
      </c>
      <c r="R70" s="20" t="n">
        <v>19827</v>
      </c>
      <c r="S70" s="20" t="n">
        <v>20666</v>
      </c>
      <c r="T70" s="20" t="n">
        <v>9118</v>
      </c>
      <c r="U70" s="20" t="n">
        <v>20965</v>
      </c>
      <c r="V70" s="20" t="n">
        <v>23322</v>
      </c>
      <c r="W70" s="20" t="n">
        <v>19257</v>
      </c>
      <c r="X70" s="20" t="n">
        <v>6487</v>
      </c>
      <c r="Y70" s="20" t="n">
        <v>20299</v>
      </c>
      <c r="Z70" s="20" t="n">
        <v>25568</v>
      </c>
      <c r="AA70" s="20" t="n">
        <v>25663</v>
      </c>
      <c r="AB70" s="20" t="n">
        <v>5882</v>
      </c>
      <c r="AC70" s="20" t="n">
        <v>15803</v>
      </c>
    </row>
    <row r="72">
      <c r="A72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7" t="n">
        <v>2026</v>
      </c>
      <c r="C2" s="47" t="n">
        <v>2027</v>
      </c>
      <c r="D2" s="47" t="n">
        <v>2028</v>
      </c>
      <c r="E2" s="47" t="n">
        <v>2029</v>
      </c>
      <c r="F2" s="47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20" t="n">
        <v>329396.154634</v>
      </c>
      <c r="C4" s="20" t="n">
        <v>384288.281316</v>
      </c>
      <c r="D4" s="20" t="n">
        <v>454319.367677</v>
      </c>
      <c r="E4" s="20" t="n">
        <v>537235.395896</v>
      </c>
      <c r="F4" s="20" t="n">
        <v>651062.333333</v>
      </c>
    </row>
    <row r="5">
      <c r="A5" s="4" t="inlineStr">
        <is>
          <t xml:space="preserve">  model</t>
        </is>
      </c>
      <c r="B5" s="35">
        <f>Model!G24</f>
        <v/>
      </c>
      <c r="C5" s="35">
        <f>Model!H24</f>
        <v/>
      </c>
      <c r="D5" s="35">
        <f>Model!I24</f>
        <v/>
      </c>
      <c r="E5" s="35">
        <f>Model!J24</f>
        <v/>
      </c>
      <c r="F5" s="35">
        <f>Model!K24</f>
        <v/>
      </c>
    </row>
    <row r="6">
      <c r="A6" s="4" t="inlineStr">
        <is>
          <t xml:space="preserve">  vs consensus</t>
        </is>
      </c>
      <c r="B6" s="48">
        <f>IFERROR(B5/B4-1,"")</f>
        <v/>
      </c>
      <c r="C6" s="48">
        <f>IFERROR(C5/C4-1,"")</f>
        <v/>
      </c>
      <c r="D6" s="48">
        <f>IFERROR(D5/D4-1,"")</f>
        <v/>
      </c>
      <c r="E6" s="48">
        <f>IFERROR(E5/E4-1,"")</f>
        <v/>
      </c>
      <c r="F6" s="48">
        <f>IFERROR(F5/F4-1,"")</f>
        <v/>
      </c>
    </row>
    <row r="8">
      <c r="A8" s="3" t="inlineStr">
        <is>
          <t>EBITDA* — consensus</t>
        </is>
      </c>
      <c r="B8" s="20" t="n">
        <v>172559.859114</v>
      </c>
      <c r="C8" s="20" t="n">
        <v>201316.046803</v>
      </c>
      <c r="D8" s="20" t="n">
        <v>238003.039733</v>
      </c>
      <c r="E8" s="20" t="n">
        <v>281440.031776</v>
      </c>
      <c r="F8" s="20" t="n">
        <v>341070.23696</v>
      </c>
    </row>
    <row r="9">
      <c r="A9" s="4" t="inlineStr">
        <is>
          <t xml:space="preserve">  model</t>
        </is>
      </c>
      <c r="B9" s="35">
        <f>Model!G37+Model!G42</f>
        <v/>
      </c>
      <c r="C9" s="35">
        <f>Model!H37+Model!H42</f>
        <v/>
      </c>
      <c r="D9" s="35">
        <f>Model!I37+Model!I42</f>
        <v/>
      </c>
      <c r="E9" s="35">
        <f>Model!J37+Model!J42</f>
        <v/>
      </c>
      <c r="F9" s="35">
        <f>Model!K37+Model!K42</f>
        <v/>
      </c>
    </row>
    <row r="10">
      <c r="A10" s="4" t="inlineStr">
        <is>
          <t xml:space="preserve">  vs consensus</t>
        </is>
      </c>
      <c r="B10" s="48">
        <f>IFERROR(B9/B8-1,"")</f>
        <v/>
      </c>
      <c r="C10" s="48">
        <f>IFERROR(C9/C8-1,"")</f>
        <v/>
      </c>
      <c r="D10" s="48">
        <f>IFERROR(D9/D8-1,"")</f>
        <v/>
      </c>
      <c r="E10" s="48">
        <f>IFERROR(E9/E8-1,"")</f>
        <v/>
      </c>
      <c r="F10" s="48">
        <f>IFERROR(F9/F8-1,"")</f>
        <v/>
      </c>
    </row>
    <row r="12">
      <c r="A12" s="3" t="inlineStr">
        <is>
          <t>EBIT* — consensus</t>
        </is>
      </c>
      <c r="B12" s="20" t="n">
        <v>144889.731684</v>
      </c>
      <c r="C12" s="20" t="n">
        <v>169034.83901</v>
      </c>
      <c r="D12" s="20" t="n">
        <v>199839.039878</v>
      </c>
      <c r="E12" s="20" t="n">
        <v>236310.871476</v>
      </c>
      <c r="F12" s="20" t="n">
        <v>286379.320035</v>
      </c>
    </row>
    <row r="13">
      <c r="A13" s="4" t="inlineStr">
        <is>
          <t xml:space="preserve">  model</t>
        </is>
      </c>
      <c r="B13" s="35">
        <f>Model!G37</f>
        <v/>
      </c>
      <c r="C13" s="35">
        <f>Model!H37</f>
        <v/>
      </c>
      <c r="D13" s="35">
        <f>Model!I37</f>
        <v/>
      </c>
      <c r="E13" s="35">
        <f>Model!J37</f>
        <v/>
      </c>
      <c r="F13" s="35">
        <f>Model!K37</f>
        <v/>
      </c>
    </row>
    <row r="14">
      <c r="A14" s="4" t="inlineStr">
        <is>
          <t xml:space="preserve">  vs consensus</t>
        </is>
      </c>
      <c r="B14" s="48">
        <f>IFERROR(B13/B12-1,"")</f>
        <v/>
      </c>
      <c r="C14" s="48">
        <f>IFERROR(C13/C12-1,"")</f>
        <v/>
      </c>
      <c r="D14" s="48">
        <f>IFERROR(D13/D12-1,"")</f>
        <v/>
      </c>
      <c r="E14" s="48">
        <f>IFERROR(E13/E12-1,"")</f>
        <v/>
      </c>
      <c r="F14" s="48">
        <f>IFERROR(F13/F12-1,"")</f>
        <v/>
      </c>
    </row>
    <row r="16">
      <c r="A16" s="3" t="inlineStr">
        <is>
          <t>SG&amp;A — consensus</t>
        </is>
      </c>
      <c r="B16" s="20" t="n">
        <v>44834.298575</v>
      </c>
      <c r="C16" s="20" t="n">
        <v>52305.697261</v>
      </c>
      <c r="D16" s="20" t="n">
        <v>61837.668389</v>
      </c>
      <c r="E16" s="20" t="n">
        <v>73123.41630500001</v>
      </c>
      <c r="F16" s="20" t="n">
        <v>88616.46571400001</v>
      </c>
    </row>
    <row r="17">
      <c r="A17" s="4" t="inlineStr">
        <is>
          <t xml:space="preserve">  model</t>
        </is>
      </c>
      <c r="B17" s="35">
        <f>Model!G32</f>
        <v/>
      </c>
      <c r="C17" s="35">
        <f>Model!H32</f>
        <v/>
      </c>
      <c r="D17" s="35">
        <f>Model!I32</f>
        <v/>
      </c>
      <c r="E17" s="35">
        <f>Model!J32</f>
        <v/>
      </c>
      <c r="F17" s="35">
        <f>Model!K32</f>
        <v/>
      </c>
    </row>
    <row r="18">
      <c r="A18" s="4" t="inlineStr">
        <is>
          <t xml:space="preserve">  vs consensus</t>
        </is>
      </c>
      <c r="B18" s="48">
        <f>IFERROR(B17/B16-1,"")</f>
        <v/>
      </c>
      <c r="C18" s="48">
        <f>IFERROR(C17/C16-1,"")</f>
        <v/>
      </c>
      <c r="D18" s="48">
        <f>IFERROR(D17/D16-1,"")</f>
        <v/>
      </c>
      <c r="E18" s="48">
        <f>IFERROR(E17/E16-1,"")</f>
        <v/>
      </c>
      <c r="F18" s="48">
        <f>IFERROR(F17/F16-1,"")</f>
        <v/>
      </c>
    </row>
    <row r="20">
      <c r="A20" s="3" t="inlineStr">
        <is>
          <t>Net income (NOPAT) — consensus</t>
        </is>
      </c>
      <c r="B20" s="20" t="n">
        <v>125514.8677165</v>
      </c>
      <c r="C20" s="20" t="n">
        <v>145169.55361</v>
      </c>
      <c r="D20" s="20" t="n">
        <v>169900.42142</v>
      </c>
      <c r="E20" s="20" t="n">
        <v>200326.261026</v>
      </c>
      <c r="F20" s="20" t="n">
        <v>248920.425033</v>
      </c>
    </row>
    <row r="21">
      <c r="A21" s="4" t="inlineStr">
        <is>
          <t xml:space="preserve">  model</t>
        </is>
      </c>
      <c r="B21" s="35">
        <f>Model!G41</f>
        <v/>
      </c>
      <c r="C21" s="35">
        <f>Model!H41</f>
        <v/>
      </c>
      <c r="D21" s="35">
        <f>Model!I41</f>
        <v/>
      </c>
      <c r="E21" s="35">
        <f>Model!J41</f>
        <v/>
      </c>
      <c r="F21" s="35">
        <f>Model!K41</f>
        <v/>
      </c>
    </row>
    <row r="22">
      <c r="A22" s="4" t="inlineStr">
        <is>
          <t xml:space="preserve">  vs consensus</t>
        </is>
      </c>
      <c r="B22" s="48">
        <f>IFERROR(B21/B20-1,"")</f>
        <v/>
      </c>
      <c r="C22" s="48">
        <f>IFERROR(C21/C20-1,"")</f>
        <v/>
      </c>
      <c r="D22" s="48">
        <f>IFERROR(D21/D20-1,"")</f>
        <v/>
      </c>
      <c r="E22" s="48">
        <f>IFERROR(E21/E20-1,"")</f>
        <v/>
      </c>
      <c r="F22" s="48">
        <f>IFERROR(F21/F20-1,"")</f>
        <v/>
      </c>
    </row>
    <row r="24">
      <c r="A24" s="3" t="inlineStr">
        <is>
          <t>EPS — consensus</t>
        </is>
      </c>
      <c r="B24" s="49" t="n">
        <v>16.77989</v>
      </c>
      <c r="C24" s="49" t="n">
        <v>19.43188</v>
      </c>
      <c r="D24" s="49" t="n">
        <v>22.81711</v>
      </c>
      <c r="E24" s="49" t="n">
        <v>26.8354</v>
      </c>
      <c r="F24" s="49" t="n">
        <v>33.345</v>
      </c>
    </row>
    <row r="25">
      <c r="A25" s="4" t="inlineStr">
        <is>
          <t xml:space="preserve">  model</t>
        </is>
      </c>
      <c r="B25" s="8">
        <f>Model!G41/Financials!AC17</f>
        <v/>
      </c>
      <c r="C25" s="8">
        <f>Model!H41/Financials!AC17</f>
        <v/>
      </c>
      <c r="D25" s="8">
        <f>Model!I41/Financials!AC17</f>
        <v/>
      </c>
      <c r="E25" s="8">
        <f>Model!J41/Financials!AC17</f>
        <v/>
      </c>
      <c r="F25" s="8">
        <f>Model!K41/Financials!AC17</f>
        <v/>
      </c>
    </row>
    <row r="26">
      <c r="A26" s="4" t="inlineStr">
        <is>
          <t xml:space="preserve">  vs consensus</t>
        </is>
      </c>
      <c r="B26" s="48">
        <f>IFERROR(B25/B24-1,"")</f>
        <v/>
      </c>
      <c r="C26" s="48">
        <f>IFERROR(C25/C24-1,"")</f>
        <v/>
      </c>
      <c r="D26" s="48">
        <f>IFERROR(D25/D24-1,"")</f>
        <v/>
      </c>
      <c r="E26" s="48">
        <f>IFERROR(E25/E24-1,"")</f>
        <v/>
      </c>
      <c r="F26" s="48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Microsoft Corporation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7" t="n">
        <v>2026</v>
      </c>
      <c r="D11" s="47" t="n">
        <v>2027</v>
      </c>
      <c r="E11" s="47" t="n">
        <v>2028</v>
      </c>
      <c r="F11" s="47" t="n">
        <v>2029</v>
      </c>
      <c r="G11" s="47" t="n">
        <v>2030</v>
      </c>
      <c r="H11" s="47" t="n">
        <v>2031</v>
      </c>
      <c r="I11" s="47" t="n">
        <v>2032</v>
      </c>
      <c r="J11" s="47" t="n">
        <v>2033</v>
      </c>
      <c r="K11" s="47" t="n">
        <v>2034</v>
      </c>
      <c r="L11" s="47" t="n">
        <v>2035</v>
      </c>
    </row>
    <row r="12">
      <c r="A12" s="4" t="inlineStr">
        <is>
          <t>FCFF ($M)</t>
        </is>
      </c>
      <c r="C12" s="35">
        <f>Model!G49</f>
        <v/>
      </c>
      <c r="D12" s="35">
        <f>Model!H49</f>
        <v/>
      </c>
      <c r="E12" s="35">
        <f>Model!I49</f>
        <v/>
      </c>
      <c r="F12" s="35">
        <f>Model!J49</f>
        <v/>
      </c>
      <c r="G12" s="35">
        <f>Model!K49</f>
        <v/>
      </c>
      <c r="H12" s="35">
        <f>Model!L49</f>
        <v/>
      </c>
      <c r="I12" s="35">
        <f>Model!M49</f>
        <v/>
      </c>
      <c r="J12" s="35">
        <f>Model!N49</f>
        <v/>
      </c>
      <c r="K12" s="35">
        <f>Model!O49</f>
        <v/>
      </c>
      <c r="L12" s="35">
        <f>Model!P49</f>
        <v/>
      </c>
    </row>
    <row r="13">
      <c r="A13" s="4" t="inlineStr">
        <is>
          <t>PV factor</t>
        </is>
      </c>
      <c r="C13" s="50">
        <f>1/(1+$B$3)^1</f>
        <v/>
      </c>
      <c r="D13" s="50">
        <f>1/(1+$B$3)^2</f>
        <v/>
      </c>
      <c r="E13" s="50">
        <f>1/(1+$B$3)^3</f>
        <v/>
      </c>
      <c r="F13" s="50">
        <f>1/(1+$B$3)^4</f>
        <v/>
      </c>
      <c r="G13" s="50">
        <f>1/(1+$B$3)^5</f>
        <v/>
      </c>
      <c r="H13" s="50">
        <f>1/(1+$B$3)^6</f>
        <v/>
      </c>
      <c r="I13" s="50">
        <f>1/(1+$B$3)^7</f>
        <v/>
      </c>
      <c r="J13" s="50">
        <f>1/(1+$B$3)^8</f>
        <v/>
      </c>
      <c r="K13" s="50">
        <f>1/(1+$B$3)^9</f>
        <v/>
      </c>
      <c r="L13" s="50">
        <f>1/(1+$B$3)^10</f>
        <v/>
      </c>
    </row>
    <row r="14">
      <c r="A14" s="4" t="inlineStr">
        <is>
          <t>PV of FCFF ($M)</t>
        </is>
      </c>
      <c r="C14" s="43">
        <f>C12*C13</f>
        <v/>
      </c>
      <c r="D14" s="43">
        <f>D12*D13</f>
        <v/>
      </c>
      <c r="E14" s="43">
        <f>E12*E13</f>
        <v/>
      </c>
      <c r="F14" s="43">
        <f>F12*F13</f>
        <v/>
      </c>
      <c r="G14" s="43">
        <f>G12*G13</f>
        <v/>
      </c>
      <c r="H14" s="43">
        <f>H12*H13</f>
        <v/>
      </c>
      <c r="I14" s="43">
        <f>I12*I13</f>
        <v/>
      </c>
      <c r="J14" s="43">
        <f>J12*J13</f>
        <v/>
      </c>
      <c r="K14" s="43">
        <f>K12*K13</f>
        <v/>
      </c>
      <c r="L14" s="43">
        <f>L12*L13</f>
        <v/>
      </c>
    </row>
    <row r="16">
      <c r="A16" s="3" t="inlineStr">
        <is>
          <t>Sum PV of FCFF</t>
        </is>
      </c>
      <c r="B16" s="44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3">
        <f>L12</f>
        <v/>
      </c>
    </row>
    <row r="20">
      <c r="A20" s="4" t="inlineStr">
        <is>
          <t>Terminal revenue</t>
        </is>
      </c>
      <c r="B20" s="35">
        <f>Model!P24</f>
        <v/>
      </c>
    </row>
    <row r="21">
      <c r="A21" s="4" t="inlineStr">
        <is>
          <t>Terminal EBIT</t>
        </is>
      </c>
      <c r="B21" s="35">
        <f>Model!P37</f>
        <v/>
      </c>
    </row>
    <row r="22">
      <c r="A22" s="4" t="inlineStr">
        <is>
          <t>Terminal EBITDA (SBC-burdened)</t>
        </is>
      </c>
      <c r="B22" s="35">
        <f>Model!P37+Model!P42-Model!P43</f>
        <v/>
      </c>
    </row>
    <row r="23">
      <c r="A23" s="4" t="inlineStr">
        <is>
          <t>Terminal metric (per exit basis)</t>
        </is>
      </c>
      <c r="B23" s="43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3">
        <f>B23*$B$8</f>
        <v/>
      </c>
    </row>
    <row r="25">
      <c r="A25" s="4" t="inlineStr">
        <is>
          <t>PV of TV — exit multiple</t>
        </is>
      </c>
      <c r="B25" s="43">
        <f>B24/(1+$B$3)^10</f>
        <v/>
      </c>
    </row>
    <row r="26">
      <c r="A26" s="4" t="inlineStr">
        <is>
          <t>TV (perpetuity) = FCFF(1+g)/(WACC-g)</t>
        </is>
      </c>
      <c r="B26" s="43">
        <f>B19*(1+$B$4)/($B$3-$B$4)</f>
        <v/>
      </c>
    </row>
    <row r="27">
      <c r="A27" s="4" t="inlineStr">
        <is>
          <t>PV of TV — perpetuity</t>
        </is>
      </c>
      <c r="B27" s="43">
        <f>B26/(1+$B$3)^10</f>
        <v/>
      </c>
    </row>
    <row r="28">
      <c r="A28" s="3" t="inlineStr">
        <is>
          <t>PV of TV — SELECTED</t>
        </is>
      </c>
      <c r="B28" s="44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4">
        <f>B16+B28</f>
        <v/>
      </c>
    </row>
    <row r="32">
      <c r="A32" s="4" t="inlineStr">
        <is>
          <t>+ Cash &amp; ST investments</t>
        </is>
      </c>
      <c r="B32" s="35">
        <f>Financials!AC57</f>
        <v/>
      </c>
    </row>
    <row r="33">
      <c r="A33" s="4" t="inlineStr">
        <is>
          <t>- Long-term debt</t>
        </is>
      </c>
      <c r="B33" s="35">
        <f>-Financials!AC62</f>
        <v/>
      </c>
    </row>
    <row r="34">
      <c r="A34" s="3" t="inlineStr">
        <is>
          <t>Equity value</t>
        </is>
      </c>
      <c r="B34" s="44">
        <f>B31+B32+B33</f>
        <v/>
      </c>
    </row>
    <row r="35">
      <c r="A35" s="4" t="inlineStr">
        <is>
          <t>Diluted shares (M)</t>
        </is>
      </c>
      <c r="B35" s="35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7">
        <f>B28/B31</f>
        <v/>
      </c>
    </row>
    <row r="40">
      <c r="A40" s="4" t="inlineStr">
        <is>
          <t>Implied perpetuity g (from exit multiple)</t>
        </is>
      </c>
      <c r="B40" s="27">
        <f>(B24*$B$3-B19)/(B24+B19)</f>
        <v/>
      </c>
    </row>
    <row r="41">
      <c r="A41" s="4" t="inlineStr">
        <is>
          <t>Implied exit EV/EBITDA (from perpetuity)</t>
        </is>
      </c>
      <c r="B41" s="28">
        <f>B26/B22</f>
        <v/>
      </c>
    </row>
    <row r="42">
      <c r="A42" s="4" t="inlineStr">
        <is>
          <t>Upside / (downside) to fair value</t>
        </is>
      </c>
      <c r="B42" s="31">
        <f>B36/$B$2-1</f>
        <v/>
      </c>
    </row>
    <row r="44">
      <c r="A44" s="4" t="inlineStr">
        <is>
          <t>Owner cashflow / share</t>
        </is>
      </c>
      <c r="B44" s="51">
        <f>-$B$2</f>
        <v/>
      </c>
      <c r="C44" s="52">
        <f>C12/B35</f>
        <v/>
      </c>
      <c r="D44" s="52">
        <f>D12/B35</f>
        <v/>
      </c>
      <c r="E44" s="52">
        <f>E12/B35</f>
        <v/>
      </c>
      <c r="F44" s="52">
        <f>F12/B35</f>
        <v/>
      </c>
      <c r="G44" s="52">
        <f>G12/B35</f>
        <v/>
      </c>
      <c r="H44" s="52">
        <f>H12/B35</f>
        <v/>
      </c>
      <c r="I44" s="52">
        <f>I12/B35</f>
        <v/>
      </c>
      <c r="J44" s="52">
        <f>J12/B35</f>
        <v/>
      </c>
      <c r="K44" s="52">
        <f>K12/B35</f>
        <v/>
      </c>
      <c r="L44" s="52">
        <f>L12/B35+B36</f>
        <v/>
      </c>
    </row>
    <row r="45">
      <c r="A45" s="3" t="inlineStr">
        <is>
          <t>IRR (buy at price, hold 10y)</t>
        </is>
      </c>
      <c r="B45" s="40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3" t="n">
        <v>0.07624804803872437</v>
      </c>
      <c r="C4" s="53" t="n">
        <v>0.08124804803872437</v>
      </c>
      <c r="D4" s="53" t="n">
        <v>0.08624804803872436</v>
      </c>
      <c r="E4" s="53" t="n">
        <v>0.09124804803872437</v>
      </c>
      <c r="F4" s="53" t="n">
        <v>0.09624804803872437</v>
      </c>
      <c r="G4" s="53" t="n">
        <v>0.1012480480387244</v>
      </c>
      <c r="H4" s="53" t="n">
        <v>0.1062480480387244</v>
      </c>
    </row>
    <row r="5">
      <c r="A5" s="54" t="n">
        <v>9</v>
      </c>
      <c r="B5" s="55" t="n">
        <v>388.0757974417112</v>
      </c>
      <c r="C5" s="55" t="n">
        <v>373.3237244395592</v>
      </c>
      <c r="D5" s="55" t="n">
        <v>359.2557553529967</v>
      </c>
      <c r="E5" s="55" t="n">
        <v>345.8363782764721</v>
      </c>
      <c r="F5" s="55" t="n">
        <v>333.0320964728473</v>
      </c>
      <c r="G5" s="55" t="n">
        <v>320.8113048832084</v>
      </c>
      <c r="H5" s="55" t="n">
        <v>309.144174743684</v>
      </c>
    </row>
    <row r="6">
      <c r="A6" s="54" t="n">
        <v>10</v>
      </c>
      <c r="B6" s="8" t="n">
        <v>414.9546636235425</v>
      </c>
      <c r="C6" s="8" t="n">
        <v>398.9851836608552</v>
      </c>
      <c r="D6" s="55" t="n">
        <v>383.7601863614758</v>
      </c>
      <c r="E6" s="55" t="n">
        <v>369.2409077437372</v>
      </c>
      <c r="F6" s="55" t="n">
        <v>355.3907879013481</v>
      </c>
      <c r="G6" s="55" t="n">
        <v>342.1753357486025</v>
      </c>
      <c r="H6" s="55" t="n">
        <v>329.5620026541086</v>
      </c>
    </row>
    <row r="7">
      <c r="A7" s="54" t="n">
        <v>11</v>
      </c>
      <c r="B7" s="8" t="n">
        <v>441.8335298053738</v>
      </c>
      <c r="C7" s="8" t="n">
        <v>424.6466428821511</v>
      </c>
      <c r="D7" s="8" t="n">
        <v>408.2646173699549</v>
      </c>
      <c r="E7" s="55" t="n">
        <v>392.6454372110023</v>
      </c>
      <c r="F7" s="55" t="n">
        <v>377.7494793298489</v>
      </c>
      <c r="G7" s="55" t="n">
        <v>363.5393666139967</v>
      </c>
      <c r="H7" s="55" t="n">
        <v>349.9798305645331</v>
      </c>
    </row>
    <row r="8">
      <c r="A8" s="54" t="n">
        <v>12</v>
      </c>
      <c r="B8" s="8" t="n">
        <v>468.712395987205</v>
      </c>
      <c r="C8" s="8" t="n">
        <v>450.3081021034471</v>
      </c>
      <c r="D8" s="8" t="n">
        <v>432.7690483784341</v>
      </c>
      <c r="E8" s="56" t="n">
        <v>416.0499666782675</v>
      </c>
      <c r="F8" s="8" t="n">
        <v>400.1081707583497</v>
      </c>
      <c r="G8" s="55" t="n">
        <v>384.9033974793908</v>
      </c>
      <c r="H8" s="55" t="n">
        <v>370.3976584749577</v>
      </c>
    </row>
    <row r="9">
      <c r="A9" s="54" t="n">
        <v>13</v>
      </c>
      <c r="B9" s="8" t="n">
        <v>495.5912621690363</v>
      </c>
      <c r="C9" s="8" t="n">
        <v>475.969561324743</v>
      </c>
      <c r="D9" s="8" t="n">
        <v>457.2734793869133</v>
      </c>
      <c r="E9" s="8" t="n">
        <v>439.4544961455326</v>
      </c>
      <c r="F9" s="8" t="n">
        <v>422.4668621868505</v>
      </c>
      <c r="G9" s="8" t="n">
        <v>406.2674283447851</v>
      </c>
      <c r="H9" s="55" t="n">
        <v>390.8154863853823</v>
      </c>
    </row>
    <row r="10">
      <c r="A10" s="54" t="n">
        <v>14</v>
      </c>
      <c r="B10" s="8" t="n">
        <v>522.4701283508676</v>
      </c>
      <c r="C10" s="8" t="n">
        <v>501.631020546039</v>
      </c>
      <c r="D10" s="8" t="n">
        <v>481.7779103953924</v>
      </c>
      <c r="E10" s="8" t="n">
        <v>462.8590256127977</v>
      </c>
      <c r="F10" s="8" t="n">
        <v>444.8255536153513</v>
      </c>
      <c r="G10" s="8" t="n">
        <v>427.6314592101792</v>
      </c>
      <c r="H10" s="8" t="n">
        <v>411.2333142958068</v>
      </c>
    </row>
    <row r="11">
      <c r="A11" s="54" t="n">
        <v>15</v>
      </c>
      <c r="B11" s="8" t="n">
        <v>549.3489945326988</v>
      </c>
      <c r="C11" s="8" t="n">
        <v>527.292479767335</v>
      </c>
      <c r="D11" s="8" t="n">
        <v>506.2823414038716</v>
      </c>
      <c r="E11" s="8" t="n">
        <v>486.2635550800629</v>
      </c>
      <c r="F11" s="8" t="n">
        <v>467.1842450438521</v>
      </c>
      <c r="G11" s="8" t="n">
        <v>448.9954900755733</v>
      </c>
      <c r="H11" s="8" t="n">
        <v>431.6511422062313</v>
      </c>
    </row>
    <row r="13">
      <c r="A13" s="3" t="inlineStr">
        <is>
          <t>Current price</t>
        </is>
      </c>
      <c r="B13" s="55" t="n">
        <v>393.5849914550781</v>
      </c>
    </row>
    <row r="14">
      <c r="A14" s="3" t="inlineStr">
        <is>
          <t>Base WACC / multiple</t>
        </is>
      </c>
      <c r="B14" s="57" t="n">
        <v>0.09124804803872437</v>
      </c>
      <c r="C14" s="58" t="n">
        <v>12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Model!F24</f>
        <v/>
      </c>
      <c r="K2" s="27">
        <f>MAX(-0.05,NORMINV(RAND(),$C$6,$D$6))</f>
        <v/>
      </c>
      <c r="L2" s="27">
        <f>MAX(0.02,NORMINV(RAND(),$C$7,$D$7))</f>
        <v/>
      </c>
      <c r="M2" s="27">
        <f>MIN(0.16,MAX(0.05,NORMINV(RAND(),$C$8,$D$8)))</f>
        <v/>
      </c>
      <c r="N2" s="28">
        <f>MIN(24,MAX(5,NORMINV(RAND(),$C$9,$D$9)))</f>
        <v/>
      </c>
      <c r="O2" s="51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Model!F38</f>
        <v/>
      </c>
      <c r="K3" s="27">
        <f>MAX(-0.05,NORMINV(RAND(),$C$6,$D$6))</f>
        <v/>
      </c>
      <c r="L3" s="27">
        <f>MAX(0.02,NORMINV(RAND(),$C$7,$D$7))</f>
        <v/>
      </c>
      <c r="M3" s="27">
        <f>MIN(0.16,MAX(0.05,NORMINV(RAND(),$C$8,$D$8)))</f>
        <v/>
      </c>
      <c r="N3" s="28">
        <f>MIN(24,MAX(5,NORMINV(RAND(),$C$9,$D$9)))</f>
        <v/>
      </c>
      <c r="O3" s="51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50" t="n">
        <v>0.1171110732489955</v>
      </c>
      <c r="K4" s="27">
        <f>MAX(-0.05,NORMINV(RAND(),$C$6,$D$6))</f>
        <v/>
      </c>
      <c r="L4" s="27">
        <f>MAX(0.02,NORMINV(RAND(),$C$7,$D$7))</f>
        <v/>
      </c>
      <c r="M4" s="27">
        <f>MIN(0.16,MAX(0.05,NORMINV(RAND(),$C$8,$D$8)))</f>
        <v/>
      </c>
      <c r="N4" s="28">
        <f>MIN(24,MAX(5,NORMINV(RAND(),$C$9,$D$9)))</f>
        <v/>
      </c>
      <c r="O4" s="51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50" t="n">
        <v>1.840683731006534</v>
      </c>
      <c r="K5" s="27">
        <f>MAX(-0.05,NORMINV(RAND(),$C$6,$D$6))</f>
        <v/>
      </c>
      <c r="L5" s="27">
        <f>MAX(0.02,NORMINV(RAND(),$C$7,$D$7))</f>
        <v/>
      </c>
      <c r="M5" s="27">
        <f>MIN(0.16,MAX(0.05,NORMINV(RAND(),$C$8,$D$8)))</f>
        <v/>
      </c>
      <c r="N5" s="28">
        <f>MIN(24,MAX(5,NORMINV(RAND(),$C$9,$D$9)))</f>
        <v/>
      </c>
      <c r="O5" s="51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(Model!P24/Model!F24)^(1/10)-1</f>
        <v/>
      </c>
      <c r="D6" s="15" t="n">
        <v>0.02090085937062468</v>
      </c>
      <c r="H6" s="4" t="inlineStr">
        <is>
          <t>nwc (% incr revenue)</t>
        </is>
      </c>
      <c r="I6" s="50" t="n">
        <v>0.005</v>
      </c>
      <c r="K6" s="27">
        <f>MAX(-0.05,NORMINV(RAND(),$C$6,$D$6))</f>
        <v/>
      </c>
      <c r="L6" s="27">
        <f>MAX(0.02,NORMINV(RAND(),$C$7,$D$7))</f>
        <v/>
      </c>
      <c r="M6" s="27">
        <f>MIN(0.16,MAX(0.05,NORMINV(RAND(),$C$8,$D$8)))</f>
        <v/>
      </c>
      <c r="N6" s="28">
        <f>MIN(24,MAX(5,NORMINV(RAND(),$C$9,$D$9)))</f>
        <v/>
      </c>
      <c r="O6" s="51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0.01664694397951143</v>
      </c>
      <c r="H7" s="4" t="inlineStr">
        <is>
          <t>tax</t>
        </is>
      </c>
      <c r="I7" s="12">
        <f>Valuation!$B$5</f>
        <v/>
      </c>
      <c r="K7" s="27">
        <f>MAX(-0.05,NORMINV(RAND(),$C$6,$D$6))</f>
        <v/>
      </c>
      <c r="L7" s="27">
        <f>MAX(0.02,NORMINV(RAND(),$C$7,$D$7))</f>
        <v/>
      </c>
      <c r="M7" s="27">
        <f>MIN(0.16,MAX(0.05,NORMINV(RAND(),$C$8,$D$8)))</f>
        <v/>
      </c>
      <c r="N7" s="28">
        <f>MIN(24,MAX(5,NORMINV(RAND(),$C$9,$D$9)))</f>
        <v/>
      </c>
      <c r="O7" s="51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50" t="n">
        <v>0.9890629546802014</v>
      </c>
      <c r="K8" s="27">
        <f>MAX(-0.05,NORMINV(RAND(),$C$6,$D$6))</f>
        <v/>
      </c>
      <c r="L8" s="27">
        <f>MAX(0.02,NORMINV(RAND(),$C$7,$D$7))</f>
        <v/>
      </c>
      <c r="M8" s="27">
        <f>MIN(0.16,MAX(0.05,NORMINV(RAND(),$C$8,$D$8)))</f>
        <v/>
      </c>
      <c r="N8" s="28">
        <f>MIN(24,MAX(5,NORMINV(RAND(),$C$9,$D$9)))</f>
        <v/>
      </c>
      <c r="O8" s="51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21" t="n">
        <v>1.5</v>
      </c>
      <c r="H9" s="4" t="inlineStr">
        <is>
          <t>cash</t>
        </is>
      </c>
      <c r="I9" s="12">
        <f>Financials!AC57</f>
        <v/>
      </c>
      <c r="K9" s="27">
        <f>MAX(-0.05,NORMINV(RAND(),$C$6,$D$6))</f>
        <v/>
      </c>
      <c r="L9" s="27">
        <f>MAX(0.02,NORMINV(RAND(),$C$7,$D$7))</f>
        <v/>
      </c>
      <c r="M9" s="27">
        <f>MIN(0.16,MAX(0.05,NORMINV(RAND(),$C$8,$D$8)))</f>
        <v/>
      </c>
      <c r="N9" s="28">
        <f>MIN(24,MAX(5,NORMINV(RAND(),$C$9,$D$9)))</f>
        <v/>
      </c>
      <c r="O9" s="51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Financials!AC62</f>
        <v/>
      </c>
      <c r="K10" s="27">
        <f>MAX(-0.05,NORMINV(RAND(),$C$6,$D$6))</f>
        <v/>
      </c>
      <c r="L10" s="27">
        <f>MAX(0.02,NORMINV(RAND(),$C$7,$D$7))</f>
        <v/>
      </c>
      <c r="M10" s="27">
        <f>MIN(0.16,MAX(0.05,NORMINV(RAND(),$C$8,$D$8)))</f>
        <v/>
      </c>
      <c r="N10" s="28">
        <f>MIN(24,MAX(5,NORMINV(RAND(),$C$9,$D$9)))</f>
        <v/>
      </c>
      <c r="O10" s="51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7">
        <f>MAX(-0.05,NORMINV(RAND(),$C$6,$D$6))</f>
        <v/>
      </c>
      <c r="L11" s="27">
        <f>MAX(0.02,NORMINV(RAND(),$C$7,$D$7))</f>
        <v/>
      </c>
      <c r="M11" s="27">
        <f>MIN(0.16,MAX(0.05,NORMINV(RAND(),$C$8,$D$8)))</f>
        <v/>
      </c>
      <c r="N11" s="28">
        <f>MIN(24,MAX(5,NORMINV(RAND(),$C$9,$D$9)))</f>
        <v/>
      </c>
      <c r="O11" s="51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51">
        <f>AVERAGE($O$2:$O$1001)</f>
        <v/>
      </c>
      <c r="K12" s="27">
        <f>MAX(-0.05,NORMINV(RAND(),$C$6,$D$6))</f>
        <v/>
      </c>
      <c r="L12" s="27">
        <f>MAX(0.02,NORMINV(RAND(),$C$7,$D$7))</f>
        <v/>
      </c>
      <c r="M12" s="27">
        <f>MIN(0.16,MAX(0.05,NORMINV(RAND(),$C$8,$D$8)))</f>
        <v/>
      </c>
      <c r="N12" s="28">
        <f>MIN(24,MAX(5,NORMINV(RAND(),$C$9,$D$9)))</f>
        <v/>
      </c>
      <c r="O12" s="51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30">
        <f>MEDIAN($O$2:$O$1001)</f>
        <v/>
      </c>
      <c r="K13" s="27">
        <f>MAX(-0.05,NORMINV(RAND(),$C$6,$D$6))</f>
        <v/>
      </c>
      <c r="L13" s="27">
        <f>MAX(0.02,NORMINV(RAND(),$C$7,$D$7))</f>
        <v/>
      </c>
      <c r="M13" s="27">
        <f>MIN(0.16,MAX(0.05,NORMINV(RAND(),$C$8,$D$8)))</f>
        <v/>
      </c>
      <c r="N13" s="28">
        <f>MIN(24,MAX(5,NORMINV(RAND(),$C$9,$D$9)))</f>
        <v/>
      </c>
      <c r="O13" s="51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51">
        <f>STDEV($O$2:$O$1001)</f>
        <v/>
      </c>
      <c r="K14" s="27">
        <f>MAX(-0.05,NORMINV(RAND(),$C$6,$D$6))</f>
        <v/>
      </c>
      <c r="L14" s="27">
        <f>MAX(0.02,NORMINV(RAND(),$C$7,$D$7))</f>
        <v/>
      </c>
      <c r="M14" s="27">
        <f>MIN(0.16,MAX(0.05,NORMINV(RAND(),$C$8,$D$8)))</f>
        <v/>
      </c>
      <c r="N14" s="28">
        <f>MIN(24,MAX(5,NORMINV(RAND(),$C$9,$D$9)))</f>
        <v/>
      </c>
      <c r="O14" s="51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51">
        <f>MIN($O$2:$O$1001)</f>
        <v/>
      </c>
      <c r="K15" s="27">
        <f>MAX(-0.05,NORMINV(RAND(),$C$6,$D$6))</f>
        <v/>
      </c>
      <c r="L15" s="27">
        <f>MAX(0.02,NORMINV(RAND(),$C$7,$D$7))</f>
        <v/>
      </c>
      <c r="M15" s="27">
        <f>MIN(0.16,MAX(0.05,NORMINV(RAND(),$C$8,$D$8)))</f>
        <v/>
      </c>
      <c r="N15" s="28">
        <f>MIN(24,MAX(5,NORMINV(RAND(),$C$9,$D$9)))</f>
        <v/>
      </c>
      <c r="O15" s="51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51">
        <f>MAX($O$2:$O$1001)</f>
        <v/>
      </c>
      <c r="K16" s="27">
        <f>MAX(-0.05,NORMINV(RAND(),$C$6,$D$6))</f>
        <v/>
      </c>
      <c r="L16" s="27">
        <f>MAX(0.02,NORMINV(RAND(),$C$7,$D$7))</f>
        <v/>
      </c>
      <c r="M16" s="27">
        <f>MIN(0.16,MAX(0.05,NORMINV(RAND(),$C$8,$D$8)))</f>
        <v/>
      </c>
      <c r="N16" s="28">
        <f>MIN(24,MAX(5,NORMINV(RAND(),$C$9,$D$9)))</f>
        <v/>
      </c>
      <c r="O16" s="51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7">
        <f>MAX(-0.05,NORMINV(RAND(),$C$6,$D$6))</f>
        <v/>
      </c>
      <c r="L17" s="27">
        <f>MAX(0.02,NORMINV(RAND(),$C$7,$D$7))</f>
        <v/>
      </c>
      <c r="M17" s="27">
        <f>MIN(0.16,MAX(0.05,NORMINV(RAND(),$C$8,$D$8)))</f>
        <v/>
      </c>
      <c r="N17" s="28">
        <f>MIN(24,MAX(5,NORMINV(RAND(),$C$9,$D$9)))</f>
        <v/>
      </c>
      <c r="O17" s="51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7">
        <f>MAX(-0.05,NORMINV(RAND(),$C$6,$D$6))</f>
        <v/>
      </c>
      <c r="L18" s="27">
        <f>MAX(0.02,NORMINV(RAND(),$C$7,$D$7))</f>
        <v/>
      </c>
      <c r="M18" s="27">
        <f>MIN(0.16,MAX(0.05,NORMINV(RAND(),$C$8,$D$8)))</f>
        <v/>
      </c>
      <c r="N18" s="28">
        <f>MIN(24,MAX(5,NORMINV(RAND(),$C$9,$D$9)))</f>
        <v/>
      </c>
      <c r="O18" s="51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7">
        <f>MAX(-0.05,NORMINV(RAND(),$C$6,$D$6))</f>
        <v/>
      </c>
      <c r="L19" s="27">
        <f>MAX(0.02,NORMINV(RAND(),$C$7,$D$7))</f>
        <v/>
      </c>
      <c r="M19" s="27">
        <f>MIN(0.16,MAX(0.05,NORMINV(RAND(),$C$8,$D$8)))</f>
        <v/>
      </c>
      <c r="N19" s="28">
        <f>MIN(24,MAX(5,NORMINV(RAND(),$C$9,$D$9)))</f>
        <v/>
      </c>
      <c r="O19" s="51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3">
        <f>COUNTIF($O$2:$O$1001,"&gt;"&amp;Valuation!$B$2)/1000</f>
        <v/>
      </c>
      <c r="K20" s="27">
        <f>MAX(-0.05,NORMINV(RAND(),$C$6,$D$6))</f>
        <v/>
      </c>
      <c r="L20" s="27">
        <f>MAX(0.02,NORMINV(RAND(),$C$7,$D$7))</f>
        <v/>
      </c>
      <c r="M20" s="27">
        <f>MIN(0.16,MAX(0.05,NORMINV(RAND(),$C$8,$D$8)))</f>
        <v/>
      </c>
      <c r="N20" s="28">
        <f>MIN(24,MAX(5,NORMINV(RAND(),$C$9,$D$9)))</f>
        <v/>
      </c>
      <c r="O20" s="51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7">
        <f>MAX(-0.05,NORMINV(RAND(),$C$6,$D$6))</f>
        <v/>
      </c>
      <c r="L21" s="27">
        <f>MAX(0.02,NORMINV(RAND(),$C$7,$D$7))</f>
        <v/>
      </c>
      <c r="M21" s="27">
        <f>MIN(0.16,MAX(0.05,NORMINV(RAND(),$C$8,$D$8)))</f>
        <v/>
      </c>
      <c r="N21" s="28">
        <f>MIN(24,MAX(5,NORMINV(RAND(),$C$9,$D$9)))</f>
        <v/>
      </c>
      <c r="O21" s="51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7">
        <f>MAX(-0.05,NORMINV(RAND(),$C$6,$D$6))</f>
        <v/>
      </c>
      <c r="L22" s="27">
        <f>MAX(0.02,NORMINV(RAND(),$C$7,$D$7))</f>
        <v/>
      </c>
      <c r="M22" s="27">
        <f>MIN(0.16,MAX(0.05,NORMINV(RAND(),$C$8,$D$8)))</f>
        <v/>
      </c>
      <c r="N22" s="28">
        <f>MIN(24,MAX(5,NORMINV(RAND(),$C$9,$D$9)))</f>
        <v/>
      </c>
      <c r="O22" s="51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7">
        <f>MAX(-0.05,NORMINV(RAND(),$C$6,$D$6))</f>
        <v/>
      </c>
      <c r="L23" s="27">
        <f>MAX(0.02,NORMINV(RAND(),$C$7,$D$7))</f>
        <v/>
      </c>
      <c r="M23" s="27">
        <f>MIN(0.16,MAX(0.05,NORMINV(RAND(),$C$8,$D$8)))</f>
        <v/>
      </c>
      <c r="N23" s="28">
        <f>MIN(24,MAX(5,NORMINV(RAND(),$C$9,$D$9)))</f>
        <v/>
      </c>
      <c r="O23" s="51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51">
        <f>PERCENTILE($O$2:$O$1001,0.05)</f>
        <v/>
      </c>
      <c r="K24" s="27">
        <f>MAX(-0.05,NORMINV(RAND(),$C$6,$D$6))</f>
        <v/>
      </c>
      <c r="L24" s="27">
        <f>MAX(0.02,NORMINV(RAND(),$C$7,$D$7))</f>
        <v/>
      </c>
      <c r="M24" s="27">
        <f>MIN(0.16,MAX(0.05,NORMINV(RAND(),$C$8,$D$8)))</f>
        <v/>
      </c>
      <c r="N24" s="28">
        <f>MIN(24,MAX(5,NORMINV(RAND(),$C$9,$D$9)))</f>
        <v/>
      </c>
      <c r="O24" s="51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51">
        <f>PERCENTILE($O$2:$O$1001,0.1)</f>
        <v/>
      </c>
      <c r="K25" s="27">
        <f>MAX(-0.05,NORMINV(RAND(),$C$6,$D$6))</f>
        <v/>
      </c>
      <c r="L25" s="27">
        <f>MAX(0.02,NORMINV(RAND(),$C$7,$D$7))</f>
        <v/>
      </c>
      <c r="M25" s="27">
        <f>MIN(0.16,MAX(0.05,NORMINV(RAND(),$C$8,$D$8)))</f>
        <v/>
      </c>
      <c r="N25" s="28">
        <f>MIN(24,MAX(5,NORMINV(RAND(),$C$9,$D$9)))</f>
        <v/>
      </c>
      <c r="O25" s="51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51">
        <f>PERCENTILE($O$2:$O$1001,0.25)</f>
        <v/>
      </c>
      <c r="K26" s="27">
        <f>MAX(-0.05,NORMINV(RAND(),$C$6,$D$6))</f>
        <v/>
      </c>
      <c r="L26" s="27">
        <f>MAX(0.02,NORMINV(RAND(),$C$7,$D$7))</f>
        <v/>
      </c>
      <c r="M26" s="27">
        <f>MIN(0.16,MAX(0.05,NORMINV(RAND(),$C$8,$D$8)))</f>
        <v/>
      </c>
      <c r="N26" s="28">
        <f>MIN(24,MAX(5,NORMINV(RAND(),$C$9,$D$9)))</f>
        <v/>
      </c>
      <c r="O26" s="51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51">
        <f>PERCENTILE($O$2:$O$1001,0.5)</f>
        <v/>
      </c>
      <c r="K27" s="27">
        <f>MAX(-0.05,NORMINV(RAND(),$C$6,$D$6))</f>
        <v/>
      </c>
      <c r="L27" s="27">
        <f>MAX(0.02,NORMINV(RAND(),$C$7,$D$7))</f>
        <v/>
      </c>
      <c r="M27" s="27">
        <f>MIN(0.16,MAX(0.05,NORMINV(RAND(),$C$8,$D$8)))</f>
        <v/>
      </c>
      <c r="N27" s="28">
        <f>MIN(24,MAX(5,NORMINV(RAND(),$C$9,$D$9)))</f>
        <v/>
      </c>
      <c r="O27" s="51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51">
        <f>PERCENTILE($O$2:$O$1001,0.75)</f>
        <v/>
      </c>
      <c r="K28" s="27">
        <f>MAX(-0.05,NORMINV(RAND(),$C$6,$D$6))</f>
        <v/>
      </c>
      <c r="L28" s="27">
        <f>MAX(0.02,NORMINV(RAND(),$C$7,$D$7))</f>
        <v/>
      </c>
      <c r="M28" s="27">
        <f>MIN(0.16,MAX(0.05,NORMINV(RAND(),$C$8,$D$8)))</f>
        <v/>
      </c>
      <c r="N28" s="28">
        <f>MIN(24,MAX(5,NORMINV(RAND(),$C$9,$D$9)))</f>
        <v/>
      </c>
      <c r="O28" s="51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51">
        <f>PERCENTILE($O$2:$O$1001,0.9)</f>
        <v/>
      </c>
      <c r="K29" s="27">
        <f>MAX(-0.05,NORMINV(RAND(),$C$6,$D$6))</f>
        <v/>
      </c>
      <c r="L29" s="27">
        <f>MAX(0.02,NORMINV(RAND(),$C$7,$D$7))</f>
        <v/>
      </c>
      <c r="M29" s="27">
        <f>MIN(0.16,MAX(0.05,NORMINV(RAND(),$C$8,$D$8)))</f>
        <v/>
      </c>
      <c r="N29" s="28">
        <f>MIN(24,MAX(5,NORMINV(RAND(),$C$9,$D$9)))</f>
        <v/>
      </c>
      <c r="O29" s="51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51">
        <f>PERCENTILE($O$2:$O$1001,0.95)</f>
        <v/>
      </c>
      <c r="K30" s="27">
        <f>MAX(-0.05,NORMINV(RAND(),$C$6,$D$6))</f>
        <v/>
      </c>
      <c r="L30" s="27">
        <f>MAX(0.02,NORMINV(RAND(),$C$7,$D$7))</f>
        <v/>
      </c>
      <c r="M30" s="27">
        <f>MIN(0.16,MAX(0.05,NORMINV(RAND(),$C$8,$D$8)))</f>
        <v/>
      </c>
      <c r="N30" s="28">
        <f>MIN(24,MAX(5,NORMINV(RAND(),$C$9,$D$9)))</f>
        <v/>
      </c>
      <c r="O30" s="51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7">
        <f>MAX(-0.05,NORMINV(RAND(),$C$6,$D$6))</f>
        <v/>
      </c>
      <c r="L31" s="27">
        <f>MAX(0.02,NORMINV(RAND(),$C$7,$D$7))</f>
        <v/>
      </c>
      <c r="M31" s="27">
        <f>MIN(0.16,MAX(0.05,NORMINV(RAND(),$C$8,$D$8)))</f>
        <v/>
      </c>
      <c r="N31" s="28">
        <f>MIN(24,MAX(5,NORMINV(RAND(),$C$9,$D$9)))</f>
        <v/>
      </c>
      <c r="O31" s="51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7">
        <f>MAX(-0.05,NORMINV(RAND(),$C$6,$D$6))</f>
        <v/>
      </c>
      <c r="L32" s="27">
        <f>MAX(0.02,NORMINV(RAND(),$C$7,$D$7))</f>
        <v/>
      </c>
      <c r="M32" s="27">
        <f>MIN(0.16,MAX(0.05,NORMINV(RAND(),$C$8,$D$8)))</f>
        <v/>
      </c>
      <c r="N32" s="28">
        <f>MIN(24,MAX(5,NORMINV(RAND(),$C$9,$D$9)))</f>
        <v/>
      </c>
      <c r="O32" s="51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7">
        <f>MAX(-0.05,NORMINV(RAND(),$C$6,$D$6))</f>
        <v/>
      </c>
      <c r="L33" s="27">
        <f>MAX(0.02,NORMINV(RAND(),$C$7,$D$7))</f>
        <v/>
      </c>
      <c r="M33" s="27">
        <f>MIN(0.16,MAX(0.05,NORMINV(RAND(),$C$8,$D$8)))</f>
        <v/>
      </c>
      <c r="N33" s="28">
        <f>MIN(24,MAX(5,NORMINV(RAND(),$C$9,$D$9)))</f>
        <v/>
      </c>
      <c r="O33" s="51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9">
        <f>$B$15+0.5*($B$16-$B$15)/15</f>
        <v/>
      </c>
      <c r="B34" s="4">
        <f>COUNTIFS($O$2:$O$1001,"&gt;="&amp;($B$15+0*($B$16-$B$15)/15),$O$2:$O$1001,"&lt;"&amp;($B$15+1*($B$16-$B$15)/15))</f>
        <v/>
      </c>
      <c r="K34" s="27">
        <f>MAX(-0.05,NORMINV(RAND(),$C$6,$D$6))</f>
        <v/>
      </c>
      <c r="L34" s="27">
        <f>MAX(0.02,NORMINV(RAND(),$C$7,$D$7))</f>
        <v/>
      </c>
      <c r="M34" s="27">
        <f>MIN(0.16,MAX(0.05,NORMINV(RAND(),$C$8,$D$8)))</f>
        <v/>
      </c>
      <c r="N34" s="28">
        <f>MIN(24,MAX(5,NORMINV(RAND(),$C$9,$D$9)))</f>
        <v/>
      </c>
      <c r="O34" s="51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9">
        <f>$B$15+1.5*($B$16-$B$15)/15</f>
        <v/>
      </c>
      <c r="B35" s="4">
        <f>COUNTIFS($O$2:$O$1001,"&gt;="&amp;($B$15+1*($B$16-$B$15)/15),$O$2:$O$1001,"&lt;"&amp;($B$15+2*($B$16-$B$15)/15))</f>
        <v/>
      </c>
      <c r="K35" s="27">
        <f>MAX(-0.05,NORMINV(RAND(),$C$6,$D$6))</f>
        <v/>
      </c>
      <c r="L35" s="27">
        <f>MAX(0.02,NORMINV(RAND(),$C$7,$D$7))</f>
        <v/>
      </c>
      <c r="M35" s="27">
        <f>MIN(0.16,MAX(0.05,NORMINV(RAND(),$C$8,$D$8)))</f>
        <v/>
      </c>
      <c r="N35" s="28">
        <f>MIN(24,MAX(5,NORMINV(RAND(),$C$9,$D$9)))</f>
        <v/>
      </c>
      <c r="O35" s="51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9">
        <f>$B$15+2.5*($B$16-$B$15)/15</f>
        <v/>
      </c>
      <c r="B36" s="4">
        <f>COUNTIFS($O$2:$O$1001,"&gt;="&amp;($B$15+2*($B$16-$B$15)/15),$O$2:$O$1001,"&lt;"&amp;($B$15+3*($B$16-$B$15)/15))</f>
        <v/>
      </c>
      <c r="K36" s="27">
        <f>MAX(-0.05,NORMINV(RAND(),$C$6,$D$6))</f>
        <v/>
      </c>
      <c r="L36" s="27">
        <f>MAX(0.02,NORMINV(RAND(),$C$7,$D$7))</f>
        <v/>
      </c>
      <c r="M36" s="27">
        <f>MIN(0.16,MAX(0.05,NORMINV(RAND(),$C$8,$D$8)))</f>
        <v/>
      </c>
      <c r="N36" s="28">
        <f>MIN(24,MAX(5,NORMINV(RAND(),$C$9,$D$9)))</f>
        <v/>
      </c>
      <c r="O36" s="51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9">
        <f>$B$15+3.5*($B$16-$B$15)/15</f>
        <v/>
      </c>
      <c r="B37" s="4">
        <f>COUNTIFS($O$2:$O$1001,"&gt;="&amp;($B$15+3*($B$16-$B$15)/15),$O$2:$O$1001,"&lt;"&amp;($B$15+4*($B$16-$B$15)/15))</f>
        <v/>
      </c>
      <c r="K37" s="27">
        <f>MAX(-0.05,NORMINV(RAND(),$C$6,$D$6))</f>
        <v/>
      </c>
      <c r="L37" s="27">
        <f>MAX(0.02,NORMINV(RAND(),$C$7,$D$7))</f>
        <v/>
      </c>
      <c r="M37" s="27">
        <f>MIN(0.16,MAX(0.05,NORMINV(RAND(),$C$8,$D$8)))</f>
        <v/>
      </c>
      <c r="N37" s="28">
        <f>MIN(24,MAX(5,NORMINV(RAND(),$C$9,$D$9)))</f>
        <v/>
      </c>
      <c r="O37" s="51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9">
        <f>$B$15+4.5*($B$16-$B$15)/15</f>
        <v/>
      </c>
      <c r="B38" s="4">
        <f>COUNTIFS($O$2:$O$1001,"&gt;="&amp;($B$15+4*($B$16-$B$15)/15),$O$2:$O$1001,"&lt;"&amp;($B$15+5*($B$16-$B$15)/15))</f>
        <v/>
      </c>
      <c r="K38" s="27">
        <f>MAX(-0.05,NORMINV(RAND(),$C$6,$D$6))</f>
        <v/>
      </c>
      <c r="L38" s="27">
        <f>MAX(0.02,NORMINV(RAND(),$C$7,$D$7))</f>
        <v/>
      </c>
      <c r="M38" s="27">
        <f>MIN(0.16,MAX(0.05,NORMINV(RAND(),$C$8,$D$8)))</f>
        <v/>
      </c>
      <c r="N38" s="28">
        <f>MIN(24,MAX(5,NORMINV(RAND(),$C$9,$D$9)))</f>
        <v/>
      </c>
      <c r="O38" s="51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9">
        <f>$B$15+5.5*($B$16-$B$15)/15</f>
        <v/>
      </c>
      <c r="B39" s="4">
        <f>COUNTIFS($O$2:$O$1001,"&gt;="&amp;($B$15+5*($B$16-$B$15)/15),$O$2:$O$1001,"&lt;"&amp;($B$15+6*($B$16-$B$15)/15))</f>
        <v/>
      </c>
      <c r="K39" s="27">
        <f>MAX(-0.05,NORMINV(RAND(),$C$6,$D$6))</f>
        <v/>
      </c>
      <c r="L39" s="27">
        <f>MAX(0.02,NORMINV(RAND(),$C$7,$D$7))</f>
        <v/>
      </c>
      <c r="M39" s="27">
        <f>MIN(0.16,MAX(0.05,NORMINV(RAND(),$C$8,$D$8)))</f>
        <v/>
      </c>
      <c r="N39" s="28">
        <f>MIN(24,MAX(5,NORMINV(RAND(),$C$9,$D$9)))</f>
        <v/>
      </c>
      <c r="O39" s="51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9">
        <f>$B$15+6.5*($B$16-$B$15)/15</f>
        <v/>
      </c>
      <c r="B40" s="4">
        <f>COUNTIFS($O$2:$O$1001,"&gt;="&amp;($B$15+6*($B$16-$B$15)/15),$O$2:$O$1001,"&lt;"&amp;($B$15+7*($B$16-$B$15)/15))</f>
        <v/>
      </c>
      <c r="K40" s="27">
        <f>MAX(-0.05,NORMINV(RAND(),$C$6,$D$6))</f>
        <v/>
      </c>
      <c r="L40" s="27">
        <f>MAX(0.02,NORMINV(RAND(),$C$7,$D$7))</f>
        <v/>
      </c>
      <c r="M40" s="27">
        <f>MIN(0.16,MAX(0.05,NORMINV(RAND(),$C$8,$D$8)))</f>
        <v/>
      </c>
      <c r="N40" s="28">
        <f>MIN(24,MAX(5,NORMINV(RAND(),$C$9,$D$9)))</f>
        <v/>
      </c>
      <c r="O40" s="51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9">
        <f>$B$15+7.5*($B$16-$B$15)/15</f>
        <v/>
      </c>
      <c r="B41" s="4">
        <f>COUNTIFS($O$2:$O$1001,"&gt;="&amp;($B$15+7*($B$16-$B$15)/15),$O$2:$O$1001,"&lt;"&amp;($B$15+8*($B$16-$B$15)/15))</f>
        <v/>
      </c>
      <c r="K41" s="27">
        <f>MAX(-0.05,NORMINV(RAND(),$C$6,$D$6))</f>
        <v/>
      </c>
      <c r="L41" s="27">
        <f>MAX(0.02,NORMINV(RAND(),$C$7,$D$7))</f>
        <v/>
      </c>
      <c r="M41" s="27">
        <f>MIN(0.16,MAX(0.05,NORMINV(RAND(),$C$8,$D$8)))</f>
        <v/>
      </c>
      <c r="N41" s="28">
        <f>MIN(24,MAX(5,NORMINV(RAND(),$C$9,$D$9)))</f>
        <v/>
      </c>
      <c r="O41" s="51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9">
        <f>$B$15+8.5*($B$16-$B$15)/15</f>
        <v/>
      </c>
      <c r="B42" s="4">
        <f>COUNTIFS($O$2:$O$1001,"&gt;="&amp;($B$15+8*($B$16-$B$15)/15),$O$2:$O$1001,"&lt;"&amp;($B$15+9*($B$16-$B$15)/15))</f>
        <v/>
      </c>
      <c r="K42" s="27">
        <f>MAX(-0.05,NORMINV(RAND(),$C$6,$D$6))</f>
        <v/>
      </c>
      <c r="L42" s="27">
        <f>MAX(0.02,NORMINV(RAND(),$C$7,$D$7))</f>
        <v/>
      </c>
      <c r="M42" s="27">
        <f>MIN(0.16,MAX(0.05,NORMINV(RAND(),$C$8,$D$8)))</f>
        <v/>
      </c>
      <c r="N42" s="28">
        <f>MIN(24,MAX(5,NORMINV(RAND(),$C$9,$D$9)))</f>
        <v/>
      </c>
      <c r="O42" s="51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9">
        <f>$B$15+9.5*($B$16-$B$15)/15</f>
        <v/>
      </c>
      <c r="B43" s="4">
        <f>COUNTIFS($O$2:$O$1001,"&gt;="&amp;($B$15+9*($B$16-$B$15)/15),$O$2:$O$1001,"&lt;"&amp;($B$15+10*($B$16-$B$15)/15))</f>
        <v/>
      </c>
      <c r="K43" s="27">
        <f>MAX(-0.05,NORMINV(RAND(),$C$6,$D$6))</f>
        <v/>
      </c>
      <c r="L43" s="27">
        <f>MAX(0.02,NORMINV(RAND(),$C$7,$D$7))</f>
        <v/>
      </c>
      <c r="M43" s="27">
        <f>MIN(0.16,MAX(0.05,NORMINV(RAND(),$C$8,$D$8)))</f>
        <v/>
      </c>
      <c r="N43" s="28">
        <f>MIN(24,MAX(5,NORMINV(RAND(),$C$9,$D$9)))</f>
        <v/>
      </c>
      <c r="O43" s="51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9">
        <f>$B$15+10.5*($B$16-$B$15)/15</f>
        <v/>
      </c>
      <c r="B44" s="4">
        <f>COUNTIFS($O$2:$O$1001,"&gt;="&amp;($B$15+10*($B$16-$B$15)/15),$O$2:$O$1001,"&lt;"&amp;($B$15+11*($B$16-$B$15)/15))</f>
        <v/>
      </c>
      <c r="K44" s="27">
        <f>MAX(-0.05,NORMINV(RAND(),$C$6,$D$6))</f>
        <v/>
      </c>
      <c r="L44" s="27">
        <f>MAX(0.02,NORMINV(RAND(),$C$7,$D$7))</f>
        <v/>
      </c>
      <c r="M44" s="27">
        <f>MIN(0.16,MAX(0.05,NORMINV(RAND(),$C$8,$D$8)))</f>
        <v/>
      </c>
      <c r="N44" s="28">
        <f>MIN(24,MAX(5,NORMINV(RAND(),$C$9,$D$9)))</f>
        <v/>
      </c>
      <c r="O44" s="51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9">
        <f>$B$15+11.5*($B$16-$B$15)/15</f>
        <v/>
      </c>
      <c r="B45" s="4">
        <f>COUNTIFS($O$2:$O$1001,"&gt;="&amp;($B$15+11*($B$16-$B$15)/15),$O$2:$O$1001,"&lt;"&amp;($B$15+12*($B$16-$B$15)/15))</f>
        <v/>
      </c>
      <c r="K45" s="27">
        <f>MAX(-0.05,NORMINV(RAND(),$C$6,$D$6))</f>
        <v/>
      </c>
      <c r="L45" s="27">
        <f>MAX(0.02,NORMINV(RAND(),$C$7,$D$7))</f>
        <v/>
      </c>
      <c r="M45" s="27">
        <f>MIN(0.16,MAX(0.05,NORMINV(RAND(),$C$8,$D$8)))</f>
        <v/>
      </c>
      <c r="N45" s="28">
        <f>MIN(24,MAX(5,NORMINV(RAND(),$C$9,$D$9)))</f>
        <v/>
      </c>
      <c r="O45" s="51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9">
        <f>$B$15+12.5*($B$16-$B$15)/15</f>
        <v/>
      </c>
      <c r="B46" s="4">
        <f>COUNTIFS($O$2:$O$1001,"&gt;="&amp;($B$15+12*($B$16-$B$15)/15),$O$2:$O$1001,"&lt;"&amp;($B$15+13*($B$16-$B$15)/15))</f>
        <v/>
      </c>
      <c r="K46" s="27">
        <f>MAX(-0.05,NORMINV(RAND(),$C$6,$D$6))</f>
        <v/>
      </c>
      <c r="L46" s="27">
        <f>MAX(0.02,NORMINV(RAND(),$C$7,$D$7))</f>
        <v/>
      </c>
      <c r="M46" s="27">
        <f>MIN(0.16,MAX(0.05,NORMINV(RAND(),$C$8,$D$8)))</f>
        <v/>
      </c>
      <c r="N46" s="28">
        <f>MIN(24,MAX(5,NORMINV(RAND(),$C$9,$D$9)))</f>
        <v/>
      </c>
      <c r="O46" s="51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9">
        <f>$B$15+13.5*($B$16-$B$15)/15</f>
        <v/>
      </c>
      <c r="B47" s="4">
        <f>COUNTIFS($O$2:$O$1001,"&gt;="&amp;($B$15+13*($B$16-$B$15)/15),$O$2:$O$1001,"&lt;"&amp;($B$15+14*($B$16-$B$15)/15))</f>
        <v/>
      </c>
      <c r="K47" s="27">
        <f>MAX(-0.05,NORMINV(RAND(),$C$6,$D$6))</f>
        <v/>
      </c>
      <c r="L47" s="27">
        <f>MAX(0.02,NORMINV(RAND(),$C$7,$D$7))</f>
        <v/>
      </c>
      <c r="M47" s="27">
        <f>MIN(0.16,MAX(0.05,NORMINV(RAND(),$C$8,$D$8)))</f>
        <v/>
      </c>
      <c r="N47" s="28">
        <f>MIN(24,MAX(5,NORMINV(RAND(),$C$9,$D$9)))</f>
        <v/>
      </c>
      <c r="O47" s="51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9">
        <f>$B$15+14.5*($B$16-$B$15)/15</f>
        <v/>
      </c>
      <c r="B48" s="4">
        <f>COUNTIF($O$2:$O$1001,"&gt;="&amp;($B$15+14*($B$16-$B$15)/15))</f>
        <v/>
      </c>
      <c r="K48" s="27">
        <f>MAX(-0.05,NORMINV(RAND(),$C$6,$D$6))</f>
        <v/>
      </c>
      <c r="L48" s="27">
        <f>MAX(0.02,NORMINV(RAND(),$C$7,$D$7))</f>
        <v/>
      </c>
      <c r="M48" s="27">
        <f>MIN(0.16,MAX(0.05,NORMINV(RAND(),$C$8,$D$8)))</f>
        <v/>
      </c>
      <c r="N48" s="28">
        <f>MIN(24,MAX(5,NORMINV(RAND(),$C$9,$D$9)))</f>
        <v/>
      </c>
      <c r="O48" s="51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7">
        <f>MAX(-0.05,NORMINV(RAND(),$C$6,$D$6))</f>
        <v/>
      </c>
      <c r="L49" s="27">
        <f>MAX(0.02,NORMINV(RAND(),$C$7,$D$7))</f>
        <v/>
      </c>
      <c r="M49" s="27">
        <f>MIN(0.16,MAX(0.05,NORMINV(RAND(),$C$8,$D$8)))</f>
        <v/>
      </c>
      <c r="N49" s="28">
        <f>MIN(24,MAX(5,NORMINV(RAND(),$C$9,$D$9)))</f>
        <v/>
      </c>
      <c r="O49" s="51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7">
        <f>MAX(-0.05,NORMINV(RAND(),$C$6,$D$6))</f>
        <v/>
      </c>
      <c r="L50" s="27">
        <f>MAX(0.02,NORMINV(RAND(),$C$7,$D$7))</f>
        <v/>
      </c>
      <c r="M50" s="27">
        <f>MIN(0.16,MAX(0.05,NORMINV(RAND(),$C$8,$D$8)))</f>
        <v/>
      </c>
      <c r="N50" s="28">
        <f>MIN(24,MAX(5,NORMINV(RAND(),$C$9,$D$9)))</f>
        <v/>
      </c>
      <c r="O50" s="51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7">
        <f>MAX(-0.05,NORMINV(RAND(),$C$6,$D$6))</f>
        <v/>
      </c>
      <c r="L51" s="27">
        <f>MAX(0.02,NORMINV(RAND(),$C$7,$D$7))</f>
        <v/>
      </c>
      <c r="M51" s="27">
        <f>MIN(0.16,MAX(0.05,NORMINV(RAND(),$C$8,$D$8)))</f>
        <v/>
      </c>
      <c r="N51" s="28">
        <f>MIN(24,MAX(5,NORMINV(RAND(),$C$9,$D$9)))</f>
        <v/>
      </c>
      <c r="O51" s="51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7">
        <f>MAX(-0.05,NORMINV(RAND(),$C$6,$D$6))</f>
        <v/>
      </c>
      <c r="L52" s="27">
        <f>MAX(0.02,NORMINV(RAND(),$C$7,$D$7))</f>
        <v/>
      </c>
      <c r="M52" s="27">
        <f>MIN(0.16,MAX(0.05,NORMINV(RAND(),$C$8,$D$8)))</f>
        <v/>
      </c>
      <c r="N52" s="28">
        <f>MIN(24,MAX(5,NORMINV(RAND(),$C$9,$D$9)))</f>
        <v/>
      </c>
      <c r="O52" s="51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7">
        <f>MAX(-0.05,NORMINV(RAND(),$C$6,$D$6))</f>
        <v/>
      </c>
      <c r="L53" s="27">
        <f>MAX(0.02,NORMINV(RAND(),$C$7,$D$7))</f>
        <v/>
      </c>
      <c r="M53" s="27">
        <f>MIN(0.16,MAX(0.05,NORMINV(RAND(),$C$8,$D$8)))</f>
        <v/>
      </c>
      <c r="N53" s="28">
        <f>MIN(24,MAX(5,NORMINV(RAND(),$C$9,$D$9)))</f>
        <v/>
      </c>
      <c r="O53" s="51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7">
        <f>MAX(-0.05,NORMINV(RAND(),$C$6,$D$6))</f>
        <v/>
      </c>
      <c r="L54" s="27">
        <f>MAX(0.02,NORMINV(RAND(),$C$7,$D$7))</f>
        <v/>
      </c>
      <c r="M54" s="27">
        <f>MIN(0.16,MAX(0.05,NORMINV(RAND(),$C$8,$D$8)))</f>
        <v/>
      </c>
      <c r="N54" s="28">
        <f>MIN(24,MAX(5,NORMINV(RAND(),$C$9,$D$9)))</f>
        <v/>
      </c>
      <c r="O54" s="51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7">
        <f>MAX(-0.05,NORMINV(RAND(),$C$6,$D$6))</f>
        <v/>
      </c>
      <c r="L55" s="27">
        <f>MAX(0.02,NORMINV(RAND(),$C$7,$D$7))</f>
        <v/>
      </c>
      <c r="M55" s="27">
        <f>MIN(0.16,MAX(0.05,NORMINV(RAND(),$C$8,$D$8)))</f>
        <v/>
      </c>
      <c r="N55" s="28">
        <f>MIN(24,MAX(5,NORMINV(RAND(),$C$9,$D$9)))</f>
        <v/>
      </c>
      <c r="O55" s="51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7">
        <f>MAX(-0.05,NORMINV(RAND(),$C$6,$D$6))</f>
        <v/>
      </c>
      <c r="L56" s="27">
        <f>MAX(0.02,NORMINV(RAND(),$C$7,$D$7))</f>
        <v/>
      </c>
      <c r="M56" s="27">
        <f>MIN(0.16,MAX(0.05,NORMINV(RAND(),$C$8,$D$8)))</f>
        <v/>
      </c>
      <c r="N56" s="28">
        <f>MIN(24,MAX(5,NORMINV(RAND(),$C$9,$D$9)))</f>
        <v/>
      </c>
      <c r="O56" s="51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7">
        <f>MAX(-0.05,NORMINV(RAND(),$C$6,$D$6))</f>
        <v/>
      </c>
      <c r="L57" s="27">
        <f>MAX(0.02,NORMINV(RAND(),$C$7,$D$7))</f>
        <v/>
      </c>
      <c r="M57" s="27">
        <f>MIN(0.16,MAX(0.05,NORMINV(RAND(),$C$8,$D$8)))</f>
        <v/>
      </c>
      <c r="N57" s="28">
        <f>MIN(24,MAX(5,NORMINV(RAND(),$C$9,$D$9)))</f>
        <v/>
      </c>
      <c r="O57" s="51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7">
        <f>MAX(-0.05,NORMINV(RAND(),$C$6,$D$6))</f>
        <v/>
      </c>
      <c r="L58" s="27">
        <f>MAX(0.02,NORMINV(RAND(),$C$7,$D$7))</f>
        <v/>
      </c>
      <c r="M58" s="27">
        <f>MIN(0.16,MAX(0.05,NORMINV(RAND(),$C$8,$D$8)))</f>
        <v/>
      </c>
      <c r="N58" s="28">
        <f>MIN(24,MAX(5,NORMINV(RAND(),$C$9,$D$9)))</f>
        <v/>
      </c>
      <c r="O58" s="51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7">
        <f>MAX(-0.05,NORMINV(RAND(),$C$6,$D$6))</f>
        <v/>
      </c>
      <c r="L59" s="27">
        <f>MAX(0.02,NORMINV(RAND(),$C$7,$D$7))</f>
        <v/>
      </c>
      <c r="M59" s="27">
        <f>MIN(0.16,MAX(0.05,NORMINV(RAND(),$C$8,$D$8)))</f>
        <v/>
      </c>
      <c r="N59" s="28">
        <f>MIN(24,MAX(5,NORMINV(RAND(),$C$9,$D$9)))</f>
        <v/>
      </c>
      <c r="O59" s="51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7">
        <f>MAX(-0.05,NORMINV(RAND(),$C$6,$D$6))</f>
        <v/>
      </c>
      <c r="L60" s="27">
        <f>MAX(0.02,NORMINV(RAND(),$C$7,$D$7))</f>
        <v/>
      </c>
      <c r="M60" s="27">
        <f>MIN(0.16,MAX(0.05,NORMINV(RAND(),$C$8,$D$8)))</f>
        <v/>
      </c>
      <c r="N60" s="28">
        <f>MIN(24,MAX(5,NORMINV(RAND(),$C$9,$D$9)))</f>
        <v/>
      </c>
      <c r="O60" s="51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7">
        <f>MAX(-0.05,NORMINV(RAND(),$C$6,$D$6))</f>
        <v/>
      </c>
      <c r="L61" s="27">
        <f>MAX(0.02,NORMINV(RAND(),$C$7,$D$7))</f>
        <v/>
      </c>
      <c r="M61" s="27">
        <f>MIN(0.16,MAX(0.05,NORMINV(RAND(),$C$8,$D$8)))</f>
        <v/>
      </c>
      <c r="N61" s="28">
        <f>MIN(24,MAX(5,NORMINV(RAND(),$C$9,$D$9)))</f>
        <v/>
      </c>
      <c r="O61" s="51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7">
        <f>MAX(-0.05,NORMINV(RAND(),$C$6,$D$6))</f>
        <v/>
      </c>
      <c r="L62" s="27">
        <f>MAX(0.02,NORMINV(RAND(),$C$7,$D$7))</f>
        <v/>
      </c>
      <c r="M62" s="27">
        <f>MIN(0.16,MAX(0.05,NORMINV(RAND(),$C$8,$D$8)))</f>
        <v/>
      </c>
      <c r="N62" s="28">
        <f>MIN(24,MAX(5,NORMINV(RAND(),$C$9,$D$9)))</f>
        <v/>
      </c>
      <c r="O62" s="51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7">
        <f>MAX(-0.05,NORMINV(RAND(),$C$6,$D$6))</f>
        <v/>
      </c>
      <c r="L63" s="27">
        <f>MAX(0.02,NORMINV(RAND(),$C$7,$D$7))</f>
        <v/>
      </c>
      <c r="M63" s="27">
        <f>MIN(0.16,MAX(0.05,NORMINV(RAND(),$C$8,$D$8)))</f>
        <v/>
      </c>
      <c r="N63" s="28">
        <f>MIN(24,MAX(5,NORMINV(RAND(),$C$9,$D$9)))</f>
        <v/>
      </c>
      <c r="O63" s="51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7">
        <f>MAX(-0.05,NORMINV(RAND(),$C$6,$D$6))</f>
        <v/>
      </c>
      <c r="L64" s="27">
        <f>MAX(0.02,NORMINV(RAND(),$C$7,$D$7))</f>
        <v/>
      </c>
      <c r="M64" s="27">
        <f>MIN(0.16,MAX(0.05,NORMINV(RAND(),$C$8,$D$8)))</f>
        <v/>
      </c>
      <c r="N64" s="28">
        <f>MIN(24,MAX(5,NORMINV(RAND(),$C$9,$D$9)))</f>
        <v/>
      </c>
      <c r="O64" s="51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7">
        <f>MAX(-0.05,NORMINV(RAND(),$C$6,$D$6))</f>
        <v/>
      </c>
      <c r="L65" s="27">
        <f>MAX(0.02,NORMINV(RAND(),$C$7,$D$7))</f>
        <v/>
      </c>
      <c r="M65" s="27">
        <f>MIN(0.16,MAX(0.05,NORMINV(RAND(),$C$8,$D$8)))</f>
        <v/>
      </c>
      <c r="N65" s="28">
        <f>MIN(24,MAX(5,NORMINV(RAND(),$C$9,$D$9)))</f>
        <v/>
      </c>
      <c r="O65" s="51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7">
        <f>MAX(-0.05,NORMINV(RAND(),$C$6,$D$6))</f>
        <v/>
      </c>
      <c r="L66" s="27">
        <f>MAX(0.02,NORMINV(RAND(),$C$7,$D$7))</f>
        <v/>
      </c>
      <c r="M66" s="27">
        <f>MIN(0.16,MAX(0.05,NORMINV(RAND(),$C$8,$D$8)))</f>
        <v/>
      </c>
      <c r="N66" s="28">
        <f>MIN(24,MAX(5,NORMINV(RAND(),$C$9,$D$9)))</f>
        <v/>
      </c>
      <c r="O66" s="51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7">
        <f>MAX(-0.05,NORMINV(RAND(),$C$6,$D$6))</f>
        <v/>
      </c>
      <c r="L67" s="27">
        <f>MAX(0.02,NORMINV(RAND(),$C$7,$D$7))</f>
        <v/>
      </c>
      <c r="M67" s="27">
        <f>MIN(0.16,MAX(0.05,NORMINV(RAND(),$C$8,$D$8)))</f>
        <v/>
      </c>
      <c r="N67" s="28">
        <f>MIN(24,MAX(5,NORMINV(RAND(),$C$9,$D$9)))</f>
        <v/>
      </c>
      <c r="O67" s="51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7">
        <f>MAX(-0.05,NORMINV(RAND(),$C$6,$D$6))</f>
        <v/>
      </c>
      <c r="L68" s="27">
        <f>MAX(0.02,NORMINV(RAND(),$C$7,$D$7))</f>
        <v/>
      </c>
      <c r="M68" s="27">
        <f>MIN(0.16,MAX(0.05,NORMINV(RAND(),$C$8,$D$8)))</f>
        <v/>
      </c>
      <c r="N68" s="28">
        <f>MIN(24,MAX(5,NORMINV(RAND(),$C$9,$D$9)))</f>
        <v/>
      </c>
      <c r="O68" s="51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7">
        <f>MAX(-0.05,NORMINV(RAND(),$C$6,$D$6))</f>
        <v/>
      </c>
      <c r="L69" s="27">
        <f>MAX(0.02,NORMINV(RAND(),$C$7,$D$7))</f>
        <v/>
      </c>
      <c r="M69" s="27">
        <f>MIN(0.16,MAX(0.05,NORMINV(RAND(),$C$8,$D$8)))</f>
        <v/>
      </c>
      <c r="N69" s="28">
        <f>MIN(24,MAX(5,NORMINV(RAND(),$C$9,$D$9)))</f>
        <v/>
      </c>
      <c r="O69" s="51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7">
        <f>MAX(-0.05,NORMINV(RAND(),$C$6,$D$6))</f>
        <v/>
      </c>
      <c r="L70" s="27">
        <f>MAX(0.02,NORMINV(RAND(),$C$7,$D$7))</f>
        <v/>
      </c>
      <c r="M70" s="27">
        <f>MIN(0.16,MAX(0.05,NORMINV(RAND(),$C$8,$D$8)))</f>
        <v/>
      </c>
      <c r="N70" s="28">
        <f>MIN(24,MAX(5,NORMINV(RAND(),$C$9,$D$9)))</f>
        <v/>
      </c>
      <c r="O70" s="51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7">
        <f>MAX(-0.05,NORMINV(RAND(),$C$6,$D$6))</f>
        <v/>
      </c>
      <c r="L71" s="27">
        <f>MAX(0.02,NORMINV(RAND(),$C$7,$D$7))</f>
        <v/>
      </c>
      <c r="M71" s="27">
        <f>MIN(0.16,MAX(0.05,NORMINV(RAND(),$C$8,$D$8)))</f>
        <v/>
      </c>
      <c r="N71" s="28">
        <f>MIN(24,MAX(5,NORMINV(RAND(),$C$9,$D$9)))</f>
        <v/>
      </c>
      <c r="O71" s="51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7">
        <f>MAX(-0.05,NORMINV(RAND(),$C$6,$D$6))</f>
        <v/>
      </c>
      <c r="L72" s="27">
        <f>MAX(0.02,NORMINV(RAND(),$C$7,$D$7))</f>
        <v/>
      </c>
      <c r="M72" s="27">
        <f>MIN(0.16,MAX(0.05,NORMINV(RAND(),$C$8,$D$8)))</f>
        <v/>
      </c>
      <c r="N72" s="28">
        <f>MIN(24,MAX(5,NORMINV(RAND(),$C$9,$D$9)))</f>
        <v/>
      </c>
      <c r="O72" s="51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7">
        <f>MAX(-0.05,NORMINV(RAND(),$C$6,$D$6))</f>
        <v/>
      </c>
      <c r="L73" s="27">
        <f>MAX(0.02,NORMINV(RAND(),$C$7,$D$7))</f>
        <v/>
      </c>
      <c r="M73" s="27">
        <f>MIN(0.16,MAX(0.05,NORMINV(RAND(),$C$8,$D$8)))</f>
        <v/>
      </c>
      <c r="N73" s="28">
        <f>MIN(24,MAX(5,NORMINV(RAND(),$C$9,$D$9)))</f>
        <v/>
      </c>
      <c r="O73" s="51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7">
        <f>MAX(-0.05,NORMINV(RAND(),$C$6,$D$6))</f>
        <v/>
      </c>
      <c r="L74" s="27">
        <f>MAX(0.02,NORMINV(RAND(),$C$7,$D$7))</f>
        <v/>
      </c>
      <c r="M74" s="27">
        <f>MIN(0.16,MAX(0.05,NORMINV(RAND(),$C$8,$D$8)))</f>
        <v/>
      </c>
      <c r="N74" s="28">
        <f>MIN(24,MAX(5,NORMINV(RAND(),$C$9,$D$9)))</f>
        <v/>
      </c>
      <c r="O74" s="51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7">
        <f>MAX(-0.05,NORMINV(RAND(),$C$6,$D$6))</f>
        <v/>
      </c>
      <c r="L75" s="27">
        <f>MAX(0.02,NORMINV(RAND(),$C$7,$D$7))</f>
        <v/>
      </c>
      <c r="M75" s="27">
        <f>MIN(0.16,MAX(0.05,NORMINV(RAND(),$C$8,$D$8)))</f>
        <v/>
      </c>
      <c r="N75" s="28">
        <f>MIN(24,MAX(5,NORMINV(RAND(),$C$9,$D$9)))</f>
        <v/>
      </c>
      <c r="O75" s="51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7">
        <f>MAX(-0.05,NORMINV(RAND(),$C$6,$D$6))</f>
        <v/>
      </c>
      <c r="L76" s="27">
        <f>MAX(0.02,NORMINV(RAND(),$C$7,$D$7))</f>
        <v/>
      </c>
      <c r="M76" s="27">
        <f>MIN(0.16,MAX(0.05,NORMINV(RAND(),$C$8,$D$8)))</f>
        <v/>
      </c>
      <c r="N76" s="28">
        <f>MIN(24,MAX(5,NORMINV(RAND(),$C$9,$D$9)))</f>
        <v/>
      </c>
      <c r="O76" s="51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7">
        <f>MAX(-0.05,NORMINV(RAND(),$C$6,$D$6))</f>
        <v/>
      </c>
      <c r="L77" s="27">
        <f>MAX(0.02,NORMINV(RAND(),$C$7,$D$7))</f>
        <v/>
      </c>
      <c r="M77" s="27">
        <f>MIN(0.16,MAX(0.05,NORMINV(RAND(),$C$8,$D$8)))</f>
        <v/>
      </c>
      <c r="N77" s="28">
        <f>MIN(24,MAX(5,NORMINV(RAND(),$C$9,$D$9)))</f>
        <v/>
      </c>
      <c r="O77" s="51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7">
        <f>MAX(-0.05,NORMINV(RAND(),$C$6,$D$6))</f>
        <v/>
      </c>
      <c r="L78" s="27">
        <f>MAX(0.02,NORMINV(RAND(),$C$7,$D$7))</f>
        <v/>
      </c>
      <c r="M78" s="27">
        <f>MIN(0.16,MAX(0.05,NORMINV(RAND(),$C$8,$D$8)))</f>
        <v/>
      </c>
      <c r="N78" s="28">
        <f>MIN(24,MAX(5,NORMINV(RAND(),$C$9,$D$9)))</f>
        <v/>
      </c>
      <c r="O78" s="51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7">
        <f>MAX(-0.05,NORMINV(RAND(),$C$6,$D$6))</f>
        <v/>
      </c>
      <c r="L79" s="27">
        <f>MAX(0.02,NORMINV(RAND(),$C$7,$D$7))</f>
        <v/>
      </c>
      <c r="M79" s="27">
        <f>MIN(0.16,MAX(0.05,NORMINV(RAND(),$C$8,$D$8)))</f>
        <v/>
      </c>
      <c r="N79" s="28">
        <f>MIN(24,MAX(5,NORMINV(RAND(),$C$9,$D$9)))</f>
        <v/>
      </c>
      <c r="O79" s="51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7">
        <f>MAX(-0.05,NORMINV(RAND(),$C$6,$D$6))</f>
        <v/>
      </c>
      <c r="L80" s="27">
        <f>MAX(0.02,NORMINV(RAND(),$C$7,$D$7))</f>
        <v/>
      </c>
      <c r="M80" s="27">
        <f>MIN(0.16,MAX(0.05,NORMINV(RAND(),$C$8,$D$8)))</f>
        <v/>
      </c>
      <c r="N80" s="28">
        <f>MIN(24,MAX(5,NORMINV(RAND(),$C$9,$D$9)))</f>
        <v/>
      </c>
      <c r="O80" s="51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7">
        <f>MAX(-0.05,NORMINV(RAND(),$C$6,$D$6))</f>
        <v/>
      </c>
      <c r="L81" s="27">
        <f>MAX(0.02,NORMINV(RAND(),$C$7,$D$7))</f>
        <v/>
      </c>
      <c r="M81" s="27">
        <f>MIN(0.16,MAX(0.05,NORMINV(RAND(),$C$8,$D$8)))</f>
        <v/>
      </c>
      <c r="N81" s="28">
        <f>MIN(24,MAX(5,NORMINV(RAND(),$C$9,$D$9)))</f>
        <v/>
      </c>
      <c r="O81" s="51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7">
        <f>MAX(-0.05,NORMINV(RAND(),$C$6,$D$6))</f>
        <v/>
      </c>
      <c r="L82" s="27">
        <f>MAX(0.02,NORMINV(RAND(),$C$7,$D$7))</f>
        <v/>
      </c>
      <c r="M82" s="27">
        <f>MIN(0.16,MAX(0.05,NORMINV(RAND(),$C$8,$D$8)))</f>
        <v/>
      </c>
      <c r="N82" s="28">
        <f>MIN(24,MAX(5,NORMINV(RAND(),$C$9,$D$9)))</f>
        <v/>
      </c>
      <c r="O82" s="51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7">
        <f>MAX(-0.05,NORMINV(RAND(),$C$6,$D$6))</f>
        <v/>
      </c>
      <c r="L83" s="27">
        <f>MAX(0.02,NORMINV(RAND(),$C$7,$D$7))</f>
        <v/>
      </c>
      <c r="M83" s="27">
        <f>MIN(0.16,MAX(0.05,NORMINV(RAND(),$C$8,$D$8)))</f>
        <v/>
      </c>
      <c r="N83" s="28">
        <f>MIN(24,MAX(5,NORMINV(RAND(),$C$9,$D$9)))</f>
        <v/>
      </c>
      <c r="O83" s="51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7">
        <f>MAX(-0.05,NORMINV(RAND(),$C$6,$D$6))</f>
        <v/>
      </c>
      <c r="L84" s="27">
        <f>MAX(0.02,NORMINV(RAND(),$C$7,$D$7))</f>
        <v/>
      </c>
      <c r="M84" s="27">
        <f>MIN(0.16,MAX(0.05,NORMINV(RAND(),$C$8,$D$8)))</f>
        <v/>
      </c>
      <c r="N84" s="28">
        <f>MIN(24,MAX(5,NORMINV(RAND(),$C$9,$D$9)))</f>
        <v/>
      </c>
      <c r="O84" s="51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7">
        <f>MAX(-0.05,NORMINV(RAND(),$C$6,$D$6))</f>
        <v/>
      </c>
      <c r="L85" s="27">
        <f>MAX(0.02,NORMINV(RAND(),$C$7,$D$7))</f>
        <v/>
      </c>
      <c r="M85" s="27">
        <f>MIN(0.16,MAX(0.05,NORMINV(RAND(),$C$8,$D$8)))</f>
        <v/>
      </c>
      <c r="N85" s="28">
        <f>MIN(24,MAX(5,NORMINV(RAND(),$C$9,$D$9)))</f>
        <v/>
      </c>
      <c r="O85" s="51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7">
        <f>MAX(-0.05,NORMINV(RAND(),$C$6,$D$6))</f>
        <v/>
      </c>
      <c r="L86" s="27">
        <f>MAX(0.02,NORMINV(RAND(),$C$7,$D$7))</f>
        <v/>
      </c>
      <c r="M86" s="27">
        <f>MIN(0.16,MAX(0.05,NORMINV(RAND(),$C$8,$D$8)))</f>
        <v/>
      </c>
      <c r="N86" s="28">
        <f>MIN(24,MAX(5,NORMINV(RAND(),$C$9,$D$9)))</f>
        <v/>
      </c>
      <c r="O86" s="51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7">
        <f>MAX(-0.05,NORMINV(RAND(),$C$6,$D$6))</f>
        <v/>
      </c>
      <c r="L87" s="27">
        <f>MAX(0.02,NORMINV(RAND(),$C$7,$D$7))</f>
        <v/>
      </c>
      <c r="M87" s="27">
        <f>MIN(0.16,MAX(0.05,NORMINV(RAND(),$C$8,$D$8)))</f>
        <v/>
      </c>
      <c r="N87" s="28">
        <f>MIN(24,MAX(5,NORMINV(RAND(),$C$9,$D$9)))</f>
        <v/>
      </c>
      <c r="O87" s="51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7">
        <f>MAX(-0.05,NORMINV(RAND(),$C$6,$D$6))</f>
        <v/>
      </c>
      <c r="L88" s="27">
        <f>MAX(0.02,NORMINV(RAND(),$C$7,$D$7))</f>
        <v/>
      </c>
      <c r="M88" s="27">
        <f>MIN(0.16,MAX(0.05,NORMINV(RAND(),$C$8,$D$8)))</f>
        <v/>
      </c>
      <c r="N88" s="28">
        <f>MIN(24,MAX(5,NORMINV(RAND(),$C$9,$D$9)))</f>
        <v/>
      </c>
      <c r="O88" s="51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7">
        <f>MAX(-0.05,NORMINV(RAND(),$C$6,$D$6))</f>
        <v/>
      </c>
      <c r="L89" s="27">
        <f>MAX(0.02,NORMINV(RAND(),$C$7,$D$7))</f>
        <v/>
      </c>
      <c r="M89" s="27">
        <f>MIN(0.16,MAX(0.05,NORMINV(RAND(),$C$8,$D$8)))</f>
        <v/>
      </c>
      <c r="N89" s="28">
        <f>MIN(24,MAX(5,NORMINV(RAND(),$C$9,$D$9)))</f>
        <v/>
      </c>
      <c r="O89" s="51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7">
        <f>MAX(-0.05,NORMINV(RAND(),$C$6,$D$6))</f>
        <v/>
      </c>
      <c r="L90" s="27">
        <f>MAX(0.02,NORMINV(RAND(),$C$7,$D$7))</f>
        <v/>
      </c>
      <c r="M90" s="27">
        <f>MIN(0.16,MAX(0.05,NORMINV(RAND(),$C$8,$D$8)))</f>
        <v/>
      </c>
      <c r="N90" s="28">
        <f>MIN(24,MAX(5,NORMINV(RAND(),$C$9,$D$9)))</f>
        <v/>
      </c>
      <c r="O90" s="51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7">
        <f>MAX(-0.05,NORMINV(RAND(),$C$6,$D$6))</f>
        <v/>
      </c>
      <c r="L91" s="27">
        <f>MAX(0.02,NORMINV(RAND(),$C$7,$D$7))</f>
        <v/>
      </c>
      <c r="M91" s="27">
        <f>MIN(0.16,MAX(0.05,NORMINV(RAND(),$C$8,$D$8)))</f>
        <v/>
      </c>
      <c r="N91" s="28">
        <f>MIN(24,MAX(5,NORMINV(RAND(),$C$9,$D$9)))</f>
        <v/>
      </c>
      <c r="O91" s="51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7">
        <f>MAX(-0.05,NORMINV(RAND(),$C$6,$D$6))</f>
        <v/>
      </c>
      <c r="L92" s="27">
        <f>MAX(0.02,NORMINV(RAND(),$C$7,$D$7))</f>
        <v/>
      </c>
      <c r="M92" s="27">
        <f>MIN(0.16,MAX(0.05,NORMINV(RAND(),$C$8,$D$8)))</f>
        <v/>
      </c>
      <c r="N92" s="28">
        <f>MIN(24,MAX(5,NORMINV(RAND(),$C$9,$D$9)))</f>
        <v/>
      </c>
      <c r="O92" s="51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7">
        <f>MAX(-0.05,NORMINV(RAND(),$C$6,$D$6))</f>
        <v/>
      </c>
      <c r="L93" s="27">
        <f>MAX(0.02,NORMINV(RAND(),$C$7,$D$7))</f>
        <v/>
      </c>
      <c r="M93" s="27">
        <f>MIN(0.16,MAX(0.05,NORMINV(RAND(),$C$8,$D$8)))</f>
        <v/>
      </c>
      <c r="N93" s="28">
        <f>MIN(24,MAX(5,NORMINV(RAND(),$C$9,$D$9)))</f>
        <v/>
      </c>
      <c r="O93" s="51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7">
        <f>MAX(-0.05,NORMINV(RAND(),$C$6,$D$6))</f>
        <v/>
      </c>
      <c r="L94" s="27">
        <f>MAX(0.02,NORMINV(RAND(),$C$7,$D$7))</f>
        <v/>
      </c>
      <c r="M94" s="27">
        <f>MIN(0.16,MAX(0.05,NORMINV(RAND(),$C$8,$D$8)))</f>
        <v/>
      </c>
      <c r="N94" s="28">
        <f>MIN(24,MAX(5,NORMINV(RAND(),$C$9,$D$9)))</f>
        <v/>
      </c>
      <c r="O94" s="51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7">
        <f>MAX(-0.05,NORMINV(RAND(),$C$6,$D$6))</f>
        <v/>
      </c>
      <c r="L95" s="27">
        <f>MAX(0.02,NORMINV(RAND(),$C$7,$D$7))</f>
        <v/>
      </c>
      <c r="M95" s="27">
        <f>MIN(0.16,MAX(0.05,NORMINV(RAND(),$C$8,$D$8)))</f>
        <v/>
      </c>
      <c r="N95" s="28">
        <f>MIN(24,MAX(5,NORMINV(RAND(),$C$9,$D$9)))</f>
        <v/>
      </c>
      <c r="O95" s="51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7">
        <f>MAX(-0.05,NORMINV(RAND(),$C$6,$D$6))</f>
        <v/>
      </c>
      <c r="L96" s="27">
        <f>MAX(0.02,NORMINV(RAND(),$C$7,$D$7))</f>
        <v/>
      </c>
      <c r="M96" s="27">
        <f>MIN(0.16,MAX(0.05,NORMINV(RAND(),$C$8,$D$8)))</f>
        <v/>
      </c>
      <c r="N96" s="28">
        <f>MIN(24,MAX(5,NORMINV(RAND(),$C$9,$D$9)))</f>
        <v/>
      </c>
      <c r="O96" s="51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7">
        <f>MAX(-0.05,NORMINV(RAND(),$C$6,$D$6))</f>
        <v/>
      </c>
      <c r="L97" s="27">
        <f>MAX(0.02,NORMINV(RAND(),$C$7,$D$7))</f>
        <v/>
      </c>
      <c r="M97" s="27">
        <f>MIN(0.16,MAX(0.05,NORMINV(RAND(),$C$8,$D$8)))</f>
        <v/>
      </c>
      <c r="N97" s="28">
        <f>MIN(24,MAX(5,NORMINV(RAND(),$C$9,$D$9)))</f>
        <v/>
      </c>
      <c r="O97" s="51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7">
        <f>MAX(-0.05,NORMINV(RAND(),$C$6,$D$6))</f>
        <v/>
      </c>
      <c r="L98" s="27">
        <f>MAX(0.02,NORMINV(RAND(),$C$7,$D$7))</f>
        <v/>
      </c>
      <c r="M98" s="27">
        <f>MIN(0.16,MAX(0.05,NORMINV(RAND(),$C$8,$D$8)))</f>
        <v/>
      </c>
      <c r="N98" s="28">
        <f>MIN(24,MAX(5,NORMINV(RAND(),$C$9,$D$9)))</f>
        <v/>
      </c>
      <c r="O98" s="51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7">
        <f>MAX(-0.05,NORMINV(RAND(),$C$6,$D$6))</f>
        <v/>
      </c>
      <c r="L99" s="27">
        <f>MAX(0.02,NORMINV(RAND(),$C$7,$D$7))</f>
        <v/>
      </c>
      <c r="M99" s="27">
        <f>MIN(0.16,MAX(0.05,NORMINV(RAND(),$C$8,$D$8)))</f>
        <v/>
      </c>
      <c r="N99" s="28">
        <f>MIN(24,MAX(5,NORMINV(RAND(),$C$9,$D$9)))</f>
        <v/>
      </c>
      <c r="O99" s="51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7">
        <f>MAX(-0.05,NORMINV(RAND(),$C$6,$D$6))</f>
        <v/>
      </c>
      <c r="L100" s="27">
        <f>MAX(0.02,NORMINV(RAND(),$C$7,$D$7))</f>
        <v/>
      </c>
      <c r="M100" s="27">
        <f>MIN(0.16,MAX(0.05,NORMINV(RAND(),$C$8,$D$8)))</f>
        <v/>
      </c>
      <c r="N100" s="28">
        <f>MIN(24,MAX(5,NORMINV(RAND(),$C$9,$D$9)))</f>
        <v/>
      </c>
      <c r="O100" s="51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7">
        <f>MAX(-0.05,NORMINV(RAND(),$C$6,$D$6))</f>
        <v/>
      </c>
      <c r="L101" s="27">
        <f>MAX(0.02,NORMINV(RAND(),$C$7,$D$7))</f>
        <v/>
      </c>
      <c r="M101" s="27">
        <f>MIN(0.16,MAX(0.05,NORMINV(RAND(),$C$8,$D$8)))</f>
        <v/>
      </c>
      <c r="N101" s="28">
        <f>MIN(24,MAX(5,NORMINV(RAND(),$C$9,$D$9)))</f>
        <v/>
      </c>
      <c r="O101" s="51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7">
        <f>MAX(-0.05,NORMINV(RAND(),$C$6,$D$6))</f>
        <v/>
      </c>
      <c r="L102" s="27">
        <f>MAX(0.02,NORMINV(RAND(),$C$7,$D$7))</f>
        <v/>
      </c>
      <c r="M102" s="27">
        <f>MIN(0.16,MAX(0.05,NORMINV(RAND(),$C$8,$D$8)))</f>
        <v/>
      </c>
      <c r="N102" s="28">
        <f>MIN(24,MAX(5,NORMINV(RAND(),$C$9,$D$9)))</f>
        <v/>
      </c>
      <c r="O102" s="51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7">
        <f>MAX(-0.05,NORMINV(RAND(),$C$6,$D$6))</f>
        <v/>
      </c>
      <c r="L103" s="27">
        <f>MAX(0.02,NORMINV(RAND(),$C$7,$D$7))</f>
        <v/>
      </c>
      <c r="M103" s="27">
        <f>MIN(0.16,MAX(0.05,NORMINV(RAND(),$C$8,$D$8)))</f>
        <v/>
      </c>
      <c r="N103" s="28">
        <f>MIN(24,MAX(5,NORMINV(RAND(),$C$9,$D$9)))</f>
        <v/>
      </c>
      <c r="O103" s="51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7">
        <f>MAX(-0.05,NORMINV(RAND(),$C$6,$D$6))</f>
        <v/>
      </c>
      <c r="L104" s="27">
        <f>MAX(0.02,NORMINV(RAND(),$C$7,$D$7))</f>
        <v/>
      </c>
      <c r="M104" s="27">
        <f>MIN(0.16,MAX(0.05,NORMINV(RAND(),$C$8,$D$8)))</f>
        <v/>
      </c>
      <c r="N104" s="28">
        <f>MIN(24,MAX(5,NORMINV(RAND(),$C$9,$D$9)))</f>
        <v/>
      </c>
      <c r="O104" s="51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7">
        <f>MAX(-0.05,NORMINV(RAND(),$C$6,$D$6))</f>
        <v/>
      </c>
      <c r="L105" s="27">
        <f>MAX(0.02,NORMINV(RAND(),$C$7,$D$7))</f>
        <v/>
      </c>
      <c r="M105" s="27">
        <f>MIN(0.16,MAX(0.05,NORMINV(RAND(),$C$8,$D$8)))</f>
        <v/>
      </c>
      <c r="N105" s="28">
        <f>MIN(24,MAX(5,NORMINV(RAND(),$C$9,$D$9)))</f>
        <v/>
      </c>
      <c r="O105" s="51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7">
        <f>MAX(-0.05,NORMINV(RAND(),$C$6,$D$6))</f>
        <v/>
      </c>
      <c r="L106" s="27">
        <f>MAX(0.02,NORMINV(RAND(),$C$7,$D$7))</f>
        <v/>
      </c>
      <c r="M106" s="27">
        <f>MIN(0.16,MAX(0.05,NORMINV(RAND(),$C$8,$D$8)))</f>
        <v/>
      </c>
      <c r="N106" s="28">
        <f>MIN(24,MAX(5,NORMINV(RAND(),$C$9,$D$9)))</f>
        <v/>
      </c>
      <c r="O106" s="51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7">
        <f>MAX(-0.05,NORMINV(RAND(),$C$6,$D$6))</f>
        <v/>
      </c>
      <c r="L107" s="27">
        <f>MAX(0.02,NORMINV(RAND(),$C$7,$D$7))</f>
        <v/>
      </c>
      <c r="M107" s="27">
        <f>MIN(0.16,MAX(0.05,NORMINV(RAND(),$C$8,$D$8)))</f>
        <v/>
      </c>
      <c r="N107" s="28">
        <f>MIN(24,MAX(5,NORMINV(RAND(),$C$9,$D$9)))</f>
        <v/>
      </c>
      <c r="O107" s="51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7">
        <f>MAX(-0.05,NORMINV(RAND(),$C$6,$D$6))</f>
        <v/>
      </c>
      <c r="L108" s="27">
        <f>MAX(0.02,NORMINV(RAND(),$C$7,$D$7))</f>
        <v/>
      </c>
      <c r="M108" s="27">
        <f>MIN(0.16,MAX(0.05,NORMINV(RAND(),$C$8,$D$8)))</f>
        <v/>
      </c>
      <c r="N108" s="28">
        <f>MIN(24,MAX(5,NORMINV(RAND(),$C$9,$D$9)))</f>
        <v/>
      </c>
      <c r="O108" s="51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7">
        <f>MAX(-0.05,NORMINV(RAND(),$C$6,$D$6))</f>
        <v/>
      </c>
      <c r="L109" s="27">
        <f>MAX(0.02,NORMINV(RAND(),$C$7,$D$7))</f>
        <v/>
      </c>
      <c r="M109" s="27">
        <f>MIN(0.16,MAX(0.05,NORMINV(RAND(),$C$8,$D$8)))</f>
        <v/>
      </c>
      <c r="N109" s="28">
        <f>MIN(24,MAX(5,NORMINV(RAND(),$C$9,$D$9)))</f>
        <v/>
      </c>
      <c r="O109" s="51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7">
        <f>MAX(-0.05,NORMINV(RAND(),$C$6,$D$6))</f>
        <v/>
      </c>
      <c r="L110" s="27">
        <f>MAX(0.02,NORMINV(RAND(),$C$7,$D$7))</f>
        <v/>
      </c>
      <c r="M110" s="27">
        <f>MIN(0.16,MAX(0.05,NORMINV(RAND(),$C$8,$D$8)))</f>
        <v/>
      </c>
      <c r="N110" s="28">
        <f>MIN(24,MAX(5,NORMINV(RAND(),$C$9,$D$9)))</f>
        <v/>
      </c>
      <c r="O110" s="51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7">
        <f>MAX(-0.05,NORMINV(RAND(),$C$6,$D$6))</f>
        <v/>
      </c>
      <c r="L111" s="27">
        <f>MAX(0.02,NORMINV(RAND(),$C$7,$D$7))</f>
        <v/>
      </c>
      <c r="M111" s="27">
        <f>MIN(0.16,MAX(0.05,NORMINV(RAND(),$C$8,$D$8)))</f>
        <v/>
      </c>
      <c r="N111" s="28">
        <f>MIN(24,MAX(5,NORMINV(RAND(),$C$9,$D$9)))</f>
        <v/>
      </c>
      <c r="O111" s="51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7">
        <f>MAX(-0.05,NORMINV(RAND(),$C$6,$D$6))</f>
        <v/>
      </c>
      <c r="L112" s="27">
        <f>MAX(0.02,NORMINV(RAND(),$C$7,$D$7))</f>
        <v/>
      </c>
      <c r="M112" s="27">
        <f>MIN(0.16,MAX(0.05,NORMINV(RAND(),$C$8,$D$8)))</f>
        <v/>
      </c>
      <c r="N112" s="28">
        <f>MIN(24,MAX(5,NORMINV(RAND(),$C$9,$D$9)))</f>
        <v/>
      </c>
      <c r="O112" s="51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7">
        <f>MAX(-0.05,NORMINV(RAND(),$C$6,$D$6))</f>
        <v/>
      </c>
      <c r="L113" s="27">
        <f>MAX(0.02,NORMINV(RAND(),$C$7,$D$7))</f>
        <v/>
      </c>
      <c r="M113" s="27">
        <f>MIN(0.16,MAX(0.05,NORMINV(RAND(),$C$8,$D$8)))</f>
        <v/>
      </c>
      <c r="N113" s="28">
        <f>MIN(24,MAX(5,NORMINV(RAND(),$C$9,$D$9)))</f>
        <v/>
      </c>
      <c r="O113" s="51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7">
        <f>MAX(-0.05,NORMINV(RAND(),$C$6,$D$6))</f>
        <v/>
      </c>
      <c r="L114" s="27">
        <f>MAX(0.02,NORMINV(RAND(),$C$7,$D$7))</f>
        <v/>
      </c>
      <c r="M114" s="27">
        <f>MIN(0.16,MAX(0.05,NORMINV(RAND(),$C$8,$D$8)))</f>
        <v/>
      </c>
      <c r="N114" s="28">
        <f>MIN(24,MAX(5,NORMINV(RAND(),$C$9,$D$9)))</f>
        <v/>
      </c>
      <c r="O114" s="51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7">
        <f>MAX(-0.05,NORMINV(RAND(),$C$6,$D$6))</f>
        <v/>
      </c>
      <c r="L115" s="27">
        <f>MAX(0.02,NORMINV(RAND(),$C$7,$D$7))</f>
        <v/>
      </c>
      <c r="M115" s="27">
        <f>MIN(0.16,MAX(0.05,NORMINV(RAND(),$C$8,$D$8)))</f>
        <v/>
      </c>
      <c r="N115" s="28">
        <f>MIN(24,MAX(5,NORMINV(RAND(),$C$9,$D$9)))</f>
        <v/>
      </c>
      <c r="O115" s="51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7">
        <f>MAX(-0.05,NORMINV(RAND(),$C$6,$D$6))</f>
        <v/>
      </c>
      <c r="L116" s="27">
        <f>MAX(0.02,NORMINV(RAND(),$C$7,$D$7))</f>
        <v/>
      </c>
      <c r="M116" s="27">
        <f>MIN(0.16,MAX(0.05,NORMINV(RAND(),$C$8,$D$8)))</f>
        <v/>
      </c>
      <c r="N116" s="28">
        <f>MIN(24,MAX(5,NORMINV(RAND(),$C$9,$D$9)))</f>
        <v/>
      </c>
      <c r="O116" s="51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7">
        <f>MAX(-0.05,NORMINV(RAND(),$C$6,$D$6))</f>
        <v/>
      </c>
      <c r="L117" s="27">
        <f>MAX(0.02,NORMINV(RAND(),$C$7,$D$7))</f>
        <v/>
      </c>
      <c r="M117" s="27">
        <f>MIN(0.16,MAX(0.05,NORMINV(RAND(),$C$8,$D$8)))</f>
        <v/>
      </c>
      <c r="N117" s="28">
        <f>MIN(24,MAX(5,NORMINV(RAND(),$C$9,$D$9)))</f>
        <v/>
      </c>
      <c r="O117" s="51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7">
        <f>MAX(-0.05,NORMINV(RAND(),$C$6,$D$6))</f>
        <v/>
      </c>
      <c r="L118" s="27">
        <f>MAX(0.02,NORMINV(RAND(),$C$7,$D$7))</f>
        <v/>
      </c>
      <c r="M118" s="27">
        <f>MIN(0.16,MAX(0.05,NORMINV(RAND(),$C$8,$D$8)))</f>
        <v/>
      </c>
      <c r="N118" s="28">
        <f>MIN(24,MAX(5,NORMINV(RAND(),$C$9,$D$9)))</f>
        <v/>
      </c>
      <c r="O118" s="51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7">
        <f>MAX(-0.05,NORMINV(RAND(),$C$6,$D$6))</f>
        <v/>
      </c>
      <c r="L119" s="27">
        <f>MAX(0.02,NORMINV(RAND(),$C$7,$D$7))</f>
        <v/>
      </c>
      <c r="M119" s="27">
        <f>MIN(0.16,MAX(0.05,NORMINV(RAND(),$C$8,$D$8)))</f>
        <v/>
      </c>
      <c r="N119" s="28">
        <f>MIN(24,MAX(5,NORMINV(RAND(),$C$9,$D$9)))</f>
        <v/>
      </c>
      <c r="O119" s="51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7">
        <f>MAX(-0.05,NORMINV(RAND(),$C$6,$D$6))</f>
        <v/>
      </c>
      <c r="L120" s="27">
        <f>MAX(0.02,NORMINV(RAND(),$C$7,$D$7))</f>
        <v/>
      </c>
      <c r="M120" s="27">
        <f>MIN(0.16,MAX(0.05,NORMINV(RAND(),$C$8,$D$8)))</f>
        <v/>
      </c>
      <c r="N120" s="28">
        <f>MIN(24,MAX(5,NORMINV(RAND(),$C$9,$D$9)))</f>
        <v/>
      </c>
      <c r="O120" s="51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7">
        <f>MAX(-0.05,NORMINV(RAND(),$C$6,$D$6))</f>
        <v/>
      </c>
      <c r="L121" s="27">
        <f>MAX(0.02,NORMINV(RAND(),$C$7,$D$7))</f>
        <v/>
      </c>
      <c r="M121" s="27">
        <f>MIN(0.16,MAX(0.05,NORMINV(RAND(),$C$8,$D$8)))</f>
        <v/>
      </c>
      <c r="N121" s="28">
        <f>MIN(24,MAX(5,NORMINV(RAND(),$C$9,$D$9)))</f>
        <v/>
      </c>
      <c r="O121" s="51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7">
        <f>MAX(-0.05,NORMINV(RAND(),$C$6,$D$6))</f>
        <v/>
      </c>
      <c r="L122" s="27">
        <f>MAX(0.02,NORMINV(RAND(),$C$7,$D$7))</f>
        <v/>
      </c>
      <c r="M122" s="27">
        <f>MIN(0.16,MAX(0.05,NORMINV(RAND(),$C$8,$D$8)))</f>
        <v/>
      </c>
      <c r="N122" s="28">
        <f>MIN(24,MAX(5,NORMINV(RAND(),$C$9,$D$9)))</f>
        <v/>
      </c>
      <c r="O122" s="51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7">
        <f>MAX(-0.05,NORMINV(RAND(),$C$6,$D$6))</f>
        <v/>
      </c>
      <c r="L123" s="27">
        <f>MAX(0.02,NORMINV(RAND(),$C$7,$D$7))</f>
        <v/>
      </c>
      <c r="M123" s="27">
        <f>MIN(0.16,MAX(0.05,NORMINV(RAND(),$C$8,$D$8)))</f>
        <v/>
      </c>
      <c r="N123" s="28">
        <f>MIN(24,MAX(5,NORMINV(RAND(),$C$9,$D$9)))</f>
        <v/>
      </c>
      <c r="O123" s="51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7">
        <f>MAX(-0.05,NORMINV(RAND(),$C$6,$D$6))</f>
        <v/>
      </c>
      <c r="L124" s="27">
        <f>MAX(0.02,NORMINV(RAND(),$C$7,$D$7))</f>
        <v/>
      </c>
      <c r="M124" s="27">
        <f>MIN(0.16,MAX(0.05,NORMINV(RAND(),$C$8,$D$8)))</f>
        <v/>
      </c>
      <c r="N124" s="28">
        <f>MIN(24,MAX(5,NORMINV(RAND(),$C$9,$D$9)))</f>
        <v/>
      </c>
      <c r="O124" s="51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7">
        <f>MAX(-0.05,NORMINV(RAND(),$C$6,$D$6))</f>
        <v/>
      </c>
      <c r="L125" s="27">
        <f>MAX(0.02,NORMINV(RAND(),$C$7,$D$7))</f>
        <v/>
      </c>
      <c r="M125" s="27">
        <f>MIN(0.16,MAX(0.05,NORMINV(RAND(),$C$8,$D$8)))</f>
        <v/>
      </c>
      <c r="N125" s="28">
        <f>MIN(24,MAX(5,NORMINV(RAND(),$C$9,$D$9)))</f>
        <v/>
      </c>
      <c r="O125" s="51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7">
        <f>MAX(-0.05,NORMINV(RAND(),$C$6,$D$6))</f>
        <v/>
      </c>
      <c r="L126" s="27">
        <f>MAX(0.02,NORMINV(RAND(),$C$7,$D$7))</f>
        <v/>
      </c>
      <c r="M126" s="27">
        <f>MIN(0.16,MAX(0.05,NORMINV(RAND(),$C$8,$D$8)))</f>
        <v/>
      </c>
      <c r="N126" s="28">
        <f>MIN(24,MAX(5,NORMINV(RAND(),$C$9,$D$9)))</f>
        <v/>
      </c>
      <c r="O126" s="51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7">
        <f>MAX(-0.05,NORMINV(RAND(),$C$6,$D$6))</f>
        <v/>
      </c>
      <c r="L127" s="27">
        <f>MAX(0.02,NORMINV(RAND(),$C$7,$D$7))</f>
        <v/>
      </c>
      <c r="M127" s="27">
        <f>MIN(0.16,MAX(0.05,NORMINV(RAND(),$C$8,$D$8)))</f>
        <v/>
      </c>
      <c r="N127" s="28">
        <f>MIN(24,MAX(5,NORMINV(RAND(),$C$9,$D$9)))</f>
        <v/>
      </c>
      <c r="O127" s="51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7">
        <f>MAX(-0.05,NORMINV(RAND(),$C$6,$D$6))</f>
        <v/>
      </c>
      <c r="L128" s="27">
        <f>MAX(0.02,NORMINV(RAND(),$C$7,$D$7))</f>
        <v/>
      </c>
      <c r="M128" s="27">
        <f>MIN(0.16,MAX(0.05,NORMINV(RAND(),$C$8,$D$8)))</f>
        <v/>
      </c>
      <c r="N128" s="28">
        <f>MIN(24,MAX(5,NORMINV(RAND(),$C$9,$D$9)))</f>
        <v/>
      </c>
      <c r="O128" s="51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7">
        <f>MAX(-0.05,NORMINV(RAND(),$C$6,$D$6))</f>
        <v/>
      </c>
      <c r="L129" s="27">
        <f>MAX(0.02,NORMINV(RAND(),$C$7,$D$7))</f>
        <v/>
      </c>
      <c r="M129" s="27">
        <f>MIN(0.16,MAX(0.05,NORMINV(RAND(),$C$8,$D$8)))</f>
        <v/>
      </c>
      <c r="N129" s="28">
        <f>MIN(24,MAX(5,NORMINV(RAND(),$C$9,$D$9)))</f>
        <v/>
      </c>
      <c r="O129" s="51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7">
        <f>MAX(-0.05,NORMINV(RAND(),$C$6,$D$6))</f>
        <v/>
      </c>
      <c r="L130" s="27">
        <f>MAX(0.02,NORMINV(RAND(),$C$7,$D$7))</f>
        <v/>
      </c>
      <c r="M130" s="27">
        <f>MIN(0.16,MAX(0.05,NORMINV(RAND(),$C$8,$D$8)))</f>
        <v/>
      </c>
      <c r="N130" s="28">
        <f>MIN(24,MAX(5,NORMINV(RAND(),$C$9,$D$9)))</f>
        <v/>
      </c>
      <c r="O130" s="51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7">
        <f>MAX(-0.05,NORMINV(RAND(),$C$6,$D$6))</f>
        <v/>
      </c>
      <c r="L131" s="27">
        <f>MAX(0.02,NORMINV(RAND(),$C$7,$D$7))</f>
        <v/>
      </c>
      <c r="M131" s="27">
        <f>MIN(0.16,MAX(0.05,NORMINV(RAND(),$C$8,$D$8)))</f>
        <v/>
      </c>
      <c r="N131" s="28">
        <f>MIN(24,MAX(5,NORMINV(RAND(),$C$9,$D$9)))</f>
        <v/>
      </c>
      <c r="O131" s="51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7">
        <f>MAX(-0.05,NORMINV(RAND(),$C$6,$D$6))</f>
        <v/>
      </c>
      <c r="L132" s="27">
        <f>MAX(0.02,NORMINV(RAND(),$C$7,$D$7))</f>
        <v/>
      </c>
      <c r="M132" s="27">
        <f>MIN(0.16,MAX(0.05,NORMINV(RAND(),$C$8,$D$8)))</f>
        <v/>
      </c>
      <c r="N132" s="28">
        <f>MIN(24,MAX(5,NORMINV(RAND(),$C$9,$D$9)))</f>
        <v/>
      </c>
      <c r="O132" s="51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7">
        <f>MAX(-0.05,NORMINV(RAND(),$C$6,$D$6))</f>
        <v/>
      </c>
      <c r="L133" s="27">
        <f>MAX(0.02,NORMINV(RAND(),$C$7,$D$7))</f>
        <v/>
      </c>
      <c r="M133" s="27">
        <f>MIN(0.16,MAX(0.05,NORMINV(RAND(),$C$8,$D$8)))</f>
        <v/>
      </c>
      <c r="N133" s="28">
        <f>MIN(24,MAX(5,NORMINV(RAND(),$C$9,$D$9)))</f>
        <v/>
      </c>
      <c r="O133" s="51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7">
        <f>MAX(-0.05,NORMINV(RAND(),$C$6,$D$6))</f>
        <v/>
      </c>
      <c r="L134" s="27">
        <f>MAX(0.02,NORMINV(RAND(),$C$7,$D$7))</f>
        <v/>
      </c>
      <c r="M134" s="27">
        <f>MIN(0.16,MAX(0.05,NORMINV(RAND(),$C$8,$D$8)))</f>
        <v/>
      </c>
      <c r="N134" s="28">
        <f>MIN(24,MAX(5,NORMINV(RAND(),$C$9,$D$9)))</f>
        <v/>
      </c>
      <c r="O134" s="51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7">
        <f>MAX(-0.05,NORMINV(RAND(),$C$6,$D$6))</f>
        <v/>
      </c>
      <c r="L135" s="27">
        <f>MAX(0.02,NORMINV(RAND(),$C$7,$D$7))</f>
        <v/>
      </c>
      <c r="M135" s="27">
        <f>MIN(0.16,MAX(0.05,NORMINV(RAND(),$C$8,$D$8)))</f>
        <v/>
      </c>
      <c r="N135" s="28">
        <f>MIN(24,MAX(5,NORMINV(RAND(),$C$9,$D$9)))</f>
        <v/>
      </c>
      <c r="O135" s="51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7">
        <f>MAX(-0.05,NORMINV(RAND(),$C$6,$D$6))</f>
        <v/>
      </c>
      <c r="L136" s="27">
        <f>MAX(0.02,NORMINV(RAND(),$C$7,$D$7))</f>
        <v/>
      </c>
      <c r="M136" s="27">
        <f>MIN(0.16,MAX(0.05,NORMINV(RAND(),$C$8,$D$8)))</f>
        <v/>
      </c>
      <c r="N136" s="28">
        <f>MIN(24,MAX(5,NORMINV(RAND(),$C$9,$D$9)))</f>
        <v/>
      </c>
      <c r="O136" s="51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7">
        <f>MAX(-0.05,NORMINV(RAND(),$C$6,$D$6))</f>
        <v/>
      </c>
      <c r="L137" s="27">
        <f>MAX(0.02,NORMINV(RAND(),$C$7,$D$7))</f>
        <v/>
      </c>
      <c r="M137" s="27">
        <f>MIN(0.16,MAX(0.05,NORMINV(RAND(),$C$8,$D$8)))</f>
        <v/>
      </c>
      <c r="N137" s="28">
        <f>MIN(24,MAX(5,NORMINV(RAND(),$C$9,$D$9)))</f>
        <v/>
      </c>
      <c r="O137" s="51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7">
        <f>MAX(-0.05,NORMINV(RAND(),$C$6,$D$6))</f>
        <v/>
      </c>
      <c r="L138" s="27">
        <f>MAX(0.02,NORMINV(RAND(),$C$7,$D$7))</f>
        <v/>
      </c>
      <c r="M138" s="27">
        <f>MIN(0.16,MAX(0.05,NORMINV(RAND(),$C$8,$D$8)))</f>
        <v/>
      </c>
      <c r="N138" s="28">
        <f>MIN(24,MAX(5,NORMINV(RAND(),$C$9,$D$9)))</f>
        <v/>
      </c>
      <c r="O138" s="51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7">
        <f>MAX(-0.05,NORMINV(RAND(),$C$6,$D$6))</f>
        <v/>
      </c>
      <c r="L139" s="27">
        <f>MAX(0.02,NORMINV(RAND(),$C$7,$D$7))</f>
        <v/>
      </c>
      <c r="M139" s="27">
        <f>MIN(0.16,MAX(0.05,NORMINV(RAND(),$C$8,$D$8)))</f>
        <v/>
      </c>
      <c r="N139" s="28">
        <f>MIN(24,MAX(5,NORMINV(RAND(),$C$9,$D$9)))</f>
        <v/>
      </c>
      <c r="O139" s="51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7">
        <f>MAX(-0.05,NORMINV(RAND(),$C$6,$D$6))</f>
        <v/>
      </c>
      <c r="L140" s="27">
        <f>MAX(0.02,NORMINV(RAND(),$C$7,$D$7))</f>
        <v/>
      </c>
      <c r="M140" s="27">
        <f>MIN(0.16,MAX(0.05,NORMINV(RAND(),$C$8,$D$8)))</f>
        <v/>
      </c>
      <c r="N140" s="28">
        <f>MIN(24,MAX(5,NORMINV(RAND(),$C$9,$D$9)))</f>
        <v/>
      </c>
      <c r="O140" s="51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7">
        <f>MAX(-0.05,NORMINV(RAND(),$C$6,$D$6))</f>
        <v/>
      </c>
      <c r="L141" s="27">
        <f>MAX(0.02,NORMINV(RAND(),$C$7,$D$7))</f>
        <v/>
      </c>
      <c r="M141" s="27">
        <f>MIN(0.16,MAX(0.05,NORMINV(RAND(),$C$8,$D$8)))</f>
        <v/>
      </c>
      <c r="N141" s="28">
        <f>MIN(24,MAX(5,NORMINV(RAND(),$C$9,$D$9)))</f>
        <v/>
      </c>
      <c r="O141" s="51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7">
        <f>MAX(-0.05,NORMINV(RAND(),$C$6,$D$6))</f>
        <v/>
      </c>
      <c r="L142" s="27">
        <f>MAX(0.02,NORMINV(RAND(),$C$7,$D$7))</f>
        <v/>
      </c>
      <c r="M142" s="27">
        <f>MIN(0.16,MAX(0.05,NORMINV(RAND(),$C$8,$D$8)))</f>
        <v/>
      </c>
      <c r="N142" s="28">
        <f>MIN(24,MAX(5,NORMINV(RAND(),$C$9,$D$9)))</f>
        <v/>
      </c>
      <c r="O142" s="51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7">
        <f>MAX(-0.05,NORMINV(RAND(),$C$6,$D$6))</f>
        <v/>
      </c>
      <c r="L143" s="27">
        <f>MAX(0.02,NORMINV(RAND(),$C$7,$D$7))</f>
        <v/>
      </c>
      <c r="M143" s="27">
        <f>MIN(0.16,MAX(0.05,NORMINV(RAND(),$C$8,$D$8)))</f>
        <v/>
      </c>
      <c r="N143" s="28">
        <f>MIN(24,MAX(5,NORMINV(RAND(),$C$9,$D$9)))</f>
        <v/>
      </c>
      <c r="O143" s="51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7">
        <f>MAX(-0.05,NORMINV(RAND(),$C$6,$D$6))</f>
        <v/>
      </c>
      <c r="L144" s="27">
        <f>MAX(0.02,NORMINV(RAND(),$C$7,$D$7))</f>
        <v/>
      </c>
      <c r="M144" s="27">
        <f>MIN(0.16,MAX(0.05,NORMINV(RAND(),$C$8,$D$8)))</f>
        <v/>
      </c>
      <c r="N144" s="28">
        <f>MIN(24,MAX(5,NORMINV(RAND(),$C$9,$D$9)))</f>
        <v/>
      </c>
      <c r="O144" s="51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7">
        <f>MAX(-0.05,NORMINV(RAND(),$C$6,$D$6))</f>
        <v/>
      </c>
      <c r="L145" s="27">
        <f>MAX(0.02,NORMINV(RAND(),$C$7,$D$7))</f>
        <v/>
      </c>
      <c r="M145" s="27">
        <f>MIN(0.16,MAX(0.05,NORMINV(RAND(),$C$8,$D$8)))</f>
        <v/>
      </c>
      <c r="N145" s="28">
        <f>MIN(24,MAX(5,NORMINV(RAND(),$C$9,$D$9)))</f>
        <v/>
      </c>
      <c r="O145" s="51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7">
        <f>MAX(-0.05,NORMINV(RAND(),$C$6,$D$6))</f>
        <v/>
      </c>
      <c r="L146" s="27">
        <f>MAX(0.02,NORMINV(RAND(),$C$7,$D$7))</f>
        <v/>
      </c>
      <c r="M146" s="27">
        <f>MIN(0.16,MAX(0.05,NORMINV(RAND(),$C$8,$D$8)))</f>
        <v/>
      </c>
      <c r="N146" s="28">
        <f>MIN(24,MAX(5,NORMINV(RAND(),$C$9,$D$9)))</f>
        <v/>
      </c>
      <c r="O146" s="51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7">
        <f>MAX(-0.05,NORMINV(RAND(),$C$6,$D$6))</f>
        <v/>
      </c>
      <c r="L147" s="27">
        <f>MAX(0.02,NORMINV(RAND(),$C$7,$D$7))</f>
        <v/>
      </c>
      <c r="M147" s="27">
        <f>MIN(0.16,MAX(0.05,NORMINV(RAND(),$C$8,$D$8)))</f>
        <v/>
      </c>
      <c r="N147" s="28">
        <f>MIN(24,MAX(5,NORMINV(RAND(),$C$9,$D$9)))</f>
        <v/>
      </c>
      <c r="O147" s="51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7">
        <f>MAX(-0.05,NORMINV(RAND(),$C$6,$D$6))</f>
        <v/>
      </c>
      <c r="L148" s="27">
        <f>MAX(0.02,NORMINV(RAND(),$C$7,$D$7))</f>
        <v/>
      </c>
      <c r="M148" s="27">
        <f>MIN(0.16,MAX(0.05,NORMINV(RAND(),$C$8,$D$8)))</f>
        <v/>
      </c>
      <c r="N148" s="28">
        <f>MIN(24,MAX(5,NORMINV(RAND(),$C$9,$D$9)))</f>
        <v/>
      </c>
      <c r="O148" s="51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7">
        <f>MAX(-0.05,NORMINV(RAND(),$C$6,$D$6))</f>
        <v/>
      </c>
      <c r="L149" s="27">
        <f>MAX(0.02,NORMINV(RAND(),$C$7,$D$7))</f>
        <v/>
      </c>
      <c r="M149" s="27">
        <f>MIN(0.16,MAX(0.05,NORMINV(RAND(),$C$8,$D$8)))</f>
        <v/>
      </c>
      <c r="N149" s="28">
        <f>MIN(24,MAX(5,NORMINV(RAND(),$C$9,$D$9)))</f>
        <v/>
      </c>
      <c r="O149" s="51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7">
        <f>MAX(-0.05,NORMINV(RAND(),$C$6,$D$6))</f>
        <v/>
      </c>
      <c r="L150" s="27">
        <f>MAX(0.02,NORMINV(RAND(),$C$7,$D$7))</f>
        <v/>
      </c>
      <c r="M150" s="27">
        <f>MIN(0.16,MAX(0.05,NORMINV(RAND(),$C$8,$D$8)))</f>
        <v/>
      </c>
      <c r="N150" s="28">
        <f>MIN(24,MAX(5,NORMINV(RAND(),$C$9,$D$9)))</f>
        <v/>
      </c>
      <c r="O150" s="51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7">
        <f>MAX(-0.05,NORMINV(RAND(),$C$6,$D$6))</f>
        <v/>
      </c>
      <c r="L151" s="27">
        <f>MAX(0.02,NORMINV(RAND(),$C$7,$D$7))</f>
        <v/>
      </c>
      <c r="M151" s="27">
        <f>MIN(0.16,MAX(0.05,NORMINV(RAND(),$C$8,$D$8)))</f>
        <v/>
      </c>
      <c r="N151" s="28">
        <f>MIN(24,MAX(5,NORMINV(RAND(),$C$9,$D$9)))</f>
        <v/>
      </c>
      <c r="O151" s="51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7">
        <f>MAX(-0.05,NORMINV(RAND(),$C$6,$D$6))</f>
        <v/>
      </c>
      <c r="L152" s="27">
        <f>MAX(0.02,NORMINV(RAND(),$C$7,$D$7))</f>
        <v/>
      </c>
      <c r="M152" s="27">
        <f>MIN(0.16,MAX(0.05,NORMINV(RAND(),$C$8,$D$8)))</f>
        <v/>
      </c>
      <c r="N152" s="28">
        <f>MIN(24,MAX(5,NORMINV(RAND(),$C$9,$D$9)))</f>
        <v/>
      </c>
      <c r="O152" s="51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7">
        <f>MAX(-0.05,NORMINV(RAND(),$C$6,$D$6))</f>
        <v/>
      </c>
      <c r="L153" s="27">
        <f>MAX(0.02,NORMINV(RAND(),$C$7,$D$7))</f>
        <v/>
      </c>
      <c r="M153" s="27">
        <f>MIN(0.16,MAX(0.05,NORMINV(RAND(),$C$8,$D$8)))</f>
        <v/>
      </c>
      <c r="N153" s="28">
        <f>MIN(24,MAX(5,NORMINV(RAND(),$C$9,$D$9)))</f>
        <v/>
      </c>
      <c r="O153" s="51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7">
        <f>MAX(-0.05,NORMINV(RAND(),$C$6,$D$6))</f>
        <v/>
      </c>
      <c r="L154" s="27">
        <f>MAX(0.02,NORMINV(RAND(),$C$7,$D$7))</f>
        <v/>
      </c>
      <c r="M154" s="27">
        <f>MIN(0.16,MAX(0.05,NORMINV(RAND(),$C$8,$D$8)))</f>
        <v/>
      </c>
      <c r="N154" s="28">
        <f>MIN(24,MAX(5,NORMINV(RAND(),$C$9,$D$9)))</f>
        <v/>
      </c>
      <c r="O154" s="51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7">
        <f>MAX(-0.05,NORMINV(RAND(),$C$6,$D$6))</f>
        <v/>
      </c>
      <c r="L155" s="27">
        <f>MAX(0.02,NORMINV(RAND(),$C$7,$D$7))</f>
        <v/>
      </c>
      <c r="M155" s="27">
        <f>MIN(0.16,MAX(0.05,NORMINV(RAND(),$C$8,$D$8)))</f>
        <v/>
      </c>
      <c r="N155" s="28">
        <f>MIN(24,MAX(5,NORMINV(RAND(),$C$9,$D$9)))</f>
        <v/>
      </c>
      <c r="O155" s="51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7">
        <f>MAX(-0.05,NORMINV(RAND(),$C$6,$D$6))</f>
        <v/>
      </c>
      <c r="L156" s="27">
        <f>MAX(0.02,NORMINV(RAND(),$C$7,$D$7))</f>
        <v/>
      </c>
      <c r="M156" s="27">
        <f>MIN(0.16,MAX(0.05,NORMINV(RAND(),$C$8,$D$8)))</f>
        <v/>
      </c>
      <c r="N156" s="28">
        <f>MIN(24,MAX(5,NORMINV(RAND(),$C$9,$D$9)))</f>
        <v/>
      </c>
      <c r="O156" s="51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7">
        <f>MAX(-0.05,NORMINV(RAND(),$C$6,$D$6))</f>
        <v/>
      </c>
      <c r="L157" s="27">
        <f>MAX(0.02,NORMINV(RAND(),$C$7,$D$7))</f>
        <v/>
      </c>
      <c r="M157" s="27">
        <f>MIN(0.16,MAX(0.05,NORMINV(RAND(),$C$8,$D$8)))</f>
        <v/>
      </c>
      <c r="N157" s="28">
        <f>MIN(24,MAX(5,NORMINV(RAND(),$C$9,$D$9)))</f>
        <v/>
      </c>
      <c r="O157" s="51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7">
        <f>MAX(-0.05,NORMINV(RAND(),$C$6,$D$6))</f>
        <v/>
      </c>
      <c r="L158" s="27">
        <f>MAX(0.02,NORMINV(RAND(),$C$7,$D$7))</f>
        <v/>
      </c>
      <c r="M158" s="27">
        <f>MIN(0.16,MAX(0.05,NORMINV(RAND(),$C$8,$D$8)))</f>
        <v/>
      </c>
      <c r="N158" s="28">
        <f>MIN(24,MAX(5,NORMINV(RAND(),$C$9,$D$9)))</f>
        <v/>
      </c>
      <c r="O158" s="51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7">
        <f>MAX(-0.05,NORMINV(RAND(),$C$6,$D$6))</f>
        <v/>
      </c>
      <c r="L159" s="27">
        <f>MAX(0.02,NORMINV(RAND(),$C$7,$D$7))</f>
        <v/>
      </c>
      <c r="M159" s="27">
        <f>MIN(0.16,MAX(0.05,NORMINV(RAND(),$C$8,$D$8)))</f>
        <v/>
      </c>
      <c r="N159" s="28">
        <f>MIN(24,MAX(5,NORMINV(RAND(),$C$9,$D$9)))</f>
        <v/>
      </c>
      <c r="O159" s="51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7">
        <f>MAX(-0.05,NORMINV(RAND(),$C$6,$D$6))</f>
        <v/>
      </c>
      <c r="L160" s="27">
        <f>MAX(0.02,NORMINV(RAND(),$C$7,$D$7))</f>
        <v/>
      </c>
      <c r="M160" s="27">
        <f>MIN(0.16,MAX(0.05,NORMINV(RAND(),$C$8,$D$8)))</f>
        <v/>
      </c>
      <c r="N160" s="28">
        <f>MIN(24,MAX(5,NORMINV(RAND(),$C$9,$D$9)))</f>
        <v/>
      </c>
      <c r="O160" s="51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7">
        <f>MAX(-0.05,NORMINV(RAND(),$C$6,$D$6))</f>
        <v/>
      </c>
      <c r="L161" s="27">
        <f>MAX(0.02,NORMINV(RAND(),$C$7,$D$7))</f>
        <v/>
      </c>
      <c r="M161" s="27">
        <f>MIN(0.16,MAX(0.05,NORMINV(RAND(),$C$8,$D$8)))</f>
        <v/>
      </c>
      <c r="N161" s="28">
        <f>MIN(24,MAX(5,NORMINV(RAND(),$C$9,$D$9)))</f>
        <v/>
      </c>
      <c r="O161" s="51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7">
        <f>MAX(-0.05,NORMINV(RAND(),$C$6,$D$6))</f>
        <v/>
      </c>
      <c r="L162" s="27">
        <f>MAX(0.02,NORMINV(RAND(),$C$7,$D$7))</f>
        <v/>
      </c>
      <c r="M162" s="27">
        <f>MIN(0.16,MAX(0.05,NORMINV(RAND(),$C$8,$D$8)))</f>
        <v/>
      </c>
      <c r="N162" s="28">
        <f>MIN(24,MAX(5,NORMINV(RAND(),$C$9,$D$9)))</f>
        <v/>
      </c>
      <c r="O162" s="51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7">
        <f>MAX(-0.05,NORMINV(RAND(),$C$6,$D$6))</f>
        <v/>
      </c>
      <c r="L163" s="27">
        <f>MAX(0.02,NORMINV(RAND(),$C$7,$D$7))</f>
        <v/>
      </c>
      <c r="M163" s="27">
        <f>MIN(0.16,MAX(0.05,NORMINV(RAND(),$C$8,$D$8)))</f>
        <v/>
      </c>
      <c r="N163" s="28">
        <f>MIN(24,MAX(5,NORMINV(RAND(),$C$9,$D$9)))</f>
        <v/>
      </c>
      <c r="O163" s="51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7">
        <f>MAX(-0.05,NORMINV(RAND(),$C$6,$D$6))</f>
        <v/>
      </c>
      <c r="L164" s="27">
        <f>MAX(0.02,NORMINV(RAND(),$C$7,$D$7))</f>
        <v/>
      </c>
      <c r="M164" s="27">
        <f>MIN(0.16,MAX(0.05,NORMINV(RAND(),$C$8,$D$8)))</f>
        <v/>
      </c>
      <c r="N164" s="28">
        <f>MIN(24,MAX(5,NORMINV(RAND(),$C$9,$D$9)))</f>
        <v/>
      </c>
      <c r="O164" s="51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7">
        <f>MAX(-0.05,NORMINV(RAND(),$C$6,$D$6))</f>
        <v/>
      </c>
      <c r="L165" s="27">
        <f>MAX(0.02,NORMINV(RAND(),$C$7,$D$7))</f>
        <v/>
      </c>
      <c r="M165" s="27">
        <f>MIN(0.16,MAX(0.05,NORMINV(RAND(),$C$8,$D$8)))</f>
        <v/>
      </c>
      <c r="N165" s="28">
        <f>MIN(24,MAX(5,NORMINV(RAND(),$C$9,$D$9)))</f>
        <v/>
      </c>
      <c r="O165" s="51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7">
        <f>MAX(-0.05,NORMINV(RAND(),$C$6,$D$6))</f>
        <v/>
      </c>
      <c r="L166" s="27">
        <f>MAX(0.02,NORMINV(RAND(),$C$7,$D$7))</f>
        <v/>
      </c>
      <c r="M166" s="27">
        <f>MIN(0.16,MAX(0.05,NORMINV(RAND(),$C$8,$D$8)))</f>
        <v/>
      </c>
      <c r="N166" s="28">
        <f>MIN(24,MAX(5,NORMINV(RAND(),$C$9,$D$9)))</f>
        <v/>
      </c>
      <c r="O166" s="51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7">
        <f>MAX(-0.05,NORMINV(RAND(),$C$6,$D$6))</f>
        <v/>
      </c>
      <c r="L167" s="27">
        <f>MAX(0.02,NORMINV(RAND(),$C$7,$D$7))</f>
        <v/>
      </c>
      <c r="M167" s="27">
        <f>MIN(0.16,MAX(0.05,NORMINV(RAND(),$C$8,$D$8)))</f>
        <v/>
      </c>
      <c r="N167" s="28">
        <f>MIN(24,MAX(5,NORMINV(RAND(),$C$9,$D$9)))</f>
        <v/>
      </c>
      <c r="O167" s="51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7">
        <f>MAX(-0.05,NORMINV(RAND(),$C$6,$D$6))</f>
        <v/>
      </c>
      <c r="L168" s="27">
        <f>MAX(0.02,NORMINV(RAND(),$C$7,$D$7))</f>
        <v/>
      </c>
      <c r="M168" s="27">
        <f>MIN(0.16,MAX(0.05,NORMINV(RAND(),$C$8,$D$8)))</f>
        <v/>
      </c>
      <c r="N168" s="28">
        <f>MIN(24,MAX(5,NORMINV(RAND(),$C$9,$D$9)))</f>
        <v/>
      </c>
      <c r="O168" s="51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7">
        <f>MAX(-0.05,NORMINV(RAND(),$C$6,$D$6))</f>
        <v/>
      </c>
      <c r="L169" s="27">
        <f>MAX(0.02,NORMINV(RAND(),$C$7,$D$7))</f>
        <v/>
      </c>
      <c r="M169" s="27">
        <f>MIN(0.16,MAX(0.05,NORMINV(RAND(),$C$8,$D$8)))</f>
        <v/>
      </c>
      <c r="N169" s="28">
        <f>MIN(24,MAX(5,NORMINV(RAND(),$C$9,$D$9)))</f>
        <v/>
      </c>
      <c r="O169" s="51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7">
        <f>MAX(-0.05,NORMINV(RAND(),$C$6,$D$6))</f>
        <v/>
      </c>
      <c r="L170" s="27">
        <f>MAX(0.02,NORMINV(RAND(),$C$7,$D$7))</f>
        <v/>
      </c>
      <c r="M170" s="27">
        <f>MIN(0.16,MAX(0.05,NORMINV(RAND(),$C$8,$D$8)))</f>
        <v/>
      </c>
      <c r="N170" s="28">
        <f>MIN(24,MAX(5,NORMINV(RAND(),$C$9,$D$9)))</f>
        <v/>
      </c>
      <c r="O170" s="51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7">
        <f>MAX(-0.05,NORMINV(RAND(),$C$6,$D$6))</f>
        <v/>
      </c>
      <c r="L171" s="27">
        <f>MAX(0.02,NORMINV(RAND(),$C$7,$D$7))</f>
        <v/>
      </c>
      <c r="M171" s="27">
        <f>MIN(0.16,MAX(0.05,NORMINV(RAND(),$C$8,$D$8)))</f>
        <v/>
      </c>
      <c r="N171" s="28">
        <f>MIN(24,MAX(5,NORMINV(RAND(),$C$9,$D$9)))</f>
        <v/>
      </c>
      <c r="O171" s="51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7">
        <f>MAX(-0.05,NORMINV(RAND(),$C$6,$D$6))</f>
        <v/>
      </c>
      <c r="L172" s="27">
        <f>MAX(0.02,NORMINV(RAND(),$C$7,$D$7))</f>
        <v/>
      </c>
      <c r="M172" s="27">
        <f>MIN(0.16,MAX(0.05,NORMINV(RAND(),$C$8,$D$8)))</f>
        <v/>
      </c>
      <c r="N172" s="28">
        <f>MIN(24,MAX(5,NORMINV(RAND(),$C$9,$D$9)))</f>
        <v/>
      </c>
      <c r="O172" s="51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7">
        <f>MAX(-0.05,NORMINV(RAND(),$C$6,$D$6))</f>
        <v/>
      </c>
      <c r="L173" s="27">
        <f>MAX(0.02,NORMINV(RAND(),$C$7,$D$7))</f>
        <v/>
      </c>
      <c r="M173" s="27">
        <f>MIN(0.16,MAX(0.05,NORMINV(RAND(),$C$8,$D$8)))</f>
        <v/>
      </c>
      <c r="N173" s="28">
        <f>MIN(24,MAX(5,NORMINV(RAND(),$C$9,$D$9)))</f>
        <v/>
      </c>
      <c r="O173" s="51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7">
        <f>MAX(-0.05,NORMINV(RAND(),$C$6,$D$6))</f>
        <v/>
      </c>
      <c r="L174" s="27">
        <f>MAX(0.02,NORMINV(RAND(),$C$7,$D$7))</f>
        <v/>
      </c>
      <c r="M174" s="27">
        <f>MIN(0.16,MAX(0.05,NORMINV(RAND(),$C$8,$D$8)))</f>
        <v/>
      </c>
      <c r="N174" s="28">
        <f>MIN(24,MAX(5,NORMINV(RAND(),$C$9,$D$9)))</f>
        <v/>
      </c>
      <c r="O174" s="51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7">
        <f>MAX(-0.05,NORMINV(RAND(),$C$6,$D$6))</f>
        <v/>
      </c>
      <c r="L175" s="27">
        <f>MAX(0.02,NORMINV(RAND(),$C$7,$D$7))</f>
        <v/>
      </c>
      <c r="M175" s="27">
        <f>MIN(0.16,MAX(0.05,NORMINV(RAND(),$C$8,$D$8)))</f>
        <v/>
      </c>
      <c r="N175" s="28">
        <f>MIN(24,MAX(5,NORMINV(RAND(),$C$9,$D$9)))</f>
        <v/>
      </c>
      <c r="O175" s="51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7">
        <f>MAX(-0.05,NORMINV(RAND(),$C$6,$D$6))</f>
        <v/>
      </c>
      <c r="L176" s="27">
        <f>MAX(0.02,NORMINV(RAND(),$C$7,$D$7))</f>
        <v/>
      </c>
      <c r="M176" s="27">
        <f>MIN(0.16,MAX(0.05,NORMINV(RAND(),$C$8,$D$8)))</f>
        <v/>
      </c>
      <c r="N176" s="28">
        <f>MIN(24,MAX(5,NORMINV(RAND(),$C$9,$D$9)))</f>
        <v/>
      </c>
      <c r="O176" s="51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7">
        <f>MAX(-0.05,NORMINV(RAND(),$C$6,$D$6))</f>
        <v/>
      </c>
      <c r="L177" s="27">
        <f>MAX(0.02,NORMINV(RAND(),$C$7,$D$7))</f>
        <v/>
      </c>
      <c r="M177" s="27">
        <f>MIN(0.16,MAX(0.05,NORMINV(RAND(),$C$8,$D$8)))</f>
        <v/>
      </c>
      <c r="N177" s="28">
        <f>MIN(24,MAX(5,NORMINV(RAND(),$C$9,$D$9)))</f>
        <v/>
      </c>
      <c r="O177" s="51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7">
        <f>MAX(-0.05,NORMINV(RAND(),$C$6,$D$6))</f>
        <v/>
      </c>
      <c r="L178" s="27">
        <f>MAX(0.02,NORMINV(RAND(),$C$7,$D$7))</f>
        <v/>
      </c>
      <c r="M178" s="27">
        <f>MIN(0.16,MAX(0.05,NORMINV(RAND(),$C$8,$D$8)))</f>
        <v/>
      </c>
      <c r="N178" s="28">
        <f>MIN(24,MAX(5,NORMINV(RAND(),$C$9,$D$9)))</f>
        <v/>
      </c>
      <c r="O178" s="51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7">
        <f>MAX(-0.05,NORMINV(RAND(),$C$6,$D$6))</f>
        <v/>
      </c>
      <c r="L179" s="27">
        <f>MAX(0.02,NORMINV(RAND(),$C$7,$D$7))</f>
        <v/>
      </c>
      <c r="M179" s="27">
        <f>MIN(0.16,MAX(0.05,NORMINV(RAND(),$C$8,$D$8)))</f>
        <v/>
      </c>
      <c r="N179" s="28">
        <f>MIN(24,MAX(5,NORMINV(RAND(),$C$9,$D$9)))</f>
        <v/>
      </c>
      <c r="O179" s="51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7">
        <f>MAX(-0.05,NORMINV(RAND(),$C$6,$D$6))</f>
        <v/>
      </c>
      <c r="L180" s="27">
        <f>MAX(0.02,NORMINV(RAND(),$C$7,$D$7))</f>
        <v/>
      </c>
      <c r="M180" s="27">
        <f>MIN(0.16,MAX(0.05,NORMINV(RAND(),$C$8,$D$8)))</f>
        <v/>
      </c>
      <c r="N180" s="28">
        <f>MIN(24,MAX(5,NORMINV(RAND(),$C$9,$D$9)))</f>
        <v/>
      </c>
      <c r="O180" s="51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7">
        <f>MAX(-0.05,NORMINV(RAND(),$C$6,$D$6))</f>
        <v/>
      </c>
      <c r="L181" s="27">
        <f>MAX(0.02,NORMINV(RAND(),$C$7,$D$7))</f>
        <v/>
      </c>
      <c r="M181" s="27">
        <f>MIN(0.16,MAX(0.05,NORMINV(RAND(),$C$8,$D$8)))</f>
        <v/>
      </c>
      <c r="N181" s="28">
        <f>MIN(24,MAX(5,NORMINV(RAND(),$C$9,$D$9)))</f>
        <v/>
      </c>
      <c r="O181" s="51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7">
        <f>MAX(-0.05,NORMINV(RAND(),$C$6,$D$6))</f>
        <v/>
      </c>
      <c r="L182" s="27">
        <f>MAX(0.02,NORMINV(RAND(),$C$7,$D$7))</f>
        <v/>
      </c>
      <c r="M182" s="27">
        <f>MIN(0.16,MAX(0.05,NORMINV(RAND(),$C$8,$D$8)))</f>
        <v/>
      </c>
      <c r="N182" s="28">
        <f>MIN(24,MAX(5,NORMINV(RAND(),$C$9,$D$9)))</f>
        <v/>
      </c>
      <c r="O182" s="51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7">
        <f>MAX(-0.05,NORMINV(RAND(),$C$6,$D$6))</f>
        <v/>
      </c>
      <c r="L183" s="27">
        <f>MAX(0.02,NORMINV(RAND(),$C$7,$D$7))</f>
        <v/>
      </c>
      <c r="M183" s="27">
        <f>MIN(0.16,MAX(0.05,NORMINV(RAND(),$C$8,$D$8)))</f>
        <v/>
      </c>
      <c r="N183" s="28">
        <f>MIN(24,MAX(5,NORMINV(RAND(),$C$9,$D$9)))</f>
        <v/>
      </c>
      <c r="O183" s="51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7">
        <f>MAX(-0.05,NORMINV(RAND(),$C$6,$D$6))</f>
        <v/>
      </c>
      <c r="L184" s="27">
        <f>MAX(0.02,NORMINV(RAND(),$C$7,$D$7))</f>
        <v/>
      </c>
      <c r="M184" s="27">
        <f>MIN(0.16,MAX(0.05,NORMINV(RAND(),$C$8,$D$8)))</f>
        <v/>
      </c>
      <c r="N184" s="28">
        <f>MIN(24,MAX(5,NORMINV(RAND(),$C$9,$D$9)))</f>
        <v/>
      </c>
      <c r="O184" s="51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7">
        <f>MAX(-0.05,NORMINV(RAND(),$C$6,$D$6))</f>
        <v/>
      </c>
      <c r="L185" s="27">
        <f>MAX(0.02,NORMINV(RAND(),$C$7,$D$7))</f>
        <v/>
      </c>
      <c r="M185" s="27">
        <f>MIN(0.16,MAX(0.05,NORMINV(RAND(),$C$8,$D$8)))</f>
        <v/>
      </c>
      <c r="N185" s="28">
        <f>MIN(24,MAX(5,NORMINV(RAND(),$C$9,$D$9)))</f>
        <v/>
      </c>
      <c r="O185" s="51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7">
        <f>MAX(-0.05,NORMINV(RAND(),$C$6,$D$6))</f>
        <v/>
      </c>
      <c r="L186" s="27">
        <f>MAX(0.02,NORMINV(RAND(),$C$7,$D$7))</f>
        <v/>
      </c>
      <c r="M186" s="27">
        <f>MIN(0.16,MAX(0.05,NORMINV(RAND(),$C$8,$D$8)))</f>
        <v/>
      </c>
      <c r="N186" s="28">
        <f>MIN(24,MAX(5,NORMINV(RAND(),$C$9,$D$9)))</f>
        <v/>
      </c>
      <c r="O186" s="51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7">
        <f>MAX(-0.05,NORMINV(RAND(),$C$6,$D$6))</f>
        <v/>
      </c>
      <c r="L187" s="27">
        <f>MAX(0.02,NORMINV(RAND(),$C$7,$D$7))</f>
        <v/>
      </c>
      <c r="M187" s="27">
        <f>MIN(0.16,MAX(0.05,NORMINV(RAND(),$C$8,$D$8)))</f>
        <v/>
      </c>
      <c r="N187" s="28">
        <f>MIN(24,MAX(5,NORMINV(RAND(),$C$9,$D$9)))</f>
        <v/>
      </c>
      <c r="O187" s="51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7">
        <f>MAX(-0.05,NORMINV(RAND(),$C$6,$D$6))</f>
        <v/>
      </c>
      <c r="L188" s="27">
        <f>MAX(0.02,NORMINV(RAND(),$C$7,$D$7))</f>
        <v/>
      </c>
      <c r="M188" s="27">
        <f>MIN(0.16,MAX(0.05,NORMINV(RAND(),$C$8,$D$8)))</f>
        <v/>
      </c>
      <c r="N188" s="28">
        <f>MIN(24,MAX(5,NORMINV(RAND(),$C$9,$D$9)))</f>
        <v/>
      </c>
      <c r="O188" s="51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7">
        <f>MAX(-0.05,NORMINV(RAND(),$C$6,$D$6))</f>
        <v/>
      </c>
      <c r="L189" s="27">
        <f>MAX(0.02,NORMINV(RAND(),$C$7,$D$7))</f>
        <v/>
      </c>
      <c r="M189" s="27">
        <f>MIN(0.16,MAX(0.05,NORMINV(RAND(),$C$8,$D$8)))</f>
        <v/>
      </c>
      <c r="N189" s="28">
        <f>MIN(24,MAX(5,NORMINV(RAND(),$C$9,$D$9)))</f>
        <v/>
      </c>
      <c r="O189" s="51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7">
        <f>MAX(-0.05,NORMINV(RAND(),$C$6,$D$6))</f>
        <v/>
      </c>
      <c r="L190" s="27">
        <f>MAX(0.02,NORMINV(RAND(),$C$7,$D$7))</f>
        <v/>
      </c>
      <c r="M190" s="27">
        <f>MIN(0.16,MAX(0.05,NORMINV(RAND(),$C$8,$D$8)))</f>
        <v/>
      </c>
      <c r="N190" s="28">
        <f>MIN(24,MAX(5,NORMINV(RAND(),$C$9,$D$9)))</f>
        <v/>
      </c>
      <c r="O190" s="51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7">
        <f>MAX(-0.05,NORMINV(RAND(),$C$6,$D$6))</f>
        <v/>
      </c>
      <c r="L191" s="27">
        <f>MAX(0.02,NORMINV(RAND(),$C$7,$D$7))</f>
        <v/>
      </c>
      <c r="M191" s="27">
        <f>MIN(0.16,MAX(0.05,NORMINV(RAND(),$C$8,$D$8)))</f>
        <v/>
      </c>
      <c r="N191" s="28">
        <f>MIN(24,MAX(5,NORMINV(RAND(),$C$9,$D$9)))</f>
        <v/>
      </c>
      <c r="O191" s="51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7">
        <f>MAX(-0.05,NORMINV(RAND(),$C$6,$D$6))</f>
        <v/>
      </c>
      <c r="L192" s="27">
        <f>MAX(0.02,NORMINV(RAND(),$C$7,$D$7))</f>
        <v/>
      </c>
      <c r="M192" s="27">
        <f>MIN(0.16,MAX(0.05,NORMINV(RAND(),$C$8,$D$8)))</f>
        <v/>
      </c>
      <c r="N192" s="28">
        <f>MIN(24,MAX(5,NORMINV(RAND(),$C$9,$D$9)))</f>
        <v/>
      </c>
      <c r="O192" s="51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7">
        <f>MAX(-0.05,NORMINV(RAND(),$C$6,$D$6))</f>
        <v/>
      </c>
      <c r="L193" s="27">
        <f>MAX(0.02,NORMINV(RAND(),$C$7,$D$7))</f>
        <v/>
      </c>
      <c r="M193" s="27">
        <f>MIN(0.16,MAX(0.05,NORMINV(RAND(),$C$8,$D$8)))</f>
        <v/>
      </c>
      <c r="N193" s="28">
        <f>MIN(24,MAX(5,NORMINV(RAND(),$C$9,$D$9)))</f>
        <v/>
      </c>
      <c r="O193" s="51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7">
        <f>MAX(-0.05,NORMINV(RAND(),$C$6,$D$6))</f>
        <v/>
      </c>
      <c r="L194" s="27">
        <f>MAX(0.02,NORMINV(RAND(),$C$7,$D$7))</f>
        <v/>
      </c>
      <c r="M194" s="27">
        <f>MIN(0.16,MAX(0.05,NORMINV(RAND(),$C$8,$D$8)))</f>
        <v/>
      </c>
      <c r="N194" s="28">
        <f>MIN(24,MAX(5,NORMINV(RAND(),$C$9,$D$9)))</f>
        <v/>
      </c>
      <c r="O194" s="51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7">
        <f>MAX(-0.05,NORMINV(RAND(),$C$6,$D$6))</f>
        <v/>
      </c>
      <c r="L195" s="27">
        <f>MAX(0.02,NORMINV(RAND(),$C$7,$D$7))</f>
        <v/>
      </c>
      <c r="M195" s="27">
        <f>MIN(0.16,MAX(0.05,NORMINV(RAND(),$C$8,$D$8)))</f>
        <v/>
      </c>
      <c r="N195" s="28">
        <f>MIN(24,MAX(5,NORMINV(RAND(),$C$9,$D$9)))</f>
        <v/>
      </c>
      <c r="O195" s="51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7">
        <f>MAX(-0.05,NORMINV(RAND(),$C$6,$D$6))</f>
        <v/>
      </c>
      <c r="L196" s="27">
        <f>MAX(0.02,NORMINV(RAND(),$C$7,$D$7))</f>
        <v/>
      </c>
      <c r="M196" s="27">
        <f>MIN(0.16,MAX(0.05,NORMINV(RAND(),$C$8,$D$8)))</f>
        <v/>
      </c>
      <c r="N196" s="28">
        <f>MIN(24,MAX(5,NORMINV(RAND(),$C$9,$D$9)))</f>
        <v/>
      </c>
      <c r="O196" s="51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7">
        <f>MAX(-0.05,NORMINV(RAND(),$C$6,$D$6))</f>
        <v/>
      </c>
      <c r="L197" s="27">
        <f>MAX(0.02,NORMINV(RAND(),$C$7,$D$7))</f>
        <v/>
      </c>
      <c r="M197" s="27">
        <f>MIN(0.16,MAX(0.05,NORMINV(RAND(),$C$8,$D$8)))</f>
        <v/>
      </c>
      <c r="N197" s="28">
        <f>MIN(24,MAX(5,NORMINV(RAND(),$C$9,$D$9)))</f>
        <v/>
      </c>
      <c r="O197" s="51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7">
        <f>MAX(-0.05,NORMINV(RAND(),$C$6,$D$6))</f>
        <v/>
      </c>
      <c r="L198" s="27">
        <f>MAX(0.02,NORMINV(RAND(),$C$7,$D$7))</f>
        <v/>
      </c>
      <c r="M198" s="27">
        <f>MIN(0.16,MAX(0.05,NORMINV(RAND(),$C$8,$D$8)))</f>
        <v/>
      </c>
      <c r="N198" s="28">
        <f>MIN(24,MAX(5,NORMINV(RAND(),$C$9,$D$9)))</f>
        <v/>
      </c>
      <c r="O198" s="51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7">
        <f>MAX(-0.05,NORMINV(RAND(),$C$6,$D$6))</f>
        <v/>
      </c>
      <c r="L199" s="27">
        <f>MAX(0.02,NORMINV(RAND(),$C$7,$D$7))</f>
        <v/>
      </c>
      <c r="M199" s="27">
        <f>MIN(0.16,MAX(0.05,NORMINV(RAND(),$C$8,$D$8)))</f>
        <v/>
      </c>
      <c r="N199" s="28">
        <f>MIN(24,MAX(5,NORMINV(RAND(),$C$9,$D$9)))</f>
        <v/>
      </c>
      <c r="O199" s="51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7">
        <f>MAX(-0.05,NORMINV(RAND(),$C$6,$D$6))</f>
        <v/>
      </c>
      <c r="L200" s="27">
        <f>MAX(0.02,NORMINV(RAND(),$C$7,$D$7))</f>
        <v/>
      </c>
      <c r="M200" s="27">
        <f>MIN(0.16,MAX(0.05,NORMINV(RAND(),$C$8,$D$8)))</f>
        <v/>
      </c>
      <c r="N200" s="28">
        <f>MIN(24,MAX(5,NORMINV(RAND(),$C$9,$D$9)))</f>
        <v/>
      </c>
      <c r="O200" s="51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7">
        <f>MAX(-0.05,NORMINV(RAND(),$C$6,$D$6))</f>
        <v/>
      </c>
      <c r="L201" s="27">
        <f>MAX(0.02,NORMINV(RAND(),$C$7,$D$7))</f>
        <v/>
      </c>
      <c r="M201" s="27">
        <f>MIN(0.16,MAX(0.05,NORMINV(RAND(),$C$8,$D$8)))</f>
        <v/>
      </c>
      <c r="N201" s="28">
        <f>MIN(24,MAX(5,NORMINV(RAND(),$C$9,$D$9)))</f>
        <v/>
      </c>
      <c r="O201" s="51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7">
        <f>MAX(-0.05,NORMINV(RAND(),$C$6,$D$6))</f>
        <v/>
      </c>
      <c r="L202" s="27">
        <f>MAX(0.02,NORMINV(RAND(),$C$7,$D$7))</f>
        <v/>
      </c>
      <c r="M202" s="27">
        <f>MIN(0.16,MAX(0.05,NORMINV(RAND(),$C$8,$D$8)))</f>
        <v/>
      </c>
      <c r="N202" s="28">
        <f>MIN(24,MAX(5,NORMINV(RAND(),$C$9,$D$9)))</f>
        <v/>
      </c>
      <c r="O202" s="51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7">
        <f>MAX(-0.05,NORMINV(RAND(),$C$6,$D$6))</f>
        <v/>
      </c>
      <c r="L203" s="27">
        <f>MAX(0.02,NORMINV(RAND(),$C$7,$D$7))</f>
        <v/>
      </c>
      <c r="M203" s="27">
        <f>MIN(0.16,MAX(0.05,NORMINV(RAND(),$C$8,$D$8)))</f>
        <v/>
      </c>
      <c r="N203" s="28">
        <f>MIN(24,MAX(5,NORMINV(RAND(),$C$9,$D$9)))</f>
        <v/>
      </c>
      <c r="O203" s="51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7">
        <f>MAX(-0.05,NORMINV(RAND(),$C$6,$D$6))</f>
        <v/>
      </c>
      <c r="L204" s="27">
        <f>MAX(0.02,NORMINV(RAND(),$C$7,$D$7))</f>
        <v/>
      </c>
      <c r="M204" s="27">
        <f>MIN(0.16,MAX(0.05,NORMINV(RAND(),$C$8,$D$8)))</f>
        <v/>
      </c>
      <c r="N204" s="28">
        <f>MIN(24,MAX(5,NORMINV(RAND(),$C$9,$D$9)))</f>
        <v/>
      </c>
      <c r="O204" s="51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7">
        <f>MAX(-0.05,NORMINV(RAND(),$C$6,$D$6))</f>
        <v/>
      </c>
      <c r="L205" s="27">
        <f>MAX(0.02,NORMINV(RAND(),$C$7,$D$7))</f>
        <v/>
      </c>
      <c r="M205" s="27">
        <f>MIN(0.16,MAX(0.05,NORMINV(RAND(),$C$8,$D$8)))</f>
        <v/>
      </c>
      <c r="N205" s="28">
        <f>MIN(24,MAX(5,NORMINV(RAND(),$C$9,$D$9)))</f>
        <v/>
      </c>
      <c r="O205" s="51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7">
        <f>MAX(-0.05,NORMINV(RAND(),$C$6,$D$6))</f>
        <v/>
      </c>
      <c r="L206" s="27">
        <f>MAX(0.02,NORMINV(RAND(),$C$7,$D$7))</f>
        <v/>
      </c>
      <c r="M206" s="27">
        <f>MIN(0.16,MAX(0.05,NORMINV(RAND(),$C$8,$D$8)))</f>
        <v/>
      </c>
      <c r="N206" s="28">
        <f>MIN(24,MAX(5,NORMINV(RAND(),$C$9,$D$9)))</f>
        <v/>
      </c>
      <c r="O206" s="51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7">
        <f>MAX(-0.05,NORMINV(RAND(),$C$6,$D$6))</f>
        <v/>
      </c>
      <c r="L207" s="27">
        <f>MAX(0.02,NORMINV(RAND(),$C$7,$D$7))</f>
        <v/>
      </c>
      <c r="M207" s="27">
        <f>MIN(0.16,MAX(0.05,NORMINV(RAND(),$C$8,$D$8)))</f>
        <v/>
      </c>
      <c r="N207" s="28">
        <f>MIN(24,MAX(5,NORMINV(RAND(),$C$9,$D$9)))</f>
        <v/>
      </c>
      <c r="O207" s="51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7">
        <f>MAX(-0.05,NORMINV(RAND(),$C$6,$D$6))</f>
        <v/>
      </c>
      <c r="L208" s="27">
        <f>MAX(0.02,NORMINV(RAND(),$C$7,$D$7))</f>
        <v/>
      </c>
      <c r="M208" s="27">
        <f>MIN(0.16,MAX(0.05,NORMINV(RAND(),$C$8,$D$8)))</f>
        <v/>
      </c>
      <c r="N208" s="28">
        <f>MIN(24,MAX(5,NORMINV(RAND(),$C$9,$D$9)))</f>
        <v/>
      </c>
      <c r="O208" s="51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7">
        <f>MAX(-0.05,NORMINV(RAND(),$C$6,$D$6))</f>
        <v/>
      </c>
      <c r="L209" s="27">
        <f>MAX(0.02,NORMINV(RAND(),$C$7,$D$7))</f>
        <v/>
      </c>
      <c r="M209" s="27">
        <f>MIN(0.16,MAX(0.05,NORMINV(RAND(),$C$8,$D$8)))</f>
        <v/>
      </c>
      <c r="N209" s="28">
        <f>MIN(24,MAX(5,NORMINV(RAND(),$C$9,$D$9)))</f>
        <v/>
      </c>
      <c r="O209" s="51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7">
        <f>MAX(-0.05,NORMINV(RAND(),$C$6,$D$6))</f>
        <v/>
      </c>
      <c r="L210" s="27">
        <f>MAX(0.02,NORMINV(RAND(),$C$7,$D$7))</f>
        <v/>
      </c>
      <c r="M210" s="27">
        <f>MIN(0.16,MAX(0.05,NORMINV(RAND(),$C$8,$D$8)))</f>
        <v/>
      </c>
      <c r="N210" s="28">
        <f>MIN(24,MAX(5,NORMINV(RAND(),$C$9,$D$9)))</f>
        <v/>
      </c>
      <c r="O210" s="51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7">
        <f>MAX(-0.05,NORMINV(RAND(),$C$6,$D$6))</f>
        <v/>
      </c>
      <c r="L211" s="27">
        <f>MAX(0.02,NORMINV(RAND(),$C$7,$D$7))</f>
        <v/>
      </c>
      <c r="M211" s="27">
        <f>MIN(0.16,MAX(0.05,NORMINV(RAND(),$C$8,$D$8)))</f>
        <v/>
      </c>
      <c r="N211" s="28">
        <f>MIN(24,MAX(5,NORMINV(RAND(),$C$9,$D$9)))</f>
        <v/>
      </c>
      <c r="O211" s="51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7">
        <f>MAX(-0.05,NORMINV(RAND(),$C$6,$D$6))</f>
        <v/>
      </c>
      <c r="L212" s="27">
        <f>MAX(0.02,NORMINV(RAND(),$C$7,$D$7))</f>
        <v/>
      </c>
      <c r="M212" s="27">
        <f>MIN(0.16,MAX(0.05,NORMINV(RAND(),$C$8,$D$8)))</f>
        <v/>
      </c>
      <c r="N212" s="28">
        <f>MIN(24,MAX(5,NORMINV(RAND(),$C$9,$D$9)))</f>
        <v/>
      </c>
      <c r="O212" s="51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7">
        <f>MAX(-0.05,NORMINV(RAND(),$C$6,$D$6))</f>
        <v/>
      </c>
      <c r="L213" s="27">
        <f>MAX(0.02,NORMINV(RAND(),$C$7,$D$7))</f>
        <v/>
      </c>
      <c r="M213" s="27">
        <f>MIN(0.16,MAX(0.05,NORMINV(RAND(),$C$8,$D$8)))</f>
        <v/>
      </c>
      <c r="N213" s="28">
        <f>MIN(24,MAX(5,NORMINV(RAND(),$C$9,$D$9)))</f>
        <v/>
      </c>
      <c r="O213" s="51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7">
        <f>MAX(-0.05,NORMINV(RAND(),$C$6,$D$6))</f>
        <v/>
      </c>
      <c r="L214" s="27">
        <f>MAX(0.02,NORMINV(RAND(),$C$7,$D$7))</f>
        <v/>
      </c>
      <c r="M214" s="27">
        <f>MIN(0.16,MAX(0.05,NORMINV(RAND(),$C$8,$D$8)))</f>
        <v/>
      </c>
      <c r="N214" s="28">
        <f>MIN(24,MAX(5,NORMINV(RAND(),$C$9,$D$9)))</f>
        <v/>
      </c>
      <c r="O214" s="51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7">
        <f>MAX(-0.05,NORMINV(RAND(),$C$6,$D$6))</f>
        <v/>
      </c>
      <c r="L215" s="27">
        <f>MAX(0.02,NORMINV(RAND(),$C$7,$D$7))</f>
        <v/>
      </c>
      <c r="M215" s="27">
        <f>MIN(0.16,MAX(0.05,NORMINV(RAND(),$C$8,$D$8)))</f>
        <v/>
      </c>
      <c r="N215" s="28">
        <f>MIN(24,MAX(5,NORMINV(RAND(),$C$9,$D$9)))</f>
        <v/>
      </c>
      <c r="O215" s="51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7">
        <f>MAX(-0.05,NORMINV(RAND(),$C$6,$D$6))</f>
        <v/>
      </c>
      <c r="L216" s="27">
        <f>MAX(0.02,NORMINV(RAND(),$C$7,$D$7))</f>
        <v/>
      </c>
      <c r="M216" s="27">
        <f>MIN(0.16,MAX(0.05,NORMINV(RAND(),$C$8,$D$8)))</f>
        <v/>
      </c>
      <c r="N216" s="28">
        <f>MIN(24,MAX(5,NORMINV(RAND(),$C$9,$D$9)))</f>
        <v/>
      </c>
      <c r="O216" s="51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7">
        <f>MAX(-0.05,NORMINV(RAND(),$C$6,$D$6))</f>
        <v/>
      </c>
      <c r="L217" s="27">
        <f>MAX(0.02,NORMINV(RAND(),$C$7,$D$7))</f>
        <v/>
      </c>
      <c r="M217" s="27">
        <f>MIN(0.16,MAX(0.05,NORMINV(RAND(),$C$8,$D$8)))</f>
        <v/>
      </c>
      <c r="N217" s="28">
        <f>MIN(24,MAX(5,NORMINV(RAND(),$C$9,$D$9)))</f>
        <v/>
      </c>
      <c r="O217" s="51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7">
        <f>MAX(-0.05,NORMINV(RAND(),$C$6,$D$6))</f>
        <v/>
      </c>
      <c r="L218" s="27">
        <f>MAX(0.02,NORMINV(RAND(),$C$7,$D$7))</f>
        <v/>
      </c>
      <c r="M218" s="27">
        <f>MIN(0.16,MAX(0.05,NORMINV(RAND(),$C$8,$D$8)))</f>
        <v/>
      </c>
      <c r="N218" s="28">
        <f>MIN(24,MAX(5,NORMINV(RAND(),$C$9,$D$9)))</f>
        <v/>
      </c>
      <c r="O218" s="51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7">
        <f>MAX(-0.05,NORMINV(RAND(),$C$6,$D$6))</f>
        <v/>
      </c>
      <c r="L219" s="27">
        <f>MAX(0.02,NORMINV(RAND(),$C$7,$D$7))</f>
        <v/>
      </c>
      <c r="M219" s="27">
        <f>MIN(0.16,MAX(0.05,NORMINV(RAND(),$C$8,$D$8)))</f>
        <v/>
      </c>
      <c r="N219" s="28">
        <f>MIN(24,MAX(5,NORMINV(RAND(),$C$9,$D$9)))</f>
        <v/>
      </c>
      <c r="O219" s="51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7">
        <f>MAX(-0.05,NORMINV(RAND(),$C$6,$D$6))</f>
        <v/>
      </c>
      <c r="L220" s="27">
        <f>MAX(0.02,NORMINV(RAND(),$C$7,$D$7))</f>
        <v/>
      </c>
      <c r="M220" s="27">
        <f>MIN(0.16,MAX(0.05,NORMINV(RAND(),$C$8,$D$8)))</f>
        <v/>
      </c>
      <c r="N220" s="28">
        <f>MIN(24,MAX(5,NORMINV(RAND(),$C$9,$D$9)))</f>
        <v/>
      </c>
      <c r="O220" s="51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7">
        <f>MAX(-0.05,NORMINV(RAND(),$C$6,$D$6))</f>
        <v/>
      </c>
      <c r="L221" s="27">
        <f>MAX(0.02,NORMINV(RAND(),$C$7,$D$7))</f>
        <v/>
      </c>
      <c r="M221" s="27">
        <f>MIN(0.16,MAX(0.05,NORMINV(RAND(),$C$8,$D$8)))</f>
        <v/>
      </c>
      <c r="N221" s="28">
        <f>MIN(24,MAX(5,NORMINV(RAND(),$C$9,$D$9)))</f>
        <v/>
      </c>
      <c r="O221" s="51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7">
        <f>MAX(-0.05,NORMINV(RAND(),$C$6,$D$6))</f>
        <v/>
      </c>
      <c r="L222" s="27">
        <f>MAX(0.02,NORMINV(RAND(),$C$7,$D$7))</f>
        <v/>
      </c>
      <c r="M222" s="27">
        <f>MIN(0.16,MAX(0.05,NORMINV(RAND(),$C$8,$D$8)))</f>
        <v/>
      </c>
      <c r="N222" s="28">
        <f>MIN(24,MAX(5,NORMINV(RAND(),$C$9,$D$9)))</f>
        <v/>
      </c>
      <c r="O222" s="51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7">
        <f>MAX(-0.05,NORMINV(RAND(),$C$6,$D$6))</f>
        <v/>
      </c>
      <c r="L223" s="27">
        <f>MAX(0.02,NORMINV(RAND(),$C$7,$D$7))</f>
        <v/>
      </c>
      <c r="M223" s="27">
        <f>MIN(0.16,MAX(0.05,NORMINV(RAND(),$C$8,$D$8)))</f>
        <v/>
      </c>
      <c r="N223" s="28">
        <f>MIN(24,MAX(5,NORMINV(RAND(),$C$9,$D$9)))</f>
        <v/>
      </c>
      <c r="O223" s="51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7">
        <f>MAX(-0.05,NORMINV(RAND(),$C$6,$D$6))</f>
        <v/>
      </c>
      <c r="L224" s="27">
        <f>MAX(0.02,NORMINV(RAND(),$C$7,$D$7))</f>
        <v/>
      </c>
      <c r="M224" s="27">
        <f>MIN(0.16,MAX(0.05,NORMINV(RAND(),$C$8,$D$8)))</f>
        <v/>
      </c>
      <c r="N224" s="28">
        <f>MIN(24,MAX(5,NORMINV(RAND(),$C$9,$D$9)))</f>
        <v/>
      </c>
      <c r="O224" s="51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7">
        <f>MAX(-0.05,NORMINV(RAND(),$C$6,$D$6))</f>
        <v/>
      </c>
      <c r="L225" s="27">
        <f>MAX(0.02,NORMINV(RAND(),$C$7,$D$7))</f>
        <v/>
      </c>
      <c r="M225" s="27">
        <f>MIN(0.16,MAX(0.05,NORMINV(RAND(),$C$8,$D$8)))</f>
        <v/>
      </c>
      <c r="N225" s="28">
        <f>MIN(24,MAX(5,NORMINV(RAND(),$C$9,$D$9)))</f>
        <v/>
      </c>
      <c r="O225" s="51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7">
        <f>MAX(-0.05,NORMINV(RAND(),$C$6,$D$6))</f>
        <v/>
      </c>
      <c r="L226" s="27">
        <f>MAX(0.02,NORMINV(RAND(),$C$7,$D$7))</f>
        <v/>
      </c>
      <c r="M226" s="27">
        <f>MIN(0.16,MAX(0.05,NORMINV(RAND(),$C$8,$D$8)))</f>
        <v/>
      </c>
      <c r="N226" s="28">
        <f>MIN(24,MAX(5,NORMINV(RAND(),$C$9,$D$9)))</f>
        <v/>
      </c>
      <c r="O226" s="51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7">
        <f>MAX(-0.05,NORMINV(RAND(),$C$6,$D$6))</f>
        <v/>
      </c>
      <c r="L227" s="27">
        <f>MAX(0.02,NORMINV(RAND(),$C$7,$D$7))</f>
        <v/>
      </c>
      <c r="M227" s="27">
        <f>MIN(0.16,MAX(0.05,NORMINV(RAND(),$C$8,$D$8)))</f>
        <v/>
      </c>
      <c r="N227" s="28">
        <f>MIN(24,MAX(5,NORMINV(RAND(),$C$9,$D$9)))</f>
        <v/>
      </c>
      <c r="O227" s="51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7">
        <f>MAX(-0.05,NORMINV(RAND(),$C$6,$D$6))</f>
        <v/>
      </c>
      <c r="L228" s="27">
        <f>MAX(0.02,NORMINV(RAND(),$C$7,$D$7))</f>
        <v/>
      </c>
      <c r="M228" s="27">
        <f>MIN(0.16,MAX(0.05,NORMINV(RAND(),$C$8,$D$8)))</f>
        <v/>
      </c>
      <c r="N228" s="28">
        <f>MIN(24,MAX(5,NORMINV(RAND(),$C$9,$D$9)))</f>
        <v/>
      </c>
      <c r="O228" s="51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7">
        <f>MAX(-0.05,NORMINV(RAND(),$C$6,$D$6))</f>
        <v/>
      </c>
      <c r="L229" s="27">
        <f>MAX(0.02,NORMINV(RAND(),$C$7,$D$7))</f>
        <v/>
      </c>
      <c r="M229" s="27">
        <f>MIN(0.16,MAX(0.05,NORMINV(RAND(),$C$8,$D$8)))</f>
        <v/>
      </c>
      <c r="N229" s="28">
        <f>MIN(24,MAX(5,NORMINV(RAND(),$C$9,$D$9)))</f>
        <v/>
      </c>
      <c r="O229" s="51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7">
        <f>MAX(-0.05,NORMINV(RAND(),$C$6,$D$6))</f>
        <v/>
      </c>
      <c r="L230" s="27">
        <f>MAX(0.02,NORMINV(RAND(),$C$7,$D$7))</f>
        <v/>
      </c>
      <c r="M230" s="27">
        <f>MIN(0.16,MAX(0.05,NORMINV(RAND(),$C$8,$D$8)))</f>
        <v/>
      </c>
      <c r="N230" s="28">
        <f>MIN(24,MAX(5,NORMINV(RAND(),$C$9,$D$9)))</f>
        <v/>
      </c>
      <c r="O230" s="51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7">
        <f>MAX(-0.05,NORMINV(RAND(),$C$6,$D$6))</f>
        <v/>
      </c>
      <c r="L231" s="27">
        <f>MAX(0.02,NORMINV(RAND(),$C$7,$D$7))</f>
        <v/>
      </c>
      <c r="M231" s="27">
        <f>MIN(0.16,MAX(0.05,NORMINV(RAND(),$C$8,$D$8)))</f>
        <v/>
      </c>
      <c r="N231" s="28">
        <f>MIN(24,MAX(5,NORMINV(RAND(),$C$9,$D$9)))</f>
        <v/>
      </c>
      <c r="O231" s="51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7">
        <f>MAX(-0.05,NORMINV(RAND(),$C$6,$D$6))</f>
        <v/>
      </c>
      <c r="L232" s="27">
        <f>MAX(0.02,NORMINV(RAND(),$C$7,$D$7))</f>
        <v/>
      </c>
      <c r="M232" s="27">
        <f>MIN(0.16,MAX(0.05,NORMINV(RAND(),$C$8,$D$8)))</f>
        <v/>
      </c>
      <c r="N232" s="28">
        <f>MIN(24,MAX(5,NORMINV(RAND(),$C$9,$D$9)))</f>
        <v/>
      </c>
      <c r="O232" s="51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7">
        <f>MAX(-0.05,NORMINV(RAND(),$C$6,$D$6))</f>
        <v/>
      </c>
      <c r="L233" s="27">
        <f>MAX(0.02,NORMINV(RAND(),$C$7,$D$7))</f>
        <v/>
      </c>
      <c r="M233" s="27">
        <f>MIN(0.16,MAX(0.05,NORMINV(RAND(),$C$8,$D$8)))</f>
        <v/>
      </c>
      <c r="N233" s="28">
        <f>MIN(24,MAX(5,NORMINV(RAND(),$C$9,$D$9)))</f>
        <v/>
      </c>
      <c r="O233" s="51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7">
        <f>MAX(-0.05,NORMINV(RAND(),$C$6,$D$6))</f>
        <v/>
      </c>
      <c r="L234" s="27">
        <f>MAX(0.02,NORMINV(RAND(),$C$7,$D$7))</f>
        <v/>
      </c>
      <c r="M234" s="27">
        <f>MIN(0.16,MAX(0.05,NORMINV(RAND(),$C$8,$D$8)))</f>
        <v/>
      </c>
      <c r="N234" s="28">
        <f>MIN(24,MAX(5,NORMINV(RAND(),$C$9,$D$9)))</f>
        <v/>
      </c>
      <c r="O234" s="51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7">
        <f>MAX(-0.05,NORMINV(RAND(),$C$6,$D$6))</f>
        <v/>
      </c>
      <c r="L235" s="27">
        <f>MAX(0.02,NORMINV(RAND(),$C$7,$D$7))</f>
        <v/>
      </c>
      <c r="M235" s="27">
        <f>MIN(0.16,MAX(0.05,NORMINV(RAND(),$C$8,$D$8)))</f>
        <v/>
      </c>
      <c r="N235" s="28">
        <f>MIN(24,MAX(5,NORMINV(RAND(),$C$9,$D$9)))</f>
        <v/>
      </c>
      <c r="O235" s="51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7">
        <f>MAX(-0.05,NORMINV(RAND(),$C$6,$D$6))</f>
        <v/>
      </c>
      <c r="L236" s="27">
        <f>MAX(0.02,NORMINV(RAND(),$C$7,$D$7))</f>
        <v/>
      </c>
      <c r="M236" s="27">
        <f>MIN(0.16,MAX(0.05,NORMINV(RAND(),$C$8,$D$8)))</f>
        <v/>
      </c>
      <c r="N236" s="28">
        <f>MIN(24,MAX(5,NORMINV(RAND(),$C$9,$D$9)))</f>
        <v/>
      </c>
      <c r="O236" s="51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7">
        <f>MAX(-0.05,NORMINV(RAND(),$C$6,$D$6))</f>
        <v/>
      </c>
      <c r="L237" s="27">
        <f>MAX(0.02,NORMINV(RAND(),$C$7,$D$7))</f>
        <v/>
      </c>
      <c r="M237" s="27">
        <f>MIN(0.16,MAX(0.05,NORMINV(RAND(),$C$8,$D$8)))</f>
        <v/>
      </c>
      <c r="N237" s="28">
        <f>MIN(24,MAX(5,NORMINV(RAND(),$C$9,$D$9)))</f>
        <v/>
      </c>
      <c r="O237" s="51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7">
        <f>MAX(-0.05,NORMINV(RAND(),$C$6,$D$6))</f>
        <v/>
      </c>
      <c r="L238" s="27">
        <f>MAX(0.02,NORMINV(RAND(),$C$7,$D$7))</f>
        <v/>
      </c>
      <c r="M238" s="27">
        <f>MIN(0.16,MAX(0.05,NORMINV(RAND(),$C$8,$D$8)))</f>
        <v/>
      </c>
      <c r="N238" s="28">
        <f>MIN(24,MAX(5,NORMINV(RAND(),$C$9,$D$9)))</f>
        <v/>
      </c>
      <c r="O238" s="51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7">
        <f>MAX(-0.05,NORMINV(RAND(),$C$6,$D$6))</f>
        <v/>
      </c>
      <c r="L239" s="27">
        <f>MAX(0.02,NORMINV(RAND(),$C$7,$D$7))</f>
        <v/>
      </c>
      <c r="M239" s="27">
        <f>MIN(0.16,MAX(0.05,NORMINV(RAND(),$C$8,$D$8)))</f>
        <v/>
      </c>
      <c r="N239" s="28">
        <f>MIN(24,MAX(5,NORMINV(RAND(),$C$9,$D$9)))</f>
        <v/>
      </c>
      <c r="O239" s="51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7">
        <f>MAX(-0.05,NORMINV(RAND(),$C$6,$D$6))</f>
        <v/>
      </c>
      <c r="L240" s="27">
        <f>MAX(0.02,NORMINV(RAND(),$C$7,$D$7))</f>
        <v/>
      </c>
      <c r="M240" s="27">
        <f>MIN(0.16,MAX(0.05,NORMINV(RAND(),$C$8,$D$8)))</f>
        <v/>
      </c>
      <c r="N240" s="28">
        <f>MIN(24,MAX(5,NORMINV(RAND(),$C$9,$D$9)))</f>
        <v/>
      </c>
      <c r="O240" s="51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7">
        <f>MAX(-0.05,NORMINV(RAND(),$C$6,$D$6))</f>
        <v/>
      </c>
      <c r="L241" s="27">
        <f>MAX(0.02,NORMINV(RAND(),$C$7,$D$7))</f>
        <v/>
      </c>
      <c r="M241" s="27">
        <f>MIN(0.16,MAX(0.05,NORMINV(RAND(),$C$8,$D$8)))</f>
        <v/>
      </c>
      <c r="N241" s="28">
        <f>MIN(24,MAX(5,NORMINV(RAND(),$C$9,$D$9)))</f>
        <v/>
      </c>
      <c r="O241" s="51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7">
        <f>MAX(-0.05,NORMINV(RAND(),$C$6,$D$6))</f>
        <v/>
      </c>
      <c r="L242" s="27">
        <f>MAX(0.02,NORMINV(RAND(),$C$7,$D$7))</f>
        <v/>
      </c>
      <c r="M242" s="27">
        <f>MIN(0.16,MAX(0.05,NORMINV(RAND(),$C$8,$D$8)))</f>
        <v/>
      </c>
      <c r="N242" s="28">
        <f>MIN(24,MAX(5,NORMINV(RAND(),$C$9,$D$9)))</f>
        <v/>
      </c>
      <c r="O242" s="51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7">
        <f>MAX(-0.05,NORMINV(RAND(),$C$6,$D$6))</f>
        <v/>
      </c>
      <c r="L243" s="27">
        <f>MAX(0.02,NORMINV(RAND(),$C$7,$D$7))</f>
        <v/>
      </c>
      <c r="M243" s="27">
        <f>MIN(0.16,MAX(0.05,NORMINV(RAND(),$C$8,$D$8)))</f>
        <v/>
      </c>
      <c r="N243" s="28">
        <f>MIN(24,MAX(5,NORMINV(RAND(),$C$9,$D$9)))</f>
        <v/>
      </c>
      <c r="O243" s="51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7">
        <f>MAX(-0.05,NORMINV(RAND(),$C$6,$D$6))</f>
        <v/>
      </c>
      <c r="L244" s="27">
        <f>MAX(0.02,NORMINV(RAND(),$C$7,$D$7))</f>
        <v/>
      </c>
      <c r="M244" s="27">
        <f>MIN(0.16,MAX(0.05,NORMINV(RAND(),$C$8,$D$8)))</f>
        <v/>
      </c>
      <c r="N244" s="28">
        <f>MIN(24,MAX(5,NORMINV(RAND(),$C$9,$D$9)))</f>
        <v/>
      </c>
      <c r="O244" s="51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7">
        <f>MAX(-0.05,NORMINV(RAND(),$C$6,$D$6))</f>
        <v/>
      </c>
      <c r="L245" s="27">
        <f>MAX(0.02,NORMINV(RAND(),$C$7,$D$7))</f>
        <v/>
      </c>
      <c r="M245" s="27">
        <f>MIN(0.16,MAX(0.05,NORMINV(RAND(),$C$8,$D$8)))</f>
        <v/>
      </c>
      <c r="N245" s="28">
        <f>MIN(24,MAX(5,NORMINV(RAND(),$C$9,$D$9)))</f>
        <v/>
      </c>
      <c r="O245" s="51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7">
        <f>MAX(-0.05,NORMINV(RAND(),$C$6,$D$6))</f>
        <v/>
      </c>
      <c r="L246" s="27">
        <f>MAX(0.02,NORMINV(RAND(),$C$7,$D$7))</f>
        <v/>
      </c>
      <c r="M246" s="27">
        <f>MIN(0.16,MAX(0.05,NORMINV(RAND(),$C$8,$D$8)))</f>
        <v/>
      </c>
      <c r="N246" s="28">
        <f>MIN(24,MAX(5,NORMINV(RAND(),$C$9,$D$9)))</f>
        <v/>
      </c>
      <c r="O246" s="51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7">
        <f>MAX(-0.05,NORMINV(RAND(),$C$6,$D$6))</f>
        <v/>
      </c>
      <c r="L247" s="27">
        <f>MAX(0.02,NORMINV(RAND(),$C$7,$D$7))</f>
        <v/>
      </c>
      <c r="M247" s="27">
        <f>MIN(0.16,MAX(0.05,NORMINV(RAND(),$C$8,$D$8)))</f>
        <v/>
      </c>
      <c r="N247" s="28">
        <f>MIN(24,MAX(5,NORMINV(RAND(),$C$9,$D$9)))</f>
        <v/>
      </c>
      <c r="O247" s="51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7">
        <f>MAX(-0.05,NORMINV(RAND(),$C$6,$D$6))</f>
        <v/>
      </c>
      <c r="L248" s="27">
        <f>MAX(0.02,NORMINV(RAND(),$C$7,$D$7))</f>
        <v/>
      </c>
      <c r="M248" s="27">
        <f>MIN(0.16,MAX(0.05,NORMINV(RAND(),$C$8,$D$8)))</f>
        <v/>
      </c>
      <c r="N248" s="28">
        <f>MIN(24,MAX(5,NORMINV(RAND(),$C$9,$D$9)))</f>
        <v/>
      </c>
      <c r="O248" s="51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7">
        <f>MAX(-0.05,NORMINV(RAND(),$C$6,$D$6))</f>
        <v/>
      </c>
      <c r="L249" s="27">
        <f>MAX(0.02,NORMINV(RAND(),$C$7,$D$7))</f>
        <v/>
      </c>
      <c r="M249" s="27">
        <f>MIN(0.16,MAX(0.05,NORMINV(RAND(),$C$8,$D$8)))</f>
        <v/>
      </c>
      <c r="N249" s="28">
        <f>MIN(24,MAX(5,NORMINV(RAND(),$C$9,$D$9)))</f>
        <v/>
      </c>
      <c r="O249" s="51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7">
        <f>MAX(-0.05,NORMINV(RAND(),$C$6,$D$6))</f>
        <v/>
      </c>
      <c r="L250" s="27">
        <f>MAX(0.02,NORMINV(RAND(),$C$7,$D$7))</f>
        <v/>
      </c>
      <c r="M250" s="27">
        <f>MIN(0.16,MAX(0.05,NORMINV(RAND(),$C$8,$D$8)))</f>
        <v/>
      </c>
      <c r="N250" s="28">
        <f>MIN(24,MAX(5,NORMINV(RAND(),$C$9,$D$9)))</f>
        <v/>
      </c>
      <c r="O250" s="51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7">
        <f>MAX(-0.05,NORMINV(RAND(),$C$6,$D$6))</f>
        <v/>
      </c>
      <c r="L251" s="27">
        <f>MAX(0.02,NORMINV(RAND(),$C$7,$D$7))</f>
        <v/>
      </c>
      <c r="M251" s="27">
        <f>MIN(0.16,MAX(0.05,NORMINV(RAND(),$C$8,$D$8)))</f>
        <v/>
      </c>
      <c r="N251" s="28">
        <f>MIN(24,MAX(5,NORMINV(RAND(),$C$9,$D$9)))</f>
        <v/>
      </c>
      <c r="O251" s="51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7">
        <f>MAX(-0.05,NORMINV(RAND(),$C$6,$D$6))</f>
        <v/>
      </c>
      <c r="L252" s="27">
        <f>MAX(0.02,NORMINV(RAND(),$C$7,$D$7))</f>
        <v/>
      </c>
      <c r="M252" s="27">
        <f>MIN(0.16,MAX(0.05,NORMINV(RAND(),$C$8,$D$8)))</f>
        <v/>
      </c>
      <c r="N252" s="28">
        <f>MIN(24,MAX(5,NORMINV(RAND(),$C$9,$D$9)))</f>
        <v/>
      </c>
      <c r="O252" s="51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7">
        <f>MAX(-0.05,NORMINV(RAND(),$C$6,$D$6))</f>
        <v/>
      </c>
      <c r="L253" s="27">
        <f>MAX(0.02,NORMINV(RAND(),$C$7,$D$7))</f>
        <v/>
      </c>
      <c r="M253" s="27">
        <f>MIN(0.16,MAX(0.05,NORMINV(RAND(),$C$8,$D$8)))</f>
        <v/>
      </c>
      <c r="N253" s="28">
        <f>MIN(24,MAX(5,NORMINV(RAND(),$C$9,$D$9)))</f>
        <v/>
      </c>
      <c r="O253" s="51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7">
        <f>MAX(-0.05,NORMINV(RAND(),$C$6,$D$6))</f>
        <v/>
      </c>
      <c r="L254" s="27">
        <f>MAX(0.02,NORMINV(RAND(),$C$7,$D$7))</f>
        <v/>
      </c>
      <c r="M254" s="27">
        <f>MIN(0.16,MAX(0.05,NORMINV(RAND(),$C$8,$D$8)))</f>
        <v/>
      </c>
      <c r="N254" s="28">
        <f>MIN(24,MAX(5,NORMINV(RAND(),$C$9,$D$9)))</f>
        <v/>
      </c>
      <c r="O254" s="51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7">
        <f>MAX(-0.05,NORMINV(RAND(),$C$6,$D$6))</f>
        <v/>
      </c>
      <c r="L255" s="27">
        <f>MAX(0.02,NORMINV(RAND(),$C$7,$D$7))</f>
        <v/>
      </c>
      <c r="M255" s="27">
        <f>MIN(0.16,MAX(0.05,NORMINV(RAND(),$C$8,$D$8)))</f>
        <v/>
      </c>
      <c r="N255" s="28">
        <f>MIN(24,MAX(5,NORMINV(RAND(),$C$9,$D$9)))</f>
        <v/>
      </c>
      <c r="O255" s="51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7">
        <f>MAX(-0.05,NORMINV(RAND(),$C$6,$D$6))</f>
        <v/>
      </c>
      <c r="L256" s="27">
        <f>MAX(0.02,NORMINV(RAND(),$C$7,$D$7))</f>
        <v/>
      </c>
      <c r="M256" s="27">
        <f>MIN(0.16,MAX(0.05,NORMINV(RAND(),$C$8,$D$8)))</f>
        <v/>
      </c>
      <c r="N256" s="28">
        <f>MIN(24,MAX(5,NORMINV(RAND(),$C$9,$D$9)))</f>
        <v/>
      </c>
      <c r="O256" s="51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7">
        <f>MAX(-0.05,NORMINV(RAND(),$C$6,$D$6))</f>
        <v/>
      </c>
      <c r="L257" s="27">
        <f>MAX(0.02,NORMINV(RAND(),$C$7,$D$7))</f>
        <v/>
      </c>
      <c r="M257" s="27">
        <f>MIN(0.16,MAX(0.05,NORMINV(RAND(),$C$8,$D$8)))</f>
        <v/>
      </c>
      <c r="N257" s="28">
        <f>MIN(24,MAX(5,NORMINV(RAND(),$C$9,$D$9)))</f>
        <v/>
      </c>
      <c r="O257" s="51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7">
        <f>MAX(-0.05,NORMINV(RAND(),$C$6,$D$6))</f>
        <v/>
      </c>
      <c r="L258" s="27">
        <f>MAX(0.02,NORMINV(RAND(),$C$7,$D$7))</f>
        <v/>
      </c>
      <c r="M258" s="27">
        <f>MIN(0.16,MAX(0.05,NORMINV(RAND(),$C$8,$D$8)))</f>
        <v/>
      </c>
      <c r="N258" s="28">
        <f>MIN(24,MAX(5,NORMINV(RAND(),$C$9,$D$9)))</f>
        <v/>
      </c>
      <c r="O258" s="51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7">
        <f>MAX(-0.05,NORMINV(RAND(),$C$6,$D$6))</f>
        <v/>
      </c>
      <c r="L259" s="27">
        <f>MAX(0.02,NORMINV(RAND(),$C$7,$D$7))</f>
        <v/>
      </c>
      <c r="M259" s="27">
        <f>MIN(0.16,MAX(0.05,NORMINV(RAND(),$C$8,$D$8)))</f>
        <v/>
      </c>
      <c r="N259" s="28">
        <f>MIN(24,MAX(5,NORMINV(RAND(),$C$9,$D$9)))</f>
        <v/>
      </c>
      <c r="O259" s="51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7">
        <f>MAX(-0.05,NORMINV(RAND(),$C$6,$D$6))</f>
        <v/>
      </c>
      <c r="L260" s="27">
        <f>MAX(0.02,NORMINV(RAND(),$C$7,$D$7))</f>
        <v/>
      </c>
      <c r="M260" s="27">
        <f>MIN(0.16,MAX(0.05,NORMINV(RAND(),$C$8,$D$8)))</f>
        <v/>
      </c>
      <c r="N260" s="28">
        <f>MIN(24,MAX(5,NORMINV(RAND(),$C$9,$D$9)))</f>
        <v/>
      </c>
      <c r="O260" s="51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7">
        <f>MAX(-0.05,NORMINV(RAND(),$C$6,$D$6))</f>
        <v/>
      </c>
      <c r="L261" s="27">
        <f>MAX(0.02,NORMINV(RAND(),$C$7,$D$7))</f>
        <v/>
      </c>
      <c r="M261" s="27">
        <f>MIN(0.16,MAX(0.05,NORMINV(RAND(),$C$8,$D$8)))</f>
        <v/>
      </c>
      <c r="N261" s="28">
        <f>MIN(24,MAX(5,NORMINV(RAND(),$C$9,$D$9)))</f>
        <v/>
      </c>
      <c r="O261" s="51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7">
        <f>MAX(-0.05,NORMINV(RAND(),$C$6,$D$6))</f>
        <v/>
      </c>
      <c r="L262" s="27">
        <f>MAX(0.02,NORMINV(RAND(),$C$7,$D$7))</f>
        <v/>
      </c>
      <c r="M262" s="27">
        <f>MIN(0.16,MAX(0.05,NORMINV(RAND(),$C$8,$D$8)))</f>
        <v/>
      </c>
      <c r="N262" s="28">
        <f>MIN(24,MAX(5,NORMINV(RAND(),$C$9,$D$9)))</f>
        <v/>
      </c>
      <c r="O262" s="51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7">
        <f>MAX(-0.05,NORMINV(RAND(),$C$6,$D$6))</f>
        <v/>
      </c>
      <c r="L263" s="27">
        <f>MAX(0.02,NORMINV(RAND(),$C$7,$D$7))</f>
        <v/>
      </c>
      <c r="M263" s="27">
        <f>MIN(0.16,MAX(0.05,NORMINV(RAND(),$C$8,$D$8)))</f>
        <v/>
      </c>
      <c r="N263" s="28">
        <f>MIN(24,MAX(5,NORMINV(RAND(),$C$9,$D$9)))</f>
        <v/>
      </c>
      <c r="O263" s="51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7">
        <f>MAX(-0.05,NORMINV(RAND(),$C$6,$D$6))</f>
        <v/>
      </c>
      <c r="L264" s="27">
        <f>MAX(0.02,NORMINV(RAND(),$C$7,$D$7))</f>
        <v/>
      </c>
      <c r="M264" s="27">
        <f>MIN(0.16,MAX(0.05,NORMINV(RAND(),$C$8,$D$8)))</f>
        <v/>
      </c>
      <c r="N264" s="28">
        <f>MIN(24,MAX(5,NORMINV(RAND(),$C$9,$D$9)))</f>
        <v/>
      </c>
      <c r="O264" s="51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7">
        <f>MAX(-0.05,NORMINV(RAND(),$C$6,$D$6))</f>
        <v/>
      </c>
      <c r="L265" s="27">
        <f>MAX(0.02,NORMINV(RAND(),$C$7,$D$7))</f>
        <v/>
      </c>
      <c r="M265" s="27">
        <f>MIN(0.16,MAX(0.05,NORMINV(RAND(),$C$8,$D$8)))</f>
        <v/>
      </c>
      <c r="N265" s="28">
        <f>MIN(24,MAX(5,NORMINV(RAND(),$C$9,$D$9)))</f>
        <v/>
      </c>
      <c r="O265" s="51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7">
        <f>MAX(-0.05,NORMINV(RAND(),$C$6,$D$6))</f>
        <v/>
      </c>
      <c r="L266" s="27">
        <f>MAX(0.02,NORMINV(RAND(),$C$7,$D$7))</f>
        <v/>
      </c>
      <c r="M266" s="27">
        <f>MIN(0.16,MAX(0.05,NORMINV(RAND(),$C$8,$D$8)))</f>
        <v/>
      </c>
      <c r="N266" s="28">
        <f>MIN(24,MAX(5,NORMINV(RAND(),$C$9,$D$9)))</f>
        <v/>
      </c>
      <c r="O266" s="51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7">
        <f>MAX(-0.05,NORMINV(RAND(),$C$6,$D$6))</f>
        <v/>
      </c>
      <c r="L267" s="27">
        <f>MAX(0.02,NORMINV(RAND(),$C$7,$D$7))</f>
        <v/>
      </c>
      <c r="M267" s="27">
        <f>MIN(0.16,MAX(0.05,NORMINV(RAND(),$C$8,$D$8)))</f>
        <v/>
      </c>
      <c r="N267" s="28">
        <f>MIN(24,MAX(5,NORMINV(RAND(),$C$9,$D$9)))</f>
        <v/>
      </c>
      <c r="O267" s="51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7">
        <f>MAX(-0.05,NORMINV(RAND(),$C$6,$D$6))</f>
        <v/>
      </c>
      <c r="L268" s="27">
        <f>MAX(0.02,NORMINV(RAND(),$C$7,$D$7))</f>
        <v/>
      </c>
      <c r="M268" s="27">
        <f>MIN(0.16,MAX(0.05,NORMINV(RAND(),$C$8,$D$8)))</f>
        <v/>
      </c>
      <c r="N268" s="28">
        <f>MIN(24,MAX(5,NORMINV(RAND(),$C$9,$D$9)))</f>
        <v/>
      </c>
      <c r="O268" s="51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7">
        <f>MAX(-0.05,NORMINV(RAND(),$C$6,$D$6))</f>
        <v/>
      </c>
      <c r="L269" s="27">
        <f>MAX(0.02,NORMINV(RAND(),$C$7,$D$7))</f>
        <v/>
      </c>
      <c r="M269" s="27">
        <f>MIN(0.16,MAX(0.05,NORMINV(RAND(),$C$8,$D$8)))</f>
        <v/>
      </c>
      <c r="N269" s="28">
        <f>MIN(24,MAX(5,NORMINV(RAND(),$C$9,$D$9)))</f>
        <v/>
      </c>
      <c r="O269" s="51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7">
        <f>MAX(-0.05,NORMINV(RAND(),$C$6,$D$6))</f>
        <v/>
      </c>
      <c r="L270" s="27">
        <f>MAX(0.02,NORMINV(RAND(),$C$7,$D$7))</f>
        <v/>
      </c>
      <c r="M270" s="27">
        <f>MIN(0.16,MAX(0.05,NORMINV(RAND(),$C$8,$D$8)))</f>
        <v/>
      </c>
      <c r="N270" s="28">
        <f>MIN(24,MAX(5,NORMINV(RAND(),$C$9,$D$9)))</f>
        <v/>
      </c>
      <c r="O270" s="51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7">
        <f>MAX(-0.05,NORMINV(RAND(),$C$6,$D$6))</f>
        <v/>
      </c>
      <c r="L271" s="27">
        <f>MAX(0.02,NORMINV(RAND(),$C$7,$D$7))</f>
        <v/>
      </c>
      <c r="M271" s="27">
        <f>MIN(0.16,MAX(0.05,NORMINV(RAND(),$C$8,$D$8)))</f>
        <v/>
      </c>
      <c r="N271" s="28">
        <f>MIN(24,MAX(5,NORMINV(RAND(),$C$9,$D$9)))</f>
        <v/>
      </c>
      <c r="O271" s="51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7">
        <f>MAX(-0.05,NORMINV(RAND(),$C$6,$D$6))</f>
        <v/>
      </c>
      <c r="L272" s="27">
        <f>MAX(0.02,NORMINV(RAND(),$C$7,$D$7))</f>
        <v/>
      </c>
      <c r="M272" s="27">
        <f>MIN(0.16,MAX(0.05,NORMINV(RAND(),$C$8,$D$8)))</f>
        <v/>
      </c>
      <c r="N272" s="28">
        <f>MIN(24,MAX(5,NORMINV(RAND(),$C$9,$D$9)))</f>
        <v/>
      </c>
      <c r="O272" s="51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7">
        <f>MAX(-0.05,NORMINV(RAND(),$C$6,$D$6))</f>
        <v/>
      </c>
      <c r="L273" s="27">
        <f>MAX(0.02,NORMINV(RAND(),$C$7,$D$7))</f>
        <v/>
      </c>
      <c r="M273" s="27">
        <f>MIN(0.16,MAX(0.05,NORMINV(RAND(),$C$8,$D$8)))</f>
        <v/>
      </c>
      <c r="N273" s="28">
        <f>MIN(24,MAX(5,NORMINV(RAND(),$C$9,$D$9)))</f>
        <v/>
      </c>
      <c r="O273" s="51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7">
        <f>MAX(-0.05,NORMINV(RAND(),$C$6,$D$6))</f>
        <v/>
      </c>
      <c r="L274" s="27">
        <f>MAX(0.02,NORMINV(RAND(),$C$7,$D$7))</f>
        <v/>
      </c>
      <c r="M274" s="27">
        <f>MIN(0.16,MAX(0.05,NORMINV(RAND(),$C$8,$D$8)))</f>
        <v/>
      </c>
      <c r="N274" s="28">
        <f>MIN(24,MAX(5,NORMINV(RAND(),$C$9,$D$9)))</f>
        <v/>
      </c>
      <c r="O274" s="51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7">
        <f>MAX(-0.05,NORMINV(RAND(),$C$6,$D$6))</f>
        <v/>
      </c>
      <c r="L275" s="27">
        <f>MAX(0.02,NORMINV(RAND(),$C$7,$D$7))</f>
        <v/>
      </c>
      <c r="M275" s="27">
        <f>MIN(0.16,MAX(0.05,NORMINV(RAND(),$C$8,$D$8)))</f>
        <v/>
      </c>
      <c r="N275" s="28">
        <f>MIN(24,MAX(5,NORMINV(RAND(),$C$9,$D$9)))</f>
        <v/>
      </c>
      <c r="O275" s="51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7">
        <f>MAX(-0.05,NORMINV(RAND(),$C$6,$D$6))</f>
        <v/>
      </c>
      <c r="L276" s="27">
        <f>MAX(0.02,NORMINV(RAND(),$C$7,$D$7))</f>
        <v/>
      </c>
      <c r="M276" s="27">
        <f>MIN(0.16,MAX(0.05,NORMINV(RAND(),$C$8,$D$8)))</f>
        <v/>
      </c>
      <c r="N276" s="28">
        <f>MIN(24,MAX(5,NORMINV(RAND(),$C$9,$D$9)))</f>
        <v/>
      </c>
      <c r="O276" s="51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7">
        <f>MAX(-0.05,NORMINV(RAND(),$C$6,$D$6))</f>
        <v/>
      </c>
      <c r="L277" s="27">
        <f>MAX(0.02,NORMINV(RAND(),$C$7,$D$7))</f>
        <v/>
      </c>
      <c r="M277" s="27">
        <f>MIN(0.16,MAX(0.05,NORMINV(RAND(),$C$8,$D$8)))</f>
        <v/>
      </c>
      <c r="N277" s="28">
        <f>MIN(24,MAX(5,NORMINV(RAND(),$C$9,$D$9)))</f>
        <v/>
      </c>
      <c r="O277" s="51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7">
        <f>MAX(-0.05,NORMINV(RAND(),$C$6,$D$6))</f>
        <v/>
      </c>
      <c r="L278" s="27">
        <f>MAX(0.02,NORMINV(RAND(),$C$7,$D$7))</f>
        <v/>
      </c>
      <c r="M278" s="27">
        <f>MIN(0.16,MAX(0.05,NORMINV(RAND(),$C$8,$D$8)))</f>
        <v/>
      </c>
      <c r="N278" s="28">
        <f>MIN(24,MAX(5,NORMINV(RAND(),$C$9,$D$9)))</f>
        <v/>
      </c>
      <c r="O278" s="51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7">
        <f>MAX(-0.05,NORMINV(RAND(),$C$6,$D$6))</f>
        <v/>
      </c>
      <c r="L279" s="27">
        <f>MAX(0.02,NORMINV(RAND(),$C$7,$D$7))</f>
        <v/>
      </c>
      <c r="M279" s="27">
        <f>MIN(0.16,MAX(0.05,NORMINV(RAND(),$C$8,$D$8)))</f>
        <v/>
      </c>
      <c r="N279" s="28">
        <f>MIN(24,MAX(5,NORMINV(RAND(),$C$9,$D$9)))</f>
        <v/>
      </c>
      <c r="O279" s="51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7">
        <f>MAX(-0.05,NORMINV(RAND(),$C$6,$D$6))</f>
        <v/>
      </c>
      <c r="L280" s="27">
        <f>MAX(0.02,NORMINV(RAND(),$C$7,$D$7))</f>
        <v/>
      </c>
      <c r="M280" s="27">
        <f>MIN(0.16,MAX(0.05,NORMINV(RAND(),$C$8,$D$8)))</f>
        <v/>
      </c>
      <c r="N280" s="28">
        <f>MIN(24,MAX(5,NORMINV(RAND(),$C$9,$D$9)))</f>
        <v/>
      </c>
      <c r="O280" s="51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7">
        <f>MAX(-0.05,NORMINV(RAND(),$C$6,$D$6))</f>
        <v/>
      </c>
      <c r="L281" s="27">
        <f>MAX(0.02,NORMINV(RAND(),$C$7,$D$7))</f>
        <v/>
      </c>
      <c r="M281" s="27">
        <f>MIN(0.16,MAX(0.05,NORMINV(RAND(),$C$8,$D$8)))</f>
        <v/>
      </c>
      <c r="N281" s="28">
        <f>MIN(24,MAX(5,NORMINV(RAND(),$C$9,$D$9)))</f>
        <v/>
      </c>
      <c r="O281" s="51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7">
        <f>MAX(-0.05,NORMINV(RAND(),$C$6,$D$6))</f>
        <v/>
      </c>
      <c r="L282" s="27">
        <f>MAX(0.02,NORMINV(RAND(),$C$7,$D$7))</f>
        <v/>
      </c>
      <c r="M282" s="27">
        <f>MIN(0.16,MAX(0.05,NORMINV(RAND(),$C$8,$D$8)))</f>
        <v/>
      </c>
      <c r="N282" s="28">
        <f>MIN(24,MAX(5,NORMINV(RAND(),$C$9,$D$9)))</f>
        <v/>
      </c>
      <c r="O282" s="51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7">
        <f>MAX(-0.05,NORMINV(RAND(),$C$6,$D$6))</f>
        <v/>
      </c>
      <c r="L283" s="27">
        <f>MAX(0.02,NORMINV(RAND(),$C$7,$D$7))</f>
        <v/>
      </c>
      <c r="M283" s="27">
        <f>MIN(0.16,MAX(0.05,NORMINV(RAND(),$C$8,$D$8)))</f>
        <v/>
      </c>
      <c r="N283" s="28">
        <f>MIN(24,MAX(5,NORMINV(RAND(),$C$9,$D$9)))</f>
        <v/>
      </c>
      <c r="O283" s="51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7">
        <f>MAX(-0.05,NORMINV(RAND(),$C$6,$D$6))</f>
        <v/>
      </c>
      <c r="L284" s="27">
        <f>MAX(0.02,NORMINV(RAND(),$C$7,$D$7))</f>
        <v/>
      </c>
      <c r="M284" s="27">
        <f>MIN(0.16,MAX(0.05,NORMINV(RAND(),$C$8,$D$8)))</f>
        <v/>
      </c>
      <c r="N284" s="28">
        <f>MIN(24,MAX(5,NORMINV(RAND(),$C$9,$D$9)))</f>
        <v/>
      </c>
      <c r="O284" s="51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7">
        <f>MAX(-0.05,NORMINV(RAND(),$C$6,$D$6))</f>
        <v/>
      </c>
      <c r="L285" s="27">
        <f>MAX(0.02,NORMINV(RAND(),$C$7,$D$7))</f>
        <v/>
      </c>
      <c r="M285" s="27">
        <f>MIN(0.16,MAX(0.05,NORMINV(RAND(),$C$8,$D$8)))</f>
        <v/>
      </c>
      <c r="N285" s="28">
        <f>MIN(24,MAX(5,NORMINV(RAND(),$C$9,$D$9)))</f>
        <v/>
      </c>
      <c r="O285" s="51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7">
        <f>MAX(-0.05,NORMINV(RAND(),$C$6,$D$6))</f>
        <v/>
      </c>
      <c r="L286" s="27">
        <f>MAX(0.02,NORMINV(RAND(),$C$7,$D$7))</f>
        <v/>
      </c>
      <c r="M286" s="27">
        <f>MIN(0.16,MAX(0.05,NORMINV(RAND(),$C$8,$D$8)))</f>
        <v/>
      </c>
      <c r="N286" s="28">
        <f>MIN(24,MAX(5,NORMINV(RAND(),$C$9,$D$9)))</f>
        <v/>
      </c>
      <c r="O286" s="51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7">
        <f>MAX(-0.05,NORMINV(RAND(),$C$6,$D$6))</f>
        <v/>
      </c>
      <c r="L287" s="27">
        <f>MAX(0.02,NORMINV(RAND(),$C$7,$D$7))</f>
        <v/>
      </c>
      <c r="M287" s="27">
        <f>MIN(0.16,MAX(0.05,NORMINV(RAND(),$C$8,$D$8)))</f>
        <v/>
      </c>
      <c r="N287" s="28">
        <f>MIN(24,MAX(5,NORMINV(RAND(),$C$9,$D$9)))</f>
        <v/>
      </c>
      <c r="O287" s="51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7">
        <f>MAX(-0.05,NORMINV(RAND(),$C$6,$D$6))</f>
        <v/>
      </c>
      <c r="L288" s="27">
        <f>MAX(0.02,NORMINV(RAND(),$C$7,$D$7))</f>
        <v/>
      </c>
      <c r="M288" s="27">
        <f>MIN(0.16,MAX(0.05,NORMINV(RAND(),$C$8,$D$8)))</f>
        <v/>
      </c>
      <c r="N288" s="28">
        <f>MIN(24,MAX(5,NORMINV(RAND(),$C$9,$D$9)))</f>
        <v/>
      </c>
      <c r="O288" s="51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7">
        <f>MAX(-0.05,NORMINV(RAND(),$C$6,$D$6))</f>
        <v/>
      </c>
      <c r="L289" s="27">
        <f>MAX(0.02,NORMINV(RAND(),$C$7,$D$7))</f>
        <v/>
      </c>
      <c r="M289" s="27">
        <f>MIN(0.16,MAX(0.05,NORMINV(RAND(),$C$8,$D$8)))</f>
        <v/>
      </c>
      <c r="N289" s="28">
        <f>MIN(24,MAX(5,NORMINV(RAND(),$C$9,$D$9)))</f>
        <v/>
      </c>
      <c r="O289" s="51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7">
        <f>MAX(-0.05,NORMINV(RAND(),$C$6,$D$6))</f>
        <v/>
      </c>
      <c r="L290" s="27">
        <f>MAX(0.02,NORMINV(RAND(),$C$7,$D$7))</f>
        <v/>
      </c>
      <c r="M290" s="27">
        <f>MIN(0.16,MAX(0.05,NORMINV(RAND(),$C$8,$D$8)))</f>
        <v/>
      </c>
      <c r="N290" s="28">
        <f>MIN(24,MAX(5,NORMINV(RAND(),$C$9,$D$9)))</f>
        <v/>
      </c>
      <c r="O290" s="51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7">
        <f>MAX(-0.05,NORMINV(RAND(),$C$6,$D$6))</f>
        <v/>
      </c>
      <c r="L291" s="27">
        <f>MAX(0.02,NORMINV(RAND(),$C$7,$D$7))</f>
        <v/>
      </c>
      <c r="M291" s="27">
        <f>MIN(0.16,MAX(0.05,NORMINV(RAND(),$C$8,$D$8)))</f>
        <v/>
      </c>
      <c r="N291" s="28">
        <f>MIN(24,MAX(5,NORMINV(RAND(),$C$9,$D$9)))</f>
        <v/>
      </c>
      <c r="O291" s="51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7">
        <f>MAX(-0.05,NORMINV(RAND(),$C$6,$D$6))</f>
        <v/>
      </c>
      <c r="L292" s="27">
        <f>MAX(0.02,NORMINV(RAND(),$C$7,$D$7))</f>
        <v/>
      </c>
      <c r="M292" s="27">
        <f>MIN(0.16,MAX(0.05,NORMINV(RAND(),$C$8,$D$8)))</f>
        <v/>
      </c>
      <c r="N292" s="28">
        <f>MIN(24,MAX(5,NORMINV(RAND(),$C$9,$D$9)))</f>
        <v/>
      </c>
      <c r="O292" s="51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7">
        <f>MAX(-0.05,NORMINV(RAND(),$C$6,$D$6))</f>
        <v/>
      </c>
      <c r="L293" s="27">
        <f>MAX(0.02,NORMINV(RAND(),$C$7,$D$7))</f>
        <v/>
      </c>
      <c r="M293" s="27">
        <f>MIN(0.16,MAX(0.05,NORMINV(RAND(),$C$8,$D$8)))</f>
        <v/>
      </c>
      <c r="N293" s="28">
        <f>MIN(24,MAX(5,NORMINV(RAND(),$C$9,$D$9)))</f>
        <v/>
      </c>
      <c r="O293" s="51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7">
        <f>MAX(-0.05,NORMINV(RAND(),$C$6,$D$6))</f>
        <v/>
      </c>
      <c r="L294" s="27">
        <f>MAX(0.02,NORMINV(RAND(),$C$7,$D$7))</f>
        <v/>
      </c>
      <c r="M294" s="27">
        <f>MIN(0.16,MAX(0.05,NORMINV(RAND(),$C$8,$D$8)))</f>
        <v/>
      </c>
      <c r="N294" s="28">
        <f>MIN(24,MAX(5,NORMINV(RAND(),$C$9,$D$9)))</f>
        <v/>
      </c>
      <c r="O294" s="51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7">
        <f>MAX(-0.05,NORMINV(RAND(),$C$6,$D$6))</f>
        <v/>
      </c>
      <c r="L295" s="27">
        <f>MAX(0.02,NORMINV(RAND(),$C$7,$D$7))</f>
        <v/>
      </c>
      <c r="M295" s="27">
        <f>MIN(0.16,MAX(0.05,NORMINV(RAND(),$C$8,$D$8)))</f>
        <v/>
      </c>
      <c r="N295" s="28">
        <f>MIN(24,MAX(5,NORMINV(RAND(),$C$9,$D$9)))</f>
        <v/>
      </c>
      <c r="O295" s="51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7">
        <f>MAX(-0.05,NORMINV(RAND(),$C$6,$D$6))</f>
        <v/>
      </c>
      <c r="L296" s="27">
        <f>MAX(0.02,NORMINV(RAND(),$C$7,$D$7))</f>
        <v/>
      </c>
      <c r="M296" s="27">
        <f>MIN(0.16,MAX(0.05,NORMINV(RAND(),$C$8,$D$8)))</f>
        <v/>
      </c>
      <c r="N296" s="28">
        <f>MIN(24,MAX(5,NORMINV(RAND(),$C$9,$D$9)))</f>
        <v/>
      </c>
      <c r="O296" s="51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7">
        <f>MAX(-0.05,NORMINV(RAND(),$C$6,$D$6))</f>
        <v/>
      </c>
      <c r="L297" s="27">
        <f>MAX(0.02,NORMINV(RAND(),$C$7,$D$7))</f>
        <v/>
      </c>
      <c r="M297" s="27">
        <f>MIN(0.16,MAX(0.05,NORMINV(RAND(),$C$8,$D$8)))</f>
        <v/>
      </c>
      <c r="N297" s="28">
        <f>MIN(24,MAX(5,NORMINV(RAND(),$C$9,$D$9)))</f>
        <v/>
      </c>
      <c r="O297" s="51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7">
        <f>MAX(-0.05,NORMINV(RAND(),$C$6,$D$6))</f>
        <v/>
      </c>
      <c r="L298" s="27">
        <f>MAX(0.02,NORMINV(RAND(),$C$7,$D$7))</f>
        <v/>
      </c>
      <c r="M298" s="27">
        <f>MIN(0.16,MAX(0.05,NORMINV(RAND(),$C$8,$D$8)))</f>
        <v/>
      </c>
      <c r="N298" s="28">
        <f>MIN(24,MAX(5,NORMINV(RAND(),$C$9,$D$9)))</f>
        <v/>
      </c>
      <c r="O298" s="51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7">
        <f>MAX(-0.05,NORMINV(RAND(),$C$6,$D$6))</f>
        <v/>
      </c>
      <c r="L299" s="27">
        <f>MAX(0.02,NORMINV(RAND(),$C$7,$D$7))</f>
        <v/>
      </c>
      <c r="M299" s="27">
        <f>MIN(0.16,MAX(0.05,NORMINV(RAND(),$C$8,$D$8)))</f>
        <v/>
      </c>
      <c r="N299" s="28">
        <f>MIN(24,MAX(5,NORMINV(RAND(),$C$9,$D$9)))</f>
        <v/>
      </c>
      <c r="O299" s="51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7">
        <f>MAX(-0.05,NORMINV(RAND(),$C$6,$D$6))</f>
        <v/>
      </c>
      <c r="L300" s="27">
        <f>MAX(0.02,NORMINV(RAND(),$C$7,$D$7))</f>
        <v/>
      </c>
      <c r="M300" s="27">
        <f>MIN(0.16,MAX(0.05,NORMINV(RAND(),$C$8,$D$8)))</f>
        <v/>
      </c>
      <c r="N300" s="28">
        <f>MIN(24,MAX(5,NORMINV(RAND(),$C$9,$D$9)))</f>
        <v/>
      </c>
      <c r="O300" s="51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7">
        <f>MAX(-0.05,NORMINV(RAND(),$C$6,$D$6))</f>
        <v/>
      </c>
      <c r="L301" s="27">
        <f>MAX(0.02,NORMINV(RAND(),$C$7,$D$7))</f>
        <v/>
      </c>
      <c r="M301" s="27">
        <f>MIN(0.16,MAX(0.05,NORMINV(RAND(),$C$8,$D$8)))</f>
        <v/>
      </c>
      <c r="N301" s="28">
        <f>MIN(24,MAX(5,NORMINV(RAND(),$C$9,$D$9)))</f>
        <v/>
      </c>
      <c r="O301" s="51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7">
        <f>MAX(-0.05,NORMINV(RAND(),$C$6,$D$6))</f>
        <v/>
      </c>
      <c r="L302" s="27">
        <f>MAX(0.02,NORMINV(RAND(),$C$7,$D$7))</f>
        <v/>
      </c>
      <c r="M302" s="27">
        <f>MIN(0.16,MAX(0.05,NORMINV(RAND(),$C$8,$D$8)))</f>
        <v/>
      </c>
      <c r="N302" s="28">
        <f>MIN(24,MAX(5,NORMINV(RAND(),$C$9,$D$9)))</f>
        <v/>
      </c>
      <c r="O302" s="51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7">
        <f>MAX(-0.05,NORMINV(RAND(),$C$6,$D$6))</f>
        <v/>
      </c>
      <c r="L303" s="27">
        <f>MAX(0.02,NORMINV(RAND(),$C$7,$D$7))</f>
        <v/>
      </c>
      <c r="M303" s="27">
        <f>MIN(0.16,MAX(0.05,NORMINV(RAND(),$C$8,$D$8)))</f>
        <v/>
      </c>
      <c r="N303" s="28">
        <f>MIN(24,MAX(5,NORMINV(RAND(),$C$9,$D$9)))</f>
        <v/>
      </c>
      <c r="O303" s="51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7">
        <f>MAX(-0.05,NORMINV(RAND(),$C$6,$D$6))</f>
        <v/>
      </c>
      <c r="L304" s="27">
        <f>MAX(0.02,NORMINV(RAND(),$C$7,$D$7))</f>
        <v/>
      </c>
      <c r="M304" s="27">
        <f>MIN(0.16,MAX(0.05,NORMINV(RAND(),$C$8,$D$8)))</f>
        <v/>
      </c>
      <c r="N304" s="28">
        <f>MIN(24,MAX(5,NORMINV(RAND(),$C$9,$D$9)))</f>
        <v/>
      </c>
      <c r="O304" s="51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7">
        <f>MAX(-0.05,NORMINV(RAND(),$C$6,$D$6))</f>
        <v/>
      </c>
      <c r="L305" s="27">
        <f>MAX(0.02,NORMINV(RAND(),$C$7,$D$7))</f>
        <v/>
      </c>
      <c r="M305" s="27">
        <f>MIN(0.16,MAX(0.05,NORMINV(RAND(),$C$8,$D$8)))</f>
        <v/>
      </c>
      <c r="N305" s="28">
        <f>MIN(24,MAX(5,NORMINV(RAND(),$C$9,$D$9)))</f>
        <v/>
      </c>
      <c r="O305" s="51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7">
        <f>MAX(-0.05,NORMINV(RAND(),$C$6,$D$6))</f>
        <v/>
      </c>
      <c r="L306" s="27">
        <f>MAX(0.02,NORMINV(RAND(),$C$7,$D$7))</f>
        <v/>
      </c>
      <c r="M306" s="27">
        <f>MIN(0.16,MAX(0.05,NORMINV(RAND(),$C$8,$D$8)))</f>
        <v/>
      </c>
      <c r="N306" s="28">
        <f>MIN(24,MAX(5,NORMINV(RAND(),$C$9,$D$9)))</f>
        <v/>
      </c>
      <c r="O306" s="51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7">
        <f>MAX(-0.05,NORMINV(RAND(),$C$6,$D$6))</f>
        <v/>
      </c>
      <c r="L307" s="27">
        <f>MAX(0.02,NORMINV(RAND(),$C$7,$D$7))</f>
        <v/>
      </c>
      <c r="M307" s="27">
        <f>MIN(0.16,MAX(0.05,NORMINV(RAND(),$C$8,$D$8)))</f>
        <v/>
      </c>
      <c r="N307" s="28">
        <f>MIN(24,MAX(5,NORMINV(RAND(),$C$9,$D$9)))</f>
        <v/>
      </c>
      <c r="O307" s="51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7">
        <f>MAX(-0.05,NORMINV(RAND(),$C$6,$D$6))</f>
        <v/>
      </c>
      <c r="L308" s="27">
        <f>MAX(0.02,NORMINV(RAND(),$C$7,$D$7))</f>
        <v/>
      </c>
      <c r="M308" s="27">
        <f>MIN(0.16,MAX(0.05,NORMINV(RAND(),$C$8,$D$8)))</f>
        <v/>
      </c>
      <c r="N308" s="28">
        <f>MIN(24,MAX(5,NORMINV(RAND(),$C$9,$D$9)))</f>
        <v/>
      </c>
      <c r="O308" s="51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7">
        <f>MAX(-0.05,NORMINV(RAND(),$C$6,$D$6))</f>
        <v/>
      </c>
      <c r="L309" s="27">
        <f>MAX(0.02,NORMINV(RAND(),$C$7,$D$7))</f>
        <v/>
      </c>
      <c r="M309" s="27">
        <f>MIN(0.16,MAX(0.05,NORMINV(RAND(),$C$8,$D$8)))</f>
        <v/>
      </c>
      <c r="N309" s="28">
        <f>MIN(24,MAX(5,NORMINV(RAND(),$C$9,$D$9)))</f>
        <v/>
      </c>
      <c r="O309" s="51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7">
        <f>MAX(-0.05,NORMINV(RAND(),$C$6,$D$6))</f>
        <v/>
      </c>
      <c r="L310" s="27">
        <f>MAX(0.02,NORMINV(RAND(),$C$7,$D$7))</f>
        <v/>
      </c>
      <c r="M310" s="27">
        <f>MIN(0.16,MAX(0.05,NORMINV(RAND(),$C$8,$D$8)))</f>
        <v/>
      </c>
      <c r="N310" s="28">
        <f>MIN(24,MAX(5,NORMINV(RAND(),$C$9,$D$9)))</f>
        <v/>
      </c>
      <c r="O310" s="51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7">
        <f>MAX(-0.05,NORMINV(RAND(),$C$6,$D$6))</f>
        <v/>
      </c>
      <c r="L311" s="27">
        <f>MAX(0.02,NORMINV(RAND(),$C$7,$D$7))</f>
        <v/>
      </c>
      <c r="M311" s="27">
        <f>MIN(0.16,MAX(0.05,NORMINV(RAND(),$C$8,$D$8)))</f>
        <v/>
      </c>
      <c r="N311" s="28">
        <f>MIN(24,MAX(5,NORMINV(RAND(),$C$9,$D$9)))</f>
        <v/>
      </c>
      <c r="O311" s="51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7">
        <f>MAX(-0.05,NORMINV(RAND(),$C$6,$D$6))</f>
        <v/>
      </c>
      <c r="L312" s="27">
        <f>MAX(0.02,NORMINV(RAND(),$C$7,$D$7))</f>
        <v/>
      </c>
      <c r="M312" s="27">
        <f>MIN(0.16,MAX(0.05,NORMINV(RAND(),$C$8,$D$8)))</f>
        <v/>
      </c>
      <c r="N312" s="28">
        <f>MIN(24,MAX(5,NORMINV(RAND(),$C$9,$D$9)))</f>
        <v/>
      </c>
      <c r="O312" s="51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7">
        <f>MAX(-0.05,NORMINV(RAND(),$C$6,$D$6))</f>
        <v/>
      </c>
      <c r="L313" s="27">
        <f>MAX(0.02,NORMINV(RAND(),$C$7,$D$7))</f>
        <v/>
      </c>
      <c r="M313" s="27">
        <f>MIN(0.16,MAX(0.05,NORMINV(RAND(),$C$8,$D$8)))</f>
        <v/>
      </c>
      <c r="N313" s="28">
        <f>MIN(24,MAX(5,NORMINV(RAND(),$C$9,$D$9)))</f>
        <v/>
      </c>
      <c r="O313" s="51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7">
        <f>MAX(-0.05,NORMINV(RAND(),$C$6,$D$6))</f>
        <v/>
      </c>
      <c r="L314" s="27">
        <f>MAX(0.02,NORMINV(RAND(),$C$7,$D$7))</f>
        <v/>
      </c>
      <c r="M314" s="27">
        <f>MIN(0.16,MAX(0.05,NORMINV(RAND(),$C$8,$D$8)))</f>
        <v/>
      </c>
      <c r="N314" s="28">
        <f>MIN(24,MAX(5,NORMINV(RAND(),$C$9,$D$9)))</f>
        <v/>
      </c>
      <c r="O314" s="51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7">
        <f>MAX(-0.05,NORMINV(RAND(),$C$6,$D$6))</f>
        <v/>
      </c>
      <c r="L315" s="27">
        <f>MAX(0.02,NORMINV(RAND(),$C$7,$D$7))</f>
        <v/>
      </c>
      <c r="M315" s="27">
        <f>MIN(0.16,MAX(0.05,NORMINV(RAND(),$C$8,$D$8)))</f>
        <v/>
      </c>
      <c r="N315" s="28">
        <f>MIN(24,MAX(5,NORMINV(RAND(),$C$9,$D$9)))</f>
        <v/>
      </c>
      <c r="O315" s="51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7">
        <f>MAX(-0.05,NORMINV(RAND(),$C$6,$D$6))</f>
        <v/>
      </c>
      <c r="L316" s="27">
        <f>MAX(0.02,NORMINV(RAND(),$C$7,$D$7))</f>
        <v/>
      </c>
      <c r="M316" s="27">
        <f>MIN(0.16,MAX(0.05,NORMINV(RAND(),$C$8,$D$8)))</f>
        <v/>
      </c>
      <c r="N316" s="28">
        <f>MIN(24,MAX(5,NORMINV(RAND(),$C$9,$D$9)))</f>
        <v/>
      </c>
      <c r="O316" s="51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7">
        <f>MAX(-0.05,NORMINV(RAND(),$C$6,$D$6))</f>
        <v/>
      </c>
      <c r="L317" s="27">
        <f>MAX(0.02,NORMINV(RAND(),$C$7,$D$7))</f>
        <v/>
      </c>
      <c r="M317" s="27">
        <f>MIN(0.16,MAX(0.05,NORMINV(RAND(),$C$8,$D$8)))</f>
        <v/>
      </c>
      <c r="N317" s="28">
        <f>MIN(24,MAX(5,NORMINV(RAND(),$C$9,$D$9)))</f>
        <v/>
      </c>
      <c r="O317" s="51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7">
        <f>MAX(-0.05,NORMINV(RAND(),$C$6,$D$6))</f>
        <v/>
      </c>
      <c r="L318" s="27">
        <f>MAX(0.02,NORMINV(RAND(),$C$7,$D$7))</f>
        <v/>
      </c>
      <c r="M318" s="27">
        <f>MIN(0.16,MAX(0.05,NORMINV(RAND(),$C$8,$D$8)))</f>
        <v/>
      </c>
      <c r="N318" s="28">
        <f>MIN(24,MAX(5,NORMINV(RAND(),$C$9,$D$9)))</f>
        <v/>
      </c>
      <c r="O318" s="51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7">
        <f>MAX(-0.05,NORMINV(RAND(),$C$6,$D$6))</f>
        <v/>
      </c>
      <c r="L319" s="27">
        <f>MAX(0.02,NORMINV(RAND(),$C$7,$D$7))</f>
        <v/>
      </c>
      <c r="M319" s="27">
        <f>MIN(0.16,MAX(0.05,NORMINV(RAND(),$C$8,$D$8)))</f>
        <v/>
      </c>
      <c r="N319" s="28">
        <f>MIN(24,MAX(5,NORMINV(RAND(),$C$9,$D$9)))</f>
        <v/>
      </c>
      <c r="O319" s="51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7">
        <f>MAX(-0.05,NORMINV(RAND(),$C$6,$D$6))</f>
        <v/>
      </c>
      <c r="L320" s="27">
        <f>MAX(0.02,NORMINV(RAND(),$C$7,$D$7))</f>
        <v/>
      </c>
      <c r="M320" s="27">
        <f>MIN(0.16,MAX(0.05,NORMINV(RAND(),$C$8,$D$8)))</f>
        <v/>
      </c>
      <c r="N320" s="28">
        <f>MIN(24,MAX(5,NORMINV(RAND(),$C$9,$D$9)))</f>
        <v/>
      </c>
      <c r="O320" s="51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7">
        <f>MAX(-0.05,NORMINV(RAND(),$C$6,$D$6))</f>
        <v/>
      </c>
      <c r="L321" s="27">
        <f>MAX(0.02,NORMINV(RAND(),$C$7,$D$7))</f>
        <v/>
      </c>
      <c r="M321" s="27">
        <f>MIN(0.16,MAX(0.05,NORMINV(RAND(),$C$8,$D$8)))</f>
        <v/>
      </c>
      <c r="N321" s="28">
        <f>MIN(24,MAX(5,NORMINV(RAND(),$C$9,$D$9)))</f>
        <v/>
      </c>
      <c r="O321" s="51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7">
        <f>MAX(-0.05,NORMINV(RAND(),$C$6,$D$6))</f>
        <v/>
      </c>
      <c r="L322" s="27">
        <f>MAX(0.02,NORMINV(RAND(),$C$7,$D$7))</f>
        <v/>
      </c>
      <c r="M322" s="27">
        <f>MIN(0.16,MAX(0.05,NORMINV(RAND(),$C$8,$D$8)))</f>
        <v/>
      </c>
      <c r="N322" s="28">
        <f>MIN(24,MAX(5,NORMINV(RAND(),$C$9,$D$9)))</f>
        <v/>
      </c>
      <c r="O322" s="51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7">
        <f>MAX(-0.05,NORMINV(RAND(),$C$6,$D$6))</f>
        <v/>
      </c>
      <c r="L323" s="27">
        <f>MAX(0.02,NORMINV(RAND(),$C$7,$D$7))</f>
        <v/>
      </c>
      <c r="M323" s="27">
        <f>MIN(0.16,MAX(0.05,NORMINV(RAND(),$C$8,$D$8)))</f>
        <v/>
      </c>
      <c r="N323" s="28">
        <f>MIN(24,MAX(5,NORMINV(RAND(),$C$9,$D$9)))</f>
        <v/>
      </c>
      <c r="O323" s="51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7">
        <f>MAX(-0.05,NORMINV(RAND(),$C$6,$D$6))</f>
        <v/>
      </c>
      <c r="L324" s="27">
        <f>MAX(0.02,NORMINV(RAND(),$C$7,$D$7))</f>
        <v/>
      </c>
      <c r="M324" s="27">
        <f>MIN(0.16,MAX(0.05,NORMINV(RAND(),$C$8,$D$8)))</f>
        <v/>
      </c>
      <c r="N324" s="28">
        <f>MIN(24,MAX(5,NORMINV(RAND(),$C$9,$D$9)))</f>
        <v/>
      </c>
      <c r="O324" s="51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7">
        <f>MAX(-0.05,NORMINV(RAND(),$C$6,$D$6))</f>
        <v/>
      </c>
      <c r="L325" s="27">
        <f>MAX(0.02,NORMINV(RAND(),$C$7,$D$7))</f>
        <v/>
      </c>
      <c r="M325" s="27">
        <f>MIN(0.16,MAX(0.05,NORMINV(RAND(),$C$8,$D$8)))</f>
        <v/>
      </c>
      <c r="N325" s="28">
        <f>MIN(24,MAX(5,NORMINV(RAND(),$C$9,$D$9)))</f>
        <v/>
      </c>
      <c r="O325" s="51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7">
        <f>MAX(-0.05,NORMINV(RAND(),$C$6,$D$6))</f>
        <v/>
      </c>
      <c r="L326" s="27">
        <f>MAX(0.02,NORMINV(RAND(),$C$7,$D$7))</f>
        <v/>
      </c>
      <c r="M326" s="27">
        <f>MIN(0.16,MAX(0.05,NORMINV(RAND(),$C$8,$D$8)))</f>
        <v/>
      </c>
      <c r="N326" s="28">
        <f>MIN(24,MAX(5,NORMINV(RAND(),$C$9,$D$9)))</f>
        <v/>
      </c>
      <c r="O326" s="51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7">
        <f>MAX(-0.05,NORMINV(RAND(),$C$6,$D$6))</f>
        <v/>
      </c>
      <c r="L327" s="27">
        <f>MAX(0.02,NORMINV(RAND(),$C$7,$D$7))</f>
        <v/>
      </c>
      <c r="M327" s="27">
        <f>MIN(0.16,MAX(0.05,NORMINV(RAND(),$C$8,$D$8)))</f>
        <v/>
      </c>
      <c r="N327" s="28">
        <f>MIN(24,MAX(5,NORMINV(RAND(),$C$9,$D$9)))</f>
        <v/>
      </c>
      <c r="O327" s="51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7">
        <f>MAX(-0.05,NORMINV(RAND(),$C$6,$D$6))</f>
        <v/>
      </c>
      <c r="L328" s="27">
        <f>MAX(0.02,NORMINV(RAND(),$C$7,$D$7))</f>
        <v/>
      </c>
      <c r="M328" s="27">
        <f>MIN(0.16,MAX(0.05,NORMINV(RAND(),$C$8,$D$8)))</f>
        <v/>
      </c>
      <c r="N328" s="28">
        <f>MIN(24,MAX(5,NORMINV(RAND(),$C$9,$D$9)))</f>
        <v/>
      </c>
      <c r="O328" s="51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7">
        <f>MAX(-0.05,NORMINV(RAND(),$C$6,$D$6))</f>
        <v/>
      </c>
      <c r="L329" s="27">
        <f>MAX(0.02,NORMINV(RAND(),$C$7,$D$7))</f>
        <v/>
      </c>
      <c r="M329" s="27">
        <f>MIN(0.16,MAX(0.05,NORMINV(RAND(),$C$8,$D$8)))</f>
        <v/>
      </c>
      <c r="N329" s="28">
        <f>MIN(24,MAX(5,NORMINV(RAND(),$C$9,$D$9)))</f>
        <v/>
      </c>
      <c r="O329" s="51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7">
        <f>MAX(-0.05,NORMINV(RAND(),$C$6,$D$6))</f>
        <v/>
      </c>
      <c r="L330" s="27">
        <f>MAX(0.02,NORMINV(RAND(),$C$7,$D$7))</f>
        <v/>
      </c>
      <c r="M330" s="27">
        <f>MIN(0.16,MAX(0.05,NORMINV(RAND(),$C$8,$D$8)))</f>
        <v/>
      </c>
      <c r="N330" s="28">
        <f>MIN(24,MAX(5,NORMINV(RAND(),$C$9,$D$9)))</f>
        <v/>
      </c>
      <c r="O330" s="51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7">
        <f>MAX(-0.05,NORMINV(RAND(),$C$6,$D$6))</f>
        <v/>
      </c>
      <c r="L331" s="27">
        <f>MAX(0.02,NORMINV(RAND(),$C$7,$D$7))</f>
        <v/>
      </c>
      <c r="M331" s="27">
        <f>MIN(0.16,MAX(0.05,NORMINV(RAND(),$C$8,$D$8)))</f>
        <v/>
      </c>
      <c r="N331" s="28">
        <f>MIN(24,MAX(5,NORMINV(RAND(),$C$9,$D$9)))</f>
        <v/>
      </c>
      <c r="O331" s="51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7">
        <f>MAX(-0.05,NORMINV(RAND(),$C$6,$D$6))</f>
        <v/>
      </c>
      <c r="L332" s="27">
        <f>MAX(0.02,NORMINV(RAND(),$C$7,$D$7))</f>
        <v/>
      </c>
      <c r="M332" s="27">
        <f>MIN(0.16,MAX(0.05,NORMINV(RAND(),$C$8,$D$8)))</f>
        <v/>
      </c>
      <c r="N332" s="28">
        <f>MIN(24,MAX(5,NORMINV(RAND(),$C$9,$D$9)))</f>
        <v/>
      </c>
      <c r="O332" s="51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7">
        <f>MAX(-0.05,NORMINV(RAND(),$C$6,$D$6))</f>
        <v/>
      </c>
      <c r="L333" s="27">
        <f>MAX(0.02,NORMINV(RAND(),$C$7,$D$7))</f>
        <v/>
      </c>
      <c r="M333" s="27">
        <f>MIN(0.16,MAX(0.05,NORMINV(RAND(),$C$8,$D$8)))</f>
        <v/>
      </c>
      <c r="N333" s="28">
        <f>MIN(24,MAX(5,NORMINV(RAND(),$C$9,$D$9)))</f>
        <v/>
      </c>
      <c r="O333" s="51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7">
        <f>MAX(-0.05,NORMINV(RAND(),$C$6,$D$6))</f>
        <v/>
      </c>
      <c r="L334" s="27">
        <f>MAX(0.02,NORMINV(RAND(),$C$7,$D$7))</f>
        <v/>
      </c>
      <c r="M334" s="27">
        <f>MIN(0.16,MAX(0.05,NORMINV(RAND(),$C$8,$D$8)))</f>
        <v/>
      </c>
      <c r="N334" s="28">
        <f>MIN(24,MAX(5,NORMINV(RAND(),$C$9,$D$9)))</f>
        <v/>
      </c>
      <c r="O334" s="51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7">
        <f>MAX(-0.05,NORMINV(RAND(),$C$6,$D$6))</f>
        <v/>
      </c>
      <c r="L335" s="27">
        <f>MAX(0.02,NORMINV(RAND(),$C$7,$D$7))</f>
        <v/>
      </c>
      <c r="M335" s="27">
        <f>MIN(0.16,MAX(0.05,NORMINV(RAND(),$C$8,$D$8)))</f>
        <v/>
      </c>
      <c r="N335" s="28">
        <f>MIN(24,MAX(5,NORMINV(RAND(),$C$9,$D$9)))</f>
        <v/>
      </c>
      <c r="O335" s="51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7">
        <f>MAX(-0.05,NORMINV(RAND(),$C$6,$D$6))</f>
        <v/>
      </c>
      <c r="L336" s="27">
        <f>MAX(0.02,NORMINV(RAND(),$C$7,$D$7))</f>
        <v/>
      </c>
      <c r="M336" s="27">
        <f>MIN(0.16,MAX(0.05,NORMINV(RAND(),$C$8,$D$8)))</f>
        <v/>
      </c>
      <c r="N336" s="28">
        <f>MIN(24,MAX(5,NORMINV(RAND(),$C$9,$D$9)))</f>
        <v/>
      </c>
      <c r="O336" s="51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7">
        <f>MAX(-0.05,NORMINV(RAND(),$C$6,$D$6))</f>
        <v/>
      </c>
      <c r="L337" s="27">
        <f>MAX(0.02,NORMINV(RAND(),$C$7,$D$7))</f>
        <v/>
      </c>
      <c r="M337" s="27">
        <f>MIN(0.16,MAX(0.05,NORMINV(RAND(),$C$8,$D$8)))</f>
        <v/>
      </c>
      <c r="N337" s="28">
        <f>MIN(24,MAX(5,NORMINV(RAND(),$C$9,$D$9)))</f>
        <v/>
      </c>
      <c r="O337" s="51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7">
        <f>MAX(-0.05,NORMINV(RAND(),$C$6,$D$6))</f>
        <v/>
      </c>
      <c r="L338" s="27">
        <f>MAX(0.02,NORMINV(RAND(),$C$7,$D$7))</f>
        <v/>
      </c>
      <c r="M338" s="27">
        <f>MIN(0.16,MAX(0.05,NORMINV(RAND(),$C$8,$D$8)))</f>
        <v/>
      </c>
      <c r="N338" s="28">
        <f>MIN(24,MAX(5,NORMINV(RAND(),$C$9,$D$9)))</f>
        <v/>
      </c>
      <c r="O338" s="51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7">
        <f>MAX(-0.05,NORMINV(RAND(),$C$6,$D$6))</f>
        <v/>
      </c>
      <c r="L339" s="27">
        <f>MAX(0.02,NORMINV(RAND(),$C$7,$D$7))</f>
        <v/>
      </c>
      <c r="M339" s="27">
        <f>MIN(0.16,MAX(0.05,NORMINV(RAND(),$C$8,$D$8)))</f>
        <v/>
      </c>
      <c r="N339" s="28">
        <f>MIN(24,MAX(5,NORMINV(RAND(),$C$9,$D$9)))</f>
        <v/>
      </c>
      <c r="O339" s="51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7">
        <f>MAX(-0.05,NORMINV(RAND(),$C$6,$D$6))</f>
        <v/>
      </c>
      <c r="L340" s="27">
        <f>MAX(0.02,NORMINV(RAND(),$C$7,$D$7))</f>
        <v/>
      </c>
      <c r="M340" s="27">
        <f>MIN(0.16,MAX(0.05,NORMINV(RAND(),$C$8,$D$8)))</f>
        <v/>
      </c>
      <c r="N340" s="28">
        <f>MIN(24,MAX(5,NORMINV(RAND(),$C$9,$D$9)))</f>
        <v/>
      </c>
      <c r="O340" s="51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7">
        <f>MAX(-0.05,NORMINV(RAND(),$C$6,$D$6))</f>
        <v/>
      </c>
      <c r="L341" s="27">
        <f>MAX(0.02,NORMINV(RAND(),$C$7,$D$7))</f>
        <v/>
      </c>
      <c r="M341" s="27">
        <f>MIN(0.16,MAX(0.05,NORMINV(RAND(),$C$8,$D$8)))</f>
        <v/>
      </c>
      <c r="N341" s="28">
        <f>MIN(24,MAX(5,NORMINV(RAND(),$C$9,$D$9)))</f>
        <v/>
      </c>
      <c r="O341" s="51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7">
        <f>MAX(-0.05,NORMINV(RAND(),$C$6,$D$6))</f>
        <v/>
      </c>
      <c r="L342" s="27">
        <f>MAX(0.02,NORMINV(RAND(),$C$7,$D$7))</f>
        <v/>
      </c>
      <c r="M342" s="27">
        <f>MIN(0.16,MAX(0.05,NORMINV(RAND(),$C$8,$D$8)))</f>
        <v/>
      </c>
      <c r="N342" s="28">
        <f>MIN(24,MAX(5,NORMINV(RAND(),$C$9,$D$9)))</f>
        <v/>
      </c>
      <c r="O342" s="51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7">
        <f>MAX(-0.05,NORMINV(RAND(),$C$6,$D$6))</f>
        <v/>
      </c>
      <c r="L343" s="27">
        <f>MAX(0.02,NORMINV(RAND(),$C$7,$D$7))</f>
        <v/>
      </c>
      <c r="M343" s="27">
        <f>MIN(0.16,MAX(0.05,NORMINV(RAND(),$C$8,$D$8)))</f>
        <v/>
      </c>
      <c r="N343" s="28">
        <f>MIN(24,MAX(5,NORMINV(RAND(),$C$9,$D$9)))</f>
        <v/>
      </c>
      <c r="O343" s="51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7">
        <f>MAX(-0.05,NORMINV(RAND(),$C$6,$D$6))</f>
        <v/>
      </c>
      <c r="L344" s="27">
        <f>MAX(0.02,NORMINV(RAND(),$C$7,$D$7))</f>
        <v/>
      </c>
      <c r="M344" s="27">
        <f>MIN(0.16,MAX(0.05,NORMINV(RAND(),$C$8,$D$8)))</f>
        <v/>
      </c>
      <c r="N344" s="28">
        <f>MIN(24,MAX(5,NORMINV(RAND(),$C$9,$D$9)))</f>
        <v/>
      </c>
      <c r="O344" s="51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7">
        <f>MAX(-0.05,NORMINV(RAND(),$C$6,$D$6))</f>
        <v/>
      </c>
      <c r="L345" s="27">
        <f>MAX(0.02,NORMINV(RAND(),$C$7,$D$7))</f>
        <v/>
      </c>
      <c r="M345" s="27">
        <f>MIN(0.16,MAX(0.05,NORMINV(RAND(),$C$8,$D$8)))</f>
        <v/>
      </c>
      <c r="N345" s="28">
        <f>MIN(24,MAX(5,NORMINV(RAND(),$C$9,$D$9)))</f>
        <v/>
      </c>
      <c r="O345" s="51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7">
        <f>MAX(-0.05,NORMINV(RAND(),$C$6,$D$6))</f>
        <v/>
      </c>
      <c r="L346" s="27">
        <f>MAX(0.02,NORMINV(RAND(),$C$7,$D$7))</f>
        <v/>
      </c>
      <c r="M346" s="27">
        <f>MIN(0.16,MAX(0.05,NORMINV(RAND(),$C$8,$D$8)))</f>
        <v/>
      </c>
      <c r="N346" s="28">
        <f>MIN(24,MAX(5,NORMINV(RAND(),$C$9,$D$9)))</f>
        <v/>
      </c>
      <c r="O346" s="51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7">
        <f>MAX(-0.05,NORMINV(RAND(),$C$6,$D$6))</f>
        <v/>
      </c>
      <c r="L347" s="27">
        <f>MAX(0.02,NORMINV(RAND(),$C$7,$D$7))</f>
        <v/>
      </c>
      <c r="M347" s="27">
        <f>MIN(0.16,MAX(0.05,NORMINV(RAND(),$C$8,$D$8)))</f>
        <v/>
      </c>
      <c r="N347" s="28">
        <f>MIN(24,MAX(5,NORMINV(RAND(),$C$9,$D$9)))</f>
        <v/>
      </c>
      <c r="O347" s="51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7">
        <f>MAX(-0.05,NORMINV(RAND(),$C$6,$D$6))</f>
        <v/>
      </c>
      <c r="L348" s="27">
        <f>MAX(0.02,NORMINV(RAND(),$C$7,$D$7))</f>
        <v/>
      </c>
      <c r="M348" s="27">
        <f>MIN(0.16,MAX(0.05,NORMINV(RAND(),$C$8,$D$8)))</f>
        <v/>
      </c>
      <c r="N348" s="28">
        <f>MIN(24,MAX(5,NORMINV(RAND(),$C$9,$D$9)))</f>
        <v/>
      </c>
      <c r="O348" s="51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7">
        <f>MAX(-0.05,NORMINV(RAND(),$C$6,$D$6))</f>
        <v/>
      </c>
      <c r="L349" s="27">
        <f>MAX(0.02,NORMINV(RAND(),$C$7,$D$7))</f>
        <v/>
      </c>
      <c r="M349" s="27">
        <f>MIN(0.16,MAX(0.05,NORMINV(RAND(),$C$8,$D$8)))</f>
        <v/>
      </c>
      <c r="N349" s="28">
        <f>MIN(24,MAX(5,NORMINV(RAND(),$C$9,$D$9)))</f>
        <v/>
      </c>
      <c r="O349" s="51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7">
        <f>MAX(-0.05,NORMINV(RAND(),$C$6,$D$6))</f>
        <v/>
      </c>
      <c r="L350" s="27">
        <f>MAX(0.02,NORMINV(RAND(),$C$7,$D$7))</f>
        <v/>
      </c>
      <c r="M350" s="27">
        <f>MIN(0.16,MAX(0.05,NORMINV(RAND(),$C$8,$D$8)))</f>
        <v/>
      </c>
      <c r="N350" s="28">
        <f>MIN(24,MAX(5,NORMINV(RAND(),$C$9,$D$9)))</f>
        <v/>
      </c>
      <c r="O350" s="51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7">
        <f>MAX(-0.05,NORMINV(RAND(),$C$6,$D$6))</f>
        <v/>
      </c>
      <c r="L351" s="27">
        <f>MAX(0.02,NORMINV(RAND(),$C$7,$D$7))</f>
        <v/>
      </c>
      <c r="M351" s="27">
        <f>MIN(0.16,MAX(0.05,NORMINV(RAND(),$C$8,$D$8)))</f>
        <v/>
      </c>
      <c r="N351" s="28">
        <f>MIN(24,MAX(5,NORMINV(RAND(),$C$9,$D$9)))</f>
        <v/>
      </c>
      <c r="O351" s="51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7">
        <f>MAX(-0.05,NORMINV(RAND(),$C$6,$D$6))</f>
        <v/>
      </c>
      <c r="L352" s="27">
        <f>MAX(0.02,NORMINV(RAND(),$C$7,$D$7))</f>
        <v/>
      </c>
      <c r="M352" s="27">
        <f>MIN(0.16,MAX(0.05,NORMINV(RAND(),$C$8,$D$8)))</f>
        <v/>
      </c>
      <c r="N352" s="28">
        <f>MIN(24,MAX(5,NORMINV(RAND(),$C$9,$D$9)))</f>
        <v/>
      </c>
      <c r="O352" s="51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7">
        <f>MAX(-0.05,NORMINV(RAND(),$C$6,$D$6))</f>
        <v/>
      </c>
      <c r="L353" s="27">
        <f>MAX(0.02,NORMINV(RAND(),$C$7,$D$7))</f>
        <v/>
      </c>
      <c r="M353" s="27">
        <f>MIN(0.16,MAX(0.05,NORMINV(RAND(),$C$8,$D$8)))</f>
        <v/>
      </c>
      <c r="N353" s="28">
        <f>MIN(24,MAX(5,NORMINV(RAND(),$C$9,$D$9)))</f>
        <v/>
      </c>
      <c r="O353" s="51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7">
        <f>MAX(-0.05,NORMINV(RAND(),$C$6,$D$6))</f>
        <v/>
      </c>
      <c r="L354" s="27">
        <f>MAX(0.02,NORMINV(RAND(),$C$7,$D$7))</f>
        <v/>
      </c>
      <c r="M354" s="27">
        <f>MIN(0.16,MAX(0.05,NORMINV(RAND(),$C$8,$D$8)))</f>
        <v/>
      </c>
      <c r="N354" s="28">
        <f>MIN(24,MAX(5,NORMINV(RAND(),$C$9,$D$9)))</f>
        <v/>
      </c>
      <c r="O354" s="51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7">
        <f>MAX(-0.05,NORMINV(RAND(),$C$6,$D$6))</f>
        <v/>
      </c>
      <c r="L355" s="27">
        <f>MAX(0.02,NORMINV(RAND(),$C$7,$D$7))</f>
        <v/>
      </c>
      <c r="M355" s="27">
        <f>MIN(0.16,MAX(0.05,NORMINV(RAND(),$C$8,$D$8)))</f>
        <v/>
      </c>
      <c r="N355" s="28">
        <f>MIN(24,MAX(5,NORMINV(RAND(),$C$9,$D$9)))</f>
        <v/>
      </c>
      <c r="O355" s="51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7">
        <f>MAX(-0.05,NORMINV(RAND(),$C$6,$D$6))</f>
        <v/>
      </c>
      <c r="L356" s="27">
        <f>MAX(0.02,NORMINV(RAND(),$C$7,$D$7))</f>
        <v/>
      </c>
      <c r="M356" s="27">
        <f>MIN(0.16,MAX(0.05,NORMINV(RAND(),$C$8,$D$8)))</f>
        <v/>
      </c>
      <c r="N356" s="28">
        <f>MIN(24,MAX(5,NORMINV(RAND(),$C$9,$D$9)))</f>
        <v/>
      </c>
      <c r="O356" s="51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7">
        <f>MAX(-0.05,NORMINV(RAND(),$C$6,$D$6))</f>
        <v/>
      </c>
      <c r="L357" s="27">
        <f>MAX(0.02,NORMINV(RAND(),$C$7,$D$7))</f>
        <v/>
      </c>
      <c r="M357" s="27">
        <f>MIN(0.16,MAX(0.05,NORMINV(RAND(),$C$8,$D$8)))</f>
        <v/>
      </c>
      <c r="N357" s="28">
        <f>MIN(24,MAX(5,NORMINV(RAND(),$C$9,$D$9)))</f>
        <v/>
      </c>
      <c r="O357" s="51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7">
        <f>MAX(-0.05,NORMINV(RAND(),$C$6,$D$6))</f>
        <v/>
      </c>
      <c r="L358" s="27">
        <f>MAX(0.02,NORMINV(RAND(),$C$7,$D$7))</f>
        <v/>
      </c>
      <c r="M358" s="27">
        <f>MIN(0.16,MAX(0.05,NORMINV(RAND(),$C$8,$D$8)))</f>
        <v/>
      </c>
      <c r="N358" s="28">
        <f>MIN(24,MAX(5,NORMINV(RAND(),$C$9,$D$9)))</f>
        <v/>
      </c>
      <c r="O358" s="51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7">
        <f>MAX(-0.05,NORMINV(RAND(),$C$6,$D$6))</f>
        <v/>
      </c>
      <c r="L359" s="27">
        <f>MAX(0.02,NORMINV(RAND(),$C$7,$D$7))</f>
        <v/>
      </c>
      <c r="M359" s="27">
        <f>MIN(0.16,MAX(0.05,NORMINV(RAND(),$C$8,$D$8)))</f>
        <v/>
      </c>
      <c r="N359" s="28">
        <f>MIN(24,MAX(5,NORMINV(RAND(),$C$9,$D$9)))</f>
        <v/>
      </c>
      <c r="O359" s="51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7">
        <f>MAX(-0.05,NORMINV(RAND(),$C$6,$D$6))</f>
        <v/>
      </c>
      <c r="L360" s="27">
        <f>MAX(0.02,NORMINV(RAND(),$C$7,$D$7))</f>
        <v/>
      </c>
      <c r="M360" s="27">
        <f>MIN(0.16,MAX(0.05,NORMINV(RAND(),$C$8,$D$8)))</f>
        <v/>
      </c>
      <c r="N360" s="28">
        <f>MIN(24,MAX(5,NORMINV(RAND(),$C$9,$D$9)))</f>
        <v/>
      </c>
      <c r="O360" s="51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7">
        <f>MAX(-0.05,NORMINV(RAND(),$C$6,$D$6))</f>
        <v/>
      </c>
      <c r="L361" s="27">
        <f>MAX(0.02,NORMINV(RAND(),$C$7,$D$7))</f>
        <v/>
      </c>
      <c r="M361" s="27">
        <f>MIN(0.16,MAX(0.05,NORMINV(RAND(),$C$8,$D$8)))</f>
        <v/>
      </c>
      <c r="N361" s="28">
        <f>MIN(24,MAX(5,NORMINV(RAND(),$C$9,$D$9)))</f>
        <v/>
      </c>
      <c r="O361" s="51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7">
        <f>MAX(-0.05,NORMINV(RAND(),$C$6,$D$6))</f>
        <v/>
      </c>
      <c r="L362" s="27">
        <f>MAX(0.02,NORMINV(RAND(),$C$7,$D$7))</f>
        <v/>
      </c>
      <c r="M362" s="27">
        <f>MIN(0.16,MAX(0.05,NORMINV(RAND(),$C$8,$D$8)))</f>
        <v/>
      </c>
      <c r="N362" s="28">
        <f>MIN(24,MAX(5,NORMINV(RAND(),$C$9,$D$9)))</f>
        <v/>
      </c>
      <c r="O362" s="51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7">
        <f>MAX(-0.05,NORMINV(RAND(),$C$6,$D$6))</f>
        <v/>
      </c>
      <c r="L363" s="27">
        <f>MAX(0.02,NORMINV(RAND(),$C$7,$D$7))</f>
        <v/>
      </c>
      <c r="M363" s="27">
        <f>MIN(0.16,MAX(0.05,NORMINV(RAND(),$C$8,$D$8)))</f>
        <v/>
      </c>
      <c r="N363" s="28">
        <f>MIN(24,MAX(5,NORMINV(RAND(),$C$9,$D$9)))</f>
        <v/>
      </c>
      <c r="O363" s="51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7">
        <f>MAX(-0.05,NORMINV(RAND(),$C$6,$D$6))</f>
        <v/>
      </c>
      <c r="L364" s="27">
        <f>MAX(0.02,NORMINV(RAND(),$C$7,$D$7))</f>
        <v/>
      </c>
      <c r="M364" s="27">
        <f>MIN(0.16,MAX(0.05,NORMINV(RAND(),$C$8,$D$8)))</f>
        <v/>
      </c>
      <c r="N364" s="28">
        <f>MIN(24,MAX(5,NORMINV(RAND(),$C$9,$D$9)))</f>
        <v/>
      </c>
      <c r="O364" s="51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7">
        <f>MAX(-0.05,NORMINV(RAND(),$C$6,$D$6))</f>
        <v/>
      </c>
      <c r="L365" s="27">
        <f>MAX(0.02,NORMINV(RAND(),$C$7,$D$7))</f>
        <v/>
      </c>
      <c r="M365" s="27">
        <f>MIN(0.16,MAX(0.05,NORMINV(RAND(),$C$8,$D$8)))</f>
        <v/>
      </c>
      <c r="N365" s="28">
        <f>MIN(24,MAX(5,NORMINV(RAND(),$C$9,$D$9)))</f>
        <v/>
      </c>
      <c r="O365" s="51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7">
        <f>MAX(-0.05,NORMINV(RAND(),$C$6,$D$6))</f>
        <v/>
      </c>
      <c r="L366" s="27">
        <f>MAX(0.02,NORMINV(RAND(),$C$7,$D$7))</f>
        <v/>
      </c>
      <c r="M366" s="27">
        <f>MIN(0.16,MAX(0.05,NORMINV(RAND(),$C$8,$D$8)))</f>
        <v/>
      </c>
      <c r="N366" s="28">
        <f>MIN(24,MAX(5,NORMINV(RAND(),$C$9,$D$9)))</f>
        <v/>
      </c>
      <c r="O366" s="51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7">
        <f>MAX(-0.05,NORMINV(RAND(),$C$6,$D$6))</f>
        <v/>
      </c>
      <c r="L367" s="27">
        <f>MAX(0.02,NORMINV(RAND(),$C$7,$D$7))</f>
        <v/>
      </c>
      <c r="M367" s="27">
        <f>MIN(0.16,MAX(0.05,NORMINV(RAND(),$C$8,$D$8)))</f>
        <v/>
      </c>
      <c r="N367" s="28">
        <f>MIN(24,MAX(5,NORMINV(RAND(),$C$9,$D$9)))</f>
        <v/>
      </c>
      <c r="O367" s="51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7">
        <f>MAX(-0.05,NORMINV(RAND(),$C$6,$D$6))</f>
        <v/>
      </c>
      <c r="L368" s="27">
        <f>MAX(0.02,NORMINV(RAND(),$C$7,$D$7))</f>
        <v/>
      </c>
      <c r="M368" s="27">
        <f>MIN(0.16,MAX(0.05,NORMINV(RAND(),$C$8,$D$8)))</f>
        <v/>
      </c>
      <c r="N368" s="28">
        <f>MIN(24,MAX(5,NORMINV(RAND(),$C$9,$D$9)))</f>
        <v/>
      </c>
      <c r="O368" s="51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7">
        <f>MAX(-0.05,NORMINV(RAND(),$C$6,$D$6))</f>
        <v/>
      </c>
      <c r="L369" s="27">
        <f>MAX(0.02,NORMINV(RAND(),$C$7,$D$7))</f>
        <v/>
      </c>
      <c r="M369" s="27">
        <f>MIN(0.16,MAX(0.05,NORMINV(RAND(),$C$8,$D$8)))</f>
        <v/>
      </c>
      <c r="N369" s="28">
        <f>MIN(24,MAX(5,NORMINV(RAND(),$C$9,$D$9)))</f>
        <v/>
      </c>
      <c r="O369" s="51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7">
        <f>MAX(-0.05,NORMINV(RAND(),$C$6,$D$6))</f>
        <v/>
      </c>
      <c r="L370" s="27">
        <f>MAX(0.02,NORMINV(RAND(),$C$7,$D$7))</f>
        <v/>
      </c>
      <c r="M370" s="27">
        <f>MIN(0.16,MAX(0.05,NORMINV(RAND(),$C$8,$D$8)))</f>
        <v/>
      </c>
      <c r="N370" s="28">
        <f>MIN(24,MAX(5,NORMINV(RAND(),$C$9,$D$9)))</f>
        <v/>
      </c>
      <c r="O370" s="51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7">
        <f>MAX(-0.05,NORMINV(RAND(),$C$6,$D$6))</f>
        <v/>
      </c>
      <c r="L371" s="27">
        <f>MAX(0.02,NORMINV(RAND(),$C$7,$D$7))</f>
        <v/>
      </c>
      <c r="M371" s="27">
        <f>MIN(0.16,MAX(0.05,NORMINV(RAND(),$C$8,$D$8)))</f>
        <v/>
      </c>
      <c r="N371" s="28">
        <f>MIN(24,MAX(5,NORMINV(RAND(),$C$9,$D$9)))</f>
        <v/>
      </c>
      <c r="O371" s="51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7">
        <f>MAX(-0.05,NORMINV(RAND(),$C$6,$D$6))</f>
        <v/>
      </c>
      <c r="L372" s="27">
        <f>MAX(0.02,NORMINV(RAND(),$C$7,$D$7))</f>
        <v/>
      </c>
      <c r="M372" s="27">
        <f>MIN(0.16,MAX(0.05,NORMINV(RAND(),$C$8,$D$8)))</f>
        <v/>
      </c>
      <c r="N372" s="28">
        <f>MIN(24,MAX(5,NORMINV(RAND(),$C$9,$D$9)))</f>
        <v/>
      </c>
      <c r="O372" s="51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7">
        <f>MAX(-0.05,NORMINV(RAND(),$C$6,$D$6))</f>
        <v/>
      </c>
      <c r="L373" s="27">
        <f>MAX(0.02,NORMINV(RAND(),$C$7,$D$7))</f>
        <v/>
      </c>
      <c r="M373" s="27">
        <f>MIN(0.16,MAX(0.05,NORMINV(RAND(),$C$8,$D$8)))</f>
        <v/>
      </c>
      <c r="N373" s="28">
        <f>MIN(24,MAX(5,NORMINV(RAND(),$C$9,$D$9)))</f>
        <v/>
      </c>
      <c r="O373" s="51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7">
        <f>MAX(-0.05,NORMINV(RAND(),$C$6,$D$6))</f>
        <v/>
      </c>
      <c r="L374" s="27">
        <f>MAX(0.02,NORMINV(RAND(),$C$7,$D$7))</f>
        <v/>
      </c>
      <c r="M374" s="27">
        <f>MIN(0.16,MAX(0.05,NORMINV(RAND(),$C$8,$D$8)))</f>
        <v/>
      </c>
      <c r="N374" s="28">
        <f>MIN(24,MAX(5,NORMINV(RAND(),$C$9,$D$9)))</f>
        <v/>
      </c>
      <c r="O374" s="51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7">
        <f>MAX(-0.05,NORMINV(RAND(),$C$6,$D$6))</f>
        <v/>
      </c>
      <c r="L375" s="27">
        <f>MAX(0.02,NORMINV(RAND(),$C$7,$D$7))</f>
        <v/>
      </c>
      <c r="M375" s="27">
        <f>MIN(0.16,MAX(0.05,NORMINV(RAND(),$C$8,$D$8)))</f>
        <v/>
      </c>
      <c r="N375" s="28">
        <f>MIN(24,MAX(5,NORMINV(RAND(),$C$9,$D$9)))</f>
        <v/>
      </c>
      <c r="O375" s="51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7">
        <f>MAX(-0.05,NORMINV(RAND(),$C$6,$D$6))</f>
        <v/>
      </c>
      <c r="L376" s="27">
        <f>MAX(0.02,NORMINV(RAND(),$C$7,$D$7))</f>
        <v/>
      </c>
      <c r="M376" s="27">
        <f>MIN(0.16,MAX(0.05,NORMINV(RAND(),$C$8,$D$8)))</f>
        <v/>
      </c>
      <c r="N376" s="28">
        <f>MIN(24,MAX(5,NORMINV(RAND(),$C$9,$D$9)))</f>
        <v/>
      </c>
      <c r="O376" s="51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7">
        <f>MAX(-0.05,NORMINV(RAND(),$C$6,$D$6))</f>
        <v/>
      </c>
      <c r="L377" s="27">
        <f>MAX(0.02,NORMINV(RAND(),$C$7,$D$7))</f>
        <v/>
      </c>
      <c r="M377" s="27">
        <f>MIN(0.16,MAX(0.05,NORMINV(RAND(),$C$8,$D$8)))</f>
        <v/>
      </c>
      <c r="N377" s="28">
        <f>MIN(24,MAX(5,NORMINV(RAND(),$C$9,$D$9)))</f>
        <v/>
      </c>
      <c r="O377" s="51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7">
        <f>MAX(-0.05,NORMINV(RAND(),$C$6,$D$6))</f>
        <v/>
      </c>
      <c r="L378" s="27">
        <f>MAX(0.02,NORMINV(RAND(),$C$7,$D$7))</f>
        <v/>
      </c>
      <c r="M378" s="27">
        <f>MIN(0.16,MAX(0.05,NORMINV(RAND(),$C$8,$D$8)))</f>
        <v/>
      </c>
      <c r="N378" s="28">
        <f>MIN(24,MAX(5,NORMINV(RAND(),$C$9,$D$9)))</f>
        <v/>
      </c>
      <c r="O378" s="51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7">
        <f>MAX(-0.05,NORMINV(RAND(),$C$6,$D$6))</f>
        <v/>
      </c>
      <c r="L379" s="27">
        <f>MAX(0.02,NORMINV(RAND(),$C$7,$D$7))</f>
        <v/>
      </c>
      <c r="M379" s="27">
        <f>MIN(0.16,MAX(0.05,NORMINV(RAND(),$C$8,$D$8)))</f>
        <v/>
      </c>
      <c r="N379" s="28">
        <f>MIN(24,MAX(5,NORMINV(RAND(),$C$9,$D$9)))</f>
        <v/>
      </c>
      <c r="O379" s="51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7">
        <f>MAX(-0.05,NORMINV(RAND(),$C$6,$D$6))</f>
        <v/>
      </c>
      <c r="L380" s="27">
        <f>MAX(0.02,NORMINV(RAND(),$C$7,$D$7))</f>
        <v/>
      </c>
      <c r="M380" s="27">
        <f>MIN(0.16,MAX(0.05,NORMINV(RAND(),$C$8,$D$8)))</f>
        <v/>
      </c>
      <c r="N380" s="28">
        <f>MIN(24,MAX(5,NORMINV(RAND(),$C$9,$D$9)))</f>
        <v/>
      </c>
      <c r="O380" s="51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7">
        <f>MAX(-0.05,NORMINV(RAND(),$C$6,$D$6))</f>
        <v/>
      </c>
      <c r="L381" s="27">
        <f>MAX(0.02,NORMINV(RAND(),$C$7,$D$7))</f>
        <v/>
      </c>
      <c r="M381" s="27">
        <f>MIN(0.16,MAX(0.05,NORMINV(RAND(),$C$8,$D$8)))</f>
        <v/>
      </c>
      <c r="N381" s="28">
        <f>MIN(24,MAX(5,NORMINV(RAND(),$C$9,$D$9)))</f>
        <v/>
      </c>
      <c r="O381" s="51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7">
        <f>MAX(-0.05,NORMINV(RAND(),$C$6,$D$6))</f>
        <v/>
      </c>
      <c r="L382" s="27">
        <f>MAX(0.02,NORMINV(RAND(),$C$7,$D$7))</f>
        <v/>
      </c>
      <c r="M382" s="27">
        <f>MIN(0.16,MAX(0.05,NORMINV(RAND(),$C$8,$D$8)))</f>
        <v/>
      </c>
      <c r="N382" s="28">
        <f>MIN(24,MAX(5,NORMINV(RAND(),$C$9,$D$9)))</f>
        <v/>
      </c>
      <c r="O382" s="51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7">
        <f>MAX(-0.05,NORMINV(RAND(),$C$6,$D$6))</f>
        <v/>
      </c>
      <c r="L383" s="27">
        <f>MAX(0.02,NORMINV(RAND(),$C$7,$D$7))</f>
        <v/>
      </c>
      <c r="M383" s="27">
        <f>MIN(0.16,MAX(0.05,NORMINV(RAND(),$C$8,$D$8)))</f>
        <v/>
      </c>
      <c r="N383" s="28">
        <f>MIN(24,MAX(5,NORMINV(RAND(),$C$9,$D$9)))</f>
        <v/>
      </c>
      <c r="O383" s="51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7">
        <f>MAX(-0.05,NORMINV(RAND(),$C$6,$D$6))</f>
        <v/>
      </c>
      <c r="L384" s="27">
        <f>MAX(0.02,NORMINV(RAND(),$C$7,$D$7))</f>
        <v/>
      </c>
      <c r="M384" s="27">
        <f>MIN(0.16,MAX(0.05,NORMINV(RAND(),$C$8,$D$8)))</f>
        <v/>
      </c>
      <c r="N384" s="28">
        <f>MIN(24,MAX(5,NORMINV(RAND(),$C$9,$D$9)))</f>
        <v/>
      </c>
      <c r="O384" s="51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7">
        <f>MAX(-0.05,NORMINV(RAND(),$C$6,$D$6))</f>
        <v/>
      </c>
      <c r="L385" s="27">
        <f>MAX(0.02,NORMINV(RAND(),$C$7,$D$7))</f>
        <v/>
      </c>
      <c r="M385" s="27">
        <f>MIN(0.16,MAX(0.05,NORMINV(RAND(),$C$8,$D$8)))</f>
        <v/>
      </c>
      <c r="N385" s="28">
        <f>MIN(24,MAX(5,NORMINV(RAND(),$C$9,$D$9)))</f>
        <v/>
      </c>
      <c r="O385" s="51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7">
        <f>MAX(-0.05,NORMINV(RAND(),$C$6,$D$6))</f>
        <v/>
      </c>
      <c r="L386" s="27">
        <f>MAX(0.02,NORMINV(RAND(),$C$7,$D$7))</f>
        <v/>
      </c>
      <c r="M386" s="27">
        <f>MIN(0.16,MAX(0.05,NORMINV(RAND(),$C$8,$D$8)))</f>
        <v/>
      </c>
      <c r="N386" s="28">
        <f>MIN(24,MAX(5,NORMINV(RAND(),$C$9,$D$9)))</f>
        <v/>
      </c>
      <c r="O386" s="51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7">
        <f>MAX(-0.05,NORMINV(RAND(),$C$6,$D$6))</f>
        <v/>
      </c>
      <c r="L387" s="27">
        <f>MAX(0.02,NORMINV(RAND(),$C$7,$D$7))</f>
        <v/>
      </c>
      <c r="M387" s="27">
        <f>MIN(0.16,MAX(0.05,NORMINV(RAND(),$C$8,$D$8)))</f>
        <v/>
      </c>
      <c r="N387" s="28">
        <f>MIN(24,MAX(5,NORMINV(RAND(),$C$9,$D$9)))</f>
        <v/>
      </c>
      <c r="O387" s="51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7">
        <f>MAX(-0.05,NORMINV(RAND(),$C$6,$D$6))</f>
        <v/>
      </c>
      <c r="L388" s="27">
        <f>MAX(0.02,NORMINV(RAND(),$C$7,$D$7))</f>
        <v/>
      </c>
      <c r="M388" s="27">
        <f>MIN(0.16,MAX(0.05,NORMINV(RAND(),$C$8,$D$8)))</f>
        <v/>
      </c>
      <c r="N388" s="28">
        <f>MIN(24,MAX(5,NORMINV(RAND(),$C$9,$D$9)))</f>
        <v/>
      </c>
      <c r="O388" s="51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7">
        <f>MAX(-0.05,NORMINV(RAND(),$C$6,$D$6))</f>
        <v/>
      </c>
      <c r="L389" s="27">
        <f>MAX(0.02,NORMINV(RAND(),$C$7,$D$7))</f>
        <v/>
      </c>
      <c r="M389" s="27">
        <f>MIN(0.16,MAX(0.05,NORMINV(RAND(),$C$8,$D$8)))</f>
        <v/>
      </c>
      <c r="N389" s="28">
        <f>MIN(24,MAX(5,NORMINV(RAND(),$C$9,$D$9)))</f>
        <v/>
      </c>
      <c r="O389" s="51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7">
        <f>MAX(-0.05,NORMINV(RAND(),$C$6,$D$6))</f>
        <v/>
      </c>
      <c r="L390" s="27">
        <f>MAX(0.02,NORMINV(RAND(),$C$7,$D$7))</f>
        <v/>
      </c>
      <c r="M390" s="27">
        <f>MIN(0.16,MAX(0.05,NORMINV(RAND(),$C$8,$D$8)))</f>
        <v/>
      </c>
      <c r="N390" s="28">
        <f>MIN(24,MAX(5,NORMINV(RAND(),$C$9,$D$9)))</f>
        <v/>
      </c>
      <c r="O390" s="51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7">
        <f>MAX(-0.05,NORMINV(RAND(),$C$6,$D$6))</f>
        <v/>
      </c>
      <c r="L391" s="27">
        <f>MAX(0.02,NORMINV(RAND(),$C$7,$D$7))</f>
        <v/>
      </c>
      <c r="M391" s="27">
        <f>MIN(0.16,MAX(0.05,NORMINV(RAND(),$C$8,$D$8)))</f>
        <v/>
      </c>
      <c r="N391" s="28">
        <f>MIN(24,MAX(5,NORMINV(RAND(),$C$9,$D$9)))</f>
        <v/>
      </c>
      <c r="O391" s="51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7">
        <f>MAX(-0.05,NORMINV(RAND(),$C$6,$D$6))</f>
        <v/>
      </c>
      <c r="L392" s="27">
        <f>MAX(0.02,NORMINV(RAND(),$C$7,$D$7))</f>
        <v/>
      </c>
      <c r="M392" s="27">
        <f>MIN(0.16,MAX(0.05,NORMINV(RAND(),$C$8,$D$8)))</f>
        <v/>
      </c>
      <c r="N392" s="28">
        <f>MIN(24,MAX(5,NORMINV(RAND(),$C$9,$D$9)))</f>
        <v/>
      </c>
      <c r="O392" s="51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7">
        <f>MAX(-0.05,NORMINV(RAND(),$C$6,$D$6))</f>
        <v/>
      </c>
      <c r="L393" s="27">
        <f>MAX(0.02,NORMINV(RAND(),$C$7,$D$7))</f>
        <v/>
      </c>
      <c r="M393" s="27">
        <f>MIN(0.16,MAX(0.05,NORMINV(RAND(),$C$8,$D$8)))</f>
        <v/>
      </c>
      <c r="N393" s="28">
        <f>MIN(24,MAX(5,NORMINV(RAND(),$C$9,$D$9)))</f>
        <v/>
      </c>
      <c r="O393" s="51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7">
        <f>MAX(-0.05,NORMINV(RAND(),$C$6,$D$6))</f>
        <v/>
      </c>
      <c r="L394" s="27">
        <f>MAX(0.02,NORMINV(RAND(),$C$7,$D$7))</f>
        <v/>
      </c>
      <c r="M394" s="27">
        <f>MIN(0.16,MAX(0.05,NORMINV(RAND(),$C$8,$D$8)))</f>
        <v/>
      </c>
      <c r="N394" s="28">
        <f>MIN(24,MAX(5,NORMINV(RAND(),$C$9,$D$9)))</f>
        <v/>
      </c>
      <c r="O394" s="51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7">
        <f>MAX(-0.05,NORMINV(RAND(),$C$6,$D$6))</f>
        <v/>
      </c>
      <c r="L395" s="27">
        <f>MAX(0.02,NORMINV(RAND(),$C$7,$D$7))</f>
        <v/>
      </c>
      <c r="M395" s="27">
        <f>MIN(0.16,MAX(0.05,NORMINV(RAND(),$C$8,$D$8)))</f>
        <v/>
      </c>
      <c r="N395" s="28">
        <f>MIN(24,MAX(5,NORMINV(RAND(),$C$9,$D$9)))</f>
        <v/>
      </c>
      <c r="O395" s="51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7">
        <f>MAX(-0.05,NORMINV(RAND(),$C$6,$D$6))</f>
        <v/>
      </c>
      <c r="L396" s="27">
        <f>MAX(0.02,NORMINV(RAND(),$C$7,$D$7))</f>
        <v/>
      </c>
      <c r="M396" s="27">
        <f>MIN(0.16,MAX(0.05,NORMINV(RAND(),$C$8,$D$8)))</f>
        <v/>
      </c>
      <c r="N396" s="28">
        <f>MIN(24,MAX(5,NORMINV(RAND(),$C$9,$D$9)))</f>
        <v/>
      </c>
      <c r="O396" s="51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7">
        <f>MAX(-0.05,NORMINV(RAND(),$C$6,$D$6))</f>
        <v/>
      </c>
      <c r="L397" s="27">
        <f>MAX(0.02,NORMINV(RAND(),$C$7,$D$7))</f>
        <v/>
      </c>
      <c r="M397" s="27">
        <f>MIN(0.16,MAX(0.05,NORMINV(RAND(),$C$8,$D$8)))</f>
        <v/>
      </c>
      <c r="N397" s="28">
        <f>MIN(24,MAX(5,NORMINV(RAND(),$C$9,$D$9)))</f>
        <v/>
      </c>
      <c r="O397" s="51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7">
        <f>MAX(-0.05,NORMINV(RAND(),$C$6,$D$6))</f>
        <v/>
      </c>
      <c r="L398" s="27">
        <f>MAX(0.02,NORMINV(RAND(),$C$7,$D$7))</f>
        <v/>
      </c>
      <c r="M398" s="27">
        <f>MIN(0.16,MAX(0.05,NORMINV(RAND(),$C$8,$D$8)))</f>
        <v/>
      </c>
      <c r="N398" s="28">
        <f>MIN(24,MAX(5,NORMINV(RAND(),$C$9,$D$9)))</f>
        <v/>
      </c>
      <c r="O398" s="51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7">
        <f>MAX(-0.05,NORMINV(RAND(),$C$6,$D$6))</f>
        <v/>
      </c>
      <c r="L399" s="27">
        <f>MAX(0.02,NORMINV(RAND(),$C$7,$D$7))</f>
        <v/>
      </c>
      <c r="M399" s="27">
        <f>MIN(0.16,MAX(0.05,NORMINV(RAND(),$C$8,$D$8)))</f>
        <v/>
      </c>
      <c r="N399" s="28">
        <f>MIN(24,MAX(5,NORMINV(RAND(),$C$9,$D$9)))</f>
        <v/>
      </c>
      <c r="O399" s="51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7">
        <f>MAX(-0.05,NORMINV(RAND(),$C$6,$D$6))</f>
        <v/>
      </c>
      <c r="L400" s="27">
        <f>MAX(0.02,NORMINV(RAND(),$C$7,$D$7))</f>
        <v/>
      </c>
      <c r="M400" s="27">
        <f>MIN(0.16,MAX(0.05,NORMINV(RAND(),$C$8,$D$8)))</f>
        <v/>
      </c>
      <c r="N400" s="28">
        <f>MIN(24,MAX(5,NORMINV(RAND(),$C$9,$D$9)))</f>
        <v/>
      </c>
      <c r="O400" s="51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7">
        <f>MAX(-0.05,NORMINV(RAND(),$C$6,$D$6))</f>
        <v/>
      </c>
      <c r="L401" s="27">
        <f>MAX(0.02,NORMINV(RAND(),$C$7,$D$7))</f>
        <v/>
      </c>
      <c r="M401" s="27">
        <f>MIN(0.16,MAX(0.05,NORMINV(RAND(),$C$8,$D$8)))</f>
        <v/>
      </c>
      <c r="N401" s="28">
        <f>MIN(24,MAX(5,NORMINV(RAND(),$C$9,$D$9)))</f>
        <v/>
      </c>
      <c r="O401" s="51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7">
        <f>MAX(-0.05,NORMINV(RAND(),$C$6,$D$6))</f>
        <v/>
      </c>
      <c r="L402" s="27">
        <f>MAX(0.02,NORMINV(RAND(),$C$7,$D$7))</f>
        <v/>
      </c>
      <c r="M402" s="27">
        <f>MIN(0.16,MAX(0.05,NORMINV(RAND(),$C$8,$D$8)))</f>
        <v/>
      </c>
      <c r="N402" s="28">
        <f>MIN(24,MAX(5,NORMINV(RAND(),$C$9,$D$9)))</f>
        <v/>
      </c>
      <c r="O402" s="51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7">
        <f>MAX(-0.05,NORMINV(RAND(),$C$6,$D$6))</f>
        <v/>
      </c>
      <c r="L403" s="27">
        <f>MAX(0.02,NORMINV(RAND(),$C$7,$D$7))</f>
        <v/>
      </c>
      <c r="M403" s="27">
        <f>MIN(0.16,MAX(0.05,NORMINV(RAND(),$C$8,$D$8)))</f>
        <v/>
      </c>
      <c r="N403" s="28">
        <f>MIN(24,MAX(5,NORMINV(RAND(),$C$9,$D$9)))</f>
        <v/>
      </c>
      <c r="O403" s="51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7">
        <f>MAX(-0.05,NORMINV(RAND(),$C$6,$D$6))</f>
        <v/>
      </c>
      <c r="L404" s="27">
        <f>MAX(0.02,NORMINV(RAND(),$C$7,$D$7))</f>
        <v/>
      </c>
      <c r="M404" s="27">
        <f>MIN(0.16,MAX(0.05,NORMINV(RAND(),$C$8,$D$8)))</f>
        <v/>
      </c>
      <c r="N404" s="28">
        <f>MIN(24,MAX(5,NORMINV(RAND(),$C$9,$D$9)))</f>
        <v/>
      </c>
      <c r="O404" s="51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7">
        <f>MAX(-0.05,NORMINV(RAND(),$C$6,$D$6))</f>
        <v/>
      </c>
      <c r="L405" s="27">
        <f>MAX(0.02,NORMINV(RAND(),$C$7,$D$7))</f>
        <v/>
      </c>
      <c r="M405" s="27">
        <f>MIN(0.16,MAX(0.05,NORMINV(RAND(),$C$8,$D$8)))</f>
        <v/>
      </c>
      <c r="N405" s="28">
        <f>MIN(24,MAX(5,NORMINV(RAND(),$C$9,$D$9)))</f>
        <v/>
      </c>
      <c r="O405" s="51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7">
        <f>MAX(-0.05,NORMINV(RAND(),$C$6,$D$6))</f>
        <v/>
      </c>
      <c r="L406" s="27">
        <f>MAX(0.02,NORMINV(RAND(),$C$7,$D$7))</f>
        <v/>
      </c>
      <c r="M406" s="27">
        <f>MIN(0.16,MAX(0.05,NORMINV(RAND(),$C$8,$D$8)))</f>
        <v/>
      </c>
      <c r="N406" s="28">
        <f>MIN(24,MAX(5,NORMINV(RAND(),$C$9,$D$9)))</f>
        <v/>
      </c>
      <c r="O406" s="51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7">
        <f>MAX(-0.05,NORMINV(RAND(),$C$6,$D$6))</f>
        <v/>
      </c>
      <c r="L407" s="27">
        <f>MAX(0.02,NORMINV(RAND(),$C$7,$D$7))</f>
        <v/>
      </c>
      <c r="M407" s="27">
        <f>MIN(0.16,MAX(0.05,NORMINV(RAND(),$C$8,$D$8)))</f>
        <v/>
      </c>
      <c r="N407" s="28">
        <f>MIN(24,MAX(5,NORMINV(RAND(),$C$9,$D$9)))</f>
        <v/>
      </c>
      <c r="O407" s="51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7">
        <f>MAX(-0.05,NORMINV(RAND(),$C$6,$D$6))</f>
        <v/>
      </c>
      <c r="L408" s="27">
        <f>MAX(0.02,NORMINV(RAND(),$C$7,$D$7))</f>
        <v/>
      </c>
      <c r="M408" s="27">
        <f>MIN(0.16,MAX(0.05,NORMINV(RAND(),$C$8,$D$8)))</f>
        <v/>
      </c>
      <c r="N408" s="28">
        <f>MIN(24,MAX(5,NORMINV(RAND(),$C$9,$D$9)))</f>
        <v/>
      </c>
      <c r="O408" s="51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7">
        <f>MAX(-0.05,NORMINV(RAND(),$C$6,$D$6))</f>
        <v/>
      </c>
      <c r="L409" s="27">
        <f>MAX(0.02,NORMINV(RAND(),$C$7,$D$7))</f>
        <v/>
      </c>
      <c r="M409" s="27">
        <f>MIN(0.16,MAX(0.05,NORMINV(RAND(),$C$8,$D$8)))</f>
        <v/>
      </c>
      <c r="N409" s="28">
        <f>MIN(24,MAX(5,NORMINV(RAND(),$C$9,$D$9)))</f>
        <v/>
      </c>
      <c r="O409" s="51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7">
        <f>MAX(-0.05,NORMINV(RAND(),$C$6,$D$6))</f>
        <v/>
      </c>
      <c r="L410" s="27">
        <f>MAX(0.02,NORMINV(RAND(),$C$7,$D$7))</f>
        <v/>
      </c>
      <c r="M410" s="27">
        <f>MIN(0.16,MAX(0.05,NORMINV(RAND(),$C$8,$D$8)))</f>
        <v/>
      </c>
      <c r="N410" s="28">
        <f>MIN(24,MAX(5,NORMINV(RAND(),$C$9,$D$9)))</f>
        <v/>
      </c>
      <c r="O410" s="51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7">
        <f>MAX(-0.05,NORMINV(RAND(),$C$6,$D$6))</f>
        <v/>
      </c>
      <c r="L411" s="27">
        <f>MAX(0.02,NORMINV(RAND(),$C$7,$D$7))</f>
        <v/>
      </c>
      <c r="M411" s="27">
        <f>MIN(0.16,MAX(0.05,NORMINV(RAND(),$C$8,$D$8)))</f>
        <v/>
      </c>
      <c r="N411" s="28">
        <f>MIN(24,MAX(5,NORMINV(RAND(),$C$9,$D$9)))</f>
        <v/>
      </c>
      <c r="O411" s="51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7">
        <f>MAX(-0.05,NORMINV(RAND(),$C$6,$D$6))</f>
        <v/>
      </c>
      <c r="L412" s="27">
        <f>MAX(0.02,NORMINV(RAND(),$C$7,$D$7))</f>
        <v/>
      </c>
      <c r="M412" s="27">
        <f>MIN(0.16,MAX(0.05,NORMINV(RAND(),$C$8,$D$8)))</f>
        <v/>
      </c>
      <c r="N412" s="28">
        <f>MIN(24,MAX(5,NORMINV(RAND(),$C$9,$D$9)))</f>
        <v/>
      </c>
      <c r="O412" s="51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7">
        <f>MAX(-0.05,NORMINV(RAND(),$C$6,$D$6))</f>
        <v/>
      </c>
      <c r="L413" s="27">
        <f>MAX(0.02,NORMINV(RAND(),$C$7,$D$7))</f>
        <v/>
      </c>
      <c r="M413" s="27">
        <f>MIN(0.16,MAX(0.05,NORMINV(RAND(),$C$8,$D$8)))</f>
        <v/>
      </c>
      <c r="N413" s="28">
        <f>MIN(24,MAX(5,NORMINV(RAND(),$C$9,$D$9)))</f>
        <v/>
      </c>
      <c r="O413" s="51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7">
        <f>MAX(-0.05,NORMINV(RAND(),$C$6,$D$6))</f>
        <v/>
      </c>
      <c r="L414" s="27">
        <f>MAX(0.02,NORMINV(RAND(),$C$7,$D$7))</f>
        <v/>
      </c>
      <c r="M414" s="27">
        <f>MIN(0.16,MAX(0.05,NORMINV(RAND(),$C$8,$D$8)))</f>
        <v/>
      </c>
      <c r="N414" s="28">
        <f>MIN(24,MAX(5,NORMINV(RAND(),$C$9,$D$9)))</f>
        <v/>
      </c>
      <c r="O414" s="51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7">
        <f>MAX(-0.05,NORMINV(RAND(),$C$6,$D$6))</f>
        <v/>
      </c>
      <c r="L415" s="27">
        <f>MAX(0.02,NORMINV(RAND(),$C$7,$D$7))</f>
        <v/>
      </c>
      <c r="M415" s="27">
        <f>MIN(0.16,MAX(0.05,NORMINV(RAND(),$C$8,$D$8)))</f>
        <v/>
      </c>
      <c r="N415" s="28">
        <f>MIN(24,MAX(5,NORMINV(RAND(),$C$9,$D$9)))</f>
        <v/>
      </c>
      <c r="O415" s="51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7">
        <f>MAX(-0.05,NORMINV(RAND(),$C$6,$D$6))</f>
        <v/>
      </c>
      <c r="L416" s="27">
        <f>MAX(0.02,NORMINV(RAND(),$C$7,$D$7))</f>
        <v/>
      </c>
      <c r="M416" s="27">
        <f>MIN(0.16,MAX(0.05,NORMINV(RAND(),$C$8,$D$8)))</f>
        <v/>
      </c>
      <c r="N416" s="28">
        <f>MIN(24,MAX(5,NORMINV(RAND(),$C$9,$D$9)))</f>
        <v/>
      </c>
      <c r="O416" s="51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7">
        <f>MAX(-0.05,NORMINV(RAND(),$C$6,$D$6))</f>
        <v/>
      </c>
      <c r="L417" s="27">
        <f>MAX(0.02,NORMINV(RAND(),$C$7,$D$7))</f>
        <v/>
      </c>
      <c r="M417" s="27">
        <f>MIN(0.16,MAX(0.05,NORMINV(RAND(),$C$8,$D$8)))</f>
        <v/>
      </c>
      <c r="N417" s="28">
        <f>MIN(24,MAX(5,NORMINV(RAND(),$C$9,$D$9)))</f>
        <v/>
      </c>
      <c r="O417" s="51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7">
        <f>MAX(-0.05,NORMINV(RAND(),$C$6,$D$6))</f>
        <v/>
      </c>
      <c r="L418" s="27">
        <f>MAX(0.02,NORMINV(RAND(),$C$7,$D$7))</f>
        <v/>
      </c>
      <c r="M418" s="27">
        <f>MIN(0.16,MAX(0.05,NORMINV(RAND(),$C$8,$D$8)))</f>
        <v/>
      </c>
      <c r="N418" s="28">
        <f>MIN(24,MAX(5,NORMINV(RAND(),$C$9,$D$9)))</f>
        <v/>
      </c>
      <c r="O418" s="51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7">
        <f>MAX(-0.05,NORMINV(RAND(),$C$6,$D$6))</f>
        <v/>
      </c>
      <c r="L419" s="27">
        <f>MAX(0.02,NORMINV(RAND(),$C$7,$D$7))</f>
        <v/>
      </c>
      <c r="M419" s="27">
        <f>MIN(0.16,MAX(0.05,NORMINV(RAND(),$C$8,$D$8)))</f>
        <v/>
      </c>
      <c r="N419" s="28">
        <f>MIN(24,MAX(5,NORMINV(RAND(),$C$9,$D$9)))</f>
        <v/>
      </c>
      <c r="O419" s="51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7">
        <f>MAX(-0.05,NORMINV(RAND(),$C$6,$D$6))</f>
        <v/>
      </c>
      <c r="L420" s="27">
        <f>MAX(0.02,NORMINV(RAND(),$C$7,$D$7))</f>
        <v/>
      </c>
      <c r="M420" s="27">
        <f>MIN(0.16,MAX(0.05,NORMINV(RAND(),$C$8,$D$8)))</f>
        <v/>
      </c>
      <c r="N420" s="28">
        <f>MIN(24,MAX(5,NORMINV(RAND(),$C$9,$D$9)))</f>
        <v/>
      </c>
      <c r="O420" s="51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7">
        <f>MAX(-0.05,NORMINV(RAND(),$C$6,$D$6))</f>
        <v/>
      </c>
      <c r="L421" s="27">
        <f>MAX(0.02,NORMINV(RAND(),$C$7,$D$7))</f>
        <v/>
      </c>
      <c r="M421" s="27">
        <f>MIN(0.16,MAX(0.05,NORMINV(RAND(),$C$8,$D$8)))</f>
        <v/>
      </c>
      <c r="N421" s="28">
        <f>MIN(24,MAX(5,NORMINV(RAND(),$C$9,$D$9)))</f>
        <v/>
      </c>
      <c r="O421" s="51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7">
        <f>MAX(-0.05,NORMINV(RAND(),$C$6,$D$6))</f>
        <v/>
      </c>
      <c r="L422" s="27">
        <f>MAX(0.02,NORMINV(RAND(),$C$7,$D$7))</f>
        <v/>
      </c>
      <c r="M422" s="27">
        <f>MIN(0.16,MAX(0.05,NORMINV(RAND(),$C$8,$D$8)))</f>
        <v/>
      </c>
      <c r="N422" s="28">
        <f>MIN(24,MAX(5,NORMINV(RAND(),$C$9,$D$9)))</f>
        <v/>
      </c>
      <c r="O422" s="51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7">
        <f>MAX(-0.05,NORMINV(RAND(),$C$6,$D$6))</f>
        <v/>
      </c>
      <c r="L423" s="27">
        <f>MAX(0.02,NORMINV(RAND(),$C$7,$D$7))</f>
        <v/>
      </c>
      <c r="M423" s="27">
        <f>MIN(0.16,MAX(0.05,NORMINV(RAND(),$C$8,$D$8)))</f>
        <v/>
      </c>
      <c r="N423" s="28">
        <f>MIN(24,MAX(5,NORMINV(RAND(),$C$9,$D$9)))</f>
        <v/>
      </c>
      <c r="O423" s="51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7">
        <f>MAX(-0.05,NORMINV(RAND(),$C$6,$D$6))</f>
        <v/>
      </c>
      <c r="L424" s="27">
        <f>MAX(0.02,NORMINV(RAND(),$C$7,$D$7))</f>
        <v/>
      </c>
      <c r="M424" s="27">
        <f>MIN(0.16,MAX(0.05,NORMINV(RAND(),$C$8,$D$8)))</f>
        <v/>
      </c>
      <c r="N424" s="28">
        <f>MIN(24,MAX(5,NORMINV(RAND(),$C$9,$D$9)))</f>
        <v/>
      </c>
      <c r="O424" s="51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7">
        <f>MAX(-0.05,NORMINV(RAND(),$C$6,$D$6))</f>
        <v/>
      </c>
      <c r="L425" s="27">
        <f>MAX(0.02,NORMINV(RAND(),$C$7,$D$7))</f>
        <v/>
      </c>
      <c r="M425" s="27">
        <f>MIN(0.16,MAX(0.05,NORMINV(RAND(),$C$8,$D$8)))</f>
        <v/>
      </c>
      <c r="N425" s="28">
        <f>MIN(24,MAX(5,NORMINV(RAND(),$C$9,$D$9)))</f>
        <v/>
      </c>
      <c r="O425" s="51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7">
        <f>MAX(-0.05,NORMINV(RAND(),$C$6,$D$6))</f>
        <v/>
      </c>
      <c r="L426" s="27">
        <f>MAX(0.02,NORMINV(RAND(),$C$7,$D$7))</f>
        <v/>
      </c>
      <c r="M426" s="27">
        <f>MIN(0.16,MAX(0.05,NORMINV(RAND(),$C$8,$D$8)))</f>
        <v/>
      </c>
      <c r="N426" s="28">
        <f>MIN(24,MAX(5,NORMINV(RAND(),$C$9,$D$9)))</f>
        <v/>
      </c>
      <c r="O426" s="51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7">
        <f>MAX(-0.05,NORMINV(RAND(),$C$6,$D$6))</f>
        <v/>
      </c>
      <c r="L427" s="27">
        <f>MAX(0.02,NORMINV(RAND(),$C$7,$D$7))</f>
        <v/>
      </c>
      <c r="M427" s="27">
        <f>MIN(0.16,MAX(0.05,NORMINV(RAND(),$C$8,$D$8)))</f>
        <v/>
      </c>
      <c r="N427" s="28">
        <f>MIN(24,MAX(5,NORMINV(RAND(),$C$9,$D$9)))</f>
        <v/>
      </c>
      <c r="O427" s="51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7">
        <f>MAX(-0.05,NORMINV(RAND(),$C$6,$D$6))</f>
        <v/>
      </c>
      <c r="L428" s="27">
        <f>MAX(0.02,NORMINV(RAND(),$C$7,$D$7))</f>
        <v/>
      </c>
      <c r="M428" s="27">
        <f>MIN(0.16,MAX(0.05,NORMINV(RAND(),$C$8,$D$8)))</f>
        <v/>
      </c>
      <c r="N428" s="28">
        <f>MIN(24,MAX(5,NORMINV(RAND(),$C$9,$D$9)))</f>
        <v/>
      </c>
      <c r="O428" s="51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7">
        <f>MAX(-0.05,NORMINV(RAND(),$C$6,$D$6))</f>
        <v/>
      </c>
      <c r="L429" s="27">
        <f>MAX(0.02,NORMINV(RAND(),$C$7,$D$7))</f>
        <v/>
      </c>
      <c r="M429" s="27">
        <f>MIN(0.16,MAX(0.05,NORMINV(RAND(),$C$8,$D$8)))</f>
        <v/>
      </c>
      <c r="N429" s="28">
        <f>MIN(24,MAX(5,NORMINV(RAND(),$C$9,$D$9)))</f>
        <v/>
      </c>
      <c r="O429" s="51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7">
        <f>MAX(-0.05,NORMINV(RAND(),$C$6,$D$6))</f>
        <v/>
      </c>
      <c r="L430" s="27">
        <f>MAX(0.02,NORMINV(RAND(),$C$7,$D$7))</f>
        <v/>
      </c>
      <c r="M430" s="27">
        <f>MIN(0.16,MAX(0.05,NORMINV(RAND(),$C$8,$D$8)))</f>
        <v/>
      </c>
      <c r="N430" s="28">
        <f>MIN(24,MAX(5,NORMINV(RAND(),$C$9,$D$9)))</f>
        <v/>
      </c>
      <c r="O430" s="51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7">
        <f>MAX(-0.05,NORMINV(RAND(),$C$6,$D$6))</f>
        <v/>
      </c>
      <c r="L431" s="27">
        <f>MAX(0.02,NORMINV(RAND(),$C$7,$D$7))</f>
        <v/>
      </c>
      <c r="M431" s="27">
        <f>MIN(0.16,MAX(0.05,NORMINV(RAND(),$C$8,$D$8)))</f>
        <v/>
      </c>
      <c r="N431" s="28">
        <f>MIN(24,MAX(5,NORMINV(RAND(),$C$9,$D$9)))</f>
        <v/>
      </c>
      <c r="O431" s="51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7">
        <f>MAX(-0.05,NORMINV(RAND(),$C$6,$D$6))</f>
        <v/>
      </c>
      <c r="L432" s="27">
        <f>MAX(0.02,NORMINV(RAND(),$C$7,$D$7))</f>
        <v/>
      </c>
      <c r="M432" s="27">
        <f>MIN(0.16,MAX(0.05,NORMINV(RAND(),$C$8,$D$8)))</f>
        <v/>
      </c>
      <c r="N432" s="28">
        <f>MIN(24,MAX(5,NORMINV(RAND(),$C$9,$D$9)))</f>
        <v/>
      </c>
      <c r="O432" s="51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7">
        <f>MAX(-0.05,NORMINV(RAND(),$C$6,$D$6))</f>
        <v/>
      </c>
      <c r="L433" s="27">
        <f>MAX(0.02,NORMINV(RAND(),$C$7,$D$7))</f>
        <v/>
      </c>
      <c r="M433" s="27">
        <f>MIN(0.16,MAX(0.05,NORMINV(RAND(),$C$8,$D$8)))</f>
        <v/>
      </c>
      <c r="N433" s="28">
        <f>MIN(24,MAX(5,NORMINV(RAND(),$C$9,$D$9)))</f>
        <v/>
      </c>
      <c r="O433" s="51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7">
        <f>MAX(-0.05,NORMINV(RAND(),$C$6,$D$6))</f>
        <v/>
      </c>
      <c r="L434" s="27">
        <f>MAX(0.02,NORMINV(RAND(),$C$7,$D$7))</f>
        <v/>
      </c>
      <c r="M434" s="27">
        <f>MIN(0.16,MAX(0.05,NORMINV(RAND(),$C$8,$D$8)))</f>
        <v/>
      </c>
      <c r="N434" s="28">
        <f>MIN(24,MAX(5,NORMINV(RAND(),$C$9,$D$9)))</f>
        <v/>
      </c>
      <c r="O434" s="51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7">
        <f>MAX(-0.05,NORMINV(RAND(),$C$6,$D$6))</f>
        <v/>
      </c>
      <c r="L435" s="27">
        <f>MAX(0.02,NORMINV(RAND(),$C$7,$D$7))</f>
        <v/>
      </c>
      <c r="M435" s="27">
        <f>MIN(0.16,MAX(0.05,NORMINV(RAND(),$C$8,$D$8)))</f>
        <v/>
      </c>
      <c r="N435" s="28">
        <f>MIN(24,MAX(5,NORMINV(RAND(),$C$9,$D$9)))</f>
        <v/>
      </c>
      <c r="O435" s="51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7">
        <f>MAX(-0.05,NORMINV(RAND(),$C$6,$D$6))</f>
        <v/>
      </c>
      <c r="L436" s="27">
        <f>MAX(0.02,NORMINV(RAND(),$C$7,$D$7))</f>
        <v/>
      </c>
      <c r="M436" s="27">
        <f>MIN(0.16,MAX(0.05,NORMINV(RAND(),$C$8,$D$8)))</f>
        <v/>
      </c>
      <c r="N436" s="28">
        <f>MIN(24,MAX(5,NORMINV(RAND(),$C$9,$D$9)))</f>
        <v/>
      </c>
      <c r="O436" s="51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7">
        <f>MAX(-0.05,NORMINV(RAND(),$C$6,$D$6))</f>
        <v/>
      </c>
      <c r="L437" s="27">
        <f>MAX(0.02,NORMINV(RAND(),$C$7,$D$7))</f>
        <v/>
      </c>
      <c r="M437" s="27">
        <f>MIN(0.16,MAX(0.05,NORMINV(RAND(),$C$8,$D$8)))</f>
        <v/>
      </c>
      <c r="N437" s="28">
        <f>MIN(24,MAX(5,NORMINV(RAND(),$C$9,$D$9)))</f>
        <v/>
      </c>
      <c r="O437" s="51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7">
        <f>MAX(-0.05,NORMINV(RAND(),$C$6,$D$6))</f>
        <v/>
      </c>
      <c r="L438" s="27">
        <f>MAX(0.02,NORMINV(RAND(),$C$7,$D$7))</f>
        <v/>
      </c>
      <c r="M438" s="27">
        <f>MIN(0.16,MAX(0.05,NORMINV(RAND(),$C$8,$D$8)))</f>
        <v/>
      </c>
      <c r="N438" s="28">
        <f>MIN(24,MAX(5,NORMINV(RAND(),$C$9,$D$9)))</f>
        <v/>
      </c>
      <c r="O438" s="51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7">
        <f>MAX(-0.05,NORMINV(RAND(),$C$6,$D$6))</f>
        <v/>
      </c>
      <c r="L439" s="27">
        <f>MAX(0.02,NORMINV(RAND(),$C$7,$D$7))</f>
        <v/>
      </c>
      <c r="M439" s="27">
        <f>MIN(0.16,MAX(0.05,NORMINV(RAND(),$C$8,$D$8)))</f>
        <v/>
      </c>
      <c r="N439" s="28">
        <f>MIN(24,MAX(5,NORMINV(RAND(),$C$9,$D$9)))</f>
        <v/>
      </c>
      <c r="O439" s="51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7">
        <f>MAX(-0.05,NORMINV(RAND(),$C$6,$D$6))</f>
        <v/>
      </c>
      <c r="L440" s="27">
        <f>MAX(0.02,NORMINV(RAND(),$C$7,$D$7))</f>
        <v/>
      </c>
      <c r="M440" s="27">
        <f>MIN(0.16,MAX(0.05,NORMINV(RAND(),$C$8,$D$8)))</f>
        <v/>
      </c>
      <c r="N440" s="28">
        <f>MIN(24,MAX(5,NORMINV(RAND(),$C$9,$D$9)))</f>
        <v/>
      </c>
      <c r="O440" s="51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7">
        <f>MAX(-0.05,NORMINV(RAND(),$C$6,$D$6))</f>
        <v/>
      </c>
      <c r="L441" s="27">
        <f>MAX(0.02,NORMINV(RAND(),$C$7,$D$7))</f>
        <v/>
      </c>
      <c r="M441" s="27">
        <f>MIN(0.16,MAX(0.05,NORMINV(RAND(),$C$8,$D$8)))</f>
        <v/>
      </c>
      <c r="N441" s="28">
        <f>MIN(24,MAX(5,NORMINV(RAND(),$C$9,$D$9)))</f>
        <v/>
      </c>
      <c r="O441" s="51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7">
        <f>MAX(-0.05,NORMINV(RAND(),$C$6,$D$6))</f>
        <v/>
      </c>
      <c r="L442" s="27">
        <f>MAX(0.02,NORMINV(RAND(),$C$7,$D$7))</f>
        <v/>
      </c>
      <c r="M442" s="27">
        <f>MIN(0.16,MAX(0.05,NORMINV(RAND(),$C$8,$D$8)))</f>
        <v/>
      </c>
      <c r="N442" s="28">
        <f>MIN(24,MAX(5,NORMINV(RAND(),$C$9,$D$9)))</f>
        <v/>
      </c>
      <c r="O442" s="51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7">
        <f>MAX(-0.05,NORMINV(RAND(),$C$6,$D$6))</f>
        <v/>
      </c>
      <c r="L443" s="27">
        <f>MAX(0.02,NORMINV(RAND(),$C$7,$D$7))</f>
        <v/>
      </c>
      <c r="M443" s="27">
        <f>MIN(0.16,MAX(0.05,NORMINV(RAND(),$C$8,$D$8)))</f>
        <v/>
      </c>
      <c r="N443" s="28">
        <f>MIN(24,MAX(5,NORMINV(RAND(),$C$9,$D$9)))</f>
        <v/>
      </c>
      <c r="O443" s="51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7">
        <f>MAX(-0.05,NORMINV(RAND(),$C$6,$D$6))</f>
        <v/>
      </c>
      <c r="L444" s="27">
        <f>MAX(0.02,NORMINV(RAND(),$C$7,$D$7))</f>
        <v/>
      </c>
      <c r="M444" s="27">
        <f>MIN(0.16,MAX(0.05,NORMINV(RAND(),$C$8,$D$8)))</f>
        <v/>
      </c>
      <c r="N444" s="28">
        <f>MIN(24,MAX(5,NORMINV(RAND(),$C$9,$D$9)))</f>
        <v/>
      </c>
      <c r="O444" s="51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7">
        <f>MAX(-0.05,NORMINV(RAND(),$C$6,$D$6))</f>
        <v/>
      </c>
      <c r="L445" s="27">
        <f>MAX(0.02,NORMINV(RAND(),$C$7,$D$7))</f>
        <v/>
      </c>
      <c r="M445" s="27">
        <f>MIN(0.16,MAX(0.05,NORMINV(RAND(),$C$8,$D$8)))</f>
        <v/>
      </c>
      <c r="N445" s="28">
        <f>MIN(24,MAX(5,NORMINV(RAND(),$C$9,$D$9)))</f>
        <v/>
      </c>
      <c r="O445" s="51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7">
        <f>MAX(-0.05,NORMINV(RAND(),$C$6,$D$6))</f>
        <v/>
      </c>
      <c r="L446" s="27">
        <f>MAX(0.02,NORMINV(RAND(),$C$7,$D$7))</f>
        <v/>
      </c>
      <c r="M446" s="27">
        <f>MIN(0.16,MAX(0.05,NORMINV(RAND(),$C$8,$D$8)))</f>
        <v/>
      </c>
      <c r="N446" s="28">
        <f>MIN(24,MAX(5,NORMINV(RAND(),$C$9,$D$9)))</f>
        <v/>
      </c>
      <c r="O446" s="51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7">
        <f>MAX(-0.05,NORMINV(RAND(),$C$6,$D$6))</f>
        <v/>
      </c>
      <c r="L447" s="27">
        <f>MAX(0.02,NORMINV(RAND(),$C$7,$D$7))</f>
        <v/>
      </c>
      <c r="M447" s="27">
        <f>MIN(0.16,MAX(0.05,NORMINV(RAND(),$C$8,$D$8)))</f>
        <v/>
      </c>
      <c r="N447" s="28">
        <f>MIN(24,MAX(5,NORMINV(RAND(),$C$9,$D$9)))</f>
        <v/>
      </c>
      <c r="O447" s="51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7">
        <f>MAX(-0.05,NORMINV(RAND(),$C$6,$D$6))</f>
        <v/>
      </c>
      <c r="L448" s="27">
        <f>MAX(0.02,NORMINV(RAND(),$C$7,$D$7))</f>
        <v/>
      </c>
      <c r="M448" s="27">
        <f>MIN(0.16,MAX(0.05,NORMINV(RAND(),$C$8,$D$8)))</f>
        <v/>
      </c>
      <c r="N448" s="28">
        <f>MIN(24,MAX(5,NORMINV(RAND(),$C$9,$D$9)))</f>
        <v/>
      </c>
      <c r="O448" s="51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7">
        <f>MAX(-0.05,NORMINV(RAND(),$C$6,$D$6))</f>
        <v/>
      </c>
      <c r="L449" s="27">
        <f>MAX(0.02,NORMINV(RAND(),$C$7,$D$7))</f>
        <v/>
      </c>
      <c r="M449" s="27">
        <f>MIN(0.16,MAX(0.05,NORMINV(RAND(),$C$8,$D$8)))</f>
        <v/>
      </c>
      <c r="N449" s="28">
        <f>MIN(24,MAX(5,NORMINV(RAND(),$C$9,$D$9)))</f>
        <v/>
      </c>
      <c r="O449" s="51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7">
        <f>MAX(-0.05,NORMINV(RAND(),$C$6,$D$6))</f>
        <v/>
      </c>
      <c r="L450" s="27">
        <f>MAX(0.02,NORMINV(RAND(),$C$7,$D$7))</f>
        <v/>
      </c>
      <c r="M450" s="27">
        <f>MIN(0.16,MAX(0.05,NORMINV(RAND(),$C$8,$D$8)))</f>
        <v/>
      </c>
      <c r="N450" s="28">
        <f>MIN(24,MAX(5,NORMINV(RAND(),$C$9,$D$9)))</f>
        <v/>
      </c>
      <c r="O450" s="51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7">
        <f>MAX(-0.05,NORMINV(RAND(),$C$6,$D$6))</f>
        <v/>
      </c>
      <c r="L451" s="27">
        <f>MAX(0.02,NORMINV(RAND(),$C$7,$D$7))</f>
        <v/>
      </c>
      <c r="M451" s="27">
        <f>MIN(0.16,MAX(0.05,NORMINV(RAND(),$C$8,$D$8)))</f>
        <v/>
      </c>
      <c r="N451" s="28">
        <f>MIN(24,MAX(5,NORMINV(RAND(),$C$9,$D$9)))</f>
        <v/>
      </c>
      <c r="O451" s="51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7">
        <f>MAX(-0.05,NORMINV(RAND(),$C$6,$D$6))</f>
        <v/>
      </c>
      <c r="L452" s="27">
        <f>MAX(0.02,NORMINV(RAND(),$C$7,$D$7))</f>
        <v/>
      </c>
      <c r="M452" s="27">
        <f>MIN(0.16,MAX(0.05,NORMINV(RAND(),$C$8,$D$8)))</f>
        <v/>
      </c>
      <c r="N452" s="28">
        <f>MIN(24,MAX(5,NORMINV(RAND(),$C$9,$D$9)))</f>
        <v/>
      </c>
      <c r="O452" s="51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7">
        <f>MAX(-0.05,NORMINV(RAND(),$C$6,$D$6))</f>
        <v/>
      </c>
      <c r="L453" s="27">
        <f>MAX(0.02,NORMINV(RAND(),$C$7,$D$7))</f>
        <v/>
      </c>
      <c r="M453" s="27">
        <f>MIN(0.16,MAX(0.05,NORMINV(RAND(),$C$8,$D$8)))</f>
        <v/>
      </c>
      <c r="N453" s="28">
        <f>MIN(24,MAX(5,NORMINV(RAND(),$C$9,$D$9)))</f>
        <v/>
      </c>
      <c r="O453" s="51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7">
        <f>MAX(-0.05,NORMINV(RAND(),$C$6,$D$6))</f>
        <v/>
      </c>
      <c r="L454" s="27">
        <f>MAX(0.02,NORMINV(RAND(),$C$7,$D$7))</f>
        <v/>
      </c>
      <c r="M454" s="27">
        <f>MIN(0.16,MAX(0.05,NORMINV(RAND(),$C$8,$D$8)))</f>
        <v/>
      </c>
      <c r="N454" s="28">
        <f>MIN(24,MAX(5,NORMINV(RAND(),$C$9,$D$9)))</f>
        <v/>
      </c>
      <c r="O454" s="51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7">
        <f>MAX(-0.05,NORMINV(RAND(),$C$6,$D$6))</f>
        <v/>
      </c>
      <c r="L455" s="27">
        <f>MAX(0.02,NORMINV(RAND(),$C$7,$D$7))</f>
        <v/>
      </c>
      <c r="M455" s="27">
        <f>MIN(0.16,MAX(0.05,NORMINV(RAND(),$C$8,$D$8)))</f>
        <v/>
      </c>
      <c r="N455" s="28">
        <f>MIN(24,MAX(5,NORMINV(RAND(),$C$9,$D$9)))</f>
        <v/>
      </c>
      <c r="O455" s="51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7">
        <f>MAX(-0.05,NORMINV(RAND(),$C$6,$D$6))</f>
        <v/>
      </c>
      <c r="L456" s="27">
        <f>MAX(0.02,NORMINV(RAND(),$C$7,$D$7))</f>
        <v/>
      </c>
      <c r="M456" s="27">
        <f>MIN(0.16,MAX(0.05,NORMINV(RAND(),$C$8,$D$8)))</f>
        <v/>
      </c>
      <c r="N456" s="28">
        <f>MIN(24,MAX(5,NORMINV(RAND(),$C$9,$D$9)))</f>
        <v/>
      </c>
      <c r="O456" s="51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7">
        <f>MAX(-0.05,NORMINV(RAND(),$C$6,$D$6))</f>
        <v/>
      </c>
      <c r="L457" s="27">
        <f>MAX(0.02,NORMINV(RAND(),$C$7,$D$7))</f>
        <v/>
      </c>
      <c r="M457" s="27">
        <f>MIN(0.16,MAX(0.05,NORMINV(RAND(),$C$8,$D$8)))</f>
        <v/>
      </c>
      <c r="N457" s="28">
        <f>MIN(24,MAX(5,NORMINV(RAND(),$C$9,$D$9)))</f>
        <v/>
      </c>
      <c r="O457" s="51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7">
        <f>MAX(-0.05,NORMINV(RAND(),$C$6,$D$6))</f>
        <v/>
      </c>
      <c r="L458" s="27">
        <f>MAX(0.02,NORMINV(RAND(),$C$7,$D$7))</f>
        <v/>
      </c>
      <c r="M458" s="27">
        <f>MIN(0.16,MAX(0.05,NORMINV(RAND(),$C$8,$D$8)))</f>
        <v/>
      </c>
      <c r="N458" s="28">
        <f>MIN(24,MAX(5,NORMINV(RAND(),$C$9,$D$9)))</f>
        <v/>
      </c>
      <c r="O458" s="51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7">
        <f>MAX(-0.05,NORMINV(RAND(),$C$6,$D$6))</f>
        <v/>
      </c>
      <c r="L459" s="27">
        <f>MAX(0.02,NORMINV(RAND(),$C$7,$D$7))</f>
        <v/>
      </c>
      <c r="M459" s="27">
        <f>MIN(0.16,MAX(0.05,NORMINV(RAND(),$C$8,$D$8)))</f>
        <v/>
      </c>
      <c r="N459" s="28">
        <f>MIN(24,MAX(5,NORMINV(RAND(),$C$9,$D$9)))</f>
        <v/>
      </c>
      <c r="O459" s="51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7">
        <f>MAX(-0.05,NORMINV(RAND(),$C$6,$D$6))</f>
        <v/>
      </c>
      <c r="L460" s="27">
        <f>MAX(0.02,NORMINV(RAND(),$C$7,$D$7))</f>
        <v/>
      </c>
      <c r="M460" s="27">
        <f>MIN(0.16,MAX(0.05,NORMINV(RAND(),$C$8,$D$8)))</f>
        <v/>
      </c>
      <c r="N460" s="28">
        <f>MIN(24,MAX(5,NORMINV(RAND(),$C$9,$D$9)))</f>
        <v/>
      </c>
      <c r="O460" s="51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7">
        <f>MAX(-0.05,NORMINV(RAND(),$C$6,$D$6))</f>
        <v/>
      </c>
      <c r="L461" s="27">
        <f>MAX(0.02,NORMINV(RAND(),$C$7,$D$7))</f>
        <v/>
      </c>
      <c r="M461" s="27">
        <f>MIN(0.16,MAX(0.05,NORMINV(RAND(),$C$8,$D$8)))</f>
        <v/>
      </c>
      <c r="N461" s="28">
        <f>MIN(24,MAX(5,NORMINV(RAND(),$C$9,$D$9)))</f>
        <v/>
      </c>
      <c r="O461" s="51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7">
        <f>MAX(-0.05,NORMINV(RAND(),$C$6,$D$6))</f>
        <v/>
      </c>
      <c r="L462" s="27">
        <f>MAX(0.02,NORMINV(RAND(),$C$7,$D$7))</f>
        <v/>
      </c>
      <c r="M462" s="27">
        <f>MIN(0.16,MAX(0.05,NORMINV(RAND(),$C$8,$D$8)))</f>
        <v/>
      </c>
      <c r="N462" s="28">
        <f>MIN(24,MAX(5,NORMINV(RAND(),$C$9,$D$9)))</f>
        <v/>
      </c>
      <c r="O462" s="51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7">
        <f>MAX(-0.05,NORMINV(RAND(),$C$6,$D$6))</f>
        <v/>
      </c>
      <c r="L463" s="27">
        <f>MAX(0.02,NORMINV(RAND(),$C$7,$D$7))</f>
        <v/>
      </c>
      <c r="M463" s="27">
        <f>MIN(0.16,MAX(0.05,NORMINV(RAND(),$C$8,$D$8)))</f>
        <v/>
      </c>
      <c r="N463" s="28">
        <f>MIN(24,MAX(5,NORMINV(RAND(),$C$9,$D$9)))</f>
        <v/>
      </c>
      <c r="O463" s="51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7">
        <f>MAX(-0.05,NORMINV(RAND(),$C$6,$D$6))</f>
        <v/>
      </c>
      <c r="L464" s="27">
        <f>MAX(0.02,NORMINV(RAND(),$C$7,$D$7))</f>
        <v/>
      </c>
      <c r="M464" s="27">
        <f>MIN(0.16,MAX(0.05,NORMINV(RAND(),$C$8,$D$8)))</f>
        <v/>
      </c>
      <c r="N464" s="28">
        <f>MIN(24,MAX(5,NORMINV(RAND(),$C$9,$D$9)))</f>
        <v/>
      </c>
      <c r="O464" s="51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7">
        <f>MAX(-0.05,NORMINV(RAND(),$C$6,$D$6))</f>
        <v/>
      </c>
      <c r="L465" s="27">
        <f>MAX(0.02,NORMINV(RAND(),$C$7,$D$7))</f>
        <v/>
      </c>
      <c r="M465" s="27">
        <f>MIN(0.16,MAX(0.05,NORMINV(RAND(),$C$8,$D$8)))</f>
        <v/>
      </c>
      <c r="N465" s="28">
        <f>MIN(24,MAX(5,NORMINV(RAND(),$C$9,$D$9)))</f>
        <v/>
      </c>
      <c r="O465" s="51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7">
        <f>MAX(-0.05,NORMINV(RAND(),$C$6,$D$6))</f>
        <v/>
      </c>
      <c r="L466" s="27">
        <f>MAX(0.02,NORMINV(RAND(),$C$7,$D$7))</f>
        <v/>
      </c>
      <c r="M466" s="27">
        <f>MIN(0.16,MAX(0.05,NORMINV(RAND(),$C$8,$D$8)))</f>
        <v/>
      </c>
      <c r="N466" s="28">
        <f>MIN(24,MAX(5,NORMINV(RAND(),$C$9,$D$9)))</f>
        <v/>
      </c>
      <c r="O466" s="51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7">
        <f>MAX(-0.05,NORMINV(RAND(),$C$6,$D$6))</f>
        <v/>
      </c>
      <c r="L467" s="27">
        <f>MAX(0.02,NORMINV(RAND(),$C$7,$D$7))</f>
        <v/>
      </c>
      <c r="M467" s="27">
        <f>MIN(0.16,MAX(0.05,NORMINV(RAND(),$C$8,$D$8)))</f>
        <v/>
      </c>
      <c r="N467" s="28">
        <f>MIN(24,MAX(5,NORMINV(RAND(),$C$9,$D$9)))</f>
        <v/>
      </c>
      <c r="O467" s="51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7">
        <f>MAX(-0.05,NORMINV(RAND(),$C$6,$D$6))</f>
        <v/>
      </c>
      <c r="L468" s="27">
        <f>MAX(0.02,NORMINV(RAND(),$C$7,$D$7))</f>
        <v/>
      </c>
      <c r="M468" s="27">
        <f>MIN(0.16,MAX(0.05,NORMINV(RAND(),$C$8,$D$8)))</f>
        <v/>
      </c>
      <c r="N468" s="28">
        <f>MIN(24,MAX(5,NORMINV(RAND(),$C$9,$D$9)))</f>
        <v/>
      </c>
      <c r="O468" s="51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7">
        <f>MAX(-0.05,NORMINV(RAND(),$C$6,$D$6))</f>
        <v/>
      </c>
      <c r="L469" s="27">
        <f>MAX(0.02,NORMINV(RAND(),$C$7,$D$7))</f>
        <v/>
      </c>
      <c r="M469" s="27">
        <f>MIN(0.16,MAX(0.05,NORMINV(RAND(),$C$8,$D$8)))</f>
        <v/>
      </c>
      <c r="N469" s="28">
        <f>MIN(24,MAX(5,NORMINV(RAND(),$C$9,$D$9)))</f>
        <v/>
      </c>
      <c r="O469" s="51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7">
        <f>MAX(-0.05,NORMINV(RAND(),$C$6,$D$6))</f>
        <v/>
      </c>
      <c r="L470" s="27">
        <f>MAX(0.02,NORMINV(RAND(),$C$7,$D$7))</f>
        <v/>
      </c>
      <c r="M470" s="27">
        <f>MIN(0.16,MAX(0.05,NORMINV(RAND(),$C$8,$D$8)))</f>
        <v/>
      </c>
      <c r="N470" s="28">
        <f>MIN(24,MAX(5,NORMINV(RAND(),$C$9,$D$9)))</f>
        <v/>
      </c>
      <c r="O470" s="51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7">
        <f>MAX(-0.05,NORMINV(RAND(),$C$6,$D$6))</f>
        <v/>
      </c>
      <c r="L471" s="27">
        <f>MAX(0.02,NORMINV(RAND(),$C$7,$D$7))</f>
        <v/>
      </c>
      <c r="M471" s="27">
        <f>MIN(0.16,MAX(0.05,NORMINV(RAND(),$C$8,$D$8)))</f>
        <v/>
      </c>
      <c r="N471" s="28">
        <f>MIN(24,MAX(5,NORMINV(RAND(),$C$9,$D$9)))</f>
        <v/>
      </c>
      <c r="O471" s="51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7">
        <f>MAX(-0.05,NORMINV(RAND(),$C$6,$D$6))</f>
        <v/>
      </c>
      <c r="L472" s="27">
        <f>MAX(0.02,NORMINV(RAND(),$C$7,$D$7))</f>
        <v/>
      </c>
      <c r="M472" s="27">
        <f>MIN(0.16,MAX(0.05,NORMINV(RAND(),$C$8,$D$8)))</f>
        <v/>
      </c>
      <c r="N472" s="28">
        <f>MIN(24,MAX(5,NORMINV(RAND(),$C$9,$D$9)))</f>
        <v/>
      </c>
      <c r="O472" s="51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7">
        <f>MAX(-0.05,NORMINV(RAND(),$C$6,$D$6))</f>
        <v/>
      </c>
      <c r="L473" s="27">
        <f>MAX(0.02,NORMINV(RAND(),$C$7,$D$7))</f>
        <v/>
      </c>
      <c r="M473" s="27">
        <f>MIN(0.16,MAX(0.05,NORMINV(RAND(),$C$8,$D$8)))</f>
        <v/>
      </c>
      <c r="N473" s="28">
        <f>MIN(24,MAX(5,NORMINV(RAND(),$C$9,$D$9)))</f>
        <v/>
      </c>
      <c r="O473" s="51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7">
        <f>MAX(-0.05,NORMINV(RAND(),$C$6,$D$6))</f>
        <v/>
      </c>
      <c r="L474" s="27">
        <f>MAX(0.02,NORMINV(RAND(),$C$7,$D$7))</f>
        <v/>
      </c>
      <c r="M474" s="27">
        <f>MIN(0.16,MAX(0.05,NORMINV(RAND(),$C$8,$D$8)))</f>
        <v/>
      </c>
      <c r="N474" s="28">
        <f>MIN(24,MAX(5,NORMINV(RAND(),$C$9,$D$9)))</f>
        <v/>
      </c>
      <c r="O474" s="51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7">
        <f>MAX(-0.05,NORMINV(RAND(),$C$6,$D$6))</f>
        <v/>
      </c>
      <c r="L475" s="27">
        <f>MAX(0.02,NORMINV(RAND(),$C$7,$D$7))</f>
        <v/>
      </c>
      <c r="M475" s="27">
        <f>MIN(0.16,MAX(0.05,NORMINV(RAND(),$C$8,$D$8)))</f>
        <v/>
      </c>
      <c r="N475" s="28">
        <f>MIN(24,MAX(5,NORMINV(RAND(),$C$9,$D$9)))</f>
        <v/>
      </c>
      <c r="O475" s="51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7">
        <f>MAX(-0.05,NORMINV(RAND(),$C$6,$D$6))</f>
        <v/>
      </c>
      <c r="L476" s="27">
        <f>MAX(0.02,NORMINV(RAND(),$C$7,$D$7))</f>
        <v/>
      </c>
      <c r="M476" s="27">
        <f>MIN(0.16,MAX(0.05,NORMINV(RAND(),$C$8,$D$8)))</f>
        <v/>
      </c>
      <c r="N476" s="28">
        <f>MIN(24,MAX(5,NORMINV(RAND(),$C$9,$D$9)))</f>
        <v/>
      </c>
      <c r="O476" s="51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7">
        <f>MAX(-0.05,NORMINV(RAND(),$C$6,$D$6))</f>
        <v/>
      </c>
      <c r="L477" s="27">
        <f>MAX(0.02,NORMINV(RAND(),$C$7,$D$7))</f>
        <v/>
      </c>
      <c r="M477" s="27">
        <f>MIN(0.16,MAX(0.05,NORMINV(RAND(),$C$8,$D$8)))</f>
        <v/>
      </c>
      <c r="N477" s="28">
        <f>MIN(24,MAX(5,NORMINV(RAND(),$C$9,$D$9)))</f>
        <v/>
      </c>
      <c r="O477" s="51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7">
        <f>MAX(-0.05,NORMINV(RAND(),$C$6,$D$6))</f>
        <v/>
      </c>
      <c r="L478" s="27">
        <f>MAX(0.02,NORMINV(RAND(),$C$7,$D$7))</f>
        <v/>
      </c>
      <c r="M478" s="27">
        <f>MIN(0.16,MAX(0.05,NORMINV(RAND(),$C$8,$D$8)))</f>
        <v/>
      </c>
      <c r="N478" s="28">
        <f>MIN(24,MAX(5,NORMINV(RAND(),$C$9,$D$9)))</f>
        <v/>
      </c>
      <c r="O478" s="51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7">
        <f>MAX(-0.05,NORMINV(RAND(),$C$6,$D$6))</f>
        <v/>
      </c>
      <c r="L479" s="27">
        <f>MAX(0.02,NORMINV(RAND(),$C$7,$D$7))</f>
        <v/>
      </c>
      <c r="M479" s="27">
        <f>MIN(0.16,MAX(0.05,NORMINV(RAND(),$C$8,$D$8)))</f>
        <v/>
      </c>
      <c r="N479" s="28">
        <f>MIN(24,MAX(5,NORMINV(RAND(),$C$9,$D$9)))</f>
        <v/>
      </c>
      <c r="O479" s="51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7">
        <f>MAX(-0.05,NORMINV(RAND(),$C$6,$D$6))</f>
        <v/>
      </c>
      <c r="L480" s="27">
        <f>MAX(0.02,NORMINV(RAND(),$C$7,$D$7))</f>
        <v/>
      </c>
      <c r="M480" s="27">
        <f>MIN(0.16,MAX(0.05,NORMINV(RAND(),$C$8,$D$8)))</f>
        <v/>
      </c>
      <c r="N480" s="28">
        <f>MIN(24,MAX(5,NORMINV(RAND(),$C$9,$D$9)))</f>
        <v/>
      </c>
      <c r="O480" s="51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7">
        <f>MAX(-0.05,NORMINV(RAND(),$C$6,$D$6))</f>
        <v/>
      </c>
      <c r="L481" s="27">
        <f>MAX(0.02,NORMINV(RAND(),$C$7,$D$7))</f>
        <v/>
      </c>
      <c r="M481" s="27">
        <f>MIN(0.16,MAX(0.05,NORMINV(RAND(),$C$8,$D$8)))</f>
        <v/>
      </c>
      <c r="N481" s="28">
        <f>MIN(24,MAX(5,NORMINV(RAND(),$C$9,$D$9)))</f>
        <v/>
      </c>
      <c r="O481" s="51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7">
        <f>MAX(-0.05,NORMINV(RAND(),$C$6,$D$6))</f>
        <v/>
      </c>
      <c r="L482" s="27">
        <f>MAX(0.02,NORMINV(RAND(),$C$7,$D$7))</f>
        <v/>
      </c>
      <c r="M482" s="27">
        <f>MIN(0.16,MAX(0.05,NORMINV(RAND(),$C$8,$D$8)))</f>
        <v/>
      </c>
      <c r="N482" s="28">
        <f>MIN(24,MAX(5,NORMINV(RAND(),$C$9,$D$9)))</f>
        <v/>
      </c>
      <c r="O482" s="51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7">
        <f>MAX(-0.05,NORMINV(RAND(),$C$6,$D$6))</f>
        <v/>
      </c>
      <c r="L483" s="27">
        <f>MAX(0.02,NORMINV(RAND(),$C$7,$D$7))</f>
        <v/>
      </c>
      <c r="M483" s="27">
        <f>MIN(0.16,MAX(0.05,NORMINV(RAND(),$C$8,$D$8)))</f>
        <v/>
      </c>
      <c r="N483" s="28">
        <f>MIN(24,MAX(5,NORMINV(RAND(),$C$9,$D$9)))</f>
        <v/>
      </c>
      <c r="O483" s="51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7">
        <f>MAX(-0.05,NORMINV(RAND(),$C$6,$D$6))</f>
        <v/>
      </c>
      <c r="L484" s="27">
        <f>MAX(0.02,NORMINV(RAND(),$C$7,$D$7))</f>
        <v/>
      </c>
      <c r="M484" s="27">
        <f>MIN(0.16,MAX(0.05,NORMINV(RAND(),$C$8,$D$8)))</f>
        <v/>
      </c>
      <c r="N484" s="28">
        <f>MIN(24,MAX(5,NORMINV(RAND(),$C$9,$D$9)))</f>
        <v/>
      </c>
      <c r="O484" s="51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7">
        <f>MAX(-0.05,NORMINV(RAND(),$C$6,$D$6))</f>
        <v/>
      </c>
      <c r="L485" s="27">
        <f>MAX(0.02,NORMINV(RAND(),$C$7,$D$7))</f>
        <v/>
      </c>
      <c r="M485" s="27">
        <f>MIN(0.16,MAX(0.05,NORMINV(RAND(),$C$8,$D$8)))</f>
        <v/>
      </c>
      <c r="N485" s="28">
        <f>MIN(24,MAX(5,NORMINV(RAND(),$C$9,$D$9)))</f>
        <v/>
      </c>
      <c r="O485" s="51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7">
        <f>MAX(-0.05,NORMINV(RAND(),$C$6,$D$6))</f>
        <v/>
      </c>
      <c r="L486" s="27">
        <f>MAX(0.02,NORMINV(RAND(),$C$7,$D$7))</f>
        <v/>
      </c>
      <c r="M486" s="27">
        <f>MIN(0.16,MAX(0.05,NORMINV(RAND(),$C$8,$D$8)))</f>
        <v/>
      </c>
      <c r="N486" s="28">
        <f>MIN(24,MAX(5,NORMINV(RAND(),$C$9,$D$9)))</f>
        <v/>
      </c>
      <c r="O486" s="51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7">
        <f>MAX(-0.05,NORMINV(RAND(),$C$6,$D$6))</f>
        <v/>
      </c>
      <c r="L487" s="27">
        <f>MAX(0.02,NORMINV(RAND(),$C$7,$D$7))</f>
        <v/>
      </c>
      <c r="M487" s="27">
        <f>MIN(0.16,MAX(0.05,NORMINV(RAND(),$C$8,$D$8)))</f>
        <v/>
      </c>
      <c r="N487" s="28">
        <f>MIN(24,MAX(5,NORMINV(RAND(),$C$9,$D$9)))</f>
        <v/>
      </c>
      <c r="O487" s="51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7">
        <f>MAX(-0.05,NORMINV(RAND(),$C$6,$D$6))</f>
        <v/>
      </c>
      <c r="L488" s="27">
        <f>MAX(0.02,NORMINV(RAND(),$C$7,$D$7))</f>
        <v/>
      </c>
      <c r="M488" s="27">
        <f>MIN(0.16,MAX(0.05,NORMINV(RAND(),$C$8,$D$8)))</f>
        <v/>
      </c>
      <c r="N488" s="28">
        <f>MIN(24,MAX(5,NORMINV(RAND(),$C$9,$D$9)))</f>
        <v/>
      </c>
      <c r="O488" s="51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7">
        <f>MAX(-0.05,NORMINV(RAND(),$C$6,$D$6))</f>
        <v/>
      </c>
      <c r="L489" s="27">
        <f>MAX(0.02,NORMINV(RAND(),$C$7,$D$7))</f>
        <v/>
      </c>
      <c r="M489" s="27">
        <f>MIN(0.16,MAX(0.05,NORMINV(RAND(),$C$8,$D$8)))</f>
        <v/>
      </c>
      <c r="N489" s="28">
        <f>MIN(24,MAX(5,NORMINV(RAND(),$C$9,$D$9)))</f>
        <v/>
      </c>
      <c r="O489" s="51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7">
        <f>MAX(-0.05,NORMINV(RAND(),$C$6,$D$6))</f>
        <v/>
      </c>
      <c r="L490" s="27">
        <f>MAX(0.02,NORMINV(RAND(),$C$7,$D$7))</f>
        <v/>
      </c>
      <c r="M490" s="27">
        <f>MIN(0.16,MAX(0.05,NORMINV(RAND(),$C$8,$D$8)))</f>
        <v/>
      </c>
      <c r="N490" s="28">
        <f>MIN(24,MAX(5,NORMINV(RAND(),$C$9,$D$9)))</f>
        <v/>
      </c>
      <c r="O490" s="51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7">
        <f>MAX(-0.05,NORMINV(RAND(),$C$6,$D$6))</f>
        <v/>
      </c>
      <c r="L491" s="27">
        <f>MAX(0.02,NORMINV(RAND(),$C$7,$D$7))</f>
        <v/>
      </c>
      <c r="M491" s="27">
        <f>MIN(0.16,MAX(0.05,NORMINV(RAND(),$C$8,$D$8)))</f>
        <v/>
      </c>
      <c r="N491" s="28">
        <f>MIN(24,MAX(5,NORMINV(RAND(),$C$9,$D$9)))</f>
        <v/>
      </c>
      <c r="O491" s="51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7">
        <f>MAX(-0.05,NORMINV(RAND(),$C$6,$D$6))</f>
        <v/>
      </c>
      <c r="L492" s="27">
        <f>MAX(0.02,NORMINV(RAND(),$C$7,$D$7))</f>
        <v/>
      </c>
      <c r="M492" s="27">
        <f>MIN(0.16,MAX(0.05,NORMINV(RAND(),$C$8,$D$8)))</f>
        <v/>
      </c>
      <c r="N492" s="28">
        <f>MIN(24,MAX(5,NORMINV(RAND(),$C$9,$D$9)))</f>
        <v/>
      </c>
      <c r="O492" s="51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7">
        <f>MAX(-0.05,NORMINV(RAND(),$C$6,$D$6))</f>
        <v/>
      </c>
      <c r="L493" s="27">
        <f>MAX(0.02,NORMINV(RAND(),$C$7,$D$7))</f>
        <v/>
      </c>
      <c r="M493" s="27">
        <f>MIN(0.16,MAX(0.05,NORMINV(RAND(),$C$8,$D$8)))</f>
        <v/>
      </c>
      <c r="N493" s="28">
        <f>MIN(24,MAX(5,NORMINV(RAND(),$C$9,$D$9)))</f>
        <v/>
      </c>
      <c r="O493" s="51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7">
        <f>MAX(-0.05,NORMINV(RAND(),$C$6,$D$6))</f>
        <v/>
      </c>
      <c r="L494" s="27">
        <f>MAX(0.02,NORMINV(RAND(),$C$7,$D$7))</f>
        <v/>
      </c>
      <c r="M494" s="27">
        <f>MIN(0.16,MAX(0.05,NORMINV(RAND(),$C$8,$D$8)))</f>
        <v/>
      </c>
      <c r="N494" s="28">
        <f>MIN(24,MAX(5,NORMINV(RAND(),$C$9,$D$9)))</f>
        <v/>
      </c>
      <c r="O494" s="51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7">
        <f>MAX(-0.05,NORMINV(RAND(),$C$6,$D$6))</f>
        <v/>
      </c>
      <c r="L495" s="27">
        <f>MAX(0.02,NORMINV(RAND(),$C$7,$D$7))</f>
        <v/>
      </c>
      <c r="M495" s="27">
        <f>MIN(0.16,MAX(0.05,NORMINV(RAND(),$C$8,$D$8)))</f>
        <v/>
      </c>
      <c r="N495" s="28">
        <f>MIN(24,MAX(5,NORMINV(RAND(),$C$9,$D$9)))</f>
        <v/>
      </c>
      <c r="O495" s="51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7">
        <f>MAX(-0.05,NORMINV(RAND(),$C$6,$D$6))</f>
        <v/>
      </c>
      <c r="L496" s="27">
        <f>MAX(0.02,NORMINV(RAND(),$C$7,$D$7))</f>
        <v/>
      </c>
      <c r="M496" s="27">
        <f>MIN(0.16,MAX(0.05,NORMINV(RAND(),$C$8,$D$8)))</f>
        <v/>
      </c>
      <c r="N496" s="28">
        <f>MIN(24,MAX(5,NORMINV(RAND(),$C$9,$D$9)))</f>
        <v/>
      </c>
      <c r="O496" s="51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7">
        <f>MAX(-0.05,NORMINV(RAND(),$C$6,$D$6))</f>
        <v/>
      </c>
      <c r="L497" s="27">
        <f>MAX(0.02,NORMINV(RAND(),$C$7,$D$7))</f>
        <v/>
      </c>
      <c r="M497" s="27">
        <f>MIN(0.16,MAX(0.05,NORMINV(RAND(),$C$8,$D$8)))</f>
        <v/>
      </c>
      <c r="N497" s="28">
        <f>MIN(24,MAX(5,NORMINV(RAND(),$C$9,$D$9)))</f>
        <v/>
      </c>
      <c r="O497" s="51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7">
        <f>MAX(-0.05,NORMINV(RAND(),$C$6,$D$6))</f>
        <v/>
      </c>
      <c r="L498" s="27">
        <f>MAX(0.02,NORMINV(RAND(),$C$7,$D$7))</f>
        <v/>
      </c>
      <c r="M498" s="27">
        <f>MIN(0.16,MAX(0.05,NORMINV(RAND(),$C$8,$D$8)))</f>
        <v/>
      </c>
      <c r="N498" s="28">
        <f>MIN(24,MAX(5,NORMINV(RAND(),$C$9,$D$9)))</f>
        <v/>
      </c>
      <c r="O498" s="51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7">
        <f>MAX(-0.05,NORMINV(RAND(),$C$6,$D$6))</f>
        <v/>
      </c>
      <c r="L499" s="27">
        <f>MAX(0.02,NORMINV(RAND(),$C$7,$D$7))</f>
        <v/>
      </c>
      <c r="M499" s="27">
        <f>MIN(0.16,MAX(0.05,NORMINV(RAND(),$C$8,$D$8)))</f>
        <v/>
      </c>
      <c r="N499" s="28">
        <f>MIN(24,MAX(5,NORMINV(RAND(),$C$9,$D$9)))</f>
        <v/>
      </c>
      <c r="O499" s="51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7">
        <f>MAX(-0.05,NORMINV(RAND(),$C$6,$D$6))</f>
        <v/>
      </c>
      <c r="L500" s="27">
        <f>MAX(0.02,NORMINV(RAND(),$C$7,$D$7))</f>
        <v/>
      </c>
      <c r="M500" s="27">
        <f>MIN(0.16,MAX(0.05,NORMINV(RAND(),$C$8,$D$8)))</f>
        <v/>
      </c>
      <c r="N500" s="28">
        <f>MIN(24,MAX(5,NORMINV(RAND(),$C$9,$D$9)))</f>
        <v/>
      </c>
      <c r="O500" s="51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7">
        <f>MAX(-0.05,NORMINV(RAND(),$C$6,$D$6))</f>
        <v/>
      </c>
      <c r="L501" s="27">
        <f>MAX(0.02,NORMINV(RAND(),$C$7,$D$7))</f>
        <v/>
      </c>
      <c r="M501" s="27">
        <f>MIN(0.16,MAX(0.05,NORMINV(RAND(),$C$8,$D$8)))</f>
        <v/>
      </c>
      <c r="N501" s="28">
        <f>MIN(24,MAX(5,NORMINV(RAND(),$C$9,$D$9)))</f>
        <v/>
      </c>
      <c r="O501" s="51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7">
        <f>MAX(-0.05,NORMINV(RAND(),$C$6,$D$6))</f>
        <v/>
      </c>
      <c r="L502" s="27">
        <f>MAX(0.02,NORMINV(RAND(),$C$7,$D$7))</f>
        <v/>
      </c>
      <c r="M502" s="27">
        <f>MIN(0.16,MAX(0.05,NORMINV(RAND(),$C$8,$D$8)))</f>
        <v/>
      </c>
      <c r="N502" s="28">
        <f>MIN(24,MAX(5,NORMINV(RAND(),$C$9,$D$9)))</f>
        <v/>
      </c>
      <c r="O502" s="51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7">
        <f>MAX(-0.05,NORMINV(RAND(),$C$6,$D$6))</f>
        <v/>
      </c>
      <c r="L503" s="27">
        <f>MAX(0.02,NORMINV(RAND(),$C$7,$D$7))</f>
        <v/>
      </c>
      <c r="M503" s="27">
        <f>MIN(0.16,MAX(0.05,NORMINV(RAND(),$C$8,$D$8)))</f>
        <v/>
      </c>
      <c r="N503" s="28">
        <f>MIN(24,MAX(5,NORMINV(RAND(),$C$9,$D$9)))</f>
        <v/>
      </c>
      <c r="O503" s="51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7">
        <f>MAX(-0.05,NORMINV(RAND(),$C$6,$D$6))</f>
        <v/>
      </c>
      <c r="L504" s="27">
        <f>MAX(0.02,NORMINV(RAND(),$C$7,$D$7))</f>
        <v/>
      </c>
      <c r="M504" s="27">
        <f>MIN(0.16,MAX(0.05,NORMINV(RAND(),$C$8,$D$8)))</f>
        <v/>
      </c>
      <c r="N504" s="28">
        <f>MIN(24,MAX(5,NORMINV(RAND(),$C$9,$D$9)))</f>
        <v/>
      </c>
      <c r="O504" s="51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7">
        <f>MAX(-0.05,NORMINV(RAND(),$C$6,$D$6))</f>
        <v/>
      </c>
      <c r="L505" s="27">
        <f>MAX(0.02,NORMINV(RAND(),$C$7,$D$7))</f>
        <v/>
      </c>
      <c r="M505" s="27">
        <f>MIN(0.16,MAX(0.05,NORMINV(RAND(),$C$8,$D$8)))</f>
        <v/>
      </c>
      <c r="N505" s="28">
        <f>MIN(24,MAX(5,NORMINV(RAND(),$C$9,$D$9)))</f>
        <v/>
      </c>
      <c r="O505" s="51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7">
        <f>MAX(-0.05,NORMINV(RAND(),$C$6,$D$6))</f>
        <v/>
      </c>
      <c r="L506" s="27">
        <f>MAX(0.02,NORMINV(RAND(),$C$7,$D$7))</f>
        <v/>
      </c>
      <c r="M506" s="27">
        <f>MIN(0.16,MAX(0.05,NORMINV(RAND(),$C$8,$D$8)))</f>
        <v/>
      </c>
      <c r="N506" s="28">
        <f>MIN(24,MAX(5,NORMINV(RAND(),$C$9,$D$9)))</f>
        <v/>
      </c>
      <c r="O506" s="51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7">
        <f>MAX(-0.05,NORMINV(RAND(),$C$6,$D$6))</f>
        <v/>
      </c>
      <c r="L507" s="27">
        <f>MAX(0.02,NORMINV(RAND(),$C$7,$D$7))</f>
        <v/>
      </c>
      <c r="M507" s="27">
        <f>MIN(0.16,MAX(0.05,NORMINV(RAND(),$C$8,$D$8)))</f>
        <v/>
      </c>
      <c r="N507" s="28">
        <f>MIN(24,MAX(5,NORMINV(RAND(),$C$9,$D$9)))</f>
        <v/>
      </c>
      <c r="O507" s="51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7">
        <f>MAX(-0.05,NORMINV(RAND(),$C$6,$D$6))</f>
        <v/>
      </c>
      <c r="L508" s="27">
        <f>MAX(0.02,NORMINV(RAND(),$C$7,$D$7))</f>
        <v/>
      </c>
      <c r="M508" s="27">
        <f>MIN(0.16,MAX(0.05,NORMINV(RAND(),$C$8,$D$8)))</f>
        <v/>
      </c>
      <c r="N508" s="28">
        <f>MIN(24,MAX(5,NORMINV(RAND(),$C$9,$D$9)))</f>
        <v/>
      </c>
      <c r="O508" s="51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7">
        <f>MAX(-0.05,NORMINV(RAND(),$C$6,$D$6))</f>
        <v/>
      </c>
      <c r="L509" s="27">
        <f>MAX(0.02,NORMINV(RAND(),$C$7,$D$7))</f>
        <v/>
      </c>
      <c r="M509" s="27">
        <f>MIN(0.16,MAX(0.05,NORMINV(RAND(),$C$8,$D$8)))</f>
        <v/>
      </c>
      <c r="N509" s="28">
        <f>MIN(24,MAX(5,NORMINV(RAND(),$C$9,$D$9)))</f>
        <v/>
      </c>
      <c r="O509" s="51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7">
        <f>MAX(-0.05,NORMINV(RAND(),$C$6,$D$6))</f>
        <v/>
      </c>
      <c r="L510" s="27">
        <f>MAX(0.02,NORMINV(RAND(),$C$7,$D$7))</f>
        <v/>
      </c>
      <c r="M510" s="27">
        <f>MIN(0.16,MAX(0.05,NORMINV(RAND(),$C$8,$D$8)))</f>
        <v/>
      </c>
      <c r="N510" s="28">
        <f>MIN(24,MAX(5,NORMINV(RAND(),$C$9,$D$9)))</f>
        <v/>
      </c>
      <c r="O510" s="51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7">
        <f>MAX(-0.05,NORMINV(RAND(),$C$6,$D$6))</f>
        <v/>
      </c>
      <c r="L511" s="27">
        <f>MAX(0.02,NORMINV(RAND(),$C$7,$D$7))</f>
        <v/>
      </c>
      <c r="M511" s="27">
        <f>MIN(0.16,MAX(0.05,NORMINV(RAND(),$C$8,$D$8)))</f>
        <v/>
      </c>
      <c r="N511" s="28">
        <f>MIN(24,MAX(5,NORMINV(RAND(),$C$9,$D$9)))</f>
        <v/>
      </c>
      <c r="O511" s="51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7">
        <f>MAX(-0.05,NORMINV(RAND(),$C$6,$D$6))</f>
        <v/>
      </c>
      <c r="L512" s="27">
        <f>MAX(0.02,NORMINV(RAND(),$C$7,$D$7))</f>
        <v/>
      </c>
      <c r="M512" s="27">
        <f>MIN(0.16,MAX(0.05,NORMINV(RAND(),$C$8,$D$8)))</f>
        <v/>
      </c>
      <c r="N512" s="28">
        <f>MIN(24,MAX(5,NORMINV(RAND(),$C$9,$D$9)))</f>
        <v/>
      </c>
      <c r="O512" s="51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7">
        <f>MAX(-0.05,NORMINV(RAND(),$C$6,$D$6))</f>
        <v/>
      </c>
      <c r="L513" s="27">
        <f>MAX(0.02,NORMINV(RAND(),$C$7,$D$7))</f>
        <v/>
      </c>
      <c r="M513" s="27">
        <f>MIN(0.16,MAX(0.05,NORMINV(RAND(),$C$8,$D$8)))</f>
        <v/>
      </c>
      <c r="N513" s="28">
        <f>MIN(24,MAX(5,NORMINV(RAND(),$C$9,$D$9)))</f>
        <v/>
      </c>
      <c r="O513" s="51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7">
        <f>MAX(-0.05,NORMINV(RAND(),$C$6,$D$6))</f>
        <v/>
      </c>
      <c r="L514" s="27">
        <f>MAX(0.02,NORMINV(RAND(),$C$7,$D$7))</f>
        <v/>
      </c>
      <c r="M514" s="27">
        <f>MIN(0.16,MAX(0.05,NORMINV(RAND(),$C$8,$D$8)))</f>
        <v/>
      </c>
      <c r="N514" s="28">
        <f>MIN(24,MAX(5,NORMINV(RAND(),$C$9,$D$9)))</f>
        <v/>
      </c>
      <c r="O514" s="51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7">
        <f>MAX(-0.05,NORMINV(RAND(),$C$6,$D$6))</f>
        <v/>
      </c>
      <c r="L515" s="27">
        <f>MAX(0.02,NORMINV(RAND(),$C$7,$D$7))</f>
        <v/>
      </c>
      <c r="M515" s="27">
        <f>MIN(0.16,MAX(0.05,NORMINV(RAND(),$C$8,$D$8)))</f>
        <v/>
      </c>
      <c r="N515" s="28">
        <f>MIN(24,MAX(5,NORMINV(RAND(),$C$9,$D$9)))</f>
        <v/>
      </c>
      <c r="O515" s="51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7">
        <f>MAX(-0.05,NORMINV(RAND(),$C$6,$D$6))</f>
        <v/>
      </c>
      <c r="L516" s="27">
        <f>MAX(0.02,NORMINV(RAND(),$C$7,$D$7))</f>
        <v/>
      </c>
      <c r="M516" s="27">
        <f>MIN(0.16,MAX(0.05,NORMINV(RAND(),$C$8,$D$8)))</f>
        <v/>
      </c>
      <c r="N516" s="28">
        <f>MIN(24,MAX(5,NORMINV(RAND(),$C$9,$D$9)))</f>
        <v/>
      </c>
      <c r="O516" s="51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7">
        <f>MAX(-0.05,NORMINV(RAND(),$C$6,$D$6))</f>
        <v/>
      </c>
      <c r="L517" s="27">
        <f>MAX(0.02,NORMINV(RAND(),$C$7,$D$7))</f>
        <v/>
      </c>
      <c r="M517" s="27">
        <f>MIN(0.16,MAX(0.05,NORMINV(RAND(),$C$8,$D$8)))</f>
        <v/>
      </c>
      <c r="N517" s="28">
        <f>MIN(24,MAX(5,NORMINV(RAND(),$C$9,$D$9)))</f>
        <v/>
      </c>
      <c r="O517" s="51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7">
        <f>MAX(-0.05,NORMINV(RAND(),$C$6,$D$6))</f>
        <v/>
      </c>
      <c r="L518" s="27">
        <f>MAX(0.02,NORMINV(RAND(),$C$7,$D$7))</f>
        <v/>
      </c>
      <c r="M518" s="27">
        <f>MIN(0.16,MAX(0.05,NORMINV(RAND(),$C$8,$D$8)))</f>
        <v/>
      </c>
      <c r="N518" s="28">
        <f>MIN(24,MAX(5,NORMINV(RAND(),$C$9,$D$9)))</f>
        <v/>
      </c>
      <c r="O518" s="51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7">
        <f>MAX(-0.05,NORMINV(RAND(),$C$6,$D$6))</f>
        <v/>
      </c>
      <c r="L519" s="27">
        <f>MAX(0.02,NORMINV(RAND(),$C$7,$D$7))</f>
        <v/>
      </c>
      <c r="M519" s="27">
        <f>MIN(0.16,MAX(0.05,NORMINV(RAND(),$C$8,$D$8)))</f>
        <v/>
      </c>
      <c r="N519" s="28">
        <f>MIN(24,MAX(5,NORMINV(RAND(),$C$9,$D$9)))</f>
        <v/>
      </c>
      <c r="O519" s="51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7">
        <f>MAX(-0.05,NORMINV(RAND(),$C$6,$D$6))</f>
        <v/>
      </c>
      <c r="L520" s="27">
        <f>MAX(0.02,NORMINV(RAND(),$C$7,$D$7))</f>
        <v/>
      </c>
      <c r="M520" s="27">
        <f>MIN(0.16,MAX(0.05,NORMINV(RAND(),$C$8,$D$8)))</f>
        <v/>
      </c>
      <c r="N520" s="28">
        <f>MIN(24,MAX(5,NORMINV(RAND(),$C$9,$D$9)))</f>
        <v/>
      </c>
      <c r="O520" s="51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7">
        <f>MAX(-0.05,NORMINV(RAND(),$C$6,$D$6))</f>
        <v/>
      </c>
      <c r="L521" s="27">
        <f>MAX(0.02,NORMINV(RAND(),$C$7,$D$7))</f>
        <v/>
      </c>
      <c r="M521" s="27">
        <f>MIN(0.16,MAX(0.05,NORMINV(RAND(),$C$8,$D$8)))</f>
        <v/>
      </c>
      <c r="N521" s="28">
        <f>MIN(24,MAX(5,NORMINV(RAND(),$C$9,$D$9)))</f>
        <v/>
      </c>
      <c r="O521" s="51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7">
        <f>MAX(-0.05,NORMINV(RAND(),$C$6,$D$6))</f>
        <v/>
      </c>
      <c r="L522" s="27">
        <f>MAX(0.02,NORMINV(RAND(),$C$7,$D$7))</f>
        <v/>
      </c>
      <c r="M522" s="27">
        <f>MIN(0.16,MAX(0.05,NORMINV(RAND(),$C$8,$D$8)))</f>
        <v/>
      </c>
      <c r="N522" s="28">
        <f>MIN(24,MAX(5,NORMINV(RAND(),$C$9,$D$9)))</f>
        <v/>
      </c>
      <c r="O522" s="51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7">
        <f>MAX(-0.05,NORMINV(RAND(),$C$6,$D$6))</f>
        <v/>
      </c>
      <c r="L523" s="27">
        <f>MAX(0.02,NORMINV(RAND(),$C$7,$D$7))</f>
        <v/>
      </c>
      <c r="M523" s="27">
        <f>MIN(0.16,MAX(0.05,NORMINV(RAND(),$C$8,$D$8)))</f>
        <v/>
      </c>
      <c r="N523" s="28">
        <f>MIN(24,MAX(5,NORMINV(RAND(),$C$9,$D$9)))</f>
        <v/>
      </c>
      <c r="O523" s="51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7">
        <f>MAX(-0.05,NORMINV(RAND(),$C$6,$D$6))</f>
        <v/>
      </c>
      <c r="L524" s="27">
        <f>MAX(0.02,NORMINV(RAND(),$C$7,$D$7))</f>
        <v/>
      </c>
      <c r="M524" s="27">
        <f>MIN(0.16,MAX(0.05,NORMINV(RAND(),$C$8,$D$8)))</f>
        <v/>
      </c>
      <c r="N524" s="28">
        <f>MIN(24,MAX(5,NORMINV(RAND(),$C$9,$D$9)))</f>
        <v/>
      </c>
      <c r="O524" s="51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7">
        <f>MAX(-0.05,NORMINV(RAND(),$C$6,$D$6))</f>
        <v/>
      </c>
      <c r="L525" s="27">
        <f>MAX(0.02,NORMINV(RAND(),$C$7,$D$7))</f>
        <v/>
      </c>
      <c r="M525" s="27">
        <f>MIN(0.16,MAX(0.05,NORMINV(RAND(),$C$8,$D$8)))</f>
        <v/>
      </c>
      <c r="N525" s="28">
        <f>MIN(24,MAX(5,NORMINV(RAND(),$C$9,$D$9)))</f>
        <v/>
      </c>
      <c r="O525" s="51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7">
        <f>MAX(-0.05,NORMINV(RAND(),$C$6,$D$6))</f>
        <v/>
      </c>
      <c r="L526" s="27">
        <f>MAX(0.02,NORMINV(RAND(),$C$7,$D$7))</f>
        <v/>
      </c>
      <c r="M526" s="27">
        <f>MIN(0.16,MAX(0.05,NORMINV(RAND(),$C$8,$D$8)))</f>
        <v/>
      </c>
      <c r="N526" s="28">
        <f>MIN(24,MAX(5,NORMINV(RAND(),$C$9,$D$9)))</f>
        <v/>
      </c>
      <c r="O526" s="51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7">
        <f>MAX(-0.05,NORMINV(RAND(),$C$6,$D$6))</f>
        <v/>
      </c>
      <c r="L527" s="27">
        <f>MAX(0.02,NORMINV(RAND(),$C$7,$D$7))</f>
        <v/>
      </c>
      <c r="M527" s="27">
        <f>MIN(0.16,MAX(0.05,NORMINV(RAND(),$C$8,$D$8)))</f>
        <v/>
      </c>
      <c r="N527" s="28">
        <f>MIN(24,MAX(5,NORMINV(RAND(),$C$9,$D$9)))</f>
        <v/>
      </c>
      <c r="O527" s="51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7">
        <f>MAX(-0.05,NORMINV(RAND(),$C$6,$D$6))</f>
        <v/>
      </c>
      <c r="L528" s="27">
        <f>MAX(0.02,NORMINV(RAND(),$C$7,$D$7))</f>
        <v/>
      </c>
      <c r="M528" s="27">
        <f>MIN(0.16,MAX(0.05,NORMINV(RAND(),$C$8,$D$8)))</f>
        <v/>
      </c>
      <c r="N528" s="28">
        <f>MIN(24,MAX(5,NORMINV(RAND(),$C$9,$D$9)))</f>
        <v/>
      </c>
      <c r="O528" s="51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7">
        <f>MAX(-0.05,NORMINV(RAND(),$C$6,$D$6))</f>
        <v/>
      </c>
      <c r="L529" s="27">
        <f>MAX(0.02,NORMINV(RAND(),$C$7,$D$7))</f>
        <v/>
      </c>
      <c r="M529" s="27">
        <f>MIN(0.16,MAX(0.05,NORMINV(RAND(),$C$8,$D$8)))</f>
        <v/>
      </c>
      <c r="N529" s="28">
        <f>MIN(24,MAX(5,NORMINV(RAND(),$C$9,$D$9)))</f>
        <v/>
      </c>
      <c r="O529" s="51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7">
        <f>MAX(-0.05,NORMINV(RAND(),$C$6,$D$6))</f>
        <v/>
      </c>
      <c r="L530" s="27">
        <f>MAX(0.02,NORMINV(RAND(),$C$7,$D$7))</f>
        <v/>
      </c>
      <c r="M530" s="27">
        <f>MIN(0.16,MAX(0.05,NORMINV(RAND(),$C$8,$D$8)))</f>
        <v/>
      </c>
      <c r="N530" s="28">
        <f>MIN(24,MAX(5,NORMINV(RAND(),$C$9,$D$9)))</f>
        <v/>
      </c>
      <c r="O530" s="51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7">
        <f>MAX(-0.05,NORMINV(RAND(),$C$6,$D$6))</f>
        <v/>
      </c>
      <c r="L531" s="27">
        <f>MAX(0.02,NORMINV(RAND(),$C$7,$D$7))</f>
        <v/>
      </c>
      <c r="M531" s="27">
        <f>MIN(0.16,MAX(0.05,NORMINV(RAND(),$C$8,$D$8)))</f>
        <v/>
      </c>
      <c r="N531" s="28">
        <f>MIN(24,MAX(5,NORMINV(RAND(),$C$9,$D$9)))</f>
        <v/>
      </c>
      <c r="O531" s="51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7">
        <f>MAX(-0.05,NORMINV(RAND(),$C$6,$D$6))</f>
        <v/>
      </c>
      <c r="L532" s="27">
        <f>MAX(0.02,NORMINV(RAND(),$C$7,$D$7))</f>
        <v/>
      </c>
      <c r="M532" s="27">
        <f>MIN(0.16,MAX(0.05,NORMINV(RAND(),$C$8,$D$8)))</f>
        <v/>
      </c>
      <c r="N532" s="28">
        <f>MIN(24,MAX(5,NORMINV(RAND(),$C$9,$D$9)))</f>
        <v/>
      </c>
      <c r="O532" s="51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7">
        <f>MAX(-0.05,NORMINV(RAND(),$C$6,$D$6))</f>
        <v/>
      </c>
      <c r="L533" s="27">
        <f>MAX(0.02,NORMINV(RAND(),$C$7,$D$7))</f>
        <v/>
      </c>
      <c r="M533" s="27">
        <f>MIN(0.16,MAX(0.05,NORMINV(RAND(),$C$8,$D$8)))</f>
        <v/>
      </c>
      <c r="N533" s="28">
        <f>MIN(24,MAX(5,NORMINV(RAND(),$C$9,$D$9)))</f>
        <v/>
      </c>
      <c r="O533" s="51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7">
        <f>MAX(-0.05,NORMINV(RAND(),$C$6,$D$6))</f>
        <v/>
      </c>
      <c r="L534" s="27">
        <f>MAX(0.02,NORMINV(RAND(),$C$7,$D$7))</f>
        <v/>
      </c>
      <c r="M534" s="27">
        <f>MIN(0.16,MAX(0.05,NORMINV(RAND(),$C$8,$D$8)))</f>
        <v/>
      </c>
      <c r="N534" s="28">
        <f>MIN(24,MAX(5,NORMINV(RAND(),$C$9,$D$9)))</f>
        <v/>
      </c>
      <c r="O534" s="51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7">
        <f>MAX(-0.05,NORMINV(RAND(),$C$6,$D$6))</f>
        <v/>
      </c>
      <c r="L535" s="27">
        <f>MAX(0.02,NORMINV(RAND(),$C$7,$D$7))</f>
        <v/>
      </c>
      <c r="M535" s="27">
        <f>MIN(0.16,MAX(0.05,NORMINV(RAND(),$C$8,$D$8)))</f>
        <v/>
      </c>
      <c r="N535" s="28">
        <f>MIN(24,MAX(5,NORMINV(RAND(),$C$9,$D$9)))</f>
        <v/>
      </c>
      <c r="O535" s="51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7">
        <f>MAX(-0.05,NORMINV(RAND(),$C$6,$D$6))</f>
        <v/>
      </c>
      <c r="L536" s="27">
        <f>MAX(0.02,NORMINV(RAND(),$C$7,$D$7))</f>
        <v/>
      </c>
      <c r="M536" s="27">
        <f>MIN(0.16,MAX(0.05,NORMINV(RAND(),$C$8,$D$8)))</f>
        <v/>
      </c>
      <c r="N536" s="28">
        <f>MIN(24,MAX(5,NORMINV(RAND(),$C$9,$D$9)))</f>
        <v/>
      </c>
      <c r="O536" s="51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7">
        <f>MAX(-0.05,NORMINV(RAND(),$C$6,$D$6))</f>
        <v/>
      </c>
      <c r="L537" s="27">
        <f>MAX(0.02,NORMINV(RAND(),$C$7,$D$7))</f>
        <v/>
      </c>
      <c r="M537" s="27">
        <f>MIN(0.16,MAX(0.05,NORMINV(RAND(),$C$8,$D$8)))</f>
        <v/>
      </c>
      <c r="N537" s="28">
        <f>MIN(24,MAX(5,NORMINV(RAND(),$C$9,$D$9)))</f>
        <v/>
      </c>
      <c r="O537" s="51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7">
        <f>MAX(-0.05,NORMINV(RAND(),$C$6,$D$6))</f>
        <v/>
      </c>
      <c r="L538" s="27">
        <f>MAX(0.02,NORMINV(RAND(),$C$7,$D$7))</f>
        <v/>
      </c>
      <c r="M538" s="27">
        <f>MIN(0.16,MAX(0.05,NORMINV(RAND(),$C$8,$D$8)))</f>
        <v/>
      </c>
      <c r="N538" s="28">
        <f>MIN(24,MAX(5,NORMINV(RAND(),$C$9,$D$9)))</f>
        <v/>
      </c>
      <c r="O538" s="51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7">
        <f>MAX(-0.05,NORMINV(RAND(),$C$6,$D$6))</f>
        <v/>
      </c>
      <c r="L539" s="27">
        <f>MAX(0.02,NORMINV(RAND(),$C$7,$D$7))</f>
        <v/>
      </c>
      <c r="M539" s="27">
        <f>MIN(0.16,MAX(0.05,NORMINV(RAND(),$C$8,$D$8)))</f>
        <v/>
      </c>
      <c r="N539" s="28">
        <f>MIN(24,MAX(5,NORMINV(RAND(),$C$9,$D$9)))</f>
        <v/>
      </c>
      <c r="O539" s="51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7">
        <f>MAX(-0.05,NORMINV(RAND(),$C$6,$D$6))</f>
        <v/>
      </c>
      <c r="L540" s="27">
        <f>MAX(0.02,NORMINV(RAND(),$C$7,$D$7))</f>
        <v/>
      </c>
      <c r="M540" s="27">
        <f>MIN(0.16,MAX(0.05,NORMINV(RAND(),$C$8,$D$8)))</f>
        <v/>
      </c>
      <c r="N540" s="28">
        <f>MIN(24,MAX(5,NORMINV(RAND(),$C$9,$D$9)))</f>
        <v/>
      </c>
      <c r="O540" s="51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7">
        <f>MAX(-0.05,NORMINV(RAND(),$C$6,$D$6))</f>
        <v/>
      </c>
      <c r="L541" s="27">
        <f>MAX(0.02,NORMINV(RAND(),$C$7,$D$7))</f>
        <v/>
      </c>
      <c r="M541" s="27">
        <f>MIN(0.16,MAX(0.05,NORMINV(RAND(),$C$8,$D$8)))</f>
        <v/>
      </c>
      <c r="N541" s="28">
        <f>MIN(24,MAX(5,NORMINV(RAND(),$C$9,$D$9)))</f>
        <v/>
      </c>
      <c r="O541" s="51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7">
        <f>MAX(-0.05,NORMINV(RAND(),$C$6,$D$6))</f>
        <v/>
      </c>
      <c r="L542" s="27">
        <f>MAX(0.02,NORMINV(RAND(),$C$7,$D$7))</f>
        <v/>
      </c>
      <c r="M542" s="27">
        <f>MIN(0.16,MAX(0.05,NORMINV(RAND(),$C$8,$D$8)))</f>
        <v/>
      </c>
      <c r="N542" s="28">
        <f>MIN(24,MAX(5,NORMINV(RAND(),$C$9,$D$9)))</f>
        <v/>
      </c>
      <c r="O542" s="51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7">
        <f>MAX(-0.05,NORMINV(RAND(),$C$6,$D$6))</f>
        <v/>
      </c>
      <c r="L543" s="27">
        <f>MAX(0.02,NORMINV(RAND(),$C$7,$D$7))</f>
        <v/>
      </c>
      <c r="M543" s="27">
        <f>MIN(0.16,MAX(0.05,NORMINV(RAND(),$C$8,$D$8)))</f>
        <v/>
      </c>
      <c r="N543" s="28">
        <f>MIN(24,MAX(5,NORMINV(RAND(),$C$9,$D$9)))</f>
        <v/>
      </c>
      <c r="O543" s="51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7">
        <f>MAX(-0.05,NORMINV(RAND(),$C$6,$D$6))</f>
        <v/>
      </c>
      <c r="L544" s="27">
        <f>MAX(0.02,NORMINV(RAND(),$C$7,$D$7))</f>
        <v/>
      </c>
      <c r="M544" s="27">
        <f>MIN(0.16,MAX(0.05,NORMINV(RAND(),$C$8,$D$8)))</f>
        <v/>
      </c>
      <c r="N544" s="28">
        <f>MIN(24,MAX(5,NORMINV(RAND(),$C$9,$D$9)))</f>
        <v/>
      </c>
      <c r="O544" s="51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7">
        <f>MAX(-0.05,NORMINV(RAND(),$C$6,$D$6))</f>
        <v/>
      </c>
      <c r="L545" s="27">
        <f>MAX(0.02,NORMINV(RAND(),$C$7,$D$7))</f>
        <v/>
      </c>
      <c r="M545" s="27">
        <f>MIN(0.16,MAX(0.05,NORMINV(RAND(),$C$8,$D$8)))</f>
        <v/>
      </c>
      <c r="N545" s="28">
        <f>MIN(24,MAX(5,NORMINV(RAND(),$C$9,$D$9)))</f>
        <v/>
      </c>
      <c r="O545" s="51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7">
        <f>MAX(-0.05,NORMINV(RAND(),$C$6,$D$6))</f>
        <v/>
      </c>
      <c r="L546" s="27">
        <f>MAX(0.02,NORMINV(RAND(),$C$7,$D$7))</f>
        <v/>
      </c>
      <c r="M546" s="27">
        <f>MIN(0.16,MAX(0.05,NORMINV(RAND(),$C$8,$D$8)))</f>
        <v/>
      </c>
      <c r="N546" s="28">
        <f>MIN(24,MAX(5,NORMINV(RAND(),$C$9,$D$9)))</f>
        <v/>
      </c>
      <c r="O546" s="51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7">
        <f>MAX(-0.05,NORMINV(RAND(),$C$6,$D$6))</f>
        <v/>
      </c>
      <c r="L547" s="27">
        <f>MAX(0.02,NORMINV(RAND(),$C$7,$D$7))</f>
        <v/>
      </c>
      <c r="M547" s="27">
        <f>MIN(0.16,MAX(0.05,NORMINV(RAND(),$C$8,$D$8)))</f>
        <v/>
      </c>
      <c r="N547" s="28">
        <f>MIN(24,MAX(5,NORMINV(RAND(),$C$9,$D$9)))</f>
        <v/>
      </c>
      <c r="O547" s="51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7">
        <f>MAX(-0.05,NORMINV(RAND(),$C$6,$D$6))</f>
        <v/>
      </c>
      <c r="L548" s="27">
        <f>MAX(0.02,NORMINV(RAND(),$C$7,$D$7))</f>
        <v/>
      </c>
      <c r="M548" s="27">
        <f>MIN(0.16,MAX(0.05,NORMINV(RAND(),$C$8,$D$8)))</f>
        <v/>
      </c>
      <c r="N548" s="28">
        <f>MIN(24,MAX(5,NORMINV(RAND(),$C$9,$D$9)))</f>
        <v/>
      </c>
      <c r="O548" s="51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7">
        <f>MAX(-0.05,NORMINV(RAND(),$C$6,$D$6))</f>
        <v/>
      </c>
      <c r="L549" s="27">
        <f>MAX(0.02,NORMINV(RAND(),$C$7,$D$7))</f>
        <v/>
      </c>
      <c r="M549" s="27">
        <f>MIN(0.16,MAX(0.05,NORMINV(RAND(),$C$8,$D$8)))</f>
        <v/>
      </c>
      <c r="N549" s="28">
        <f>MIN(24,MAX(5,NORMINV(RAND(),$C$9,$D$9)))</f>
        <v/>
      </c>
      <c r="O549" s="51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7">
        <f>MAX(-0.05,NORMINV(RAND(),$C$6,$D$6))</f>
        <v/>
      </c>
      <c r="L550" s="27">
        <f>MAX(0.02,NORMINV(RAND(),$C$7,$D$7))</f>
        <v/>
      </c>
      <c r="M550" s="27">
        <f>MIN(0.16,MAX(0.05,NORMINV(RAND(),$C$8,$D$8)))</f>
        <v/>
      </c>
      <c r="N550" s="28">
        <f>MIN(24,MAX(5,NORMINV(RAND(),$C$9,$D$9)))</f>
        <v/>
      </c>
      <c r="O550" s="51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7">
        <f>MAX(-0.05,NORMINV(RAND(),$C$6,$D$6))</f>
        <v/>
      </c>
      <c r="L551" s="27">
        <f>MAX(0.02,NORMINV(RAND(),$C$7,$D$7))</f>
        <v/>
      </c>
      <c r="M551" s="27">
        <f>MIN(0.16,MAX(0.05,NORMINV(RAND(),$C$8,$D$8)))</f>
        <v/>
      </c>
      <c r="N551" s="28">
        <f>MIN(24,MAX(5,NORMINV(RAND(),$C$9,$D$9)))</f>
        <v/>
      </c>
      <c r="O551" s="51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7">
        <f>MAX(-0.05,NORMINV(RAND(),$C$6,$D$6))</f>
        <v/>
      </c>
      <c r="L552" s="27">
        <f>MAX(0.02,NORMINV(RAND(),$C$7,$D$7))</f>
        <v/>
      </c>
      <c r="M552" s="27">
        <f>MIN(0.16,MAX(0.05,NORMINV(RAND(),$C$8,$D$8)))</f>
        <v/>
      </c>
      <c r="N552" s="28">
        <f>MIN(24,MAX(5,NORMINV(RAND(),$C$9,$D$9)))</f>
        <v/>
      </c>
      <c r="O552" s="51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7">
        <f>MAX(-0.05,NORMINV(RAND(),$C$6,$D$6))</f>
        <v/>
      </c>
      <c r="L553" s="27">
        <f>MAX(0.02,NORMINV(RAND(),$C$7,$D$7))</f>
        <v/>
      </c>
      <c r="M553" s="27">
        <f>MIN(0.16,MAX(0.05,NORMINV(RAND(),$C$8,$D$8)))</f>
        <v/>
      </c>
      <c r="N553" s="28">
        <f>MIN(24,MAX(5,NORMINV(RAND(),$C$9,$D$9)))</f>
        <v/>
      </c>
      <c r="O553" s="51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7">
        <f>MAX(-0.05,NORMINV(RAND(),$C$6,$D$6))</f>
        <v/>
      </c>
      <c r="L554" s="27">
        <f>MAX(0.02,NORMINV(RAND(),$C$7,$D$7))</f>
        <v/>
      </c>
      <c r="M554" s="27">
        <f>MIN(0.16,MAX(0.05,NORMINV(RAND(),$C$8,$D$8)))</f>
        <v/>
      </c>
      <c r="N554" s="28">
        <f>MIN(24,MAX(5,NORMINV(RAND(),$C$9,$D$9)))</f>
        <v/>
      </c>
      <c r="O554" s="51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7">
        <f>MAX(-0.05,NORMINV(RAND(),$C$6,$D$6))</f>
        <v/>
      </c>
      <c r="L555" s="27">
        <f>MAX(0.02,NORMINV(RAND(),$C$7,$D$7))</f>
        <v/>
      </c>
      <c r="M555" s="27">
        <f>MIN(0.16,MAX(0.05,NORMINV(RAND(),$C$8,$D$8)))</f>
        <v/>
      </c>
      <c r="N555" s="28">
        <f>MIN(24,MAX(5,NORMINV(RAND(),$C$9,$D$9)))</f>
        <v/>
      </c>
      <c r="O555" s="51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7">
        <f>MAX(-0.05,NORMINV(RAND(),$C$6,$D$6))</f>
        <v/>
      </c>
      <c r="L556" s="27">
        <f>MAX(0.02,NORMINV(RAND(),$C$7,$D$7))</f>
        <v/>
      </c>
      <c r="M556" s="27">
        <f>MIN(0.16,MAX(0.05,NORMINV(RAND(),$C$8,$D$8)))</f>
        <v/>
      </c>
      <c r="N556" s="28">
        <f>MIN(24,MAX(5,NORMINV(RAND(),$C$9,$D$9)))</f>
        <v/>
      </c>
      <c r="O556" s="51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7">
        <f>MAX(-0.05,NORMINV(RAND(),$C$6,$D$6))</f>
        <v/>
      </c>
      <c r="L557" s="27">
        <f>MAX(0.02,NORMINV(RAND(),$C$7,$D$7))</f>
        <v/>
      </c>
      <c r="M557" s="27">
        <f>MIN(0.16,MAX(0.05,NORMINV(RAND(),$C$8,$D$8)))</f>
        <v/>
      </c>
      <c r="N557" s="28">
        <f>MIN(24,MAX(5,NORMINV(RAND(),$C$9,$D$9)))</f>
        <v/>
      </c>
      <c r="O557" s="51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7">
        <f>MAX(-0.05,NORMINV(RAND(),$C$6,$D$6))</f>
        <v/>
      </c>
      <c r="L558" s="27">
        <f>MAX(0.02,NORMINV(RAND(),$C$7,$D$7))</f>
        <v/>
      </c>
      <c r="M558" s="27">
        <f>MIN(0.16,MAX(0.05,NORMINV(RAND(),$C$8,$D$8)))</f>
        <v/>
      </c>
      <c r="N558" s="28">
        <f>MIN(24,MAX(5,NORMINV(RAND(),$C$9,$D$9)))</f>
        <v/>
      </c>
      <c r="O558" s="51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7">
        <f>MAX(-0.05,NORMINV(RAND(),$C$6,$D$6))</f>
        <v/>
      </c>
      <c r="L559" s="27">
        <f>MAX(0.02,NORMINV(RAND(),$C$7,$D$7))</f>
        <v/>
      </c>
      <c r="M559" s="27">
        <f>MIN(0.16,MAX(0.05,NORMINV(RAND(),$C$8,$D$8)))</f>
        <v/>
      </c>
      <c r="N559" s="28">
        <f>MIN(24,MAX(5,NORMINV(RAND(),$C$9,$D$9)))</f>
        <v/>
      </c>
      <c r="O559" s="51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7">
        <f>MAX(-0.05,NORMINV(RAND(),$C$6,$D$6))</f>
        <v/>
      </c>
      <c r="L560" s="27">
        <f>MAX(0.02,NORMINV(RAND(),$C$7,$D$7))</f>
        <v/>
      </c>
      <c r="M560" s="27">
        <f>MIN(0.16,MAX(0.05,NORMINV(RAND(),$C$8,$D$8)))</f>
        <v/>
      </c>
      <c r="N560" s="28">
        <f>MIN(24,MAX(5,NORMINV(RAND(),$C$9,$D$9)))</f>
        <v/>
      </c>
      <c r="O560" s="51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7">
        <f>MAX(-0.05,NORMINV(RAND(),$C$6,$D$6))</f>
        <v/>
      </c>
      <c r="L561" s="27">
        <f>MAX(0.02,NORMINV(RAND(),$C$7,$D$7))</f>
        <v/>
      </c>
      <c r="M561" s="27">
        <f>MIN(0.16,MAX(0.05,NORMINV(RAND(),$C$8,$D$8)))</f>
        <v/>
      </c>
      <c r="N561" s="28">
        <f>MIN(24,MAX(5,NORMINV(RAND(),$C$9,$D$9)))</f>
        <v/>
      </c>
      <c r="O561" s="51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7">
        <f>MAX(-0.05,NORMINV(RAND(),$C$6,$D$6))</f>
        <v/>
      </c>
      <c r="L562" s="27">
        <f>MAX(0.02,NORMINV(RAND(),$C$7,$D$7))</f>
        <v/>
      </c>
      <c r="M562" s="27">
        <f>MIN(0.16,MAX(0.05,NORMINV(RAND(),$C$8,$D$8)))</f>
        <v/>
      </c>
      <c r="N562" s="28">
        <f>MIN(24,MAX(5,NORMINV(RAND(),$C$9,$D$9)))</f>
        <v/>
      </c>
      <c r="O562" s="51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7">
        <f>MAX(-0.05,NORMINV(RAND(),$C$6,$D$6))</f>
        <v/>
      </c>
      <c r="L563" s="27">
        <f>MAX(0.02,NORMINV(RAND(),$C$7,$D$7))</f>
        <v/>
      </c>
      <c r="M563" s="27">
        <f>MIN(0.16,MAX(0.05,NORMINV(RAND(),$C$8,$D$8)))</f>
        <v/>
      </c>
      <c r="N563" s="28">
        <f>MIN(24,MAX(5,NORMINV(RAND(),$C$9,$D$9)))</f>
        <v/>
      </c>
      <c r="O563" s="51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7">
        <f>MAX(-0.05,NORMINV(RAND(),$C$6,$D$6))</f>
        <v/>
      </c>
      <c r="L564" s="27">
        <f>MAX(0.02,NORMINV(RAND(),$C$7,$D$7))</f>
        <v/>
      </c>
      <c r="M564" s="27">
        <f>MIN(0.16,MAX(0.05,NORMINV(RAND(),$C$8,$D$8)))</f>
        <v/>
      </c>
      <c r="N564" s="28">
        <f>MIN(24,MAX(5,NORMINV(RAND(),$C$9,$D$9)))</f>
        <v/>
      </c>
      <c r="O564" s="51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7">
        <f>MAX(-0.05,NORMINV(RAND(),$C$6,$D$6))</f>
        <v/>
      </c>
      <c r="L565" s="27">
        <f>MAX(0.02,NORMINV(RAND(),$C$7,$D$7))</f>
        <v/>
      </c>
      <c r="M565" s="27">
        <f>MIN(0.16,MAX(0.05,NORMINV(RAND(),$C$8,$D$8)))</f>
        <v/>
      </c>
      <c r="N565" s="28">
        <f>MIN(24,MAX(5,NORMINV(RAND(),$C$9,$D$9)))</f>
        <v/>
      </c>
      <c r="O565" s="51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7">
        <f>MAX(-0.05,NORMINV(RAND(),$C$6,$D$6))</f>
        <v/>
      </c>
      <c r="L566" s="27">
        <f>MAX(0.02,NORMINV(RAND(),$C$7,$D$7))</f>
        <v/>
      </c>
      <c r="M566" s="27">
        <f>MIN(0.16,MAX(0.05,NORMINV(RAND(),$C$8,$D$8)))</f>
        <v/>
      </c>
      <c r="N566" s="28">
        <f>MIN(24,MAX(5,NORMINV(RAND(),$C$9,$D$9)))</f>
        <v/>
      </c>
      <c r="O566" s="51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7">
        <f>MAX(-0.05,NORMINV(RAND(),$C$6,$D$6))</f>
        <v/>
      </c>
      <c r="L567" s="27">
        <f>MAX(0.02,NORMINV(RAND(),$C$7,$D$7))</f>
        <v/>
      </c>
      <c r="M567" s="27">
        <f>MIN(0.16,MAX(0.05,NORMINV(RAND(),$C$8,$D$8)))</f>
        <v/>
      </c>
      <c r="N567" s="28">
        <f>MIN(24,MAX(5,NORMINV(RAND(),$C$9,$D$9)))</f>
        <v/>
      </c>
      <c r="O567" s="51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7">
        <f>MAX(-0.05,NORMINV(RAND(),$C$6,$D$6))</f>
        <v/>
      </c>
      <c r="L568" s="27">
        <f>MAX(0.02,NORMINV(RAND(),$C$7,$D$7))</f>
        <v/>
      </c>
      <c r="M568" s="27">
        <f>MIN(0.16,MAX(0.05,NORMINV(RAND(),$C$8,$D$8)))</f>
        <v/>
      </c>
      <c r="N568" s="28">
        <f>MIN(24,MAX(5,NORMINV(RAND(),$C$9,$D$9)))</f>
        <v/>
      </c>
      <c r="O568" s="51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7">
        <f>MAX(-0.05,NORMINV(RAND(),$C$6,$D$6))</f>
        <v/>
      </c>
      <c r="L569" s="27">
        <f>MAX(0.02,NORMINV(RAND(),$C$7,$D$7))</f>
        <v/>
      </c>
      <c r="M569" s="27">
        <f>MIN(0.16,MAX(0.05,NORMINV(RAND(),$C$8,$D$8)))</f>
        <v/>
      </c>
      <c r="N569" s="28">
        <f>MIN(24,MAX(5,NORMINV(RAND(),$C$9,$D$9)))</f>
        <v/>
      </c>
      <c r="O569" s="51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7">
        <f>MAX(-0.05,NORMINV(RAND(),$C$6,$D$6))</f>
        <v/>
      </c>
      <c r="L570" s="27">
        <f>MAX(0.02,NORMINV(RAND(),$C$7,$D$7))</f>
        <v/>
      </c>
      <c r="M570" s="27">
        <f>MIN(0.16,MAX(0.05,NORMINV(RAND(),$C$8,$D$8)))</f>
        <v/>
      </c>
      <c r="N570" s="28">
        <f>MIN(24,MAX(5,NORMINV(RAND(),$C$9,$D$9)))</f>
        <v/>
      </c>
      <c r="O570" s="51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7">
        <f>MAX(-0.05,NORMINV(RAND(),$C$6,$D$6))</f>
        <v/>
      </c>
      <c r="L571" s="27">
        <f>MAX(0.02,NORMINV(RAND(),$C$7,$D$7))</f>
        <v/>
      </c>
      <c r="M571" s="27">
        <f>MIN(0.16,MAX(0.05,NORMINV(RAND(),$C$8,$D$8)))</f>
        <v/>
      </c>
      <c r="N571" s="28">
        <f>MIN(24,MAX(5,NORMINV(RAND(),$C$9,$D$9)))</f>
        <v/>
      </c>
      <c r="O571" s="51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7">
        <f>MAX(-0.05,NORMINV(RAND(),$C$6,$D$6))</f>
        <v/>
      </c>
      <c r="L572" s="27">
        <f>MAX(0.02,NORMINV(RAND(),$C$7,$D$7))</f>
        <v/>
      </c>
      <c r="M572" s="27">
        <f>MIN(0.16,MAX(0.05,NORMINV(RAND(),$C$8,$D$8)))</f>
        <v/>
      </c>
      <c r="N572" s="28">
        <f>MIN(24,MAX(5,NORMINV(RAND(),$C$9,$D$9)))</f>
        <v/>
      </c>
      <c r="O572" s="51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7">
        <f>MAX(-0.05,NORMINV(RAND(),$C$6,$D$6))</f>
        <v/>
      </c>
      <c r="L573" s="27">
        <f>MAX(0.02,NORMINV(RAND(),$C$7,$D$7))</f>
        <v/>
      </c>
      <c r="M573" s="27">
        <f>MIN(0.16,MAX(0.05,NORMINV(RAND(),$C$8,$D$8)))</f>
        <v/>
      </c>
      <c r="N573" s="28">
        <f>MIN(24,MAX(5,NORMINV(RAND(),$C$9,$D$9)))</f>
        <v/>
      </c>
      <c r="O573" s="51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7">
        <f>MAX(-0.05,NORMINV(RAND(),$C$6,$D$6))</f>
        <v/>
      </c>
      <c r="L574" s="27">
        <f>MAX(0.02,NORMINV(RAND(),$C$7,$D$7))</f>
        <v/>
      </c>
      <c r="M574" s="27">
        <f>MIN(0.16,MAX(0.05,NORMINV(RAND(),$C$8,$D$8)))</f>
        <v/>
      </c>
      <c r="N574" s="28">
        <f>MIN(24,MAX(5,NORMINV(RAND(),$C$9,$D$9)))</f>
        <v/>
      </c>
      <c r="O574" s="51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7">
        <f>MAX(-0.05,NORMINV(RAND(),$C$6,$D$6))</f>
        <v/>
      </c>
      <c r="L575" s="27">
        <f>MAX(0.02,NORMINV(RAND(),$C$7,$D$7))</f>
        <v/>
      </c>
      <c r="M575" s="27">
        <f>MIN(0.16,MAX(0.05,NORMINV(RAND(),$C$8,$D$8)))</f>
        <v/>
      </c>
      <c r="N575" s="28">
        <f>MIN(24,MAX(5,NORMINV(RAND(),$C$9,$D$9)))</f>
        <v/>
      </c>
      <c r="O575" s="51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7">
        <f>MAX(-0.05,NORMINV(RAND(),$C$6,$D$6))</f>
        <v/>
      </c>
      <c r="L576" s="27">
        <f>MAX(0.02,NORMINV(RAND(),$C$7,$D$7))</f>
        <v/>
      </c>
      <c r="M576" s="27">
        <f>MIN(0.16,MAX(0.05,NORMINV(RAND(),$C$8,$D$8)))</f>
        <v/>
      </c>
      <c r="N576" s="28">
        <f>MIN(24,MAX(5,NORMINV(RAND(),$C$9,$D$9)))</f>
        <v/>
      </c>
      <c r="O576" s="51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7">
        <f>MAX(-0.05,NORMINV(RAND(),$C$6,$D$6))</f>
        <v/>
      </c>
      <c r="L577" s="27">
        <f>MAX(0.02,NORMINV(RAND(),$C$7,$D$7))</f>
        <v/>
      </c>
      <c r="M577" s="27">
        <f>MIN(0.16,MAX(0.05,NORMINV(RAND(),$C$8,$D$8)))</f>
        <v/>
      </c>
      <c r="N577" s="28">
        <f>MIN(24,MAX(5,NORMINV(RAND(),$C$9,$D$9)))</f>
        <v/>
      </c>
      <c r="O577" s="51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7">
        <f>MAX(-0.05,NORMINV(RAND(),$C$6,$D$6))</f>
        <v/>
      </c>
      <c r="L578" s="27">
        <f>MAX(0.02,NORMINV(RAND(),$C$7,$D$7))</f>
        <v/>
      </c>
      <c r="M578" s="27">
        <f>MIN(0.16,MAX(0.05,NORMINV(RAND(),$C$8,$D$8)))</f>
        <v/>
      </c>
      <c r="N578" s="28">
        <f>MIN(24,MAX(5,NORMINV(RAND(),$C$9,$D$9)))</f>
        <v/>
      </c>
      <c r="O578" s="51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7">
        <f>MAX(-0.05,NORMINV(RAND(),$C$6,$D$6))</f>
        <v/>
      </c>
      <c r="L579" s="27">
        <f>MAX(0.02,NORMINV(RAND(),$C$7,$D$7))</f>
        <v/>
      </c>
      <c r="M579" s="27">
        <f>MIN(0.16,MAX(0.05,NORMINV(RAND(),$C$8,$D$8)))</f>
        <v/>
      </c>
      <c r="N579" s="28">
        <f>MIN(24,MAX(5,NORMINV(RAND(),$C$9,$D$9)))</f>
        <v/>
      </c>
      <c r="O579" s="51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7">
        <f>MAX(-0.05,NORMINV(RAND(),$C$6,$D$6))</f>
        <v/>
      </c>
      <c r="L580" s="27">
        <f>MAX(0.02,NORMINV(RAND(),$C$7,$D$7))</f>
        <v/>
      </c>
      <c r="M580" s="27">
        <f>MIN(0.16,MAX(0.05,NORMINV(RAND(),$C$8,$D$8)))</f>
        <v/>
      </c>
      <c r="N580" s="28">
        <f>MIN(24,MAX(5,NORMINV(RAND(),$C$9,$D$9)))</f>
        <v/>
      </c>
      <c r="O580" s="51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7">
        <f>MAX(-0.05,NORMINV(RAND(),$C$6,$D$6))</f>
        <v/>
      </c>
      <c r="L581" s="27">
        <f>MAX(0.02,NORMINV(RAND(),$C$7,$D$7))</f>
        <v/>
      </c>
      <c r="M581" s="27">
        <f>MIN(0.16,MAX(0.05,NORMINV(RAND(),$C$8,$D$8)))</f>
        <v/>
      </c>
      <c r="N581" s="28">
        <f>MIN(24,MAX(5,NORMINV(RAND(),$C$9,$D$9)))</f>
        <v/>
      </c>
      <c r="O581" s="51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7">
        <f>MAX(-0.05,NORMINV(RAND(),$C$6,$D$6))</f>
        <v/>
      </c>
      <c r="L582" s="27">
        <f>MAX(0.02,NORMINV(RAND(),$C$7,$D$7))</f>
        <v/>
      </c>
      <c r="M582" s="27">
        <f>MIN(0.16,MAX(0.05,NORMINV(RAND(),$C$8,$D$8)))</f>
        <v/>
      </c>
      <c r="N582" s="28">
        <f>MIN(24,MAX(5,NORMINV(RAND(),$C$9,$D$9)))</f>
        <v/>
      </c>
      <c r="O582" s="51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7">
        <f>MAX(-0.05,NORMINV(RAND(),$C$6,$D$6))</f>
        <v/>
      </c>
      <c r="L583" s="27">
        <f>MAX(0.02,NORMINV(RAND(),$C$7,$D$7))</f>
        <v/>
      </c>
      <c r="M583" s="27">
        <f>MIN(0.16,MAX(0.05,NORMINV(RAND(),$C$8,$D$8)))</f>
        <v/>
      </c>
      <c r="N583" s="28">
        <f>MIN(24,MAX(5,NORMINV(RAND(),$C$9,$D$9)))</f>
        <v/>
      </c>
      <c r="O583" s="51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7">
        <f>MAX(-0.05,NORMINV(RAND(),$C$6,$D$6))</f>
        <v/>
      </c>
      <c r="L584" s="27">
        <f>MAX(0.02,NORMINV(RAND(),$C$7,$D$7))</f>
        <v/>
      </c>
      <c r="M584" s="27">
        <f>MIN(0.16,MAX(0.05,NORMINV(RAND(),$C$8,$D$8)))</f>
        <v/>
      </c>
      <c r="N584" s="28">
        <f>MIN(24,MAX(5,NORMINV(RAND(),$C$9,$D$9)))</f>
        <v/>
      </c>
      <c r="O584" s="51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7">
        <f>MAX(-0.05,NORMINV(RAND(),$C$6,$D$6))</f>
        <v/>
      </c>
      <c r="L585" s="27">
        <f>MAX(0.02,NORMINV(RAND(),$C$7,$D$7))</f>
        <v/>
      </c>
      <c r="M585" s="27">
        <f>MIN(0.16,MAX(0.05,NORMINV(RAND(),$C$8,$D$8)))</f>
        <v/>
      </c>
      <c r="N585" s="28">
        <f>MIN(24,MAX(5,NORMINV(RAND(),$C$9,$D$9)))</f>
        <v/>
      </c>
      <c r="O585" s="51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7">
        <f>MAX(-0.05,NORMINV(RAND(),$C$6,$D$6))</f>
        <v/>
      </c>
      <c r="L586" s="27">
        <f>MAX(0.02,NORMINV(RAND(),$C$7,$D$7))</f>
        <v/>
      </c>
      <c r="M586" s="27">
        <f>MIN(0.16,MAX(0.05,NORMINV(RAND(),$C$8,$D$8)))</f>
        <v/>
      </c>
      <c r="N586" s="28">
        <f>MIN(24,MAX(5,NORMINV(RAND(),$C$9,$D$9)))</f>
        <v/>
      </c>
      <c r="O586" s="51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7">
        <f>MAX(-0.05,NORMINV(RAND(),$C$6,$D$6))</f>
        <v/>
      </c>
      <c r="L587" s="27">
        <f>MAX(0.02,NORMINV(RAND(),$C$7,$D$7))</f>
        <v/>
      </c>
      <c r="M587" s="27">
        <f>MIN(0.16,MAX(0.05,NORMINV(RAND(),$C$8,$D$8)))</f>
        <v/>
      </c>
      <c r="N587" s="28">
        <f>MIN(24,MAX(5,NORMINV(RAND(),$C$9,$D$9)))</f>
        <v/>
      </c>
      <c r="O587" s="51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7">
        <f>MAX(-0.05,NORMINV(RAND(),$C$6,$D$6))</f>
        <v/>
      </c>
      <c r="L588" s="27">
        <f>MAX(0.02,NORMINV(RAND(),$C$7,$D$7))</f>
        <v/>
      </c>
      <c r="M588" s="27">
        <f>MIN(0.16,MAX(0.05,NORMINV(RAND(),$C$8,$D$8)))</f>
        <v/>
      </c>
      <c r="N588" s="28">
        <f>MIN(24,MAX(5,NORMINV(RAND(),$C$9,$D$9)))</f>
        <v/>
      </c>
      <c r="O588" s="51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7">
        <f>MAX(-0.05,NORMINV(RAND(),$C$6,$D$6))</f>
        <v/>
      </c>
      <c r="L589" s="27">
        <f>MAX(0.02,NORMINV(RAND(),$C$7,$D$7))</f>
        <v/>
      </c>
      <c r="M589" s="27">
        <f>MIN(0.16,MAX(0.05,NORMINV(RAND(),$C$8,$D$8)))</f>
        <v/>
      </c>
      <c r="N589" s="28">
        <f>MIN(24,MAX(5,NORMINV(RAND(),$C$9,$D$9)))</f>
        <v/>
      </c>
      <c r="O589" s="51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7">
        <f>MAX(-0.05,NORMINV(RAND(),$C$6,$D$6))</f>
        <v/>
      </c>
      <c r="L590" s="27">
        <f>MAX(0.02,NORMINV(RAND(),$C$7,$D$7))</f>
        <v/>
      </c>
      <c r="M590" s="27">
        <f>MIN(0.16,MAX(0.05,NORMINV(RAND(),$C$8,$D$8)))</f>
        <v/>
      </c>
      <c r="N590" s="28">
        <f>MIN(24,MAX(5,NORMINV(RAND(),$C$9,$D$9)))</f>
        <v/>
      </c>
      <c r="O590" s="51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7">
        <f>MAX(-0.05,NORMINV(RAND(),$C$6,$D$6))</f>
        <v/>
      </c>
      <c r="L591" s="27">
        <f>MAX(0.02,NORMINV(RAND(),$C$7,$D$7))</f>
        <v/>
      </c>
      <c r="M591" s="27">
        <f>MIN(0.16,MAX(0.05,NORMINV(RAND(),$C$8,$D$8)))</f>
        <v/>
      </c>
      <c r="N591" s="28">
        <f>MIN(24,MAX(5,NORMINV(RAND(),$C$9,$D$9)))</f>
        <v/>
      </c>
      <c r="O591" s="51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7">
        <f>MAX(-0.05,NORMINV(RAND(),$C$6,$D$6))</f>
        <v/>
      </c>
      <c r="L592" s="27">
        <f>MAX(0.02,NORMINV(RAND(),$C$7,$D$7))</f>
        <v/>
      </c>
      <c r="M592" s="27">
        <f>MIN(0.16,MAX(0.05,NORMINV(RAND(),$C$8,$D$8)))</f>
        <v/>
      </c>
      <c r="N592" s="28">
        <f>MIN(24,MAX(5,NORMINV(RAND(),$C$9,$D$9)))</f>
        <v/>
      </c>
      <c r="O592" s="51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7">
        <f>MAX(-0.05,NORMINV(RAND(),$C$6,$D$6))</f>
        <v/>
      </c>
      <c r="L593" s="27">
        <f>MAX(0.02,NORMINV(RAND(),$C$7,$D$7))</f>
        <v/>
      </c>
      <c r="M593" s="27">
        <f>MIN(0.16,MAX(0.05,NORMINV(RAND(),$C$8,$D$8)))</f>
        <v/>
      </c>
      <c r="N593" s="28">
        <f>MIN(24,MAX(5,NORMINV(RAND(),$C$9,$D$9)))</f>
        <v/>
      </c>
      <c r="O593" s="51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7">
        <f>MAX(-0.05,NORMINV(RAND(),$C$6,$D$6))</f>
        <v/>
      </c>
      <c r="L594" s="27">
        <f>MAX(0.02,NORMINV(RAND(),$C$7,$D$7))</f>
        <v/>
      </c>
      <c r="M594" s="27">
        <f>MIN(0.16,MAX(0.05,NORMINV(RAND(),$C$8,$D$8)))</f>
        <v/>
      </c>
      <c r="N594" s="28">
        <f>MIN(24,MAX(5,NORMINV(RAND(),$C$9,$D$9)))</f>
        <v/>
      </c>
      <c r="O594" s="51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7">
        <f>MAX(-0.05,NORMINV(RAND(),$C$6,$D$6))</f>
        <v/>
      </c>
      <c r="L595" s="27">
        <f>MAX(0.02,NORMINV(RAND(),$C$7,$D$7))</f>
        <v/>
      </c>
      <c r="M595" s="27">
        <f>MIN(0.16,MAX(0.05,NORMINV(RAND(),$C$8,$D$8)))</f>
        <v/>
      </c>
      <c r="N595" s="28">
        <f>MIN(24,MAX(5,NORMINV(RAND(),$C$9,$D$9)))</f>
        <v/>
      </c>
      <c r="O595" s="51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7">
        <f>MAX(-0.05,NORMINV(RAND(),$C$6,$D$6))</f>
        <v/>
      </c>
      <c r="L596" s="27">
        <f>MAX(0.02,NORMINV(RAND(),$C$7,$D$7))</f>
        <v/>
      </c>
      <c r="M596" s="27">
        <f>MIN(0.16,MAX(0.05,NORMINV(RAND(),$C$8,$D$8)))</f>
        <v/>
      </c>
      <c r="N596" s="28">
        <f>MIN(24,MAX(5,NORMINV(RAND(),$C$9,$D$9)))</f>
        <v/>
      </c>
      <c r="O596" s="51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7">
        <f>MAX(-0.05,NORMINV(RAND(),$C$6,$D$6))</f>
        <v/>
      </c>
      <c r="L597" s="27">
        <f>MAX(0.02,NORMINV(RAND(),$C$7,$D$7))</f>
        <v/>
      </c>
      <c r="M597" s="27">
        <f>MIN(0.16,MAX(0.05,NORMINV(RAND(),$C$8,$D$8)))</f>
        <v/>
      </c>
      <c r="N597" s="28">
        <f>MIN(24,MAX(5,NORMINV(RAND(),$C$9,$D$9)))</f>
        <v/>
      </c>
      <c r="O597" s="51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7">
        <f>MAX(-0.05,NORMINV(RAND(),$C$6,$D$6))</f>
        <v/>
      </c>
      <c r="L598" s="27">
        <f>MAX(0.02,NORMINV(RAND(),$C$7,$D$7))</f>
        <v/>
      </c>
      <c r="M598" s="27">
        <f>MIN(0.16,MAX(0.05,NORMINV(RAND(),$C$8,$D$8)))</f>
        <v/>
      </c>
      <c r="N598" s="28">
        <f>MIN(24,MAX(5,NORMINV(RAND(),$C$9,$D$9)))</f>
        <v/>
      </c>
      <c r="O598" s="51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7">
        <f>MAX(-0.05,NORMINV(RAND(),$C$6,$D$6))</f>
        <v/>
      </c>
      <c r="L599" s="27">
        <f>MAX(0.02,NORMINV(RAND(),$C$7,$D$7))</f>
        <v/>
      </c>
      <c r="M599" s="27">
        <f>MIN(0.16,MAX(0.05,NORMINV(RAND(),$C$8,$D$8)))</f>
        <v/>
      </c>
      <c r="N599" s="28">
        <f>MIN(24,MAX(5,NORMINV(RAND(),$C$9,$D$9)))</f>
        <v/>
      </c>
      <c r="O599" s="51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7">
        <f>MAX(-0.05,NORMINV(RAND(),$C$6,$D$6))</f>
        <v/>
      </c>
      <c r="L600" s="27">
        <f>MAX(0.02,NORMINV(RAND(),$C$7,$D$7))</f>
        <v/>
      </c>
      <c r="M600" s="27">
        <f>MIN(0.16,MAX(0.05,NORMINV(RAND(),$C$8,$D$8)))</f>
        <v/>
      </c>
      <c r="N600" s="28">
        <f>MIN(24,MAX(5,NORMINV(RAND(),$C$9,$D$9)))</f>
        <v/>
      </c>
      <c r="O600" s="51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7">
        <f>MAX(-0.05,NORMINV(RAND(),$C$6,$D$6))</f>
        <v/>
      </c>
      <c r="L601" s="27">
        <f>MAX(0.02,NORMINV(RAND(),$C$7,$D$7))</f>
        <v/>
      </c>
      <c r="M601" s="27">
        <f>MIN(0.16,MAX(0.05,NORMINV(RAND(),$C$8,$D$8)))</f>
        <v/>
      </c>
      <c r="N601" s="28">
        <f>MIN(24,MAX(5,NORMINV(RAND(),$C$9,$D$9)))</f>
        <v/>
      </c>
      <c r="O601" s="51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7">
        <f>MAX(-0.05,NORMINV(RAND(),$C$6,$D$6))</f>
        <v/>
      </c>
      <c r="L602" s="27">
        <f>MAX(0.02,NORMINV(RAND(),$C$7,$D$7))</f>
        <v/>
      </c>
      <c r="M602" s="27">
        <f>MIN(0.16,MAX(0.05,NORMINV(RAND(),$C$8,$D$8)))</f>
        <v/>
      </c>
      <c r="N602" s="28">
        <f>MIN(24,MAX(5,NORMINV(RAND(),$C$9,$D$9)))</f>
        <v/>
      </c>
      <c r="O602" s="51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7">
        <f>MAX(-0.05,NORMINV(RAND(),$C$6,$D$6))</f>
        <v/>
      </c>
      <c r="L603" s="27">
        <f>MAX(0.02,NORMINV(RAND(),$C$7,$D$7))</f>
        <v/>
      </c>
      <c r="M603" s="27">
        <f>MIN(0.16,MAX(0.05,NORMINV(RAND(),$C$8,$D$8)))</f>
        <v/>
      </c>
      <c r="N603" s="28">
        <f>MIN(24,MAX(5,NORMINV(RAND(),$C$9,$D$9)))</f>
        <v/>
      </c>
      <c r="O603" s="51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7">
        <f>MAX(-0.05,NORMINV(RAND(),$C$6,$D$6))</f>
        <v/>
      </c>
      <c r="L604" s="27">
        <f>MAX(0.02,NORMINV(RAND(),$C$7,$D$7))</f>
        <v/>
      </c>
      <c r="M604" s="27">
        <f>MIN(0.16,MAX(0.05,NORMINV(RAND(),$C$8,$D$8)))</f>
        <v/>
      </c>
      <c r="N604" s="28">
        <f>MIN(24,MAX(5,NORMINV(RAND(),$C$9,$D$9)))</f>
        <v/>
      </c>
      <c r="O604" s="51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7">
        <f>MAX(-0.05,NORMINV(RAND(),$C$6,$D$6))</f>
        <v/>
      </c>
      <c r="L605" s="27">
        <f>MAX(0.02,NORMINV(RAND(),$C$7,$D$7))</f>
        <v/>
      </c>
      <c r="M605" s="27">
        <f>MIN(0.16,MAX(0.05,NORMINV(RAND(),$C$8,$D$8)))</f>
        <v/>
      </c>
      <c r="N605" s="28">
        <f>MIN(24,MAX(5,NORMINV(RAND(),$C$9,$D$9)))</f>
        <v/>
      </c>
      <c r="O605" s="51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7">
        <f>MAX(-0.05,NORMINV(RAND(),$C$6,$D$6))</f>
        <v/>
      </c>
      <c r="L606" s="27">
        <f>MAX(0.02,NORMINV(RAND(),$C$7,$D$7))</f>
        <v/>
      </c>
      <c r="M606" s="27">
        <f>MIN(0.16,MAX(0.05,NORMINV(RAND(),$C$8,$D$8)))</f>
        <v/>
      </c>
      <c r="N606" s="28">
        <f>MIN(24,MAX(5,NORMINV(RAND(),$C$9,$D$9)))</f>
        <v/>
      </c>
      <c r="O606" s="51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7">
        <f>MAX(-0.05,NORMINV(RAND(),$C$6,$D$6))</f>
        <v/>
      </c>
      <c r="L607" s="27">
        <f>MAX(0.02,NORMINV(RAND(),$C$7,$D$7))</f>
        <v/>
      </c>
      <c r="M607" s="27">
        <f>MIN(0.16,MAX(0.05,NORMINV(RAND(),$C$8,$D$8)))</f>
        <v/>
      </c>
      <c r="N607" s="28">
        <f>MIN(24,MAX(5,NORMINV(RAND(),$C$9,$D$9)))</f>
        <v/>
      </c>
      <c r="O607" s="51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7">
        <f>MAX(-0.05,NORMINV(RAND(),$C$6,$D$6))</f>
        <v/>
      </c>
      <c r="L608" s="27">
        <f>MAX(0.02,NORMINV(RAND(),$C$7,$D$7))</f>
        <v/>
      </c>
      <c r="M608" s="27">
        <f>MIN(0.16,MAX(0.05,NORMINV(RAND(),$C$8,$D$8)))</f>
        <v/>
      </c>
      <c r="N608" s="28">
        <f>MIN(24,MAX(5,NORMINV(RAND(),$C$9,$D$9)))</f>
        <v/>
      </c>
      <c r="O608" s="51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7">
        <f>MAX(-0.05,NORMINV(RAND(),$C$6,$D$6))</f>
        <v/>
      </c>
      <c r="L609" s="27">
        <f>MAX(0.02,NORMINV(RAND(),$C$7,$D$7))</f>
        <v/>
      </c>
      <c r="M609" s="27">
        <f>MIN(0.16,MAX(0.05,NORMINV(RAND(),$C$8,$D$8)))</f>
        <v/>
      </c>
      <c r="N609" s="28">
        <f>MIN(24,MAX(5,NORMINV(RAND(),$C$9,$D$9)))</f>
        <v/>
      </c>
      <c r="O609" s="51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7">
        <f>MAX(-0.05,NORMINV(RAND(),$C$6,$D$6))</f>
        <v/>
      </c>
      <c r="L610" s="27">
        <f>MAX(0.02,NORMINV(RAND(),$C$7,$D$7))</f>
        <v/>
      </c>
      <c r="M610" s="27">
        <f>MIN(0.16,MAX(0.05,NORMINV(RAND(),$C$8,$D$8)))</f>
        <v/>
      </c>
      <c r="N610" s="28">
        <f>MIN(24,MAX(5,NORMINV(RAND(),$C$9,$D$9)))</f>
        <v/>
      </c>
      <c r="O610" s="51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7">
        <f>MAX(-0.05,NORMINV(RAND(),$C$6,$D$6))</f>
        <v/>
      </c>
      <c r="L611" s="27">
        <f>MAX(0.02,NORMINV(RAND(),$C$7,$D$7))</f>
        <v/>
      </c>
      <c r="M611" s="27">
        <f>MIN(0.16,MAX(0.05,NORMINV(RAND(),$C$8,$D$8)))</f>
        <v/>
      </c>
      <c r="N611" s="28">
        <f>MIN(24,MAX(5,NORMINV(RAND(),$C$9,$D$9)))</f>
        <v/>
      </c>
      <c r="O611" s="51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7">
        <f>MAX(-0.05,NORMINV(RAND(),$C$6,$D$6))</f>
        <v/>
      </c>
      <c r="L612" s="27">
        <f>MAX(0.02,NORMINV(RAND(),$C$7,$D$7))</f>
        <v/>
      </c>
      <c r="M612" s="27">
        <f>MIN(0.16,MAX(0.05,NORMINV(RAND(),$C$8,$D$8)))</f>
        <v/>
      </c>
      <c r="N612" s="28">
        <f>MIN(24,MAX(5,NORMINV(RAND(),$C$9,$D$9)))</f>
        <v/>
      </c>
      <c r="O612" s="51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7">
        <f>MAX(-0.05,NORMINV(RAND(),$C$6,$D$6))</f>
        <v/>
      </c>
      <c r="L613" s="27">
        <f>MAX(0.02,NORMINV(RAND(),$C$7,$D$7))</f>
        <v/>
      </c>
      <c r="M613" s="27">
        <f>MIN(0.16,MAX(0.05,NORMINV(RAND(),$C$8,$D$8)))</f>
        <v/>
      </c>
      <c r="N613" s="28">
        <f>MIN(24,MAX(5,NORMINV(RAND(),$C$9,$D$9)))</f>
        <v/>
      </c>
      <c r="O613" s="51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7">
        <f>MAX(-0.05,NORMINV(RAND(),$C$6,$D$6))</f>
        <v/>
      </c>
      <c r="L614" s="27">
        <f>MAX(0.02,NORMINV(RAND(),$C$7,$D$7))</f>
        <v/>
      </c>
      <c r="M614" s="27">
        <f>MIN(0.16,MAX(0.05,NORMINV(RAND(),$C$8,$D$8)))</f>
        <v/>
      </c>
      <c r="N614" s="28">
        <f>MIN(24,MAX(5,NORMINV(RAND(),$C$9,$D$9)))</f>
        <v/>
      </c>
      <c r="O614" s="51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7">
        <f>MAX(-0.05,NORMINV(RAND(),$C$6,$D$6))</f>
        <v/>
      </c>
      <c r="L615" s="27">
        <f>MAX(0.02,NORMINV(RAND(),$C$7,$D$7))</f>
        <v/>
      </c>
      <c r="M615" s="27">
        <f>MIN(0.16,MAX(0.05,NORMINV(RAND(),$C$8,$D$8)))</f>
        <v/>
      </c>
      <c r="N615" s="28">
        <f>MIN(24,MAX(5,NORMINV(RAND(),$C$9,$D$9)))</f>
        <v/>
      </c>
      <c r="O615" s="51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7">
        <f>MAX(-0.05,NORMINV(RAND(),$C$6,$D$6))</f>
        <v/>
      </c>
      <c r="L616" s="27">
        <f>MAX(0.02,NORMINV(RAND(),$C$7,$D$7))</f>
        <v/>
      </c>
      <c r="M616" s="27">
        <f>MIN(0.16,MAX(0.05,NORMINV(RAND(),$C$8,$D$8)))</f>
        <v/>
      </c>
      <c r="N616" s="28">
        <f>MIN(24,MAX(5,NORMINV(RAND(),$C$9,$D$9)))</f>
        <v/>
      </c>
      <c r="O616" s="51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7">
        <f>MAX(-0.05,NORMINV(RAND(),$C$6,$D$6))</f>
        <v/>
      </c>
      <c r="L617" s="27">
        <f>MAX(0.02,NORMINV(RAND(),$C$7,$D$7))</f>
        <v/>
      </c>
      <c r="M617" s="27">
        <f>MIN(0.16,MAX(0.05,NORMINV(RAND(),$C$8,$D$8)))</f>
        <v/>
      </c>
      <c r="N617" s="28">
        <f>MIN(24,MAX(5,NORMINV(RAND(),$C$9,$D$9)))</f>
        <v/>
      </c>
      <c r="O617" s="51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7">
        <f>MAX(-0.05,NORMINV(RAND(),$C$6,$D$6))</f>
        <v/>
      </c>
      <c r="L618" s="27">
        <f>MAX(0.02,NORMINV(RAND(),$C$7,$D$7))</f>
        <v/>
      </c>
      <c r="M618" s="27">
        <f>MIN(0.16,MAX(0.05,NORMINV(RAND(),$C$8,$D$8)))</f>
        <v/>
      </c>
      <c r="N618" s="28">
        <f>MIN(24,MAX(5,NORMINV(RAND(),$C$9,$D$9)))</f>
        <v/>
      </c>
      <c r="O618" s="51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7">
        <f>MAX(-0.05,NORMINV(RAND(),$C$6,$D$6))</f>
        <v/>
      </c>
      <c r="L619" s="27">
        <f>MAX(0.02,NORMINV(RAND(),$C$7,$D$7))</f>
        <v/>
      </c>
      <c r="M619" s="27">
        <f>MIN(0.16,MAX(0.05,NORMINV(RAND(),$C$8,$D$8)))</f>
        <v/>
      </c>
      <c r="N619" s="28">
        <f>MIN(24,MAX(5,NORMINV(RAND(),$C$9,$D$9)))</f>
        <v/>
      </c>
      <c r="O619" s="51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7">
        <f>MAX(-0.05,NORMINV(RAND(),$C$6,$D$6))</f>
        <v/>
      </c>
      <c r="L620" s="27">
        <f>MAX(0.02,NORMINV(RAND(),$C$7,$D$7))</f>
        <v/>
      </c>
      <c r="M620" s="27">
        <f>MIN(0.16,MAX(0.05,NORMINV(RAND(),$C$8,$D$8)))</f>
        <v/>
      </c>
      <c r="N620" s="28">
        <f>MIN(24,MAX(5,NORMINV(RAND(),$C$9,$D$9)))</f>
        <v/>
      </c>
      <c r="O620" s="51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7">
        <f>MAX(-0.05,NORMINV(RAND(),$C$6,$D$6))</f>
        <v/>
      </c>
      <c r="L621" s="27">
        <f>MAX(0.02,NORMINV(RAND(),$C$7,$D$7))</f>
        <v/>
      </c>
      <c r="M621" s="27">
        <f>MIN(0.16,MAX(0.05,NORMINV(RAND(),$C$8,$D$8)))</f>
        <v/>
      </c>
      <c r="N621" s="28">
        <f>MIN(24,MAX(5,NORMINV(RAND(),$C$9,$D$9)))</f>
        <v/>
      </c>
      <c r="O621" s="51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7">
        <f>MAX(-0.05,NORMINV(RAND(),$C$6,$D$6))</f>
        <v/>
      </c>
      <c r="L622" s="27">
        <f>MAX(0.02,NORMINV(RAND(),$C$7,$D$7))</f>
        <v/>
      </c>
      <c r="M622" s="27">
        <f>MIN(0.16,MAX(0.05,NORMINV(RAND(),$C$8,$D$8)))</f>
        <v/>
      </c>
      <c r="N622" s="28">
        <f>MIN(24,MAX(5,NORMINV(RAND(),$C$9,$D$9)))</f>
        <v/>
      </c>
      <c r="O622" s="51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7">
        <f>MAX(-0.05,NORMINV(RAND(),$C$6,$D$6))</f>
        <v/>
      </c>
      <c r="L623" s="27">
        <f>MAX(0.02,NORMINV(RAND(),$C$7,$D$7))</f>
        <v/>
      </c>
      <c r="M623" s="27">
        <f>MIN(0.16,MAX(0.05,NORMINV(RAND(),$C$8,$D$8)))</f>
        <v/>
      </c>
      <c r="N623" s="28">
        <f>MIN(24,MAX(5,NORMINV(RAND(),$C$9,$D$9)))</f>
        <v/>
      </c>
      <c r="O623" s="51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7">
        <f>MAX(-0.05,NORMINV(RAND(),$C$6,$D$6))</f>
        <v/>
      </c>
      <c r="L624" s="27">
        <f>MAX(0.02,NORMINV(RAND(),$C$7,$D$7))</f>
        <v/>
      </c>
      <c r="M624" s="27">
        <f>MIN(0.16,MAX(0.05,NORMINV(RAND(),$C$8,$D$8)))</f>
        <v/>
      </c>
      <c r="N624" s="28">
        <f>MIN(24,MAX(5,NORMINV(RAND(),$C$9,$D$9)))</f>
        <v/>
      </c>
      <c r="O624" s="51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7">
        <f>MAX(-0.05,NORMINV(RAND(),$C$6,$D$6))</f>
        <v/>
      </c>
      <c r="L625" s="27">
        <f>MAX(0.02,NORMINV(RAND(),$C$7,$D$7))</f>
        <v/>
      </c>
      <c r="M625" s="27">
        <f>MIN(0.16,MAX(0.05,NORMINV(RAND(),$C$8,$D$8)))</f>
        <v/>
      </c>
      <c r="N625" s="28">
        <f>MIN(24,MAX(5,NORMINV(RAND(),$C$9,$D$9)))</f>
        <v/>
      </c>
      <c r="O625" s="51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7">
        <f>MAX(-0.05,NORMINV(RAND(),$C$6,$D$6))</f>
        <v/>
      </c>
      <c r="L626" s="27">
        <f>MAX(0.02,NORMINV(RAND(),$C$7,$D$7))</f>
        <v/>
      </c>
      <c r="M626" s="27">
        <f>MIN(0.16,MAX(0.05,NORMINV(RAND(),$C$8,$D$8)))</f>
        <v/>
      </c>
      <c r="N626" s="28">
        <f>MIN(24,MAX(5,NORMINV(RAND(),$C$9,$D$9)))</f>
        <v/>
      </c>
      <c r="O626" s="51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7">
        <f>MAX(-0.05,NORMINV(RAND(),$C$6,$D$6))</f>
        <v/>
      </c>
      <c r="L627" s="27">
        <f>MAX(0.02,NORMINV(RAND(),$C$7,$D$7))</f>
        <v/>
      </c>
      <c r="M627" s="27">
        <f>MIN(0.16,MAX(0.05,NORMINV(RAND(),$C$8,$D$8)))</f>
        <v/>
      </c>
      <c r="N627" s="28">
        <f>MIN(24,MAX(5,NORMINV(RAND(),$C$9,$D$9)))</f>
        <v/>
      </c>
      <c r="O627" s="51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7">
        <f>MAX(-0.05,NORMINV(RAND(),$C$6,$D$6))</f>
        <v/>
      </c>
      <c r="L628" s="27">
        <f>MAX(0.02,NORMINV(RAND(),$C$7,$D$7))</f>
        <v/>
      </c>
      <c r="M628" s="27">
        <f>MIN(0.16,MAX(0.05,NORMINV(RAND(),$C$8,$D$8)))</f>
        <v/>
      </c>
      <c r="N628" s="28">
        <f>MIN(24,MAX(5,NORMINV(RAND(),$C$9,$D$9)))</f>
        <v/>
      </c>
      <c r="O628" s="51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7">
        <f>MAX(-0.05,NORMINV(RAND(),$C$6,$D$6))</f>
        <v/>
      </c>
      <c r="L629" s="27">
        <f>MAX(0.02,NORMINV(RAND(),$C$7,$D$7))</f>
        <v/>
      </c>
      <c r="M629" s="27">
        <f>MIN(0.16,MAX(0.05,NORMINV(RAND(),$C$8,$D$8)))</f>
        <v/>
      </c>
      <c r="N629" s="28">
        <f>MIN(24,MAX(5,NORMINV(RAND(),$C$9,$D$9)))</f>
        <v/>
      </c>
      <c r="O629" s="51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7">
        <f>MAX(-0.05,NORMINV(RAND(),$C$6,$D$6))</f>
        <v/>
      </c>
      <c r="L630" s="27">
        <f>MAX(0.02,NORMINV(RAND(),$C$7,$D$7))</f>
        <v/>
      </c>
      <c r="M630" s="27">
        <f>MIN(0.16,MAX(0.05,NORMINV(RAND(),$C$8,$D$8)))</f>
        <v/>
      </c>
      <c r="N630" s="28">
        <f>MIN(24,MAX(5,NORMINV(RAND(),$C$9,$D$9)))</f>
        <v/>
      </c>
      <c r="O630" s="51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7">
        <f>MAX(-0.05,NORMINV(RAND(),$C$6,$D$6))</f>
        <v/>
      </c>
      <c r="L631" s="27">
        <f>MAX(0.02,NORMINV(RAND(),$C$7,$D$7))</f>
        <v/>
      </c>
      <c r="M631" s="27">
        <f>MIN(0.16,MAX(0.05,NORMINV(RAND(),$C$8,$D$8)))</f>
        <v/>
      </c>
      <c r="N631" s="28">
        <f>MIN(24,MAX(5,NORMINV(RAND(),$C$9,$D$9)))</f>
        <v/>
      </c>
      <c r="O631" s="51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7">
        <f>MAX(-0.05,NORMINV(RAND(),$C$6,$D$6))</f>
        <v/>
      </c>
      <c r="L632" s="27">
        <f>MAX(0.02,NORMINV(RAND(),$C$7,$D$7))</f>
        <v/>
      </c>
      <c r="M632" s="27">
        <f>MIN(0.16,MAX(0.05,NORMINV(RAND(),$C$8,$D$8)))</f>
        <v/>
      </c>
      <c r="N632" s="28">
        <f>MIN(24,MAX(5,NORMINV(RAND(),$C$9,$D$9)))</f>
        <v/>
      </c>
      <c r="O632" s="51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7">
        <f>MAX(-0.05,NORMINV(RAND(),$C$6,$D$6))</f>
        <v/>
      </c>
      <c r="L633" s="27">
        <f>MAX(0.02,NORMINV(RAND(),$C$7,$D$7))</f>
        <v/>
      </c>
      <c r="M633" s="27">
        <f>MIN(0.16,MAX(0.05,NORMINV(RAND(),$C$8,$D$8)))</f>
        <v/>
      </c>
      <c r="N633" s="28">
        <f>MIN(24,MAX(5,NORMINV(RAND(),$C$9,$D$9)))</f>
        <v/>
      </c>
      <c r="O633" s="51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7">
        <f>MAX(-0.05,NORMINV(RAND(),$C$6,$D$6))</f>
        <v/>
      </c>
      <c r="L634" s="27">
        <f>MAX(0.02,NORMINV(RAND(),$C$7,$D$7))</f>
        <v/>
      </c>
      <c r="M634" s="27">
        <f>MIN(0.16,MAX(0.05,NORMINV(RAND(),$C$8,$D$8)))</f>
        <v/>
      </c>
      <c r="N634" s="28">
        <f>MIN(24,MAX(5,NORMINV(RAND(),$C$9,$D$9)))</f>
        <v/>
      </c>
      <c r="O634" s="51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7">
        <f>MAX(-0.05,NORMINV(RAND(),$C$6,$D$6))</f>
        <v/>
      </c>
      <c r="L635" s="27">
        <f>MAX(0.02,NORMINV(RAND(),$C$7,$D$7))</f>
        <v/>
      </c>
      <c r="M635" s="27">
        <f>MIN(0.16,MAX(0.05,NORMINV(RAND(),$C$8,$D$8)))</f>
        <v/>
      </c>
      <c r="N635" s="28">
        <f>MIN(24,MAX(5,NORMINV(RAND(),$C$9,$D$9)))</f>
        <v/>
      </c>
      <c r="O635" s="51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7">
        <f>MAX(-0.05,NORMINV(RAND(),$C$6,$D$6))</f>
        <v/>
      </c>
      <c r="L636" s="27">
        <f>MAX(0.02,NORMINV(RAND(),$C$7,$D$7))</f>
        <v/>
      </c>
      <c r="M636" s="27">
        <f>MIN(0.16,MAX(0.05,NORMINV(RAND(),$C$8,$D$8)))</f>
        <v/>
      </c>
      <c r="N636" s="28">
        <f>MIN(24,MAX(5,NORMINV(RAND(),$C$9,$D$9)))</f>
        <v/>
      </c>
      <c r="O636" s="51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7">
        <f>MAX(-0.05,NORMINV(RAND(),$C$6,$D$6))</f>
        <v/>
      </c>
      <c r="L637" s="27">
        <f>MAX(0.02,NORMINV(RAND(),$C$7,$D$7))</f>
        <v/>
      </c>
      <c r="M637" s="27">
        <f>MIN(0.16,MAX(0.05,NORMINV(RAND(),$C$8,$D$8)))</f>
        <v/>
      </c>
      <c r="N637" s="28">
        <f>MIN(24,MAX(5,NORMINV(RAND(),$C$9,$D$9)))</f>
        <v/>
      </c>
      <c r="O637" s="51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7">
        <f>MAX(-0.05,NORMINV(RAND(),$C$6,$D$6))</f>
        <v/>
      </c>
      <c r="L638" s="27">
        <f>MAX(0.02,NORMINV(RAND(),$C$7,$D$7))</f>
        <v/>
      </c>
      <c r="M638" s="27">
        <f>MIN(0.16,MAX(0.05,NORMINV(RAND(),$C$8,$D$8)))</f>
        <v/>
      </c>
      <c r="N638" s="28">
        <f>MIN(24,MAX(5,NORMINV(RAND(),$C$9,$D$9)))</f>
        <v/>
      </c>
      <c r="O638" s="51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7">
        <f>MAX(-0.05,NORMINV(RAND(),$C$6,$D$6))</f>
        <v/>
      </c>
      <c r="L639" s="27">
        <f>MAX(0.02,NORMINV(RAND(),$C$7,$D$7))</f>
        <v/>
      </c>
      <c r="M639" s="27">
        <f>MIN(0.16,MAX(0.05,NORMINV(RAND(),$C$8,$D$8)))</f>
        <v/>
      </c>
      <c r="N639" s="28">
        <f>MIN(24,MAX(5,NORMINV(RAND(),$C$9,$D$9)))</f>
        <v/>
      </c>
      <c r="O639" s="51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7">
        <f>MAX(-0.05,NORMINV(RAND(),$C$6,$D$6))</f>
        <v/>
      </c>
      <c r="L640" s="27">
        <f>MAX(0.02,NORMINV(RAND(),$C$7,$D$7))</f>
        <v/>
      </c>
      <c r="M640" s="27">
        <f>MIN(0.16,MAX(0.05,NORMINV(RAND(),$C$8,$D$8)))</f>
        <v/>
      </c>
      <c r="N640" s="28">
        <f>MIN(24,MAX(5,NORMINV(RAND(),$C$9,$D$9)))</f>
        <v/>
      </c>
      <c r="O640" s="51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7">
        <f>MAX(-0.05,NORMINV(RAND(),$C$6,$D$6))</f>
        <v/>
      </c>
      <c r="L641" s="27">
        <f>MAX(0.02,NORMINV(RAND(),$C$7,$D$7))</f>
        <v/>
      </c>
      <c r="M641" s="27">
        <f>MIN(0.16,MAX(0.05,NORMINV(RAND(),$C$8,$D$8)))</f>
        <v/>
      </c>
      <c r="N641" s="28">
        <f>MIN(24,MAX(5,NORMINV(RAND(),$C$9,$D$9)))</f>
        <v/>
      </c>
      <c r="O641" s="51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7">
        <f>MAX(-0.05,NORMINV(RAND(),$C$6,$D$6))</f>
        <v/>
      </c>
      <c r="L642" s="27">
        <f>MAX(0.02,NORMINV(RAND(),$C$7,$D$7))</f>
        <v/>
      </c>
      <c r="M642" s="27">
        <f>MIN(0.16,MAX(0.05,NORMINV(RAND(),$C$8,$D$8)))</f>
        <v/>
      </c>
      <c r="N642" s="28">
        <f>MIN(24,MAX(5,NORMINV(RAND(),$C$9,$D$9)))</f>
        <v/>
      </c>
      <c r="O642" s="51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7">
        <f>MAX(-0.05,NORMINV(RAND(),$C$6,$D$6))</f>
        <v/>
      </c>
      <c r="L643" s="27">
        <f>MAX(0.02,NORMINV(RAND(),$C$7,$D$7))</f>
        <v/>
      </c>
      <c r="M643" s="27">
        <f>MIN(0.16,MAX(0.05,NORMINV(RAND(),$C$8,$D$8)))</f>
        <v/>
      </c>
      <c r="N643" s="28">
        <f>MIN(24,MAX(5,NORMINV(RAND(),$C$9,$D$9)))</f>
        <v/>
      </c>
      <c r="O643" s="51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7">
        <f>MAX(-0.05,NORMINV(RAND(),$C$6,$D$6))</f>
        <v/>
      </c>
      <c r="L644" s="27">
        <f>MAX(0.02,NORMINV(RAND(),$C$7,$D$7))</f>
        <v/>
      </c>
      <c r="M644" s="27">
        <f>MIN(0.16,MAX(0.05,NORMINV(RAND(),$C$8,$D$8)))</f>
        <v/>
      </c>
      <c r="N644" s="28">
        <f>MIN(24,MAX(5,NORMINV(RAND(),$C$9,$D$9)))</f>
        <v/>
      </c>
      <c r="O644" s="51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7">
        <f>MAX(-0.05,NORMINV(RAND(),$C$6,$D$6))</f>
        <v/>
      </c>
      <c r="L645" s="27">
        <f>MAX(0.02,NORMINV(RAND(),$C$7,$D$7))</f>
        <v/>
      </c>
      <c r="M645" s="27">
        <f>MIN(0.16,MAX(0.05,NORMINV(RAND(),$C$8,$D$8)))</f>
        <v/>
      </c>
      <c r="N645" s="28">
        <f>MIN(24,MAX(5,NORMINV(RAND(),$C$9,$D$9)))</f>
        <v/>
      </c>
      <c r="O645" s="51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7">
        <f>MAX(-0.05,NORMINV(RAND(),$C$6,$D$6))</f>
        <v/>
      </c>
      <c r="L646" s="27">
        <f>MAX(0.02,NORMINV(RAND(),$C$7,$D$7))</f>
        <v/>
      </c>
      <c r="M646" s="27">
        <f>MIN(0.16,MAX(0.05,NORMINV(RAND(),$C$8,$D$8)))</f>
        <v/>
      </c>
      <c r="N646" s="28">
        <f>MIN(24,MAX(5,NORMINV(RAND(),$C$9,$D$9)))</f>
        <v/>
      </c>
      <c r="O646" s="51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7">
        <f>MAX(-0.05,NORMINV(RAND(),$C$6,$D$6))</f>
        <v/>
      </c>
      <c r="L647" s="27">
        <f>MAX(0.02,NORMINV(RAND(),$C$7,$D$7))</f>
        <v/>
      </c>
      <c r="M647" s="27">
        <f>MIN(0.16,MAX(0.05,NORMINV(RAND(),$C$8,$D$8)))</f>
        <v/>
      </c>
      <c r="N647" s="28">
        <f>MIN(24,MAX(5,NORMINV(RAND(),$C$9,$D$9)))</f>
        <v/>
      </c>
      <c r="O647" s="51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7">
        <f>MAX(-0.05,NORMINV(RAND(),$C$6,$D$6))</f>
        <v/>
      </c>
      <c r="L648" s="27">
        <f>MAX(0.02,NORMINV(RAND(),$C$7,$D$7))</f>
        <v/>
      </c>
      <c r="M648" s="27">
        <f>MIN(0.16,MAX(0.05,NORMINV(RAND(),$C$8,$D$8)))</f>
        <v/>
      </c>
      <c r="N648" s="28">
        <f>MIN(24,MAX(5,NORMINV(RAND(),$C$9,$D$9)))</f>
        <v/>
      </c>
      <c r="O648" s="51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7">
        <f>MAX(-0.05,NORMINV(RAND(),$C$6,$D$6))</f>
        <v/>
      </c>
      <c r="L649" s="27">
        <f>MAX(0.02,NORMINV(RAND(),$C$7,$D$7))</f>
        <v/>
      </c>
      <c r="M649" s="27">
        <f>MIN(0.16,MAX(0.05,NORMINV(RAND(),$C$8,$D$8)))</f>
        <v/>
      </c>
      <c r="N649" s="28">
        <f>MIN(24,MAX(5,NORMINV(RAND(),$C$9,$D$9)))</f>
        <v/>
      </c>
      <c r="O649" s="51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7">
        <f>MAX(-0.05,NORMINV(RAND(),$C$6,$D$6))</f>
        <v/>
      </c>
      <c r="L650" s="27">
        <f>MAX(0.02,NORMINV(RAND(),$C$7,$D$7))</f>
        <v/>
      </c>
      <c r="M650" s="27">
        <f>MIN(0.16,MAX(0.05,NORMINV(RAND(),$C$8,$D$8)))</f>
        <v/>
      </c>
      <c r="N650" s="28">
        <f>MIN(24,MAX(5,NORMINV(RAND(),$C$9,$D$9)))</f>
        <v/>
      </c>
      <c r="O650" s="51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7">
        <f>MAX(-0.05,NORMINV(RAND(),$C$6,$D$6))</f>
        <v/>
      </c>
      <c r="L651" s="27">
        <f>MAX(0.02,NORMINV(RAND(),$C$7,$D$7))</f>
        <v/>
      </c>
      <c r="M651" s="27">
        <f>MIN(0.16,MAX(0.05,NORMINV(RAND(),$C$8,$D$8)))</f>
        <v/>
      </c>
      <c r="N651" s="28">
        <f>MIN(24,MAX(5,NORMINV(RAND(),$C$9,$D$9)))</f>
        <v/>
      </c>
      <c r="O651" s="51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7">
        <f>MAX(-0.05,NORMINV(RAND(),$C$6,$D$6))</f>
        <v/>
      </c>
      <c r="L652" s="27">
        <f>MAX(0.02,NORMINV(RAND(),$C$7,$D$7))</f>
        <v/>
      </c>
      <c r="M652" s="27">
        <f>MIN(0.16,MAX(0.05,NORMINV(RAND(),$C$8,$D$8)))</f>
        <v/>
      </c>
      <c r="N652" s="28">
        <f>MIN(24,MAX(5,NORMINV(RAND(),$C$9,$D$9)))</f>
        <v/>
      </c>
      <c r="O652" s="51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7">
        <f>MAX(-0.05,NORMINV(RAND(),$C$6,$D$6))</f>
        <v/>
      </c>
      <c r="L653" s="27">
        <f>MAX(0.02,NORMINV(RAND(),$C$7,$D$7))</f>
        <v/>
      </c>
      <c r="M653" s="27">
        <f>MIN(0.16,MAX(0.05,NORMINV(RAND(),$C$8,$D$8)))</f>
        <v/>
      </c>
      <c r="N653" s="28">
        <f>MIN(24,MAX(5,NORMINV(RAND(),$C$9,$D$9)))</f>
        <v/>
      </c>
      <c r="O653" s="51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7">
        <f>MAX(-0.05,NORMINV(RAND(),$C$6,$D$6))</f>
        <v/>
      </c>
      <c r="L654" s="27">
        <f>MAX(0.02,NORMINV(RAND(),$C$7,$D$7))</f>
        <v/>
      </c>
      <c r="M654" s="27">
        <f>MIN(0.16,MAX(0.05,NORMINV(RAND(),$C$8,$D$8)))</f>
        <v/>
      </c>
      <c r="N654" s="28">
        <f>MIN(24,MAX(5,NORMINV(RAND(),$C$9,$D$9)))</f>
        <v/>
      </c>
      <c r="O654" s="51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7">
        <f>MAX(-0.05,NORMINV(RAND(),$C$6,$D$6))</f>
        <v/>
      </c>
      <c r="L655" s="27">
        <f>MAX(0.02,NORMINV(RAND(),$C$7,$D$7))</f>
        <v/>
      </c>
      <c r="M655" s="27">
        <f>MIN(0.16,MAX(0.05,NORMINV(RAND(),$C$8,$D$8)))</f>
        <v/>
      </c>
      <c r="N655" s="28">
        <f>MIN(24,MAX(5,NORMINV(RAND(),$C$9,$D$9)))</f>
        <v/>
      </c>
      <c r="O655" s="51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7">
        <f>MAX(-0.05,NORMINV(RAND(),$C$6,$D$6))</f>
        <v/>
      </c>
      <c r="L656" s="27">
        <f>MAX(0.02,NORMINV(RAND(),$C$7,$D$7))</f>
        <v/>
      </c>
      <c r="M656" s="27">
        <f>MIN(0.16,MAX(0.05,NORMINV(RAND(),$C$8,$D$8)))</f>
        <v/>
      </c>
      <c r="N656" s="28">
        <f>MIN(24,MAX(5,NORMINV(RAND(),$C$9,$D$9)))</f>
        <v/>
      </c>
      <c r="O656" s="51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7">
        <f>MAX(-0.05,NORMINV(RAND(),$C$6,$D$6))</f>
        <v/>
      </c>
      <c r="L657" s="27">
        <f>MAX(0.02,NORMINV(RAND(),$C$7,$D$7))</f>
        <v/>
      </c>
      <c r="M657" s="27">
        <f>MIN(0.16,MAX(0.05,NORMINV(RAND(),$C$8,$D$8)))</f>
        <v/>
      </c>
      <c r="N657" s="28">
        <f>MIN(24,MAX(5,NORMINV(RAND(),$C$9,$D$9)))</f>
        <v/>
      </c>
      <c r="O657" s="51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7">
        <f>MAX(-0.05,NORMINV(RAND(),$C$6,$D$6))</f>
        <v/>
      </c>
      <c r="L658" s="27">
        <f>MAX(0.02,NORMINV(RAND(),$C$7,$D$7))</f>
        <v/>
      </c>
      <c r="M658" s="27">
        <f>MIN(0.16,MAX(0.05,NORMINV(RAND(),$C$8,$D$8)))</f>
        <v/>
      </c>
      <c r="N658" s="28">
        <f>MIN(24,MAX(5,NORMINV(RAND(),$C$9,$D$9)))</f>
        <v/>
      </c>
      <c r="O658" s="51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7">
        <f>MAX(-0.05,NORMINV(RAND(),$C$6,$D$6))</f>
        <v/>
      </c>
      <c r="L659" s="27">
        <f>MAX(0.02,NORMINV(RAND(),$C$7,$D$7))</f>
        <v/>
      </c>
      <c r="M659" s="27">
        <f>MIN(0.16,MAX(0.05,NORMINV(RAND(),$C$8,$D$8)))</f>
        <v/>
      </c>
      <c r="N659" s="28">
        <f>MIN(24,MAX(5,NORMINV(RAND(),$C$9,$D$9)))</f>
        <v/>
      </c>
      <c r="O659" s="51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7">
        <f>MAX(-0.05,NORMINV(RAND(),$C$6,$D$6))</f>
        <v/>
      </c>
      <c r="L660" s="27">
        <f>MAX(0.02,NORMINV(RAND(),$C$7,$D$7))</f>
        <v/>
      </c>
      <c r="M660" s="27">
        <f>MIN(0.16,MAX(0.05,NORMINV(RAND(),$C$8,$D$8)))</f>
        <v/>
      </c>
      <c r="N660" s="28">
        <f>MIN(24,MAX(5,NORMINV(RAND(),$C$9,$D$9)))</f>
        <v/>
      </c>
      <c r="O660" s="51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7">
        <f>MAX(-0.05,NORMINV(RAND(),$C$6,$D$6))</f>
        <v/>
      </c>
      <c r="L661" s="27">
        <f>MAX(0.02,NORMINV(RAND(),$C$7,$D$7))</f>
        <v/>
      </c>
      <c r="M661" s="27">
        <f>MIN(0.16,MAX(0.05,NORMINV(RAND(),$C$8,$D$8)))</f>
        <v/>
      </c>
      <c r="N661" s="28">
        <f>MIN(24,MAX(5,NORMINV(RAND(),$C$9,$D$9)))</f>
        <v/>
      </c>
      <c r="O661" s="51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7">
        <f>MAX(-0.05,NORMINV(RAND(),$C$6,$D$6))</f>
        <v/>
      </c>
      <c r="L662" s="27">
        <f>MAX(0.02,NORMINV(RAND(),$C$7,$D$7))</f>
        <v/>
      </c>
      <c r="M662" s="27">
        <f>MIN(0.16,MAX(0.05,NORMINV(RAND(),$C$8,$D$8)))</f>
        <v/>
      </c>
      <c r="N662" s="28">
        <f>MIN(24,MAX(5,NORMINV(RAND(),$C$9,$D$9)))</f>
        <v/>
      </c>
      <c r="O662" s="51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7">
        <f>MAX(-0.05,NORMINV(RAND(),$C$6,$D$6))</f>
        <v/>
      </c>
      <c r="L663" s="27">
        <f>MAX(0.02,NORMINV(RAND(),$C$7,$D$7))</f>
        <v/>
      </c>
      <c r="M663" s="27">
        <f>MIN(0.16,MAX(0.05,NORMINV(RAND(),$C$8,$D$8)))</f>
        <v/>
      </c>
      <c r="N663" s="28">
        <f>MIN(24,MAX(5,NORMINV(RAND(),$C$9,$D$9)))</f>
        <v/>
      </c>
      <c r="O663" s="51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7">
        <f>MAX(-0.05,NORMINV(RAND(),$C$6,$D$6))</f>
        <v/>
      </c>
      <c r="L664" s="27">
        <f>MAX(0.02,NORMINV(RAND(),$C$7,$D$7))</f>
        <v/>
      </c>
      <c r="M664" s="27">
        <f>MIN(0.16,MAX(0.05,NORMINV(RAND(),$C$8,$D$8)))</f>
        <v/>
      </c>
      <c r="N664" s="28">
        <f>MIN(24,MAX(5,NORMINV(RAND(),$C$9,$D$9)))</f>
        <v/>
      </c>
      <c r="O664" s="51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7">
        <f>MAX(-0.05,NORMINV(RAND(),$C$6,$D$6))</f>
        <v/>
      </c>
      <c r="L665" s="27">
        <f>MAX(0.02,NORMINV(RAND(),$C$7,$D$7))</f>
        <v/>
      </c>
      <c r="M665" s="27">
        <f>MIN(0.16,MAX(0.05,NORMINV(RAND(),$C$8,$D$8)))</f>
        <v/>
      </c>
      <c r="N665" s="28">
        <f>MIN(24,MAX(5,NORMINV(RAND(),$C$9,$D$9)))</f>
        <v/>
      </c>
      <c r="O665" s="51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7">
        <f>MAX(-0.05,NORMINV(RAND(),$C$6,$D$6))</f>
        <v/>
      </c>
      <c r="L666" s="27">
        <f>MAX(0.02,NORMINV(RAND(),$C$7,$D$7))</f>
        <v/>
      </c>
      <c r="M666" s="27">
        <f>MIN(0.16,MAX(0.05,NORMINV(RAND(),$C$8,$D$8)))</f>
        <v/>
      </c>
      <c r="N666" s="28">
        <f>MIN(24,MAX(5,NORMINV(RAND(),$C$9,$D$9)))</f>
        <v/>
      </c>
      <c r="O666" s="51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7">
        <f>MAX(-0.05,NORMINV(RAND(),$C$6,$D$6))</f>
        <v/>
      </c>
      <c r="L667" s="27">
        <f>MAX(0.02,NORMINV(RAND(),$C$7,$D$7))</f>
        <v/>
      </c>
      <c r="M667" s="27">
        <f>MIN(0.16,MAX(0.05,NORMINV(RAND(),$C$8,$D$8)))</f>
        <v/>
      </c>
      <c r="N667" s="28">
        <f>MIN(24,MAX(5,NORMINV(RAND(),$C$9,$D$9)))</f>
        <v/>
      </c>
      <c r="O667" s="51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7">
        <f>MAX(-0.05,NORMINV(RAND(),$C$6,$D$6))</f>
        <v/>
      </c>
      <c r="L668" s="27">
        <f>MAX(0.02,NORMINV(RAND(),$C$7,$D$7))</f>
        <v/>
      </c>
      <c r="M668" s="27">
        <f>MIN(0.16,MAX(0.05,NORMINV(RAND(),$C$8,$D$8)))</f>
        <v/>
      </c>
      <c r="N668" s="28">
        <f>MIN(24,MAX(5,NORMINV(RAND(),$C$9,$D$9)))</f>
        <v/>
      </c>
      <c r="O668" s="51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7">
        <f>MAX(-0.05,NORMINV(RAND(),$C$6,$D$6))</f>
        <v/>
      </c>
      <c r="L669" s="27">
        <f>MAX(0.02,NORMINV(RAND(),$C$7,$D$7))</f>
        <v/>
      </c>
      <c r="M669" s="27">
        <f>MIN(0.16,MAX(0.05,NORMINV(RAND(),$C$8,$D$8)))</f>
        <v/>
      </c>
      <c r="N669" s="28">
        <f>MIN(24,MAX(5,NORMINV(RAND(),$C$9,$D$9)))</f>
        <v/>
      </c>
      <c r="O669" s="51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7">
        <f>MAX(-0.05,NORMINV(RAND(),$C$6,$D$6))</f>
        <v/>
      </c>
      <c r="L670" s="27">
        <f>MAX(0.02,NORMINV(RAND(),$C$7,$D$7))</f>
        <v/>
      </c>
      <c r="M670" s="27">
        <f>MIN(0.16,MAX(0.05,NORMINV(RAND(),$C$8,$D$8)))</f>
        <v/>
      </c>
      <c r="N670" s="28">
        <f>MIN(24,MAX(5,NORMINV(RAND(),$C$9,$D$9)))</f>
        <v/>
      </c>
      <c r="O670" s="51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7">
        <f>MAX(-0.05,NORMINV(RAND(),$C$6,$D$6))</f>
        <v/>
      </c>
      <c r="L671" s="27">
        <f>MAX(0.02,NORMINV(RAND(),$C$7,$D$7))</f>
        <v/>
      </c>
      <c r="M671" s="27">
        <f>MIN(0.16,MAX(0.05,NORMINV(RAND(),$C$8,$D$8)))</f>
        <v/>
      </c>
      <c r="N671" s="28">
        <f>MIN(24,MAX(5,NORMINV(RAND(),$C$9,$D$9)))</f>
        <v/>
      </c>
      <c r="O671" s="51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7">
        <f>MAX(-0.05,NORMINV(RAND(),$C$6,$D$6))</f>
        <v/>
      </c>
      <c r="L672" s="27">
        <f>MAX(0.02,NORMINV(RAND(),$C$7,$D$7))</f>
        <v/>
      </c>
      <c r="M672" s="27">
        <f>MIN(0.16,MAX(0.05,NORMINV(RAND(),$C$8,$D$8)))</f>
        <v/>
      </c>
      <c r="N672" s="28">
        <f>MIN(24,MAX(5,NORMINV(RAND(),$C$9,$D$9)))</f>
        <v/>
      </c>
      <c r="O672" s="51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7">
        <f>MAX(-0.05,NORMINV(RAND(),$C$6,$D$6))</f>
        <v/>
      </c>
      <c r="L673" s="27">
        <f>MAX(0.02,NORMINV(RAND(),$C$7,$D$7))</f>
        <v/>
      </c>
      <c r="M673" s="27">
        <f>MIN(0.16,MAX(0.05,NORMINV(RAND(),$C$8,$D$8)))</f>
        <v/>
      </c>
      <c r="N673" s="28">
        <f>MIN(24,MAX(5,NORMINV(RAND(),$C$9,$D$9)))</f>
        <v/>
      </c>
      <c r="O673" s="51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7">
        <f>MAX(-0.05,NORMINV(RAND(),$C$6,$D$6))</f>
        <v/>
      </c>
      <c r="L674" s="27">
        <f>MAX(0.02,NORMINV(RAND(),$C$7,$D$7))</f>
        <v/>
      </c>
      <c r="M674" s="27">
        <f>MIN(0.16,MAX(0.05,NORMINV(RAND(),$C$8,$D$8)))</f>
        <v/>
      </c>
      <c r="N674" s="28">
        <f>MIN(24,MAX(5,NORMINV(RAND(),$C$9,$D$9)))</f>
        <v/>
      </c>
      <c r="O674" s="51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7">
        <f>MAX(-0.05,NORMINV(RAND(),$C$6,$D$6))</f>
        <v/>
      </c>
      <c r="L675" s="27">
        <f>MAX(0.02,NORMINV(RAND(),$C$7,$D$7))</f>
        <v/>
      </c>
      <c r="M675" s="27">
        <f>MIN(0.16,MAX(0.05,NORMINV(RAND(),$C$8,$D$8)))</f>
        <v/>
      </c>
      <c r="N675" s="28">
        <f>MIN(24,MAX(5,NORMINV(RAND(),$C$9,$D$9)))</f>
        <v/>
      </c>
      <c r="O675" s="51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7">
        <f>MAX(-0.05,NORMINV(RAND(),$C$6,$D$6))</f>
        <v/>
      </c>
      <c r="L676" s="27">
        <f>MAX(0.02,NORMINV(RAND(),$C$7,$D$7))</f>
        <v/>
      </c>
      <c r="M676" s="27">
        <f>MIN(0.16,MAX(0.05,NORMINV(RAND(),$C$8,$D$8)))</f>
        <v/>
      </c>
      <c r="N676" s="28">
        <f>MIN(24,MAX(5,NORMINV(RAND(),$C$9,$D$9)))</f>
        <v/>
      </c>
      <c r="O676" s="51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7">
        <f>MAX(-0.05,NORMINV(RAND(),$C$6,$D$6))</f>
        <v/>
      </c>
      <c r="L677" s="27">
        <f>MAX(0.02,NORMINV(RAND(),$C$7,$D$7))</f>
        <v/>
      </c>
      <c r="M677" s="27">
        <f>MIN(0.16,MAX(0.05,NORMINV(RAND(),$C$8,$D$8)))</f>
        <v/>
      </c>
      <c r="N677" s="28">
        <f>MIN(24,MAX(5,NORMINV(RAND(),$C$9,$D$9)))</f>
        <v/>
      </c>
      <c r="O677" s="51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7">
        <f>MAX(-0.05,NORMINV(RAND(),$C$6,$D$6))</f>
        <v/>
      </c>
      <c r="L678" s="27">
        <f>MAX(0.02,NORMINV(RAND(),$C$7,$D$7))</f>
        <v/>
      </c>
      <c r="M678" s="27">
        <f>MIN(0.16,MAX(0.05,NORMINV(RAND(),$C$8,$D$8)))</f>
        <v/>
      </c>
      <c r="N678" s="28">
        <f>MIN(24,MAX(5,NORMINV(RAND(),$C$9,$D$9)))</f>
        <v/>
      </c>
      <c r="O678" s="51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7">
        <f>MAX(-0.05,NORMINV(RAND(),$C$6,$D$6))</f>
        <v/>
      </c>
      <c r="L679" s="27">
        <f>MAX(0.02,NORMINV(RAND(),$C$7,$D$7))</f>
        <v/>
      </c>
      <c r="M679" s="27">
        <f>MIN(0.16,MAX(0.05,NORMINV(RAND(),$C$8,$D$8)))</f>
        <v/>
      </c>
      <c r="N679" s="28">
        <f>MIN(24,MAX(5,NORMINV(RAND(),$C$9,$D$9)))</f>
        <v/>
      </c>
      <c r="O679" s="51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7">
        <f>MAX(-0.05,NORMINV(RAND(),$C$6,$D$6))</f>
        <v/>
      </c>
      <c r="L680" s="27">
        <f>MAX(0.02,NORMINV(RAND(),$C$7,$D$7))</f>
        <v/>
      </c>
      <c r="M680" s="27">
        <f>MIN(0.16,MAX(0.05,NORMINV(RAND(),$C$8,$D$8)))</f>
        <v/>
      </c>
      <c r="N680" s="28">
        <f>MIN(24,MAX(5,NORMINV(RAND(),$C$9,$D$9)))</f>
        <v/>
      </c>
      <c r="O680" s="51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7">
        <f>MAX(-0.05,NORMINV(RAND(),$C$6,$D$6))</f>
        <v/>
      </c>
      <c r="L681" s="27">
        <f>MAX(0.02,NORMINV(RAND(),$C$7,$D$7))</f>
        <v/>
      </c>
      <c r="M681" s="27">
        <f>MIN(0.16,MAX(0.05,NORMINV(RAND(),$C$8,$D$8)))</f>
        <v/>
      </c>
      <c r="N681" s="28">
        <f>MIN(24,MAX(5,NORMINV(RAND(),$C$9,$D$9)))</f>
        <v/>
      </c>
      <c r="O681" s="51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7">
        <f>MAX(-0.05,NORMINV(RAND(),$C$6,$D$6))</f>
        <v/>
      </c>
      <c r="L682" s="27">
        <f>MAX(0.02,NORMINV(RAND(),$C$7,$D$7))</f>
        <v/>
      </c>
      <c r="M682" s="27">
        <f>MIN(0.16,MAX(0.05,NORMINV(RAND(),$C$8,$D$8)))</f>
        <v/>
      </c>
      <c r="N682" s="28">
        <f>MIN(24,MAX(5,NORMINV(RAND(),$C$9,$D$9)))</f>
        <v/>
      </c>
      <c r="O682" s="51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7">
        <f>MAX(-0.05,NORMINV(RAND(),$C$6,$D$6))</f>
        <v/>
      </c>
      <c r="L683" s="27">
        <f>MAX(0.02,NORMINV(RAND(),$C$7,$D$7))</f>
        <v/>
      </c>
      <c r="M683" s="27">
        <f>MIN(0.16,MAX(0.05,NORMINV(RAND(),$C$8,$D$8)))</f>
        <v/>
      </c>
      <c r="N683" s="28">
        <f>MIN(24,MAX(5,NORMINV(RAND(),$C$9,$D$9)))</f>
        <v/>
      </c>
      <c r="O683" s="51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7">
        <f>MAX(-0.05,NORMINV(RAND(),$C$6,$D$6))</f>
        <v/>
      </c>
      <c r="L684" s="27">
        <f>MAX(0.02,NORMINV(RAND(),$C$7,$D$7))</f>
        <v/>
      </c>
      <c r="M684" s="27">
        <f>MIN(0.16,MAX(0.05,NORMINV(RAND(),$C$8,$D$8)))</f>
        <v/>
      </c>
      <c r="N684" s="28">
        <f>MIN(24,MAX(5,NORMINV(RAND(),$C$9,$D$9)))</f>
        <v/>
      </c>
      <c r="O684" s="51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7">
        <f>MAX(-0.05,NORMINV(RAND(),$C$6,$D$6))</f>
        <v/>
      </c>
      <c r="L685" s="27">
        <f>MAX(0.02,NORMINV(RAND(),$C$7,$D$7))</f>
        <v/>
      </c>
      <c r="M685" s="27">
        <f>MIN(0.16,MAX(0.05,NORMINV(RAND(),$C$8,$D$8)))</f>
        <v/>
      </c>
      <c r="N685" s="28">
        <f>MIN(24,MAX(5,NORMINV(RAND(),$C$9,$D$9)))</f>
        <v/>
      </c>
      <c r="O685" s="51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7">
        <f>MAX(-0.05,NORMINV(RAND(),$C$6,$D$6))</f>
        <v/>
      </c>
      <c r="L686" s="27">
        <f>MAX(0.02,NORMINV(RAND(),$C$7,$D$7))</f>
        <v/>
      </c>
      <c r="M686" s="27">
        <f>MIN(0.16,MAX(0.05,NORMINV(RAND(),$C$8,$D$8)))</f>
        <v/>
      </c>
      <c r="N686" s="28">
        <f>MIN(24,MAX(5,NORMINV(RAND(),$C$9,$D$9)))</f>
        <v/>
      </c>
      <c r="O686" s="51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7">
        <f>MAX(-0.05,NORMINV(RAND(),$C$6,$D$6))</f>
        <v/>
      </c>
      <c r="L687" s="27">
        <f>MAX(0.02,NORMINV(RAND(),$C$7,$D$7))</f>
        <v/>
      </c>
      <c r="M687" s="27">
        <f>MIN(0.16,MAX(0.05,NORMINV(RAND(),$C$8,$D$8)))</f>
        <v/>
      </c>
      <c r="N687" s="28">
        <f>MIN(24,MAX(5,NORMINV(RAND(),$C$9,$D$9)))</f>
        <v/>
      </c>
      <c r="O687" s="51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7">
        <f>MAX(-0.05,NORMINV(RAND(),$C$6,$D$6))</f>
        <v/>
      </c>
      <c r="L688" s="27">
        <f>MAX(0.02,NORMINV(RAND(),$C$7,$D$7))</f>
        <v/>
      </c>
      <c r="M688" s="27">
        <f>MIN(0.16,MAX(0.05,NORMINV(RAND(),$C$8,$D$8)))</f>
        <v/>
      </c>
      <c r="N688" s="28">
        <f>MIN(24,MAX(5,NORMINV(RAND(),$C$9,$D$9)))</f>
        <v/>
      </c>
      <c r="O688" s="51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7">
        <f>MAX(-0.05,NORMINV(RAND(),$C$6,$D$6))</f>
        <v/>
      </c>
      <c r="L689" s="27">
        <f>MAX(0.02,NORMINV(RAND(),$C$7,$D$7))</f>
        <v/>
      </c>
      <c r="M689" s="27">
        <f>MIN(0.16,MAX(0.05,NORMINV(RAND(),$C$8,$D$8)))</f>
        <v/>
      </c>
      <c r="N689" s="28">
        <f>MIN(24,MAX(5,NORMINV(RAND(),$C$9,$D$9)))</f>
        <v/>
      </c>
      <c r="O689" s="51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7">
        <f>MAX(-0.05,NORMINV(RAND(),$C$6,$D$6))</f>
        <v/>
      </c>
      <c r="L690" s="27">
        <f>MAX(0.02,NORMINV(RAND(),$C$7,$D$7))</f>
        <v/>
      </c>
      <c r="M690" s="27">
        <f>MIN(0.16,MAX(0.05,NORMINV(RAND(),$C$8,$D$8)))</f>
        <v/>
      </c>
      <c r="N690" s="28">
        <f>MIN(24,MAX(5,NORMINV(RAND(),$C$9,$D$9)))</f>
        <v/>
      </c>
      <c r="O690" s="51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7">
        <f>MAX(-0.05,NORMINV(RAND(),$C$6,$D$6))</f>
        <v/>
      </c>
      <c r="L691" s="27">
        <f>MAX(0.02,NORMINV(RAND(),$C$7,$D$7))</f>
        <v/>
      </c>
      <c r="M691" s="27">
        <f>MIN(0.16,MAX(0.05,NORMINV(RAND(),$C$8,$D$8)))</f>
        <v/>
      </c>
      <c r="N691" s="28">
        <f>MIN(24,MAX(5,NORMINV(RAND(),$C$9,$D$9)))</f>
        <v/>
      </c>
      <c r="O691" s="51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7">
        <f>MAX(-0.05,NORMINV(RAND(),$C$6,$D$6))</f>
        <v/>
      </c>
      <c r="L692" s="27">
        <f>MAX(0.02,NORMINV(RAND(),$C$7,$D$7))</f>
        <v/>
      </c>
      <c r="M692" s="27">
        <f>MIN(0.16,MAX(0.05,NORMINV(RAND(),$C$8,$D$8)))</f>
        <v/>
      </c>
      <c r="N692" s="28">
        <f>MIN(24,MAX(5,NORMINV(RAND(),$C$9,$D$9)))</f>
        <v/>
      </c>
      <c r="O692" s="51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7">
        <f>MAX(-0.05,NORMINV(RAND(),$C$6,$D$6))</f>
        <v/>
      </c>
      <c r="L693" s="27">
        <f>MAX(0.02,NORMINV(RAND(),$C$7,$D$7))</f>
        <v/>
      </c>
      <c r="M693" s="27">
        <f>MIN(0.16,MAX(0.05,NORMINV(RAND(),$C$8,$D$8)))</f>
        <v/>
      </c>
      <c r="N693" s="28">
        <f>MIN(24,MAX(5,NORMINV(RAND(),$C$9,$D$9)))</f>
        <v/>
      </c>
      <c r="O693" s="51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7">
        <f>MAX(-0.05,NORMINV(RAND(),$C$6,$D$6))</f>
        <v/>
      </c>
      <c r="L694" s="27">
        <f>MAX(0.02,NORMINV(RAND(),$C$7,$D$7))</f>
        <v/>
      </c>
      <c r="M694" s="27">
        <f>MIN(0.16,MAX(0.05,NORMINV(RAND(),$C$8,$D$8)))</f>
        <v/>
      </c>
      <c r="N694" s="28">
        <f>MIN(24,MAX(5,NORMINV(RAND(),$C$9,$D$9)))</f>
        <v/>
      </c>
      <c r="O694" s="51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7">
        <f>MAX(-0.05,NORMINV(RAND(),$C$6,$D$6))</f>
        <v/>
      </c>
      <c r="L695" s="27">
        <f>MAX(0.02,NORMINV(RAND(),$C$7,$D$7))</f>
        <v/>
      </c>
      <c r="M695" s="27">
        <f>MIN(0.16,MAX(0.05,NORMINV(RAND(),$C$8,$D$8)))</f>
        <v/>
      </c>
      <c r="N695" s="28">
        <f>MIN(24,MAX(5,NORMINV(RAND(),$C$9,$D$9)))</f>
        <v/>
      </c>
      <c r="O695" s="51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7">
        <f>MAX(-0.05,NORMINV(RAND(),$C$6,$D$6))</f>
        <v/>
      </c>
      <c r="L696" s="27">
        <f>MAX(0.02,NORMINV(RAND(),$C$7,$D$7))</f>
        <v/>
      </c>
      <c r="M696" s="27">
        <f>MIN(0.16,MAX(0.05,NORMINV(RAND(),$C$8,$D$8)))</f>
        <v/>
      </c>
      <c r="N696" s="28">
        <f>MIN(24,MAX(5,NORMINV(RAND(),$C$9,$D$9)))</f>
        <v/>
      </c>
      <c r="O696" s="51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7">
        <f>MAX(-0.05,NORMINV(RAND(),$C$6,$D$6))</f>
        <v/>
      </c>
      <c r="L697" s="27">
        <f>MAX(0.02,NORMINV(RAND(),$C$7,$D$7))</f>
        <v/>
      </c>
      <c r="M697" s="27">
        <f>MIN(0.16,MAX(0.05,NORMINV(RAND(),$C$8,$D$8)))</f>
        <v/>
      </c>
      <c r="N697" s="28">
        <f>MIN(24,MAX(5,NORMINV(RAND(),$C$9,$D$9)))</f>
        <v/>
      </c>
      <c r="O697" s="51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7">
        <f>MAX(-0.05,NORMINV(RAND(),$C$6,$D$6))</f>
        <v/>
      </c>
      <c r="L698" s="27">
        <f>MAX(0.02,NORMINV(RAND(),$C$7,$D$7))</f>
        <v/>
      </c>
      <c r="M698" s="27">
        <f>MIN(0.16,MAX(0.05,NORMINV(RAND(),$C$8,$D$8)))</f>
        <v/>
      </c>
      <c r="N698" s="28">
        <f>MIN(24,MAX(5,NORMINV(RAND(),$C$9,$D$9)))</f>
        <v/>
      </c>
      <c r="O698" s="51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7">
        <f>MAX(-0.05,NORMINV(RAND(),$C$6,$D$6))</f>
        <v/>
      </c>
      <c r="L699" s="27">
        <f>MAX(0.02,NORMINV(RAND(),$C$7,$D$7))</f>
        <v/>
      </c>
      <c r="M699" s="27">
        <f>MIN(0.16,MAX(0.05,NORMINV(RAND(),$C$8,$D$8)))</f>
        <v/>
      </c>
      <c r="N699" s="28">
        <f>MIN(24,MAX(5,NORMINV(RAND(),$C$9,$D$9)))</f>
        <v/>
      </c>
      <c r="O699" s="51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7">
        <f>MAX(-0.05,NORMINV(RAND(),$C$6,$D$6))</f>
        <v/>
      </c>
      <c r="L700" s="27">
        <f>MAX(0.02,NORMINV(RAND(),$C$7,$D$7))</f>
        <v/>
      </c>
      <c r="M700" s="27">
        <f>MIN(0.16,MAX(0.05,NORMINV(RAND(),$C$8,$D$8)))</f>
        <v/>
      </c>
      <c r="N700" s="28">
        <f>MIN(24,MAX(5,NORMINV(RAND(),$C$9,$D$9)))</f>
        <v/>
      </c>
      <c r="O700" s="51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7">
        <f>MAX(-0.05,NORMINV(RAND(),$C$6,$D$6))</f>
        <v/>
      </c>
      <c r="L701" s="27">
        <f>MAX(0.02,NORMINV(RAND(),$C$7,$D$7))</f>
        <v/>
      </c>
      <c r="M701" s="27">
        <f>MIN(0.16,MAX(0.05,NORMINV(RAND(),$C$8,$D$8)))</f>
        <v/>
      </c>
      <c r="N701" s="28">
        <f>MIN(24,MAX(5,NORMINV(RAND(),$C$9,$D$9)))</f>
        <v/>
      </c>
      <c r="O701" s="51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7">
        <f>MAX(-0.05,NORMINV(RAND(),$C$6,$D$6))</f>
        <v/>
      </c>
      <c r="L702" s="27">
        <f>MAX(0.02,NORMINV(RAND(),$C$7,$D$7))</f>
        <v/>
      </c>
      <c r="M702" s="27">
        <f>MIN(0.16,MAX(0.05,NORMINV(RAND(),$C$8,$D$8)))</f>
        <v/>
      </c>
      <c r="N702" s="28">
        <f>MIN(24,MAX(5,NORMINV(RAND(),$C$9,$D$9)))</f>
        <v/>
      </c>
      <c r="O702" s="51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7">
        <f>MAX(-0.05,NORMINV(RAND(),$C$6,$D$6))</f>
        <v/>
      </c>
      <c r="L703" s="27">
        <f>MAX(0.02,NORMINV(RAND(),$C$7,$D$7))</f>
        <v/>
      </c>
      <c r="M703" s="27">
        <f>MIN(0.16,MAX(0.05,NORMINV(RAND(),$C$8,$D$8)))</f>
        <v/>
      </c>
      <c r="N703" s="28">
        <f>MIN(24,MAX(5,NORMINV(RAND(),$C$9,$D$9)))</f>
        <v/>
      </c>
      <c r="O703" s="51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7">
        <f>MAX(-0.05,NORMINV(RAND(),$C$6,$D$6))</f>
        <v/>
      </c>
      <c r="L704" s="27">
        <f>MAX(0.02,NORMINV(RAND(),$C$7,$D$7))</f>
        <v/>
      </c>
      <c r="M704" s="27">
        <f>MIN(0.16,MAX(0.05,NORMINV(RAND(),$C$8,$D$8)))</f>
        <v/>
      </c>
      <c r="N704" s="28">
        <f>MIN(24,MAX(5,NORMINV(RAND(),$C$9,$D$9)))</f>
        <v/>
      </c>
      <c r="O704" s="51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7">
        <f>MAX(-0.05,NORMINV(RAND(),$C$6,$D$6))</f>
        <v/>
      </c>
      <c r="L705" s="27">
        <f>MAX(0.02,NORMINV(RAND(),$C$7,$D$7))</f>
        <v/>
      </c>
      <c r="M705" s="27">
        <f>MIN(0.16,MAX(0.05,NORMINV(RAND(),$C$8,$D$8)))</f>
        <v/>
      </c>
      <c r="N705" s="28">
        <f>MIN(24,MAX(5,NORMINV(RAND(),$C$9,$D$9)))</f>
        <v/>
      </c>
      <c r="O705" s="51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7">
        <f>MAX(-0.05,NORMINV(RAND(),$C$6,$D$6))</f>
        <v/>
      </c>
      <c r="L706" s="27">
        <f>MAX(0.02,NORMINV(RAND(),$C$7,$D$7))</f>
        <v/>
      </c>
      <c r="M706" s="27">
        <f>MIN(0.16,MAX(0.05,NORMINV(RAND(),$C$8,$D$8)))</f>
        <v/>
      </c>
      <c r="N706" s="28">
        <f>MIN(24,MAX(5,NORMINV(RAND(),$C$9,$D$9)))</f>
        <v/>
      </c>
      <c r="O706" s="51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7">
        <f>MAX(-0.05,NORMINV(RAND(),$C$6,$D$6))</f>
        <v/>
      </c>
      <c r="L707" s="27">
        <f>MAX(0.02,NORMINV(RAND(),$C$7,$D$7))</f>
        <v/>
      </c>
      <c r="M707" s="27">
        <f>MIN(0.16,MAX(0.05,NORMINV(RAND(),$C$8,$D$8)))</f>
        <v/>
      </c>
      <c r="N707" s="28">
        <f>MIN(24,MAX(5,NORMINV(RAND(),$C$9,$D$9)))</f>
        <v/>
      </c>
      <c r="O707" s="51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7">
        <f>MAX(-0.05,NORMINV(RAND(),$C$6,$D$6))</f>
        <v/>
      </c>
      <c r="L708" s="27">
        <f>MAX(0.02,NORMINV(RAND(),$C$7,$D$7))</f>
        <v/>
      </c>
      <c r="M708" s="27">
        <f>MIN(0.16,MAX(0.05,NORMINV(RAND(),$C$8,$D$8)))</f>
        <v/>
      </c>
      <c r="N708" s="28">
        <f>MIN(24,MAX(5,NORMINV(RAND(),$C$9,$D$9)))</f>
        <v/>
      </c>
      <c r="O708" s="51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7">
        <f>MAX(-0.05,NORMINV(RAND(),$C$6,$D$6))</f>
        <v/>
      </c>
      <c r="L709" s="27">
        <f>MAX(0.02,NORMINV(RAND(),$C$7,$D$7))</f>
        <v/>
      </c>
      <c r="M709" s="27">
        <f>MIN(0.16,MAX(0.05,NORMINV(RAND(),$C$8,$D$8)))</f>
        <v/>
      </c>
      <c r="N709" s="28">
        <f>MIN(24,MAX(5,NORMINV(RAND(),$C$9,$D$9)))</f>
        <v/>
      </c>
      <c r="O709" s="51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7">
        <f>MAX(-0.05,NORMINV(RAND(),$C$6,$D$6))</f>
        <v/>
      </c>
      <c r="L710" s="27">
        <f>MAX(0.02,NORMINV(RAND(),$C$7,$D$7))</f>
        <v/>
      </c>
      <c r="M710" s="27">
        <f>MIN(0.16,MAX(0.05,NORMINV(RAND(),$C$8,$D$8)))</f>
        <v/>
      </c>
      <c r="N710" s="28">
        <f>MIN(24,MAX(5,NORMINV(RAND(),$C$9,$D$9)))</f>
        <v/>
      </c>
      <c r="O710" s="51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7">
        <f>MAX(-0.05,NORMINV(RAND(),$C$6,$D$6))</f>
        <v/>
      </c>
      <c r="L711" s="27">
        <f>MAX(0.02,NORMINV(RAND(),$C$7,$D$7))</f>
        <v/>
      </c>
      <c r="M711" s="27">
        <f>MIN(0.16,MAX(0.05,NORMINV(RAND(),$C$8,$D$8)))</f>
        <v/>
      </c>
      <c r="N711" s="28">
        <f>MIN(24,MAX(5,NORMINV(RAND(),$C$9,$D$9)))</f>
        <v/>
      </c>
      <c r="O711" s="51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7">
        <f>MAX(-0.05,NORMINV(RAND(),$C$6,$D$6))</f>
        <v/>
      </c>
      <c r="L712" s="27">
        <f>MAX(0.02,NORMINV(RAND(),$C$7,$D$7))</f>
        <v/>
      </c>
      <c r="M712" s="27">
        <f>MIN(0.16,MAX(0.05,NORMINV(RAND(),$C$8,$D$8)))</f>
        <v/>
      </c>
      <c r="N712" s="28">
        <f>MIN(24,MAX(5,NORMINV(RAND(),$C$9,$D$9)))</f>
        <v/>
      </c>
      <c r="O712" s="51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7">
        <f>MAX(-0.05,NORMINV(RAND(),$C$6,$D$6))</f>
        <v/>
      </c>
      <c r="L713" s="27">
        <f>MAX(0.02,NORMINV(RAND(),$C$7,$D$7))</f>
        <v/>
      </c>
      <c r="M713" s="27">
        <f>MIN(0.16,MAX(0.05,NORMINV(RAND(),$C$8,$D$8)))</f>
        <v/>
      </c>
      <c r="N713" s="28">
        <f>MIN(24,MAX(5,NORMINV(RAND(),$C$9,$D$9)))</f>
        <v/>
      </c>
      <c r="O713" s="51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7">
        <f>MAX(-0.05,NORMINV(RAND(),$C$6,$D$6))</f>
        <v/>
      </c>
      <c r="L714" s="27">
        <f>MAX(0.02,NORMINV(RAND(),$C$7,$D$7))</f>
        <v/>
      </c>
      <c r="M714" s="27">
        <f>MIN(0.16,MAX(0.05,NORMINV(RAND(),$C$8,$D$8)))</f>
        <v/>
      </c>
      <c r="N714" s="28">
        <f>MIN(24,MAX(5,NORMINV(RAND(),$C$9,$D$9)))</f>
        <v/>
      </c>
      <c r="O714" s="51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7">
        <f>MAX(-0.05,NORMINV(RAND(),$C$6,$D$6))</f>
        <v/>
      </c>
      <c r="L715" s="27">
        <f>MAX(0.02,NORMINV(RAND(),$C$7,$D$7))</f>
        <v/>
      </c>
      <c r="M715" s="27">
        <f>MIN(0.16,MAX(0.05,NORMINV(RAND(),$C$8,$D$8)))</f>
        <v/>
      </c>
      <c r="N715" s="28">
        <f>MIN(24,MAX(5,NORMINV(RAND(),$C$9,$D$9)))</f>
        <v/>
      </c>
      <c r="O715" s="51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7">
        <f>MAX(-0.05,NORMINV(RAND(),$C$6,$D$6))</f>
        <v/>
      </c>
      <c r="L716" s="27">
        <f>MAX(0.02,NORMINV(RAND(),$C$7,$D$7))</f>
        <v/>
      </c>
      <c r="M716" s="27">
        <f>MIN(0.16,MAX(0.05,NORMINV(RAND(),$C$8,$D$8)))</f>
        <v/>
      </c>
      <c r="N716" s="28">
        <f>MIN(24,MAX(5,NORMINV(RAND(),$C$9,$D$9)))</f>
        <v/>
      </c>
      <c r="O716" s="51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7">
        <f>MAX(-0.05,NORMINV(RAND(),$C$6,$D$6))</f>
        <v/>
      </c>
      <c r="L717" s="27">
        <f>MAX(0.02,NORMINV(RAND(),$C$7,$D$7))</f>
        <v/>
      </c>
      <c r="M717" s="27">
        <f>MIN(0.16,MAX(0.05,NORMINV(RAND(),$C$8,$D$8)))</f>
        <v/>
      </c>
      <c r="N717" s="28">
        <f>MIN(24,MAX(5,NORMINV(RAND(),$C$9,$D$9)))</f>
        <v/>
      </c>
      <c r="O717" s="51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7">
        <f>MAX(-0.05,NORMINV(RAND(),$C$6,$D$6))</f>
        <v/>
      </c>
      <c r="L718" s="27">
        <f>MAX(0.02,NORMINV(RAND(),$C$7,$D$7))</f>
        <v/>
      </c>
      <c r="M718" s="27">
        <f>MIN(0.16,MAX(0.05,NORMINV(RAND(),$C$8,$D$8)))</f>
        <v/>
      </c>
      <c r="N718" s="28">
        <f>MIN(24,MAX(5,NORMINV(RAND(),$C$9,$D$9)))</f>
        <v/>
      </c>
      <c r="O718" s="51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7">
        <f>MAX(-0.05,NORMINV(RAND(),$C$6,$D$6))</f>
        <v/>
      </c>
      <c r="L719" s="27">
        <f>MAX(0.02,NORMINV(RAND(),$C$7,$D$7))</f>
        <v/>
      </c>
      <c r="M719" s="27">
        <f>MIN(0.16,MAX(0.05,NORMINV(RAND(),$C$8,$D$8)))</f>
        <v/>
      </c>
      <c r="N719" s="28">
        <f>MIN(24,MAX(5,NORMINV(RAND(),$C$9,$D$9)))</f>
        <v/>
      </c>
      <c r="O719" s="51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7">
        <f>MAX(-0.05,NORMINV(RAND(),$C$6,$D$6))</f>
        <v/>
      </c>
      <c r="L720" s="27">
        <f>MAX(0.02,NORMINV(RAND(),$C$7,$D$7))</f>
        <v/>
      </c>
      <c r="M720" s="27">
        <f>MIN(0.16,MAX(0.05,NORMINV(RAND(),$C$8,$D$8)))</f>
        <v/>
      </c>
      <c r="N720" s="28">
        <f>MIN(24,MAX(5,NORMINV(RAND(),$C$9,$D$9)))</f>
        <v/>
      </c>
      <c r="O720" s="51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7">
        <f>MAX(-0.05,NORMINV(RAND(),$C$6,$D$6))</f>
        <v/>
      </c>
      <c r="L721" s="27">
        <f>MAX(0.02,NORMINV(RAND(),$C$7,$D$7))</f>
        <v/>
      </c>
      <c r="M721" s="27">
        <f>MIN(0.16,MAX(0.05,NORMINV(RAND(),$C$8,$D$8)))</f>
        <v/>
      </c>
      <c r="N721" s="28">
        <f>MIN(24,MAX(5,NORMINV(RAND(),$C$9,$D$9)))</f>
        <v/>
      </c>
      <c r="O721" s="51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7">
        <f>MAX(-0.05,NORMINV(RAND(),$C$6,$D$6))</f>
        <v/>
      </c>
      <c r="L722" s="27">
        <f>MAX(0.02,NORMINV(RAND(),$C$7,$D$7))</f>
        <v/>
      </c>
      <c r="M722" s="27">
        <f>MIN(0.16,MAX(0.05,NORMINV(RAND(),$C$8,$D$8)))</f>
        <v/>
      </c>
      <c r="N722" s="28">
        <f>MIN(24,MAX(5,NORMINV(RAND(),$C$9,$D$9)))</f>
        <v/>
      </c>
      <c r="O722" s="51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7">
        <f>MAX(-0.05,NORMINV(RAND(),$C$6,$D$6))</f>
        <v/>
      </c>
      <c r="L723" s="27">
        <f>MAX(0.02,NORMINV(RAND(),$C$7,$D$7))</f>
        <v/>
      </c>
      <c r="M723" s="27">
        <f>MIN(0.16,MAX(0.05,NORMINV(RAND(),$C$8,$D$8)))</f>
        <v/>
      </c>
      <c r="N723" s="28">
        <f>MIN(24,MAX(5,NORMINV(RAND(),$C$9,$D$9)))</f>
        <v/>
      </c>
      <c r="O723" s="51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7">
        <f>MAX(-0.05,NORMINV(RAND(),$C$6,$D$6))</f>
        <v/>
      </c>
      <c r="L724" s="27">
        <f>MAX(0.02,NORMINV(RAND(),$C$7,$D$7))</f>
        <v/>
      </c>
      <c r="M724" s="27">
        <f>MIN(0.16,MAX(0.05,NORMINV(RAND(),$C$8,$D$8)))</f>
        <v/>
      </c>
      <c r="N724" s="28">
        <f>MIN(24,MAX(5,NORMINV(RAND(),$C$9,$D$9)))</f>
        <v/>
      </c>
      <c r="O724" s="51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7">
        <f>MAX(-0.05,NORMINV(RAND(),$C$6,$D$6))</f>
        <v/>
      </c>
      <c r="L725" s="27">
        <f>MAX(0.02,NORMINV(RAND(),$C$7,$D$7))</f>
        <v/>
      </c>
      <c r="M725" s="27">
        <f>MIN(0.16,MAX(0.05,NORMINV(RAND(),$C$8,$D$8)))</f>
        <v/>
      </c>
      <c r="N725" s="28">
        <f>MIN(24,MAX(5,NORMINV(RAND(),$C$9,$D$9)))</f>
        <v/>
      </c>
      <c r="O725" s="51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7">
        <f>MAX(-0.05,NORMINV(RAND(),$C$6,$D$6))</f>
        <v/>
      </c>
      <c r="L726" s="27">
        <f>MAX(0.02,NORMINV(RAND(),$C$7,$D$7))</f>
        <v/>
      </c>
      <c r="M726" s="27">
        <f>MIN(0.16,MAX(0.05,NORMINV(RAND(),$C$8,$D$8)))</f>
        <v/>
      </c>
      <c r="N726" s="28">
        <f>MIN(24,MAX(5,NORMINV(RAND(),$C$9,$D$9)))</f>
        <v/>
      </c>
      <c r="O726" s="51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7">
        <f>MAX(-0.05,NORMINV(RAND(),$C$6,$D$6))</f>
        <v/>
      </c>
      <c r="L727" s="27">
        <f>MAX(0.02,NORMINV(RAND(),$C$7,$D$7))</f>
        <v/>
      </c>
      <c r="M727" s="27">
        <f>MIN(0.16,MAX(0.05,NORMINV(RAND(),$C$8,$D$8)))</f>
        <v/>
      </c>
      <c r="N727" s="28">
        <f>MIN(24,MAX(5,NORMINV(RAND(),$C$9,$D$9)))</f>
        <v/>
      </c>
      <c r="O727" s="51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7">
        <f>MAX(-0.05,NORMINV(RAND(),$C$6,$D$6))</f>
        <v/>
      </c>
      <c r="L728" s="27">
        <f>MAX(0.02,NORMINV(RAND(),$C$7,$D$7))</f>
        <v/>
      </c>
      <c r="M728" s="27">
        <f>MIN(0.16,MAX(0.05,NORMINV(RAND(),$C$8,$D$8)))</f>
        <v/>
      </c>
      <c r="N728" s="28">
        <f>MIN(24,MAX(5,NORMINV(RAND(),$C$9,$D$9)))</f>
        <v/>
      </c>
      <c r="O728" s="51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7">
        <f>MAX(-0.05,NORMINV(RAND(),$C$6,$D$6))</f>
        <v/>
      </c>
      <c r="L729" s="27">
        <f>MAX(0.02,NORMINV(RAND(),$C$7,$D$7))</f>
        <v/>
      </c>
      <c r="M729" s="27">
        <f>MIN(0.16,MAX(0.05,NORMINV(RAND(),$C$8,$D$8)))</f>
        <v/>
      </c>
      <c r="N729" s="28">
        <f>MIN(24,MAX(5,NORMINV(RAND(),$C$9,$D$9)))</f>
        <v/>
      </c>
      <c r="O729" s="51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7">
        <f>MAX(-0.05,NORMINV(RAND(),$C$6,$D$6))</f>
        <v/>
      </c>
      <c r="L730" s="27">
        <f>MAX(0.02,NORMINV(RAND(),$C$7,$D$7))</f>
        <v/>
      </c>
      <c r="M730" s="27">
        <f>MIN(0.16,MAX(0.05,NORMINV(RAND(),$C$8,$D$8)))</f>
        <v/>
      </c>
      <c r="N730" s="28">
        <f>MIN(24,MAX(5,NORMINV(RAND(),$C$9,$D$9)))</f>
        <v/>
      </c>
      <c r="O730" s="51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7">
        <f>MAX(-0.05,NORMINV(RAND(),$C$6,$D$6))</f>
        <v/>
      </c>
      <c r="L731" s="27">
        <f>MAX(0.02,NORMINV(RAND(),$C$7,$D$7))</f>
        <v/>
      </c>
      <c r="M731" s="27">
        <f>MIN(0.16,MAX(0.05,NORMINV(RAND(),$C$8,$D$8)))</f>
        <v/>
      </c>
      <c r="N731" s="28">
        <f>MIN(24,MAX(5,NORMINV(RAND(),$C$9,$D$9)))</f>
        <v/>
      </c>
      <c r="O731" s="51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7">
        <f>MAX(-0.05,NORMINV(RAND(),$C$6,$D$6))</f>
        <v/>
      </c>
      <c r="L732" s="27">
        <f>MAX(0.02,NORMINV(RAND(),$C$7,$D$7))</f>
        <v/>
      </c>
      <c r="M732" s="27">
        <f>MIN(0.16,MAX(0.05,NORMINV(RAND(),$C$8,$D$8)))</f>
        <v/>
      </c>
      <c r="N732" s="28">
        <f>MIN(24,MAX(5,NORMINV(RAND(),$C$9,$D$9)))</f>
        <v/>
      </c>
      <c r="O732" s="51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7">
        <f>MAX(-0.05,NORMINV(RAND(),$C$6,$D$6))</f>
        <v/>
      </c>
      <c r="L733" s="27">
        <f>MAX(0.02,NORMINV(RAND(),$C$7,$D$7))</f>
        <v/>
      </c>
      <c r="M733" s="27">
        <f>MIN(0.16,MAX(0.05,NORMINV(RAND(),$C$8,$D$8)))</f>
        <v/>
      </c>
      <c r="N733" s="28">
        <f>MIN(24,MAX(5,NORMINV(RAND(),$C$9,$D$9)))</f>
        <v/>
      </c>
      <c r="O733" s="51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7">
        <f>MAX(-0.05,NORMINV(RAND(),$C$6,$D$6))</f>
        <v/>
      </c>
      <c r="L734" s="27">
        <f>MAX(0.02,NORMINV(RAND(),$C$7,$D$7))</f>
        <v/>
      </c>
      <c r="M734" s="27">
        <f>MIN(0.16,MAX(0.05,NORMINV(RAND(),$C$8,$D$8)))</f>
        <v/>
      </c>
      <c r="N734" s="28">
        <f>MIN(24,MAX(5,NORMINV(RAND(),$C$9,$D$9)))</f>
        <v/>
      </c>
      <c r="O734" s="51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7">
        <f>MAX(-0.05,NORMINV(RAND(),$C$6,$D$6))</f>
        <v/>
      </c>
      <c r="L735" s="27">
        <f>MAX(0.02,NORMINV(RAND(),$C$7,$D$7))</f>
        <v/>
      </c>
      <c r="M735" s="27">
        <f>MIN(0.16,MAX(0.05,NORMINV(RAND(),$C$8,$D$8)))</f>
        <v/>
      </c>
      <c r="N735" s="28">
        <f>MIN(24,MAX(5,NORMINV(RAND(),$C$9,$D$9)))</f>
        <v/>
      </c>
      <c r="O735" s="51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7">
        <f>MAX(-0.05,NORMINV(RAND(),$C$6,$D$6))</f>
        <v/>
      </c>
      <c r="L736" s="27">
        <f>MAX(0.02,NORMINV(RAND(),$C$7,$D$7))</f>
        <v/>
      </c>
      <c r="M736" s="27">
        <f>MIN(0.16,MAX(0.05,NORMINV(RAND(),$C$8,$D$8)))</f>
        <v/>
      </c>
      <c r="N736" s="28">
        <f>MIN(24,MAX(5,NORMINV(RAND(),$C$9,$D$9)))</f>
        <v/>
      </c>
      <c r="O736" s="51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7">
        <f>MAX(-0.05,NORMINV(RAND(),$C$6,$D$6))</f>
        <v/>
      </c>
      <c r="L737" s="27">
        <f>MAX(0.02,NORMINV(RAND(),$C$7,$D$7))</f>
        <v/>
      </c>
      <c r="M737" s="27">
        <f>MIN(0.16,MAX(0.05,NORMINV(RAND(),$C$8,$D$8)))</f>
        <v/>
      </c>
      <c r="N737" s="28">
        <f>MIN(24,MAX(5,NORMINV(RAND(),$C$9,$D$9)))</f>
        <v/>
      </c>
      <c r="O737" s="51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7">
        <f>MAX(-0.05,NORMINV(RAND(),$C$6,$D$6))</f>
        <v/>
      </c>
      <c r="L738" s="27">
        <f>MAX(0.02,NORMINV(RAND(),$C$7,$D$7))</f>
        <v/>
      </c>
      <c r="M738" s="27">
        <f>MIN(0.16,MAX(0.05,NORMINV(RAND(),$C$8,$D$8)))</f>
        <v/>
      </c>
      <c r="N738" s="28">
        <f>MIN(24,MAX(5,NORMINV(RAND(),$C$9,$D$9)))</f>
        <v/>
      </c>
      <c r="O738" s="51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7">
        <f>MAX(-0.05,NORMINV(RAND(),$C$6,$D$6))</f>
        <v/>
      </c>
      <c r="L739" s="27">
        <f>MAX(0.02,NORMINV(RAND(),$C$7,$D$7))</f>
        <v/>
      </c>
      <c r="M739" s="27">
        <f>MIN(0.16,MAX(0.05,NORMINV(RAND(),$C$8,$D$8)))</f>
        <v/>
      </c>
      <c r="N739" s="28">
        <f>MIN(24,MAX(5,NORMINV(RAND(),$C$9,$D$9)))</f>
        <v/>
      </c>
      <c r="O739" s="51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7">
        <f>MAX(-0.05,NORMINV(RAND(),$C$6,$D$6))</f>
        <v/>
      </c>
      <c r="L740" s="27">
        <f>MAX(0.02,NORMINV(RAND(),$C$7,$D$7))</f>
        <v/>
      </c>
      <c r="M740" s="27">
        <f>MIN(0.16,MAX(0.05,NORMINV(RAND(),$C$8,$D$8)))</f>
        <v/>
      </c>
      <c r="N740" s="28">
        <f>MIN(24,MAX(5,NORMINV(RAND(),$C$9,$D$9)))</f>
        <v/>
      </c>
      <c r="O740" s="51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7">
        <f>MAX(-0.05,NORMINV(RAND(),$C$6,$D$6))</f>
        <v/>
      </c>
      <c r="L741" s="27">
        <f>MAX(0.02,NORMINV(RAND(),$C$7,$D$7))</f>
        <v/>
      </c>
      <c r="M741" s="27">
        <f>MIN(0.16,MAX(0.05,NORMINV(RAND(),$C$8,$D$8)))</f>
        <v/>
      </c>
      <c r="N741" s="28">
        <f>MIN(24,MAX(5,NORMINV(RAND(),$C$9,$D$9)))</f>
        <v/>
      </c>
      <c r="O741" s="51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7">
        <f>MAX(-0.05,NORMINV(RAND(),$C$6,$D$6))</f>
        <v/>
      </c>
      <c r="L742" s="27">
        <f>MAX(0.02,NORMINV(RAND(),$C$7,$D$7))</f>
        <v/>
      </c>
      <c r="M742" s="27">
        <f>MIN(0.16,MAX(0.05,NORMINV(RAND(),$C$8,$D$8)))</f>
        <v/>
      </c>
      <c r="N742" s="28">
        <f>MIN(24,MAX(5,NORMINV(RAND(),$C$9,$D$9)))</f>
        <v/>
      </c>
      <c r="O742" s="51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7">
        <f>MAX(-0.05,NORMINV(RAND(),$C$6,$D$6))</f>
        <v/>
      </c>
      <c r="L743" s="27">
        <f>MAX(0.02,NORMINV(RAND(),$C$7,$D$7))</f>
        <v/>
      </c>
      <c r="M743" s="27">
        <f>MIN(0.16,MAX(0.05,NORMINV(RAND(),$C$8,$D$8)))</f>
        <v/>
      </c>
      <c r="N743" s="28">
        <f>MIN(24,MAX(5,NORMINV(RAND(),$C$9,$D$9)))</f>
        <v/>
      </c>
      <c r="O743" s="51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7">
        <f>MAX(-0.05,NORMINV(RAND(),$C$6,$D$6))</f>
        <v/>
      </c>
      <c r="L744" s="27">
        <f>MAX(0.02,NORMINV(RAND(),$C$7,$D$7))</f>
        <v/>
      </c>
      <c r="M744" s="27">
        <f>MIN(0.16,MAX(0.05,NORMINV(RAND(),$C$8,$D$8)))</f>
        <v/>
      </c>
      <c r="N744" s="28">
        <f>MIN(24,MAX(5,NORMINV(RAND(),$C$9,$D$9)))</f>
        <v/>
      </c>
      <c r="O744" s="51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7">
        <f>MAX(-0.05,NORMINV(RAND(),$C$6,$D$6))</f>
        <v/>
      </c>
      <c r="L745" s="27">
        <f>MAX(0.02,NORMINV(RAND(),$C$7,$D$7))</f>
        <v/>
      </c>
      <c r="M745" s="27">
        <f>MIN(0.16,MAX(0.05,NORMINV(RAND(),$C$8,$D$8)))</f>
        <v/>
      </c>
      <c r="N745" s="28">
        <f>MIN(24,MAX(5,NORMINV(RAND(),$C$9,$D$9)))</f>
        <v/>
      </c>
      <c r="O745" s="51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7">
        <f>MAX(-0.05,NORMINV(RAND(),$C$6,$D$6))</f>
        <v/>
      </c>
      <c r="L746" s="27">
        <f>MAX(0.02,NORMINV(RAND(),$C$7,$D$7))</f>
        <v/>
      </c>
      <c r="M746" s="27">
        <f>MIN(0.16,MAX(0.05,NORMINV(RAND(),$C$8,$D$8)))</f>
        <v/>
      </c>
      <c r="N746" s="28">
        <f>MIN(24,MAX(5,NORMINV(RAND(),$C$9,$D$9)))</f>
        <v/>
      </c>
      <c r="O746" s="51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7">
        <f>MAX(-0.05,NORMINV(RAND(),$C$6,$D$6))</f>
        <v/>
      </c>
      <c r="L747" s="27">
        <f>MAX(0.02,NORMINV(RAND(),$C$7,$D$7))</f>
        <v/>
      </c>
      <c r="M747" s="27">
        <f>MIN(0.16,MAX(0.05,NORMINV(RAND(),$C$8,$D$8)))</f>
        <v/>
      </c>
      <c r="N747" s="28">
        <f>MIN(24,MAX(5,NORMINV(RAND(),$C$9,$D$9)))</f>
        <v/>
      </c>
      <c r="O747" s="51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7">
        <f>MAX(-0.05,NORMINV(RAND(),$C$6,$D$6))</f>
        <v/>
      </c>
      <c r="L748" s="27">
        <f>MAX(0.02,NORMINV(RAND(),$C$7,$D$7))</f>
        <v/>
      </c>
      <c r="M748" s="27">
        <f>MIN(0.16,MAX(0.05,NORMINV(RAND(),$C$8,$D$8)))</f>
        <v/>
      </c>
      <c r="N748" s="28">
        <f>MIN(24,MAX(5,NORMINV(RAND(),$C$9,$D$9)))</f>
        <v/>
      </c>
      <c r="O748" s="51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7">
        <f>MAX(-0.05,NORMINV(RAND(),$C$6,$D$6))</f>
        <v/>
      </c>
      <c r="L749" s="27">
        <f>MAX(0.02,NORMINV(RAND(),$C$7,$D$7))</f>
        <v/>
      </c>
      <c r="M749" s="27">
        <f>MIN(0.16,MAX(0.05,NORMINV(RAND(),$C$8,$D$8)))</f>
        <v/>
      </c>
      <c r="N749" s="28">
        <f>MIN(24,MAX(5,NORMINV(RAND(),$C$9,$D$9)))</f>
        <v/>
      </c>
      <c r="O749" s="51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7">
        <f>MAX(-0.05,NORMINV(RAND(),$C$6,$D$6))</f>
        <v/>
      </c>
      <c r="L750" s="27">
        <f>MAX(0.02,NORMINV(RAND(),$C$7,$D$7))</f>
        <v/>
      </c>
      <c r="M750" s="27">
        <f>MIN(0.16,MAX(0.05,NORMINV(RAND(),$C$8,$D$8)))</f>
        <v/>
      </c>
      <c r="N750" s="28">
        <f>MIN(24,MAX(5,NORMINV(RAND(),$C$9,$D$9)))</f>
        <v/>
      </c>
      <c r="O750" s="51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7">
        <f>MAX(-0.05,NORMINV(RAND(),$C$6,$D$6))</f>
        <v/>
      </c>
      <c r="L751" s="27">
        <f>MAX(0.02,NORMINV(RAND(),$C$7,$D$7))</f>
        <v/>
      </c>
      <c r="M751" s="27">
        <f>MIN(0.16,MAX(0.05,NORMINV(RAND(),$C$8,$D$8)))</f>
        <v/>
      </c>
      <c r="N751" s="28">
        <f>MIN(24,MAX(5,NORMINV(RAND(),$C$9,$D$9)))</f>
        <v/>
      </c>
      <c r="O751" s="51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7">
        <f>MAX(-0.05,NORMINV(RAND(),$C$6,$D$6))</f>
        <v/>
      </c>
      <c r="L752" s="27">
        <f>MAX(0.02,NORMINV(RAND(),$C$7,$D$7))</f>
        <v/>
      </c>
      <c r="M752" s="27">
        <f>MIN(0.16,MAX(0.05,NORMINV(RAND(),$C$8,$D$8)))</f>
        <v/>
      </c>
      <c r="N752" s="28">
        <f>MIN(24,MAX(5,NORMINV(RAND(),$C$9,$D$9)))</f>
        <v/>
      </c>
      <c r="O752" s="51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7">
        <f>MAX(-0.05,NORMINV(RAND(),$C$6,$D$6))</f>
        <v/>
      </c>
      <c r="L753" s="27">
        <f>MAX(0.02,NORMINV(RAND(),$C$7,$D$7))</f>
        <v/>
      </c>
      <c r="M753" s="27">
        <f>MIN(0.16,MAX(0.05,NORMINV(RAND(),$C$8,$D$8)))</f>
        <v/>
      </c>
      <c r="N753" s="28">
        <f>MIN(24,MAX(5,NORMINV(RAND(),$C$9,$D$9)))</f>
        <v/>
      </c>
      <c r="O753" s="51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7">
        <f>MAX(-0.05,NORMINV(RAND(),$C$6,$D$6))</f>
        <v/>
      </c>
      <c r="L754" s="27">
        <f>MAX(0.02,NORMINV(RAND(),$C$7,$D$7))</f>
        <v/>
      </c>
      <c r="M754" s="27">
        <f>MIN(0.16,MAX(0.05,NORMINV(RAND(),$C$8,$D$8)))</f>
        <v/>
      </c>
      <c r="N754" s="28">
        <f>MIN(24,MAX(5,NORMINV(RAND(),$C$9,$D$9)))</f>
        <v/>
      </c>
      <c r="O754" s="51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7">
        <f>MAX(-0.05,NORMINV(RAND(),$C$6,$D$6))</f>
        <v/>
      </c>
      <c r="L755" s="27">
        <f>MAX(0.02,NORMINV(RAND(),$C$7,$D$7))</f>
        <v/>
      </c>
      <c r="M755" s="27">
        <f>MIN(0.16,MAX(0.05,NORMINV(RAND(),$C$8,$D$8)))</f>
        <v/>
      </c>
      <c r="N755" s="28">
        <f>MIN(24,MAX(5,NORMINV(RAND(),$C$9,$D$9)))</f>
        <v/>
      </c>
      <c r="O755" s="51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7">
        <f>MAX(-0.05,NORMINV(RAND(),$C$6,$D$6))</f>
        <v/>
      </c>
      <c r="L756" s="27">
        <f>MAX(0.02,NORMINV(RAND(),$C$7,$D$7))</f>
        <v/>
      </c>
      <c r="M756" s="27">
        <f>MIN(0.16,MAX(0.05,NORMINV(RAND(),$C$8,$D$8)))</f>
        <v/>
      </c>
      <c r="N756" s="28">
        <f>MIN(24,MAX(5,NORMINV(RAND(),$C$9,$D$9)))</f>
        <v/>
      </c>
      <c r="O756" s="51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7">
        <f>MAX(-0.05,NORMINV(RAND(),$C$6,$D$6))</f>
        <v/>
      </c>
      <c r="L757" s="27">
        <f>MAX(0.02,NORMINV(RAND(),$C$7,$D$7))</f>
        <v/>
      </c>
      <c r="M757" s="27">
        <f>MIN(0.16,MAX(0.05,NORMINV(RAND(),$C$8,$D$8)))</f>
        <v/>
      </c>
      <c r="N757" s="28">
        <f>MIN(24,MAX(5,NORMINV(RAND(),$C$9,$D$9)))</f>
        <v/>
      </c>
      <c r="O757" s="51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7">
        <f>MAX(-0.05,NORMINV(RAND(),$C$6,$D$6))</f>
        <v/>
      </c>
      <c r="L758" s="27">
        <f>MAX(0.02,NORMINV(RAND(),$C$7,$D$7))</f>
        <v/>
      </c>
      <c r="M758" s="27">
        <f>MIN(0.16,MAX(0.05,NORMINV(RAND(),$C$8,$D$8)))</f>
        <v/>
      </c>
      <c r="N758" s="28">
        <f>MIN(24,MAX(5,NORMINV(RAND(),$C$9,$D$9)))</f>
        <v/>
      </c>
      <c r="O758" s="51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7">
        <f>MAX(-0.05,NORMINV(RAND(),$C$6,$D$6))</f>
        <v/>
      </c>
      <c r="L759" s="27">
        <f>MAX(0.02,NORMINV(RAND(),$C$7,$D$7))</f>
        <v/>
      </c>
      <c r="M759" s="27">
        <f>MIN(0.16,MAX(0.05,NORMINV(RAND(),$C$8,$D$8)))</f>
        <v/>
      </c>
      <c r="N759" s="28">
        <f>MIN(24,MAX(5,NORMINV(RAND(),$C$9,$D$9)))</f>
        <v/>
      </c>
      <c r="O759" s="51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7">
        <f>MAX(-0.05,NORMINV(RAND(),$C$6,$D$6))</f>
        <v/>
      </c>
      <c r="L760" s="27">
        <f>MAX(0.02,NORMINV(RAND(),$C$7,$D$7))</f>
        <v/>
      </c>
      <c r="M760" s="27">
        <f>MIN(0.16,MAX(0.05,NORMINV(RAND(),$C$8,$D$8)))</f>
        <v/>
      </c>
      <c r="N760" s="28">
        <f>MIN(24,MAX(5,NORMINV(RAND(),$C$9,$D$9)))</f>
        <v/>
      </c>
      <c r="O760" s="51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7">
        <f>MAX(-0.05,NORMINV(RAND(),$C$6,$D$6))</f>
        <v/>
      </c>
      <c r="L761" s="27">
        <f>MAX(0.02,NORMINV(RAND(),$C$7,$D$7))</f>
        <v/>
      </c>
      <c r="M761" s="27">
        <f>MIN(0.16,MAX(0.05,NORMINV(RAND(),$C$8,$D$8)))</f>
        <v/>
      </c>
      <c r="N761" s="28">
        <f>MIN(24,MAX(5,NORMINV(RAND(),$C$9,$D$9)))</f>
        <v/>
      </c>
      <c r="O761" s="51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7">
        <f>MAX(-0.05,NORMINV(RAND(),$C$6,$D$6))</f>
        <v/>
      </c>
      <c r="L762" s="27">
        <f>MAX(0.02,NORMINV(RAND(),$C$7,$D$7))</f>
        <v/>
      </c>
      <c r="M762" s="27">
        <f>MIN(0.16,MAX(0.05,NORMINV(RAND(),$C$8,$D$8)))</f>
        <v/>
      </c>
      <c r="N762" s="28">
        <f>MIN(24,MAX(5,NORMINV(RAND(),$C$9,$D$9)))</f>
        <v/>
      </c>
      <c r="O762" s="51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7">
        <f>MAX(-0.05,NORMINV(RAND(),$C$6,$D$6))</f>
        <v/>
      </c>
      <c r="L763" s="27">
        <f>MAX(0.02,NORMINV(RAND(),$C$7,$D$7))</f>
        <v/>
      </c>
      <c r="M763" s="27">
        <f>MIN(0.16,MAX(0.05,NORMINV(RAND(),$C$8,$D$8)))</f>
        <v/>
      </c>
      <c r="N763" s="28">
        <f>MIN(24,MAX(5,NORMINV(RAND(),$C$9,$D$9)))</f>
        <v/>
      </c>
      <c r="O763" s="51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7">
        <f>MAX(-0.05,NORMINV(RAND(),$C$6,$D$6))</f>
        <v/>
      </c>
      <c r="L764" s="27">
        <f>MAX(0.02,NORMINV(RAND(),$C$7,$D$7))</f>
        <v/>
      </c>
      <c r="M764" s="27">
        <f>MIN(0.16,MAX(0.05,NORMINV(RAND(),$C$8,$D$8)))</f>
        <v/>
      </c>
      <c r="N764" s="28">
        <f>MIN(24,MAX(5,NORMINV(RAND(),$C$9,$D$9)))</f>
        <v/>
      </c>
      <c r="O764" s="51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7">
        <f>MAX(-0.05,NORMINV(RAND(),$C$6,$D$6))</f>
        <v/>
      </c>
      <c r="L765" s="27">
        <f>MAX(0.02,NORMINV(RAND(),$C$7,$D$7))</f>
        <v/>
      </c>
      <c r="M765" s="27">
        <f>MIN(0.16,MAX(0.05,NORMINV(RAND(),$C$8,$D$8)))</f>
        <v/>
      </c>
      <c r="N765" s="28">
        <f>MIN(24,MAX(5,NORMINV(RAND(),$C$9,$D$9)))</f>
        <v/>
      </c>
      <c r="O765" s="51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7">
        <f>MAX(-0.05,NORMINV(RAND(),$C$6,$D$6))</f>
        <v/>
      </c>
      <c r="L766" s="27">
        <f>MAX(0.02,NORMINV(RAND(),$C$7,$D$7))</f>
        <v/>
      </c>
      <c r="M766" s="27">
        <f>MIN(0.16,MAX(0.05,NORMINV(RAND(),$C$8,$D$8)))</f>
        <v/>
      </c>
      <c r="N766" s="28">
        <f>MIN(24,MAX(5,NORMINV(RAND(),$C$9,$D$9)))</f>
        <v/>
      </c>
      <c r="O766" s="51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7">
        <f>MAX(-0.05,NORMINV(RAND(),$C$6,$D$6))</f>
        <v/>
      </c>
      <c r="L767" s="27">
        <f>MAX(0.02,NORMINV(RAND(),$C$7,$D$7))</f>
        <v/>
      </c>
      <c r="M767" s="27">
        <f>MIN(0.16,MAX(0.05,NORMINV(RAND(),$C$8,$D$8)))</f>
        <v/>
      </c>
      <c r="N767" s="28">
        <f>MIN(24,MAX(5,NORMINV(RAND(),$C$9,$D$9)))</f>
        <v/>
      </c>
      <c r="O767" s="51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7">
        <f>MAX(-0.05,NORMINV(RAND(),$C$6,$D$6))</f>
        <v/>
      </c>
      <c r="L768" s="27">
        <f>MAX(0.02,NORMINV(RAND(),$C$7,$D$7))</f>
        <v/>
      </c>
      <c r="M768" s="27">
        <f>MIN(0.16,MAX(0.05,NORMINV(RAND(),$C$8,$D$8)))</f>
        <v/>
      </c>
      <c r="N768" s="28">
        <f>MIN(24,MAX(5,NORMINV(RAND(),$C$9,$D$9)))</f>
        <v/>
      </c>
      <c r="O768" s="51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7">
        <f>MAX(-0.05,NORMINV(RAND(),$C$6,$D$6))</f>
        <v/>
      </c>
      <c r="L769" s="27">
        <f>MAX(0.02,NORMINV(RAND(),$C$7,$D$7))</f>
        <v/>
      </c>
      <c r="M769" s="27">
        <f>MIN(0.16,MAX(0.05,NORMINV(RAND(),$C$8,$D$8)))</f>
        <v/>
      </c>
      <c r="N769" s="28">
        <f>MIN(24,MAX(5,NORMINV(RAND(),$C$9,$D$9)))</f>
        <v/>
      </c>
      <c r="O769" s="51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7">
        <f>MAX(-0.05,NORMINV(RAND(),$C$6,$D$6))</f>
        <v/>
      </c>
      <c r="L770" s="27">
        <f>MAX(0.02,NORMINV(RAND(),$C$7,$D$7))</f>
        <v/>
      </c>
      <c r="M770" s="27">
        <f>MIN(0.16,MAX(0.05,NORMINV(RAND(),$C$8,$D$8)))</f>
        <v/>
      </c>
      <c r="N770" s="28">
        <f>MIN(24,MAX(5,NORMINV(RAND(),$C$9,$D$9)))</f>
        <v/>
      </c>
      <c r="O770" s="51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7">
        <f>MAX(-0.05,NORMINV(RAND(),$C$6,$D$6))</f>
        <v/>
      </c>
      <c r="L771" s="27">
        <f>MAX(0.02,NORMINV(RAND(),$C$7,$D$7))</f>
        <v/>
      </c>
      <c r="M771" s="27">
        <f>MIN(0.16,MAX(0.05,NORMINV(RAND(),$C$8,$D$8)))</f>
        <v/>
      </c>
      <c r="N771" s="28">
        <f>MIN(24,MAX(5,NORMINV(RAND(),$C$9,$D$9)))</f>
        <v/>
      </c>
      <c r="O771" s="51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7">
        <f>MAX(-0.05,NORMINV(RAND(),$C$6,$D$6))</f>
        <v/>
      </c>
      <c r="L772" s="27">
        <f>MAX(0.02,NORMINV(RAND(),$C$7,$D$7))</f>
        <v/>
      </c>
      <c r="M772" s="27">
        <f>MIN(0.16,MAX(0.05,NORMINV(RAND(),$C$8,$D$8)))</f>
        <v/>
      </c>
      <c r="N772" s="28">
        <f>MIN(24,MAX(5,NORMINV(RAND(),$C$9,$D$9)))</f>
        <v/>
      </c>
      <c r="O772" s="51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7">
        <f>MAX(-0.05,NORMINV(RAND(),$C$6,$D$6))</f>
        <v/>
      </c>
      <c r="L773" s="27">
        <f>MAX(0.02,NORMINV(RAND(),$C$7,$D$7))</f>
        <v/>
      </c>
      <c r="M773" s="27">
        <f>MIN(0.16,MAX(0.05,NORMINV(RAND(),$C$8,$D$8)))</f>
        <v/>
      </c>
      <c r="N773" s="28">
        <f>MIN(24,MAX(5,NORMINV(RAND(),$C$9,$D$9)))</f>
        <v/>
      </c>
      <c r="O773" s="51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7">
        <f>MAX(-0.05,NORMINV(RAND(),$C$6,$D$6))</f>
        <v/>
      </c>
      <c r="L774" s="27">
        <f>MAX(0.02,NORMINV(RAND(),$C$7,$D$7))</f>
        <v/>
      </c>
      <c r="M774" s="27">
        <f>MIN(0.16,MAX(0.05,NORMINV(RAND(),$C$8,$D$8)))</f>
        <v/>
      </c>
      <c r="N774" s="28">
        <f>MIN(24,MAX(5,NORMINV(RAND(),$C$9,$D$9)))</f>
        <v/>
      </c>
      <c r="O774" s="51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7">
        <f>MAX(-0.05,NORMINV(RAND(),$C$6,$D$6))</f>
        <v/>
      </c>
      <c r="L775" s="27">
        <f>MAX(0.02,NORMINV(RAND(),$C$7,$D$7))</f>
        <v/>
      </c>
      <c r="M775" s="27">
        <f>MIN(0.16,MAX(0.05,NORMINV(RAND(),$C$8,$D$8)))</f>
        <v/>
      </c>
      <c r="N775" s="28">
        <f>MIN(24,MAX(5,NORMINV(RAND(),$C$9,$D$9)))</f>
        <v/>
      </c>
      <c r="O775" s="51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7">
        <f>MAX(-0.05,NORMINV(RAND(),$C$6,$D$6))</f>
        <v/>
      </c>
      <c r="L776" s="27">
        <f>MAX(0.02,NORMINV(RAND(),$C$7,$D$7))</f>
        <v/>
      </c>
      <c r="M776" s="27">
        <f>MIN(0.16,MAX(0.05,NORMINV(RAND(),$C$8,$D$8)))</f>
        <v/>
      </c>
      <c r="N776" s="28">
        <f>MIN(24,MAX(5,NORMINV(RAND(),$C$9,$D$9)))</f>
        <v/>
      </c>
      <c r="O776" s="51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7">
        <f>MAX(-0.05,NORMINV(RAND(),$C$6,$D$6))</f>
        <v/>
      </c>
      <c r="L777" s="27">
        <f>MAX(0.02,NORMINV(RAND(),$C$7,$D$7))</f>
        <v/>
      </c>
      <c r="M777" s="27">
        <f>MIN(0.16,MAX(0.05,NORMINV(RAND(),$C$8,$D$8)))</f>
        <v/>
      </c>
      <c r="N777" s="28">
        <f>MIN(24,MAX(5,NORMINV(RAND(),$C$9,$D$9)))</f>
        <v/>
      </c>
      <c r="O777" s="51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7">
        <f>MAX(-0.05,NORMINV(RAND(),$C$6,$D$6))</f>
        <v/>
      </c>
      <c r="L778" s="27">
        <f>MAX(0.02,NORMINV(RAND(),$C$7,$D$7))</f>
        <v/>
      </c>
      <c r="M778" s="27">
        <f>MIN(0.16,MAX(0.05,NORMINV(RAND(),$C$8,$D$8)))</f>
        <v/>
      </c>
      <c r="N778" s="28">
        <f>MIN(24,MAX(5,NORMINV(RAND(),$C$9,$D$9)))</f>
        <v/>
      </c>
      <c r="O778" s="51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7">
        <f>MAX(-0.05,NORMINV(RAND(),$C$6,$D$6))</f>
        <v/>
      </c>
      <c r="L779" s="27">
        <f>MAX(0.02,NORMINV(RAND(),$C$7,$D$7))</f>
        <v/>
      </c>
      <c r="M779" s="27">
        <f>MIN(0.16,MAX(0.05,NORMINV(RAND(),$C$8,$D$8)))</f>
        <v/>
      </c>
      <c r="N779" s="28">
        <f>MIN(24,MAX(5,NORMINV(RAND(),$C$9,$D$9)))</f>
        <v/>
      </c>
      <c r="O779" s="51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7">
        <f>MAX(-0.05,NORMINV(RAND(),$C$6,$D$6))</f>
        <v/>
      </c>
      <c r="L780" s="27">
        <f>MAX(0.02,NORMINV(RAND(),$C$7,$D$7))</f>
        <v/>
      </c>
      <c r="M780" s="27">
        <f>MIN(0.16,MAX(0.05,NORMINV(RAND(),$C$8,$D$8)))</f>
        <v/>
      </c>
      <c r="N780" s="28">
        <f>MIN(24,MAX(5,NORMINV(RAND(),$C$9,$D$9)))</f>
        <v/>
      </c>
      <c r="O780" s="51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7">
        <f>MAX(-0.05,NORMINV(RAND(),$C$6,$D$6))</f>
        <v/>
      </c>
      <c r="L781" s="27">
        <f>MAX(0.02,NORMINV(RAND(),$C$7,$D$7))</f>
        <v/>
      </c>
      <c r="M781" s="27">
        <f>MIN(0.16,MAX(0.05,NORMINV(RAND(),$C$8,$D$8)))</f>
        <v/>
      </c>
      <c r="N781" s="28">
        <f>MIN(24,MAX(5,NORMINV(RAND(),$C$9,$D$9)))</f>
        <v/>
      </c>
      <c r="O781" s="51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7">
        <f>MAX(-0.05,NORMINV(RAND(),$C$6,$D$6))</f>
        <v/>
      </c>
      <c r="L782" s="27">
        <f>MAX(0.02,NORMINV(RAND(),$C$7,$D$7))</f>
        <v/>
      </c>
      <c r="M782" s="27">
        <f>MIN(0.16,MAX(0.05,NORMINV(RAND(),$C$8,$D$8)))</f>
        <v/>
      </c>
      <c r="N782" s="28">
        <f>MIN(24,MAX(5,NORMINV(RAND(),$C$9,$D$9)))</f>
        <v/>
      </c>
      <c r="O782" s="51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7">
        <f>MAX(-0.05,NORMINV(RAND(),$C$6,$D$6))</f>
        <v/>
      </c>
      <c r="L783" s="27">
        <f>MAX(0.02,NORMINV(RAND(),$C$7,$D$7))</f>
        <v/>
      </c>
      <c r="M783" s="27">
        <f>MIN(0.16,MAX(0.05,NORMINV(RAND(),$C$8,$D$8)))</f>
        <v/>
      </c>
      <c r="N783" s="28">
        <f>MIN(24,MAX(5,NORMINV(RAND(),$C$9,$D$9)))</f>
        <v/>
      </c>
      <c r="O783" s="51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7">
        <f>MAX(-0.05,NORMINV(RAND(),$C$6,$D$6))</f>
        <v/>
      </c>
      <c r="L784" s="27">
        <f>MAX(0.02,NORMINV(RAND(),$C$7,$D$7))</f>
        <v/>
      </c>
      <c r="M784" s="27">
        <f>MIN(0.16,MAX(0.05,NORMINV(RAND(),$C$8,$D$8)))</f>
        <v/>
      </c>
      <c r="N784" s="28">
        <f>MIN(24,MAX(5,NORMINV(RAND(),$C$9,$D$9)))</f>
        <v/>
      </c>
      <c r="O784" s="51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7">
        <f>MAX(-0.05,NORMINV(RAND(),$C$6,$D$6))</f>
        <v/>
      </c>
      <c r="L785" s="27">
        <f>MAX(0.02,NORMINV(RAND(),$C$7,$D$7))</f>
        <v/>
      </c>
      <c r="M785" s="27">
        <f>MIN(0.16,MAX(0.05,NORMINV(RAND(),$C$8,$D$8)))</f>
        <v/>
      </c>
      <c r="N785" s="28">
        <f>MIN(24,MAX(5,NORMINV(RAND(),$C$9,$D$9)))</f>
        <v/>
      </c>
      <c r="O785" s="51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7">
        <f>MAX(-0.05,NORMINV(RAND(),$C$6,$D$6))</f>
        <v/>
      </c>
      <c r="L786" s="27">
        <f>MAX(0.02,NORMINV(RAND(),$C$7,$D$7))</f>
        <v/>
      </c>
      <c r="M786" s="27">
        <f>MIN(0.16,MAX(0.05,NORMINV(RAND(),$C$8,$D$8)))</f>
        <v/>
      </c>
      <c r="N786" s="28">
        <f>MIN(24,MAX(5,NORMINV(RAND(),$C$9,$D$9)))</f>
        <v/>
      </c>
      <c r="O786" s="51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7">
        <f>MAX(-0.05,NORMINV(RAND(),$C$6,$D$6))</f>
        <v/>
      </c>
      <c r="L787" s="27">
        <f>MAX(0.02,NORMINV(RAND(),$C$7,$D$7))</f>
        <v/>
      </c>
      <c r="M787" s="27">
        <f>MIN(0.16,MAX(0.05,NORMINV(RAND(),$C$8,$D$8)))</f>
        <v/>
      </c>
      <c r="N787" s="28">
        <f>MIN(24,MAX(5,NORMINV(RAND(),$C$9,$D$9)))</f>
        <v/>
      </c>
      <c r="O787" s="51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7">
        <f>MAX(-0.05,NORMINV(RAND(),$C$6,$D$6))</f>
        <v/>
      </c>
      <c r="L788" s="27">
        <f>MAX(0.02,NORMINV(RAND(),$C$7,$D$7))</f>
        <v/>
      </c>
      <c r="M788" s="27">
        <f>MIN(0.16,MAX(0.05,NORMINV(RAND(),$C$8,$D$8)))</f>
        <v/>
      </c>
      <c r="N788" s="28">
        <f>MIN(24,MAX(5,NORMINV(RAND(),$C$9,$D$9)))</f>
        <v/>
      </c>
      <c r="O788" s="51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7">
        <f>MAX(-0.05,NORMINV(RAND(),$C$6,$D$6))</f>
        <v/>
      </c>
      <c r="L789" s="27">
        <f>MAX(0.02,NORMINV(RAND(),$C$7,$D$7))</f>
        <v/>
      </c>
      <c r="M789" s="27">
        <f>MIN(0.16,MAX(0.05,NORMINV(RAND(),$C$8,$D$8)))</f>
        <v/>
      </c>
      <c r="N789" s="28">
        <f>MIN(24,MAX(5,NORMINV(RAND(),$C$9,$D$9)))</f>
        <v/>
      </c>
      <c r="O789" s="51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7">
        <f>MAX(-0.05,NORMINV(RAND(),$C$6,$D$6))</f>
        <v/>
      </c>
      <c r="L790" s="27">
        <f>MAX(0.02,NORMINV(RAND(),$C$7,$D$7))</f>
        <v/>
      </c>
      <c r="M790" s="27">
        <f>MIN(0.16,MAX(0.05,NORMINV(RAND(),$C$8,$D$8)))</f>
        <v/>
      </c>
      <c r="N790" s="28">
        <f>MIN(24,MAX(5,NORMINV(RAND(),$C$9,$D$9)))</f>
        <v/>
      </c>
      <c r="O790" s="51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7">
        <f>MAX(-0.05,NORMINV(RAND(),$C$6,$D$6))</f>
        <v/>
      </c>
      <c r="L791" s="27">
        <f>MAX(0.02,NORMINV(RAND(),$C$7,$D$7))</f>
        <v/>
      </c>
      <c r="M791" s="27">
        <f>MIN(0.16,MAX(0.05,NORMINV(RAND(),$C$8,$D$8)))</f>
        <v/>
      </c>
      <c r="N791" s="28">
        <f>MIN(24,MAX(5,NORMINV(RAND(),$C$9,$D$9)))</f>
        <v/>
      </c>
      <c r="O791" s="51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7">
        <f>MAX(-0.05,NORMINV(RAND(),$C$6,$D$6))</f>
        <v/>
      </c>
      <c r="L792" s="27">
        <f>MAX(0.02,NORMINV(RAND(),$C$7,$D$7))</f>
        <v/>
      </c>
      <c r="M792" s="27">
        <f>MIN(0.16,MAX(0.05,NORMINV(RAND(),$C$8,$D$8)))</f>
        <v/>
      </c>
      <c r="N792" s="28">
        <f>MIN(24,MAX(5,NORMINV(RAND(),$C$9,$D$9)))</f>
        <v/>
      </c>
      <c r="O792" s="51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7">
        <f>MAX(-0.05,NORMINV(RAND(),$C$6,$D$6))</f>
        <v/>
      </c>
      <c r="L793" s="27">
        <f>MAX(0.02,NORMINV(RAND(),$C$7,$D$7))</f>
        <v/>
      </c>
      <c r="M793" s="27">
        <f>MIN(0.16,MAX(0.05,NORMINV(RAND(),$C$8,$D$8)))</f>
        <v/>
      </c>
      <c r="N793" s="28">
        <f>MIN(24,MAX(5,NORMINV(RAND(),$C$9,$D$9)))</f>
        <v/>
      </c>
      <c r="O793" s="51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7">
        <f>MAX(-0.05,NORMINV(RAND(),$C$6,$D$6))</f>
        <v/>
      </c>
      <c r="L794" s="27">
        <f>MAX(0.02,NORMINV(RAND(),$C$7,$D$7))</f>
        <v/>
      </c>
      <c r="M794" s="27">
        <f>MIN(0.16,MAX(0.05,NORMINV(RAND(),$C$8,$D$8)))</f>
        <v/>
      </c>
      <c r="N794" s="28">
        <f>MIN(24,MAX(5,NORMINV(RAND(),$C$9,$D$9)))</f>
        <v/>
      </c>
      <c r="O794" s="51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7">
        <f>MAX(-0.05,NORMINV(RAND(),$C$6,$D$6))</f>
        <v/>
      </c>
      <c r="L795" s="27">
        <f>MAX(0.02,NORMINV(RAND(),$C$7,$D$7))</f>
        <v/>
      </c>
      <c r="M795" s="27">
        <f>MIN(0.16,MAX(0.05,NORMINV(RAND(),$C$8,$D$8)))</f>
        <v/>
      </c>
      <c r="N795" s="28">
        <f>MIN(24,MAX(5,NORMINV(RAND(),$C$9,$D$9)))</f>
        <v/>
      </c>
      <c r="O795" s="51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7">
        <f>MAX(-0.05,NORMINV(RAND(),$C$6,$D$6))</f>
        <v/>
      </c>
      <c r="L796" s="27">
        <f>MAX(0.02,NORMINV(RAND(),$C$7,$D$7))</f>
        <v/>
      </c>
      <c r="M796" s="27">
        <f>MIN(0.16,MAX(0.05,NORMINV(RAND(),$C$8,$D$8)))</f>
        <v/>
      </c>
      <c r="N796" s="28">
        <f>MIN(24,MAX(5,NORMINV(RAND(),$C$9,$D$9)))</f>
        <v/>
      </c>
      <c r="O796" s="51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7">
        <f>MAX(-0.05,NORMINV(RAND(),$C$6,$D$6))</f>
        <v/>
      </c>
      <c r="L797" s="27">
        <f>MAX(0.02,NORMINV(RAND(),$C$7,$D$7))</f>
        <v/>
      </c>
      <c r="M797" s="27">
        <f>MIN(0.16,MAX(0.05,NORMINV(RAND(),$C$8,$D$8)))</f>
        <v/>
      </c>
      <c r="N797" s="28">
        <f>MIN(24,MAX(5,NORMINV(RAND(),$C$9,$D$9)))</f>
        <v/>
      </c>
      <c r="O797" s="51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7">
        <f>MAX(-0.05,NORMINV(RAND(),$C$6,$D$6))</f>
        <v/>
      </c>
      <c r="L798" s="27">
        <f>MAX(0.02,NORMINV(RAND(),$C$7,$D$7))</f>
        <v/>
      </c>
      <c r="M798" s="27">
        <f>MIN(0.16,MAX(0.05,NORMINV(RAND(),$C$8,$D$8)))</f>
        <v/>
      </c>
      <c r="N798" s="28">
        <f>MIN(24,MAX(5,NORMINV(RAND(),$C$9,$D$9)))</f>
        <v/>
      </c>
      <c r="O798" s="51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7">
        <f>MAX(-0.05,NORMINV(RAND(),$C$6,$D$6))</f>
        <v/>
      </c>
      <c r="L799" s="27">
        <f>MAX(0.02,NORMINV(RAND(),$C$7,$D$7))</f>
        <v/>
      </c>
      <c r="M799" s="27">
        <f>MIN(0.16,MAX(0.05,NORMINV(RAND(),$C$8,$D$8)))</f>
        <v/>
      </c>
      <c r="N799" s="28">
        <f>MIN(24,MAX(5,NORMINV(RAND(),$C$9,$D$9)))</f>
        <v/>
      </c>
      <c r="O799" s="51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7">
        <f>MAX(-0.05,NORMINV(RAND(),$C$6,$D$6))</f>
        <v/>
      </c>
      <c r="L800" s="27">
        <f>MAX(0.02,NORMINV(RAND(),$C$7,$D$7))</f>
        <v/>
      </c>
      <c r="M800" s="27">
        <f>MIN(0.16,MAX(0.05,NORMINV(RAND(),$C$8,$D$8)))</f>
        <v/>
      </c>
      <c r="N800" s="28">
        <f>MIN(24,MAX(5,NORMINV(RAND(),$C$9,$D$9)))</f>
        <v/>
      </c>
      <c r="O800" s="51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7">
        <f>MAX(-0.05,NORMINV(RAND(),$C$6,$D$6))</f>
        <v/>
      </c>
      <c r="L801" s="27">
        <f>MAX(0.02,NORMINV(RAND(),$C$7,$D$7))</f>
        <v/>
      </c>
      <c r="M801" s="27">
        <f>MIN(0.16,MAX(0.05,NORMINV(RAND(),$C$8,$D$8)))</f>
        <v/>
      </c>
      <c r="N801" s="28">
        <f>MIN(24,MAX(5,NORMINV(RAND(),$C$9,$D$9)))</f>
        <v/>
      </c>
      <c r="O801" s="51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7">
        <f>MAX(-0.05,NORMINV(RAND(),$C$6,$D$6))</f>
        <v/>
      </c>
      <c r="L802" s="27">
        <f>MAX(0.02,NORMINV(RAND(),$C$7,$D$7))</f>
        <v/>
      </c>
      <c r="M802" s="27">
        <f>MIN(0.16,MAX(0.05,NORMINV(RAND(),$C$8,$D$8)))</f>
        <v/>
      </c>
      <c r="N802" s="28">
        <f>MIN(24,MAX(5,NORMINV(RAND(),$C$9,$D$9)))</f>
        <v/>
      </c>
      <c r="O802" s="51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7">
        <f>MAX(-0.05,NORMINV(RAND(),$C$6,$D$6))</f>
        <v/>
      </c>
      <c r="L803" s="27">
        <f>MAX(0.02,NORMINV(RAND(),$C$7,$D$7))</f>
        <v/>
      </c>
      <c r="M803" s="27">
        <f>MIN(0.16,MAX(0.05,NORMINV(RAND(),$C$8,$D$8)))</f>
        <v/>
      </c>
      <c r="N803" s="28">
        <f>MIN(24,MAX(5,NORMINV(RAND(),$C$9,$D$9)))</f>
        <v/>
      </c>
      <c r="O803" s="51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7">
        <f>MAX(-0.05,NORMINV(RAND(),$C$6,$D$6))</f>
        <v/>
      </c>
      <c r="L804" s="27">
        <f>MAX(0.02,NORMINV(RAND(),$C$7,$D$7))</f>
        <v/>
      </c>
      <c r="M804" s="27">
        <f>MIN(0.16,MAX(0.05,NORMINV(RAND(),$C$8,$D$8)))</f>
        <v/>
      </c>
      <c r="N804" s="28">
        <f>MIN(24,MAX(5,NORMINV(RAND(),$C$9,$D$9)))</f>
        <v/>
      </c>
      <c r="O804" s="51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7">
        <f>MAX(-0.05,NORMINV(RAND(),$C$6,$D$6))</f>
        <v/>
      </c>
      <c r="L805" s="27">
        <f>MAX(0.02,NORMINV(RAND(),$C$7,$D$7))</f>
        <v/>
      </c>
      <c r="M805" s="27">
        <f>MIN(0.16,MAX(0.05,NORMINV(RAND(),$C$8,$D$8)))</f>
        <v/>
      </c>
      <c r="N805" s="28">
        <f>MIN(24,MAX(5,NORMINV(RAND(),$C$9,$D$9)))</f>
        <v/>
      </c>
      <c r="O805" s="51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7">
        <f>MAX(-0.05,NORMINV(RAND(),$C$6,$D$6))</f>
        <v/>
      </c>
      <c r="L806" s="27">
        <f>MAX(0.02,NORMINV(RAND(),$C$7,$D$7))</f>
        <v/>
      </c>
      <c r="M806" s="27">
        <f>MIN(0.16,MAX(0.05,NORMINV(RAND(),$C$8,$D$8)))</f>
        <v/>
      </c>
      <c r="N806" s="28">
        <f>MIN(24,MAX(5,NORMINV(RAND(),$C$9,$D$9)))</f>
        <v/>
      </c>
      <c r="O806" s="51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7">
        <f>MAX(-0.05,NORMINV(RAND(),$C$6,$D$6))</f>
        <v/>
      </c>
      <c r="L807" s="27">
        <f>MAX(0.02,NORMINV(RAND(),$C$7,$D$7))</f>
        <v/>
      </c>
      <c r="M807" s="27">
        <f>MIN(0.16,MAX(0.05,NORMINV(RAND(),$C$8,$D$8)))</f>
        <v/>
      </c>
      <c r="N807" s="28">
        <f>MIN(24,MAX(5,NORMINV(RAND(),$C$9,$D$9)))</f>
        <v/>
      </c>
      <c r="O807" s="51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7">
        <f>MAX(-0.05,NORMINV(RAND(),$C$6,$D$6))</f>
        <v/>
      </c>
      <c r="L808" s="27">
        <f>MAX(0.02,NORMINV(RAND(),$C$7,$D$7))</f>
        <v/>
      </c>
      <c r="M808" s="27">
        <f>MIN(0.16,MAX(0.05,NORMINV(RAND(),$C$8,$D$8)))</f>
        <v/>
      </c>
      <c r="N808" s="28">
        <f>MIN(24,MAX(5,NORMINV(RAND(),$C$9,$D$9)))</f>
        <v/>
      </c>
      <c r="O808" s="51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7">
        <f>MAX(-0.05,NORMINV(RAND(),$C$6,$D$6))</f>
        <v/>
      </c>
      <c r="L809" s="27">
        <f>MAX(0.02,NORMINV(RAND(),$C$7,$D$7))</f>
        <v/>
      </c>
      <c r="M809" s="27">
        <f>MIN(0.16,MAX(0.05,NORMINV(RAND(),$C$8,$D$8)))</f>
        <v/>
      </c>
      <c r="N809" s="28">
        <f>MIN(24,MAX(5,NORMINV(RAND(),$C$9,$D$9)))</f>
        <v/>
      </c>
      <c r="O809" s="51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7">
        <f>MAX(-0.05,NORMINV(RAND(),$C$6,$D$6))</f>
        <v/>
      </c>
      <c r="L810" s="27">
        <f>MAX(0.02,NORMINV(RAND(),$C$7,$D$7))</f>
        <v/>
      </c>
      <c r="M810" s="27">
        <f>MIN(0.16,MAX(0.05,NORMINV(RAND(),$C$8,$D$8)))</f>
        <v/>
      </c>
      <c r="N810" s="28">
        <f>MIN(24,MAX(5,NORMINV(RAND(),$C$9,$D$9)))</f>
        <v/>
      </c>
      <c r="O810" s="51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7">
        <f>MAX(-0.05,NORMINV(RAND(),$C$6,$D$6))</f>
        <v/>
      </c>
      <c r="L811" s="27">
        <f>MAX(0.02,NORMINV(RAND(),$C$7,$D$7))</f>
        <v/>
      </c>
      <c r="M811" s="27">
        <f>MIN(0.16,MAX(0.05,NORMINV(RAND(),$C$8,$D$8)))</f>
        <v/>
      </c>
      <c r="N811" s="28">
        <f>MIN(24,MAX(5,NORMINV(RAND(),$C$9,$D$9)))</f>
        <v/>
      </c>
      <c r="O811" s="51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7">
        <f>MAX(-0.05,NORMINV(RAND(),$C$6,$D$6))</f>
        <v/>
      </c>
      <c r="L812" s="27">
        <f>MAX(0.02,NORMINV(RAND(),$C$7,$D$7))</f>
        <v/>
      </c>
      <c r="M812" s="27">
        <f>MIN(0.16,MAX(0.05,NORMINV(RAND(),$C$8,$D$8)))</f>
        <v/>
      </c>
      <c r="N812" s="28">
        <f>MIN(24,MAX(5,NORMINV(RAND(),$C$9,$D$9)))</f>
        <v/>
      </c>
      <c r="O812" s="51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7">
        <f>MAX(-0.05,NORMINV(RAND(),$C$6,$D$6))</f>
        <v/>
      </c>
      <c r="L813" s="27">
        <f>MAX(0.02,NORMINV(RAND(),$C$7,$D$7))</f>
        <v/>
      </c>
      <c r="M813" s="27">
        <f>MIN(0.16,MAX(0.05,NORMINV(RAND(),$C$8,$D$8)))</f>
        <v/>
      </c>
      <c r="N813" s="28">
        <f>MIN(24,MAX(5,NORMINV(RAND(),$C$9,$D$9)))</f>
        <v/>
      </c>
      <c r="O813" s="51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7">
        <f>MAX(-0.05,NORMINV(RAND(),$C$6,$D$6))</f>
        <v/>
      </c>
      <c r="L814" s="27">
        <f>MAX(0.02,NORMINV(RAND(),$C$7,$D$7))</f>
        <v/>
      </c>
      <c r="M814" s="27">
        <f>MIN(0.16,MAX(0.05,NORMINV(RAND(),$C$8,$D$8)))</f>
        <v/>
      </c>
      <c r="N814" s="28">
        <f>MIN(24,MAX(5,NORMINV(RAND(),$C$9,$D$9)))</f>
        <v/>
      </c>
      <c r="O814" s="51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7">
        <f>MAX(-0.05,NORMINV(RAND(),$C$6,$D$6))</f>
        <v/>
      </c>
      <c r="L815" s="27">
        <f>MAX(0.02,NORMINV(RAND(),$C$7,$D$7))</f>
        <v/>
      </c>
      <c r="M815" s="27">
        <f>MIN(0.16,MAX(0.05,NORMINV(RAND(),$C$8,$D$8)))</f>
        <v/>
      </c>
      <c r="N815" s="28">
        <f>MIN(24,MAX(5,NORMINV(RAND(),$C$9,$D$9)))</f>
        <v/>
      </c>
      <c r="O815" s="51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7">
        <f>MAX(-0.05,NORMINV(RAND(),$C$6,$D$6))</f>
        <v/>
      </c>
      <c r="L816" s="27">
        <f>MAX(0.02,NORMINV(RAND(),$C$7,$D$7))</f>
        <v/>
      </c>
      <c r="M816" s="27">
        <f>MIN(0.16,MAX(0.05,NORMINV(RAND(),$C$8,$D$8)))</f>
        <v/>
      </c>
      <c r="N816" s="28">
        <f>MIN(24,MAX(5,NORMINV(RAND(),$C$9,$D$9)))</f>
        <v/>
      </c>
      <c r="O816" s="51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7">
        <f>MAX(-0.05,NORMINV(RAND(),$C$6,$D$6))</f>
        <v/>
      </c>
      <c r="L817" s="27">
        <f>MAX(0.02,NORMINV(RAND(),$C$7,$D$7))</f>
        <v/>
      </c>
      <c r="M817" s="27">
        <f>MIN(0.16,MAX(0.05,NORMINV(RAND(),$C$8,$D$8)))</f>
        <v/>
      </c>
      <c r="N817" s="28">
        <f>MIN(24,MAX(5,NORMINV(RAND(),$C$9,$D$9)))</f>
        <v/>
      </c>
      <c r="O817" s="51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7">
        <f>MAX(-0.05,NORMINV(RAND(),$C$6,$D$6))</f>
        <v/>
      </c>
      <c r="L818" s="27">
        <f>MAX(0.02,NORMINV(RAND(),$C$7,$D$7))</f>
        <v/>
      </c>
      <c r="M818" s="27">
        <f>MIN(0.16,MAX(0.05,NORMINV(RAND(),$C$8,$D$8)))</f>
        <v/>
      </c>
      <c r="N818" s="28">
        <f>MIN(24,MAX(5,NORMINV(RAND(),$C$9,$D$9)))</f>
        <v/>
      </c>
      <c r="O818" s="51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7">
        <f>MAX(-0.05,NORMINV(RAND(),$C$6,$D$6))</f>
        <v/>
      </c>
      <c r="L819" s="27">
        <f>MAX(0.02,NORMINV(RAND(),$C$7,$D$7))</f>
        <v/>
      </c>
      <c r="M819" s="27">
        <f>MIN(0.16,MAX(0.05,NORMINV(RAND(),$C$8,$D$8)))</f>
        <v/>
      </c>
      <c r="N819" s="28">
        <f>MIN(24,MAX(5,NORMINV(RAND(),$C$9,$D$9)))</f>
        <v/>
      </c>
      <c r="O819" s="51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7">
        <f>MAX(-0.05,NORMINV(RAND(),$C$6,$D$6))</f>
        <v/>
      </c>
      <c r="L820" s="27">
        <f>MAX(0.02,NORMINV(RAND(),$C$7,$D$7))</f>
        <v/>
      </c>
      <c r="M820" s="27">
        <f>MIN(0.16,MAX(0.05,NORMINV(RAND(),$C$8,$D$8)))</f>
        <v/>
      </c>
      <c r="N820" s="28">
        <f>MIN(24,MAX(5,NORMINV(RAND(),$C$9,$D$9)))</f>
        <v/>
      </c>
      <c r="O820" s="51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7">
        <f>MAX(-0.05,NORMINV(RAND(),$C$6,$D$6))</f>
        <v/>
      </c>
      <c r="L821" s="27">
        <f>MAX(0.02,NORMINV(RAND(),$C$7,$D$7))</f>
        <v/>
      </c>
      <c r="M821" s="27">
        <f>MIN(0.16,MAX(0.05,NORMINV(RAND(),$C$8,$D$8)))</f>
        <v/>
      </c>
      <c r="N821" s="28">
        <f>MIN(24,MAX(5,NORMINV(RAND(),$C$9,$D$9)))</f>
        <v/>
      </c>
      <c r="O821" s="51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7">
        <f>MAX(-0.05,NORMINV(RAND(),$C$6,$D$6))</f>
        <v/>
      </c>
      <c r="L822" s="27">
        <f>MAX(0.02,NORMINV(RAND(),$C$7,$D$7))</f>
        <v/>
      </c>
      <c r="M822" s="27">
        <f>MIN(0.16,MAX(0.05,NORMINV(RAND(),$C$8,$D$8)))</f>
        <v/>
      </c>
      <c r="N822" s="28">
        <f>MIN(24,MAX(5,NORMINV(RAND(),$C$9,$D$9)))</f>
        <v/>
      </c>
      <c r="O822" s="51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7">
        <f>MAX(-0.05,NORMINV(RAND(),$C$6,$D$6))</f>
        <v/>
      </c>
      <c r="L823" s="27">
        <f>MAX(0.02,NORMINV(RAND(),$C$7,$D$7))</f>
        <v/>
      </c>
      <c r="M823" s="27">
        <f>MIN(0.16,MAX(0.05,NORMINV(RAND(),$C$8,$D$8)))</f>
        <v/>
      </c>
      <c r="N823" s="28">
        <f>MIN(24,MAX(5,NORMINV(RAND(),$C$9,$D$9)))</f>
        <v/>
      </c>
      <c r="O823" s="51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7">
        <f>MAX(-0.05,NORMINV(RAND(),$C$6,$D$6))</f>
        <v/>
      </c>
      <c r="L824" s="27">
        <f>MAX(0.02,NORMINV(RAND(),$C$7,$D$7))</f>
        <v/>
      </c>
      <c r="M824" s="27">
        <f>MIN(0.16,MAX(0.05,NORMINV(RAND(),$C$8,$D$8)))</f>
        <v/>
      </c>
      <c r="N824" s="28">
        <f>MIN(24,MAX(5,NORMINV(RAND(),$C$9,$D$9)))</f>
        <v/>
      </c>
      <c r="O824" s="51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7">
        <f>MAX(-0.05,NORMINV(RAND(),$C$6,$D$6))</f>
        <v/>
      </c>
      <c r="L825" s="27">
        <f>MAX(0.02,NORMINV(RAND(),$C$7,$D$7))</f>
        <v/>
      </c>
      <c r="M825" s="27">
        <f>MIN(0.16,MAX(0.05,NORMINV(RAND(),$C$8,$D$8)))</f>
        <v/>
      </c>
      <c r="N825" s="28">
        <f>MIN(24,MAX(5,NORMINV(RAND(),$C$9,$D$9)))</f>
        <v/>
      </c>
      <c r="O825" s="51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7">
        <f>MAX(-0.05,NORMINV(RAND(),$C$6,$D$6))</f>
        <v/>
      </c>
      <c r="L826" s="27">
        <f>MAX(0.02,NORMINV(RAND(),$C$7,$D$7))</f>
        <v/>
      </c>
      <c r="M826" s="27">
        <f>MIN(0.16,MAX(0.05,NORMINV(RAND(),$C$8,$D$8)))</f>
        <v/>
      </c>
      <c r="N826" s="28">
        <f>MIN(24,MAX(5,NORMINV(RAND(),$C$9,$D$9)))</f>
        <v/>
      </c>
      <c r="O826" s="51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7">
        <f>MAX(-0.05,NORMINV(RAND(),$C$6,$D$6))</f>
        <v/>
      </c>
      <c r="L827" s="27">
        <f>MAX(0.02,NORMINV(RAND(),$C$7,$D$7))</f>
        <v/>
      </c>
      <c r="M827" s="27">
        <f>MIN(0.16,MAX(0.05,NORMINV(RAND(),$C$8,$D$8)))</f>
        <v/>
      </c>
      <c r="N827" s="28">
        <f>MIN(24,MAX(5,NORMINV(RAND(),$C$9,$D$9)))</f>
        <v/>
      </c>
      <c r="O827" s="51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7">
        <f>MAX(-0.05,NORMINV(RAND(),$C$6,$D$6))</f>
        <v/>
      </c>
      <c r="L828" s="27">
        <f>MAX(0.02,NORMINV(RAND(),$C$7,$D$7))</f>
        <v/>
      </c>
      <c r="M828" s="27">
        <f>MIN(0.16,MAX(0.05,NORMINV(RAND(),$C$8,$D$8)))</f>
        <v/>
      </c>
      <c r="N828" s="28">
        <f>MIN(24,MAX(5,NORMINV(RAND(),$C$9,$D$9)))</f>
        <v/>
      </c>
      <c r="O828" s="51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7">
        <f>MAX(-0.05,NORMINV(RAND(),$C$6,$D$6))</f>
        <v/>
      </c>
      <c r="L829" s="27">
        <f>MAX(0.02,NORMINV(RAND(),$C$7,$D$7))</f>
        <v/>
      </c>
      <c r="M829" s="27">
        <f>MIN(0.16,MAX(0.05,NORMINV(RAND(),$C$8,$D$8)))</f>
        <v/>
      </c>
      <c r="N829" s="28">
        <f>MIN(24,MAX(5,NORMINV(RAND(),$C$9,$D$9)))</f>
        <v/>
      </c>
      <c r="O829" s="51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7">
        <f>MAX(-0.05,NORMINV(RAND(),$C$6,$D$6))</f>
        <v/>
      </c>
      <c r="L830" s="27">
        <f>MAX(0.02,NORMINV(RAND(),$C$7,$D$7))</f>
        <v/>
      </c>
      <c r="M830" s="27">
        <f>MIN(0.16,MAX(0.05,NORMINV(RAND(),$C$8,$D$8)))</f>
        <v/>
      </c>
      <c r="N830" s="28">
        <f>MIN(24,MAX(5,NORMINV(RAND(),$C$9,$D$9)))</f>
        <v/>
      </c>
      <c r="O830" s="51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7">
        <f>MAX(-0.05,NORMINV(RAND(),$C$6,$D$6))</f>
        <v/>
      </c>
      <c r="L831" s="27">
        <f>MAX(0.02,NORMINV(RAND(),$C$7,$D$7))</f>
        <v/>
      </c>
      <c r="M831" s="27">
        <f>MIN(0.16,MAX(0.05,NORMINV(RAND(),$C$8,$D$8)))</f>
        <v/>
      </c>
      <c r="N831" s="28">
        <f>MIN(24,MAX(5,NORMINV(RAND(),$C$9,$D$9)))</f>
        <v/>
      </c>
      <c r="O831" s="51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7">
        <f>MAX(-0.05,NORMINV(RAND(),$C$6,$D$6))</f>
        <v/>
      </c>
      <c r="L832" s="27">
        <f>MAX(0.02,NORMINV(RAND(),$C$7,$D$7))</f>
        <v/>
      </c>
      <c r="M832" s="27">
        <f>MIN(0.16,MAX(0.05,NORMINV(RAND(),$C$8,$D$8)))</f>
        <v/>
      </c>
      <c r="N832" s="28">
        <f>MIN(24,MAX(5,NORMINV(RAND(),$C$9,$D$9)))</f>
        <v/>
      </c>
      <c r="O832" s="51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7">
        <f>MAX(-0.05,NORMINV(RAND(),$C$6,$D$6))</f>
        <v/>
      </c>
      <c r="L833" s="27">
        <f>MAX(0.02,NORMINV(RAND(),$C$7,$D$7))</f>
        <v/>
      </c>
      <c r="M833" s="27">
        <f>MIN(0.16,MAX(0.05,NORMINV(RAND(),$C$8,$D$8)))</f>
        <v/>
      </c>
      <c r="N833" s="28">
        <f>MIN(24,MAX(5,NORMINV(RAND(),$C$9,$D$9)))</f>
        <v/>
      </c>
      <c r="O833" s="51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7">
        <f>MAX(-0.05,NORMINV(RAND(),$C$6,$D$6))</f>
        <v/>
      </c>
      <c r="L834" s="27">
        <f>MAX(0.02,NORMINV(RAND(),$C$7,$D$7))</f>
        <v/>
      </c>
      <c r="M834" s="27">
        <f>MIN(0.16,MAX(0.05,NORMINV(RAND(),$C$8,$D$8)))</f>
        <v/>
      </c>
      <c r="N834" s="28">
        <f>MIN(24,MAX(5,NORMINV(RAND(),$C$9,$D$9)))</f>
        <v/>
      </c>
      <c r="O834" s="51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7">
        <f>MAX(-0.05,NORMINV(RAND(),$C$6,$D$6))</f>
        <v/>
      </c>
      <c r="L835" s="27">
        <f>MAX(0.02,NORMINV(RAND(),$C$7,$D$7))</f>
        <v/>
      </c>
      <c r="M835" s="27">
        <f>MIN(0.16,MAX(0.05,NORMINV(RAND(),$C$8,$D$8)))</f>
        <v/>
      </c>
      <c r="N835" s="28">
        <f>MIN(24,MAX(5,NORMINV(RAND(),$C$9,$D$9)))</f>
        <v/>
      </c>
      <c r="O835" s="51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7">
        <f>MAX(-0.05,NORMINV(RAND(),$C$6,$D$6))</f>
        <v/>
      </c>
      <c r="L836" s="27">
        <f>MAX(0.02,NORMINV(RAND(),$C$7,$D$7))</f>
        <v/>
      </c>
      <c r="M836" s="27">
        <f>MIN(0.16,MAX(0.05,NORMINV(RAND(),$C$8,$D$8)))</f>
        <v/>
      </c>
      <c r="N836" s="28">
        <f>MIN(24,MAX(5,NORMINV(RAND(),$C$9,$D$9)))</f>
        <v/>
      </c>
      <c r="O836" s="51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7">
        <f>MAX(-0.05,NORMINV(RAND(),$C$6,$D$6))</f>
        <v/>
      </c>
      <c r="L837" s="27">
        <f>MAX(0.02,NORMINV(RAND(),$C$7,$D$7))</f>
        <v/>
      </c>
      <c r="M837" s="27">
        <f>MIN(0.16,MAX(0.05,NORMINV(RAND(),$C$8,$D$8)))</f>
        <v/>
      </c>
      <c r="N837" s="28">
        <f>MIN(24,MAX(5,NORMINV(RAND(),$C$9,$D$9)))</f>
        <v/>
      </c>
      <c r="O837" s="51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7">
        <f>MAX(-0.05,NORMINV(RAND(),$C$6,$D$6))</f>
        <v/>
      </c>
      <c r="L838" s="27">
        <f>MAX(0.02,NORMINV(RAND(),$C$7,$D$7))</f>
        <v/>
      </c>
      <c r="M838" s="27">
        <f>MIN(0.16,MAX(0.05,NORMINV(RAND(),$C$8,$D$8)))</f>
        <v/>
      </c>
      <c r="N838" s="28">
        <f>MIN(24,MAX(5,NORMINV(RAND(),$C$9,$D$9)))</f>
        <v/>
      </c>
      <c r="O838" s="51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7">
        <f>MAX(-0.05,NORMINV(RAND(),$C$6,$D$6))</f>
        <v/>
      </c>
      <c r="L839" s="27">
        <f>MAX(0.02,NORMINV(RAND(),$C$7,$D$7))</f>
        <v/>
      </c>
      <c r="M839" s="27">
        <f>MIN(0.16,MAX(0.05,NORMINV(RAND(),$C$8,$D$8)))</f>
        <v/>
      </c>
      <c r="N839" s="28">
        <f>MIN(24,MAX(5,NORMINV(RAND(),$C$9,$D$9)))</f>
        <v/>
      </c>
      <c r="O839" s="51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7">
        <f>MAX(-0.05,NORMINV(RAND(),$C$6,$D$6))</f>
        <v/>
      </c>
      <c r="L840" s="27">
        <f>MAX(0.02,NORMINV(RAND(),$C$7,$D$7))</f>
        <v/>
      </c>
      <c r="M840" s="27">
        <f>MIN(0.16,MAX(0.05,NORMINV(RAND(),$C$8,$D$8)))</f>
        <v/>
      </c>
      <c r="N840" s="28">
        <f>MIN(24,MAX(5,NORMINV(RAND(),$C$9,$D$9)))</f>
        <v/>
      </c>
      <c r="O840" s="51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7">
        <f>MAX(-0.05,NORMINV(RAND(),$C$6,$D$6))</f>
        <v/>
      </c>
      <c r="L841" s="27">
        <f>MAX(0.02,NORMINV(RAND(),$C$7,$D$7))</f>
        <v/>
      </c>
      <c r="M841" s="27">
        <f>MIN(0.16,MAX(0.05,NORMINV(RAND(),$C$8,$D$8)))</f>
        <v/>
      </c>
      <c r="N841" s="28">
        <f>MIN(24,MAX(5,NORMINV(RAND(),$C$9,$D$9)))</f>
        <v/>
      </c>
      <c r="O841" s="51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7">
        <f>MAX(-0.05,NORMINV(RAND(),$C$6,$D$6))</f>
        <v/>
      </c>
      <c r="L842" s="27">
        <f>MAX(0.02,NORMINV(RAND(),$C$7,$D$7))</f>
        <v/>
      </c>
      <c r="M842" s="27">
        <f>MIN(0.16,MAX(0.05,NORMINV(RAND(),$C$8,$D$8)))</f>
        <v/>
      </c>
      <c r="N842" s="28">
        <f>MIN(24,MAX(5,NORMINV(RAND(),$C$9,$D$9)))</f>
        <v/>
      </c>
      <c r="O842" s="51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7">
        <f>MAX(-0.05,NORMINV(RAND(),$C$6,$D$6))</f>
        <v/>
      </c>
      <c r="L843" s="27">
        <f>MAX(0.02,NORMINV(RAND(),$C$7,$D$7))</f>
        <v/>
      </c>
      <c r="M843" s="27">
        <f>MIN(0.16,MAX(0.05,NORMINV(RAND(),$C$8,$D$8)))</f>
        <v/>
      </c>
      <c r="N843" s="28">
        <f>MIN(24,MAX(5,NORMINV(RAND(),$C$9,$D$9)))</f>
        <v/>
      </c>
      <c r="O843" s="51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7">
        <f>MAX(-0.05,NORMINV(RAND(),$C$6,$D$6))</f>
        <v/>
      </c>
      <c r="L844" s="27">
        <f>MAX(0.02,NORMINV(RAND(),$C$7,$D$7))</f>
        <v/>
      </c>
      <c r="M844" s="27">
        <f>MIN(0.16,MAX(0.05,NORMINV(RAND(),$C$8,$D$8)))</f>
        <v/>
      </c>
      <c r="N844" s="28">
        <f>MIN(24,MAX(5,NORMINV(RAND(),$C$9,$D$9)))</f>
        <v/>
      </c>
      <c r="O844" s="51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7">
        <f>MAX(-0.05,NORMINV(RAND(),$C$6,$D$6))</f>
        <v/>
      </c>
      <c r="L845" s="27">
        <f>MAX(0.02,NORMINV(RAND(),$C$7,$D$7))</f>
        <v/>
      </c>
      <c r="M845" s="27">
        <f>MIN(0.16,MAX(0.05,NORMINV(RAND(),$C$8,$D$8)))</f>
        <v/>
      </c>
      <c r="N845" s="28">
        <f>MIN(24,MAX(5,NORMINV(RAND(),$C$9,$D$9)))</f>
        <v/>
      </c>
      <c r="O845" s="51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7">
        <f>MAX(-0.05,NORMINV(RAND(),$C$6,$D$6))</f>
        <v/>
      </c>
      <c r="L846" s="27">
        <f>MAX(0.02,NORMINV(RAND(),$C$7,$D$7))</f>
        <v/>
      </c>
      <c r="M846" s="27">
        <f>MIN(0.16,MAX(0.05,NORMINV(RAND(),$C$8,$D$8)))</f>
        <v/>
      </c>
      <c r="N846" s="28">
        <f>MIN(24,MAX(5,NORMINV(RAND(),$C$9,$D$9)))</f>
        <v/>
      </c>
      <c r="O846" s="51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7">
        <f>MAX(-0.05,NORMINV(RAND(),$C$6,$D$6))</f>
        <v/>
      </c>
      <c r="L847" s="27">
        <f>MAX(0.02,NORMINV(RAND(),$C$7,$D$7))</f>
        <v/>
      </c>
      <c r="M847" s="27">
        <f>MIN(0.16,MAX(0.05,NORMINV(RAND(),$C$8,$D$8)))</f>
        <v/>
      </c>
      <c r="N847" s="28">
        <f>MIN(24,MAX(5,NORMINV(RAND(),$C$9,$D$9)))</f>
        <v/>
      </c>
      <c r="O847" s="51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7">
        <f>MAX(-0.05,NORMINV(RAND(),$C$6,$D$6))</f>
        <v/>
      </c>
      <c r="L848" s="27">
        <f>MAX(0.02,NORMINV(RAND(),$C$7,$D$7))</f>
        <v/>
      </c>
      <c r="M848" s="27">
        <f>MIN(0.16,MAX(0.05,NORMINV(RAND(),$C$8,$D$8)))</f>
        <v/>
      </c>
      <c r="N848" s="28">
        <f>MIN(24,MAX(5,NORMINV(RAND(),$C$9,$D$9)))</f>
        <v/>
      </c>
      <c r="O848" s="51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7">
        <f>MAX(-0.05,NORMINV(RAND(),$C$6,$D$6))</f>
        <v/>
      </c>
      <c r="L849" s="27">
        <f>MAX(0.02,NORMINV(RAND(),$C$7,$D$7))</f>
        <v/>
      </c>
      <c r="M849" s="27">
        <f>MIN(0.16,MAX(0.05,NORMINV(RAND(),$C$8,$D$8)))</f>
        <v/>
      </c>
      <c r="N849" s="28">
        <f>MIN(24,MAX(5,NORMINV(RAND(),$C$9,$D$9)))</f>
        <v/>
      </c>
      <c r="O849" s="51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7">
        <f>MAX(-0.05,NORMINV(RAND(),$C$6,$D$6))</f>
        <v/>
      </c>
      <c r="L850" s="27">
        <f>MAX(0.02,NORMINV(RAND(),$C$7,$D$7))</f>
        <v/>
      </c>
      <c r="M850" s="27">
        <f>MIN(0.16,MAX(0.05,NORMINV(RAND(),$C$8,$D$8)))</f>
        <v/>
      </c>
      <c r="N850" s="28">
        <f>MIN(24,MAX(5,NORMINV(RAND(),$C$9,$D$9)))</f>
        <v/>
      </c>
      <c r="O850" s="51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7">
        <f>MAX(-0.05,NORMINV(RAND(),$C$6,$D$6))</f>
        <v/>
      </c>
      <c r="L851" s="27">
        <f>MAX(0.02,NORMINV(RAND(),$C$7,$D$7))</f>
        <v/>
      </c>
      <c r="M851" s="27">
        <f>MIN(0.16,MAX(0.05,NORMINV(RAND(),$C$8,$D$8)))</f>
        <v/>
      </c>
      <c r="N851" s="28">
        <f>MIN(24,MAX(5,NORMINV(RAND(),$C$9,$D$9)))</f>
        <v/>
      </c>
      <c r="O851" s="51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7">
        <f>MAX(-0.05,NORMINV(RAND(),$C$6,$D$6))</f>
        <v/>
      </c>
      <c r="L852" s="27">
        <f>MAX(0.02,NORMINV(RAND(),$C$7,$D$7))</f>
        <v/>
      </c>
      <c r="M852" s="27">
        <f>MIN(0.16,MAX(0.05,NORMINV(RAND(),$C$8,$D$8)))</f>
        <v/>
      </c>
      <c r="N852" s="28">
        <f>MIN(24,MAX(5,NORMINV(RAND(),$C$9,$D$9)))</f>
        <v/>
      </c>
      <c r="O852" s="51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7">
        <f>MAX(-0.05,NORMINV(RAND(),$C$6,$D$6))</f>
        <v/>
      </c>
      <c r="L853" s="27">
        <f>MAX(0.02,NORMINV(RAND(),$C$7,$D$7))</f>
        <v/>
      </c>
      <c r="M853" s="27">
        <f>MIN(0.16,MAX(0.05,NORMINV(RAND(),$C$8,$D$8)))</f>
        <v/>
      </c>
      <c r="N853" s="28">
        <f>MIN(24,MAX(5,NORMINV(RAND(),$C$9,$D$9)))</f>
        <v/>
      </c>
      <c r="O853" s="51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7">
        <f>MAX(-0.05,NORMINV(RAND(),$C$6,$D$6))</f>
        <v/>
      </c>
      <c r="L854" s="27">
        <f>MAX(0.02,NORMINV(RAND(),$C$7,$D$7))</f>
        <v/>
      </c>
      <c r="M854" s="27">
        <f>MIN(0.16,MAX(0.05,NORMINV(RAND(),$C$8,$D$8)))</f>
        <v/>
      </c>
      <c r="N854" s="28">
        <f>MIN(24,MAX(5,NORMINV(RAND(),$C$9,$D$9)))</f>
        <v/>
      </c>
      <c r="O854" s="51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7">
        <f>MAX(-0.05,NORMINV(RAND(),$C$6,$D$6))</f>
        <v/>
      </c>
      <c r="L855" s="27">
        <f>MAX(0.02,NORMINV(RAND(),$C$7,$D$7))</f>
        <v/>
      </c>
      <c r="M855" s="27">
        <f>MIN(0.16,MAX(0.05,NORMINV(RAND(),$C$8,$D$8)))</f>
        <v/>
      </c>
      <c r="N855" s="28">
        <f>MIN(24,MAX(5,NORMINV(RAND(),$C$9,$D$9)))</f>
        <v/>
      </c>
      <c r="O855" s="51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7">
        <f>MAX(-0.05,NORMINV(RAND(),$C$6,$D$6))</f>
        <v/>
      </c>
      <c r="L856" s="27">
        <f>MAX(0.02,NORMINV(RAND(),$C$7,$D$7))</f>
        <v/>
      </c>
      <c r="M856" s="27">
        <f>MIN(0.16,MAX(0.05,NORMINV(RAND(),$C$8,$D$8)))</f>
        <v/>
      </c>
      <c r="N856" s="28">
        <f>MIN(24,MAX(5,NORMINV(RAND(),$C$9,$D$9)))</f>
        <v/>
      </c>
      <c r="O856" s="51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7">
        <f>MAX(-0.05,NORMINV(RAND(),$C$6,$D$6))</f>
        <v/>
      </c>
      <c r="L857" s="27">
        <f>MAX(0.02,NORMINV(RAND(),$C$7,$D$7))</f>
        <v/>
      </c>
      <c r="M857" s="27">
        <f>MIN(0.16,MAX(0.05,NORMINV(RAND(),$C$8,$D$8)))</f>
        <v/>
      </c>
      <c r="N857" s="28">
        <f>MIN(24,MAX(5,NORMINV(RAND(),$C$9,$D$9)))</f>
        <v/>
      </c>
      <c r="O857" s="51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7">
        <f>MAX(-0.05,NORMINV(RAND(),$C$6,$D$6))</f>
        <v/>
      </c>
      <c r="L858" s="27">
        <f>MAX(0.02,NORMINV(RAND(),$C$7,$D$7))</f>
        <v/>
      </c>
      <c r="M858" s="27">
        <f>MIN(0.16,MAX(0.05,NORMINV(RAND(),$C$8,$D$8)))</f>
        <v/>
      </c>
      <c r="N858" s="28">
        <f>MIN(24,MAX(5,NORMINV(RAND(),$C$9,$D$9)))</f>
        <v/>
      </c>
      <c r="O858" s="51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7">
        <f>MAX(-0.05,NORMINV(RAND(),$C$6,$D$6))</f>
        <v/>
      </c>
      <c r="L859" s="27">
        <f>MAX(0.02,NORMINV(RAND(),$C$7,$D$7))</f>
        <v/>
      </c>
      <c r="M859" s="27">
        <f>MIN(0.16,MAX(0.05,NORMINV(RAND(),$C$8,$D$8)))</f>
        <v/>
      </c>
      <c r="N859" s="28">
        <f>MIN(24,MAX(5,NORMINV(RAND(),$C$9,$D$9)))</f>
        <v/>
      </c>
      <c r="O859" s="51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7">
        <f>MAX(-0.05,NORMINV(RAND(),$C$6,$D$6))</f>
        <v/>
      </c>
      <c r="L860" s="27">
        <f>MAX(0.02,NORMINV(RAND(),$C$7,$D$7))</f>
        <v/>
      </c>
      <c r="M860" s="27">
        <f>MIN(0.16,MAX(0.05,NORMINV(RAND(),$C$8,$D$8)))</f>
        <v/>
      </c>
      <c r="N860" s="28">
        <f>MIN(24,MAX(5,NORMINV(RAND(),$C$9,$D$9)))</f>
        <v/>
      </c>
      <c r="O860" s="51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7">
        <f>MAX(-0.05,NORMINV(RAND(),$C$6,$D$6))</f>
        <v/>
      </c>
      <c r="L861" s="27">
        <f>MAX(0.02,NORMINV(RAND(),$C$7,$D$7))</f>
        <v/>
      </c>
      <c r="M861" s="27">
        <f>MIN(0.16,MAX(0.05,NORMINV(RAND(),$C$8,$D$8)))</f>
        <v/>
      </c>
      <c r="N861" s="28">
        <f>MIN(24,MAX(5,NORMINV(RAND(),$C$9,$D$9)))</f>
        <v/>
      </c>
      <c r="O861" s="51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7">
        <f>MAX(-0.05,NORMINV(RAND(),$C$6,$D$6))</f>
        <v/>
      </c>
      <c r="L862" s="27">
        <f>MAX(0.02,NORMINV(RAND(),$C$7,$D$7))</f>
        <v/>
      </c>
      <c r="M862" s="27">
        <f>MIN(0.16,MAX(0.05,NORMINV(RAND(),$C$8,$D$8)))</f>
        <v/>
      </c>
      <c r="N862" s="28">
        <f>MIN(24,MAX(5,NORMINV(RAND(),$C$9,$D$9)))</f>
        <v/>
      </c>
      <c r="O862" s="51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7">
        <f>MAX(-0.05,NORMINV(RAND(),$C$6,$D$6))</f>
        <v/>
      </c>
      <c r="L863" s="27">
        <f>MAX(0.02,NORMINV(RAND(),$C$7,$D$7))</f>
        <v/>
      </c>
      <c r="M863" s="27">
        <f>MIN(0.16,MAX(0.05,NORMINV(RAND(),$C$8,$D$8)))</f>
        <v/>
      </c>
      <c r="N863" s="28">
        <f>MIN(24,MAX(5,NORMINV(RAND(),$C$9,$D$9)))</f>
        <v/>
      </c>
      <c r="O863" s="51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7">
        <f>MAX(-0.05,NORMINV(RAND(),$C$6,$D$6))</f>
        <v/>
      </c>
      <c r="L864" s="27">
        <f>MAX(0.02,NORMINV(RAND(),$C$7,$D$7))</f>
        <v/>
      </c>
      <c r="M864" s="27">
        <f>MIN(0.16,MAX(0.05,NORMINV(RAND(),$C$8,$D$8)))</f>
        <v/>
      </c>
      <c r="N864" s="28">
        <f>MIN(24,MAX(5,NORMINV(RAND(),$C$9,$D$9)))</f>
        <v/>
      </c>
      <c r="O864" s="51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7">
        <f>MAX(-0.05,NORMINV(RAND(),$C$6,$D$6))</f>
        <v/>
      </c>
      <c r="L865" s="27">
        <f>MAX(0.02,NORMINV(RAND(),$C$7,$D$7))</f>
        <v/>
      </c>
      <c r="M865" s="27">
        <f>MIN(0.16,MAX(0.05,NORMINV(RAND(),$C$8,$D$8)))</f>
        <v/>
      </c>
      <c r="N865" s="28">
        <f>MIN(24,MAX(5,NORMINV(RAND(),$C$9,$D$9)))</f>
        <v/>
      </c>
      <c r="O865" s="51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7">
        <f>MAX(-0.05,NORMINV(RAND(),$C$6,$D$6))</f>
        <v/>
      </c>
      <c r="L866" s="27">
        <f>MAX(0.02,NORMINV(RAND(),$C$7,$D$7))</f>
        <v/>
      </c>
      <c r="M866" s="27">
        <f>MIN(0.16,MAX(0.05,NORMINV(RAND(),$C$8,$D$8)))</f>
        <v/>
      </c>
      <c r="N866" s="28">
        <f>MIN(24,MAX(5,NORMINV(RAND(),$C$9,$D$9)))</f>
        <v/>
      </c>
      <c r="O866" s="51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7">
        <f>MAX(-0.05,NORMINV(RAND(),$C$6,$D$6))</f>
        <v/>
      </c>
      <c r="L867" s="27">
        <f>MAX(0.02,NORMINV(RAND(),$C$7,$D$7))</f>
        <v/>
      </c>
      <c r="M867" s="27">
        <f>MIN(0.16,MAX(0.05,NORMINV(RAND(),$C$8,$D$8)))</f>
        <v/>
      </c>
      <c r="N867" s="28">
        <f>MIN(24,MAX(5,NORMINV(RAND(),$C$9,$D$9)))</f>
        <v/>
      </c>
      <c r="O867" s="51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7">
        <f>MAX(-0.05,NORMINV(RAND(),$C$6,$D$6))</f>
        <v/>
      </c>
      <c r="L868" s="27">
        <f>MAX(0.02,NORMINV(RAND(),$C$7,$D$7))</f>
        <v/>
      </c>
      <c r="M868" s="27">
        <f>MIN(0.16,MAX(0.05,NORMINV(RAND(),$C$8,$D$8)))</f>
        <v/>
      </c>
      <c r="N868" s="28">
        <f>MIN(24,MAX(5,NORMINV(RAND(),$C$9,$D$9)))</f>
        <v/>
      </c>
      <c r="O868" s="51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7">
        <f>MAX(-0.05,NORMINV(RAND(),$C$6,$D$6))</f>
        <v/>
      </c>
      <c r="L869" s="27">
        <f>MAX(0.02,NORMINV(RAND(),$C$7,$D$7))</f>
        <v/>
      </c>
      <c r="M869" s="27">
        <f>MIN(0.16,MAX(0.05,NORMINV(RAND(),$C$8,$D$8)))</f>
        <v/>
      </c>
      <c r="N869" s="28">
        <f>MIN(24,MAX(5,NORMINV(RAND(),$C$9,$D$9)))</f>
        <v/>
      </c>
      <c r="O869" s="51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7">
        <f>MAX(-0.05,NORMINV(RAND(),$C$6,$D$6))</f>
        <v/>
      </c>
      <c r="L870" s="27">
        <f>MAX(0.02,NORMINV(RAND(),$C$7,$D$7))</f>
        <v/>
      </c>
      <c r="M870" s="27">
        <f>MIN(0.16,MAX(0.05,NORMINV(RAND(),$C$8,$D$8)))</f>
        <v/>
      </c>
      <c r="N870" s="28">
        <f>MIN(24,MAX(5,NORMINV(RAND(),$C$9,$D$9)))</f>
        <v/>
      </c>
      <c r="O870" s="51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7">
        <f>MAX(-0.05,NORMINV(RAND(),$C$6,$D$6))</f>
        <v/>
      </c>
      <c r="L871" s="27">
        <f>MAX(0.02,NORMINV(RAND(),$C$7,$D$7))</f>
        <v/>
      </c>
      <c r="M871" s="27">
        <f>MIN(0.16,MAX(0.05,NORMINV(RAND(),$C$8,$D$8)))</f>
        <v/>
      </c>
      <c r="N871" s="28">
        <f>MIN(24,MAX(5,NORMINV(RAND(),$C$9,$D$9)))</f>
        <v/>
      </c>
      <c r="O871" s="51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7">
        <f>MAX(-0.05,NORMINV(RAND(),$C$6,$D$6))</f>
        <v/>
      </c>
      <c r="L872" s="27">
        <f>MAX(0.02,NORMINV(RAND(),$C$7,$D$7))</f>
        <v/>
      </c>
      <c r="M872" s="27">
        <f>MIN(0.16,MAX(0.05,NORMINV(RAND(),$C$8,$D$8)))</f>
        <v/>
      </c>
      <c r="N872" s="28">
        <f>MIN(24,MAX(5,NORMINV(RAND(),$C$9,$D$9)))</f>
        <v/>
      </c>
      <c r="O872" s="51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7">
        <f>MAX(-0.05,NORMINV(RAND(),$C$6,$D$6))</f>
        <v/>
      </c>
      <c r="L873" s="27">
        <f>MAX(0.02,NORMINV(RAND(),$C$7,$D$7))</f>
        <v/>
      </c>
      <c r="M873" s="27">
        <f>MIN(0.16,MAX(0.05,NORMINV(RAND(),$C$8,$D$8)))</f>
        <v/>
      </c>
      <c r="N873" s="28">
        <f>MIN(24,MAX(5,NORMINV(RAND(),$C$9,$D$9)))</f>
        <v/>
      </c>
      <c r="O873" s="51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7">
        <f>MAX(-0.05,NORMINV(RAND(),$C$6,$D$6))</f>
        <v/>
      </c>
      <c r="L874" s="27">
        <f>MAX(0.02,NORMINV(RAND(),$C$7,$D$7))</f>
        <v/>
      </c>
      <c r="M874" s="27">
        <f>MIN(0.16,MAX(0.05,NORMINV(RAND(),$C$8,$D$8)))</f>
        <v/>
      </c>
      <c r="N874" s="28">
        <f>MIN(24,MAX(5,NORMINV(RAND(),$C$9,$D$9)))</f>
        <v/>
      </c>
      <c r="O874" s="51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7">
        <f>MAX(-0.05,NORMINV(RAND(),$C$6,$D$6))</f>
        <v/>
      </c>
      <c r="L875" s="27">
        <f>MAX(0.02,NORMINV(RAND(),$C$7,$D$7))</f>
        <v/>
      </c>
      <c r="M875" s="27">
        <f>MIN(0.16,MAX(0.05,NORMINV(RAND(),$C$8,$D$8)))</f>
        <v/>
      </c>
      <c r="N875" s="28">
        <f>MIN(24,MAX(5,NORMINV(RAND(),$C$9,$D$9)))</f>
        <v/>
      </c>
      <c r="O875" s="51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7">
        <f>MAX(-0.05,NORMINV(RAND(),$C$6,$D$6))</f>
        <v/>
      </c>
      <c r="L876" s="27">
        <f>MAX(0.02,NORMINV(RAND(),$C$7,$D$7))</f>
        <v/>
      </c>
      <c r="M876" s="27">
        <f>MIN(0.16,MAX(0.05,NORMINV(RAND(),$C$8,$D$8)))</f>
        <v/>
      </c>
      <c r="N876" s="28">
        <f>MIN(24,MAX(5,NORMINV(RAND(),$C$9,$D$9)))</f>
        <v/>
      </c>
      <c r="O876" s="51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7">
        <f>MAX(-0.05,NORMINV(RAND(),$C$6,$D$6))</f>
        <v/>
      </c>
      <c r="L877" s="27">
        <f>MAX(0.02,NORMINV(RAND(),$C$7,$D$7))</f>
        <v/>
      </c>
      <c r="M877" s="27">
        <f>MIN(0.16,MAX(0.05,NORMINV(RAND(),$C$8,$D$8)))</f>
        <v/>
      </c>
      <c r="N877" s="28">
        <f>MIN(24,MAX(5,NORMINV(RAND(),$C$9,$D$9)))</f>
        <v/>
      </c>
      <c r="O877" s="51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7">
        <f>MAX(-0.05,NORMINV(RAND(),$C$6,$D$6))</f>
        <v/>
      </c>
      <c r="L878" s="27">
        <f>MAX(0.02,NORMINV(RAND(),$C$7,$D$7))</f>
        <v/>
      </c>
      <c r="M878" s="27">
        <f>MIN(0.16,MAX(0.05,NORMINV(RAND(),$C$8,$D$8)))</f>
        <v/>
      </c>
      <c r="N878" s="28">
        <f>MIN(24,MAX(5,NORMINV(RAND(),$C$9,$D$9)))</f>
        <v/>
      </c>
      <c r="O878" s="51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7">
        <f>MAX(-0.05,NORMINV(RAND(),$C$6,$D$6))</f>
        <v/>
      </c>
      <c r="L879" s="27">
        <f>MAX(0.02,NORMINV(RAND(),$C$7,$D$7))</f>
        <v/>
      </c>
      <c r="M879" s="27">
        <f>MIN(0.16,MAX(0.05,NORMINV(RAND(),$C$8,$D$8)))</f>
        <v/>
      </c>
      <c r="N879" s="28">
        <f>MIN(24,MAX(5,NORMINV(RAND(),$C$9,$D$9)))</f>
        <v/>
      </c>
      <c r="O879" s="51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7">
        <f>MAX(-0.05,NORMINV(RAND(),$C$6,$D$6))</f>
        <v/>
      </c>
      <c r="L880" s="27">
        <f>MAX(0.02,NORMINV(RAND(),$C$7,$D$7))</f>
        <v/>
      </c>
      <c r="M880" s="27">
        <f>MIN(0.16,MAX(0.05,NORMINV(RAND(),$C$8,$D$8)))</f>
        <v/>
      </c>
      <c r="N880" s="28">
        <f>MIN(24,MAX(5,NORMINV(RAND(),$C$9,$D$9)))</f>
        <v/>
      </c>
      <c r="O880" s="51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7">
        <f>MAX(-0.05,NORMINV(RAND(),$C$6,$D$6))</f>
        <v/>
      </c>
      <c r="L881" s="27">
        <f>MAX(0.02,NORMINV(RAND(),$C$7,$D$7))</f>
        <v/>
      </c>
      <c r="M881" s="27">
        <f>MIN(0.16,MAX(0.05,NORMINV(RAND(),$C$8,$D$8)))</f>
        <v/>
      </c>
      <c r="N881" s="28">
        <f>MIN(24,MAX(5,NORMINV(RAND(),$C$9,$D$9)))</f>
        <v/>
      </c>
      <c r="O881" s="51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7">
        <f>MAX(-0.05,NORMINV(RAND(),$C$6,$D$6))</f>
        <v/>
      </c>
      <c r="L882" s="27">
        <f>MAX(0.02,NORMINV(RAND(),$C$7,$D$7))</f>
        <v/>
      </c>
      <c r="M882" s="27">
        <f>MIN(0.16,MAX(0.05,NORMINV(RAND(),$C$8,$D$8)))</f>
        <v/>
      </c>
      <c r="N882" s="28">
        <f>MIN(24,MAX(5,NORMINV(RAND(),$C$9,$D$9)))</f>
        <v/>
      </c>
      <c r="O882" s="51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7">
        <f>MAX(-0.05,NORMINV(RAND(),$C$6,$D$6))</f>
        <v/>
      </c>
      <c r="L883" s="27">
        <f>MAX(0.02,NORMINV(RAND(),$C$7,$D$7))</f>
        <v/>
      </c>
      <c r="M883" s="27">
        <f>MIN(0.16,MAX(0.05,NORMINV(RAND(),$C$8,$D$8)))</f>
        <v/>
      </c>
      <c r="N883" s="28">
        <f>MIN(24,MAX(5,NORMINV(RAND(),$C$9,$D$9)))</f>
        <v/>
      </c>
      <c r="O883" s="51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7">
        <f>MAX(-0.05,NORMINV(RAND(),$C$6,$D$6))</f>
        <v/>
      </c>
      <c r="L884" s="27">
        <f>MAX(0.02,NORMINV(RAND(),$C$7,$D$7))</f>
        <v/>
      </c>
      <c r="M884" s="27">
        <f>MIN(0.16,MAX(0.05,NORMINV(RAND(),$C$8,$D$8)))</f>
        <v/>
      </c>
      <c r="N884" s="28">
        <f>MIN(24,MAX(5,NORMINV(RAND(),$C$9,$D$9)))</f>
        <v/>
      </c>
      <c r="O884" s="51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7">
        <f>MAX(-0.05,NORMINV(RAND(),$C$6,$D$6))</f>
        <v/>
      </c>
      <c r="L885" s="27">
        <f>MAX(0.02,NORMINV(RAND(),$C$7,$D$7))</f>
        <v/>
      </c>
      <c r="M885" s="27">
        <f>MIN(0.16,MAX(0.05,NORMINV(RAND(),$C$8,$D$8)))</f>
        <v/>
      </c>
      <c r="N885" s="28">
        <f>MIN(24,MAX(5,NORMINV(RAND(),$C$9,$D$9)))</f>
        <v/>
      </c>
      <c r="O885" s="51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7">
        <f>MAX(-0.05,NORMINV(RAND(),$C$6,$D$6))</f>
        <v/>
      </c>
      <c r="L886" s="27">
        <f>MAX(0.02,NORMINV(RAND(),$C$7,$D$7))</f>
        <v/>
      </c>
      <c r="M886" s="27">
        <f>MIN(0.16,MAX(0.05,NORMINV(RAND(),$C$8,$D$8)))</f>
        <v/>
      </c>
      <c r="N886" s="28">
        <f>MIN(24,MAX(5,NORMINV(RAND(),$C$9,$D$9)))</f>
        <v/>
      </c>
      <c r="O886" s="51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7">
        <f>MAX(-0.05,NORMINV(RAND(),$C$6,$D$6))</f>
        <v/>
      </c>
      <c r="L887" s="27">
        <f>MAX(0.02,NORMINV(RAND(),$C$7,$D$7))</f>
        <v/>
      </c>
      <c r="M887" s="27">
        <f>MIN(0.16,MAX(0.05,NORMINV(RAND(),$C$8,$D$8)))</f>
        <v/>
      </c>
      <c r="N887" s="28">
        <f>MIN(24,MAX(5,NORMINV(RAND(),$C$9,$D$9)))</f>
        <v/>
      </c>
      <c r="O887" s="51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7">
        <f>MAX(-0.05,NORMINV(RAND(),$C$6,$D$6))</f>
        <v/>
      </c>
      <c r="L888" s="27">
        <f>MAX(0.02,NORMINV(RAND(),$C$7,$D$7))</f>
        <v/>
      </c>
      <c r="M888" s="27">
        <f>MIN(0.16,MAX(0.05,NORMINV(RAND(),$C$8,$D$8)))</f>
        <v/>
      </c>
      <c r="N888" s="28">
        <f>MIN(24,MAX(5,NORMINV(RAND(),$C$9,$D$9)))</f>
        <v/>
      </c>
      <c r="O888" s="51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7">
        <f>MAX(-0.05,NORMINV(RAND(),$C$6,$D$6))</f>
        <v/>
      </c>
      <c r="L889" s="27">
        <f>MAX(0.02,NORMINV(RAND(),$C$7,$D$7))</f>
        <v/>
      </c>
      <c r="M889" s="27">
        <f>MIN(0.16,MAX(0.05,NORMINV(RAND(),$C$8,$D$8)))</f>
        <v/>
      </c>
      <c r="N889" s="28">
        <f>MIN(24,MAX(5,NORMINV(RAND(),$C$9,$D$9)))</f>
        <v/>
      </c>
      <c r="O889" s="51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7">
        <f>MAX(-0.05,NORMINV(RAND(),$C$6,$D$6))</f>
        <v/>
      </c>
      <c r="L890" s="27">
        <f>MAX(0.02,NORMINV(RAND(),$C$7,$D$7))</f>
        <v/>
      </c>
      <c r="M890" s="27">
        <f>MIN(0.16,MAX(0.05,NORMINV(RAND(),$C$8,$D$8)))</f>
        <v/>
      </c>
      <c r="N890" s="28">
        <f>MIN(24,MAX(5,NORMINV(RAND(),$C$9,$D$9)))</f>
        <v/>
      </c>
      <c r="O890" s="51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7">
        <f>MAX(-0.05,NORMINV(RAND(),$C$6,$D$6))</f>
        <v/>
      </c>
      <c r="L891" s="27">
        <f>MAX(0.02,NORMINV(RAND(),$C$7,$D$7))</f>
        <v/>
      </c>
      <c r="M891" s="27">
        <f>MIN(0.16,MAX(0.05,NORMINV(RAND(),$C$8,$D$8)))</f>
        <v/>
      </c>
      <c r="N891" s="28">
        <f>MIN(24,MAX(5,NORMINV(RAND(),$C$9,$D$9)))</f>
        <v/>
      </c>
      <c r="O891" s="51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7">
        <f>MAX(-0.05,NORMINV(RAND(),$C$6,$D$6))</f>
        <v/>
      </c>
      <c r="L892" s="27">
        <f>MAX(0.02,NORMINV(RAND(),$C$7,$D$7))</f>
        <v/>
      </c>
      <c r="M892" s="27">
        <f>MIN(0.16,MAX(0.05,NORMINV(RAND(),$C$8,$D$8)))</f>
        <v/>
      </c>
      <c r="N892" s="28">
        <f>MIN(24,MAX(5,NORMINV(RAND(),$C$9,$D$9)))</f>
        <v/>
      </c>
      <c r="O892" s="51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7">
        <f>MAX(-0.05,NORMINV(RAND(),$C$6,$D$6))</f>
        <v/>
      </c>
      <c r="L893" s="27">
        <f>MAX(0.02,NORMINV(RAND(),$C$7,$D$7))</f>
        <v/>
      </c>
      <c r="M893" s="27">
        <f>MIN(0.16,MAX(0.05,NORMINV(RAND(),$C$8,$D$8)))</f>
        <v/>
      </c>
      <c r="N893" s="28">
        <f>MIN(24,MAX(5,NORMINV(RAND(),$C$9,$D$9)))</f>
        <v/>
      </c>
      <c r="O893" s="51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7">
        <f>MAX(-0.05,NORMINV(RAND(),$C$6,$D$6))</f>
        <v/>
      </c>
      <c r="L894" s="27">
        <f>MAX(0.02,NORMINV(RAND(),$C$7,$D$7))</f>
        <v/>
      </c>
      <c r="M894" s="27">
        <f>MIN(0.16,MAX(0.05,NORMINV(RAND(),$C$8,$D$8)))</f>
        <v/>
      </c>
      <c r="N894" s="28">
        <f>MIN(24,MAX(5,NORMINV(RAND(),$C$9,$D$9)))</f>
        <v/>
      </c>
      <c r="O894" s="51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7">
        <f>MAX(-0.05,NORMINV(RAND(),$C$6,$D$6))</f>
        <v/>
      </c>
      <c r="L895" s="27">
        <f>MAX(0.02,NORMINV(RAND(),$C$7,$D$7))</f>
        <v/>
      </c>
      <c r="M895" s="27">
        <f>MIN(0.16,MAX(0.05,NORMINV(RAND(),$C$8,$D$8)))</f>
        <v/>
      </c>
      <c r="N895" s="28">
        <f>MIN(24,MAX(5,NORMINV(RAND(),$C$9,$D$9)))</f>
        <v/>
      </c>
      <c r="O895" s="51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7">
        <f>MAX(-0.05,NORMINV(RAND(),$C$6,$D$6))</f>
        <v/>
      </c>
      <c r="L896" s="27">
        <f>MAX(0.02,NORMINV(RAND(),$C$7,$D$7))</f>
        <v/>
      </c>
      <c r="M896" s="27">
        <f>MIN(0.16,MAX(0.05,NORMINV(RAND(),$C$8,$D$8)))</f>
        <v/>
      </c>
      <c r="N896" s="28">
        <f>MIN(24,MAX(5,NORMINV(RAND(),$C$9,$D$9)))</f>
        <v/>
      </c>
      <c r="O896" s="51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7">
        <f>MAX(-0.05,NORMINV(RAND(),$C$6,$D$6))</f>
        <v/>
      </c>
      <c r="L897" s="27">
        <f>MAX(0.02,NORMINV(RAND(),$C$7,$D$7))</f>
        <v/>
      </c>
      <c r="M897" s="27">
        <f>MIN(0.16,MAX(0.05,NORMINV(RAND(),$C$8,$D$8)))</f>
        <v/>
      </c>
      <c r="N897" s="28">
        <f>MIN(24,MAX(5,NORMINV(RAND(),$C$9,$D$9)))</f>
        <v/>
      </c>
      <c r="O897" s="51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7">
        <f>MAX(-0.05,NORMINV(RAND(),$C$6,$D$6))</f>
        <v/>
      </c>
      <c r="L898" s="27">
        <f>MAX(0.02,NORMINV(RAND(),$C$7,$D$7))</f>
        <v/>
      </c>
      <c r="M898" s="27">
        <f>MIN(0.16,MAX(0.05,NORMINV(RAND(),$C$8,$D$8)))</f>
        <v/>
      </c>
      <c r="N898" s="28">
        <f>MIN(24,MAX(5,NORMINV(RAND(),$C$9,$D$9)))</f>
        <v/>
      </c>
      <c r="O898" s="51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7">
        <f>MAX(-0.05,NORMINV(RAND(),$C$6,$D$6))</f>
        <v/>
      </c>
      <c r="L899" s="27">
        <f>MAX(0.02,NORMINV(RAND(),$C$7,$D$7))</f>
        <v/>
      </c>
      <c r="M899" s="27">
        <f>MIN(0.16,MAX(0.05,NORMINV(RAND(),$C$8,$D$8)))</f>
        <v/>
      </c>
      <c r="N899" s="28">
        <f>MIN(24,MAX(5,NORMINV(RAND(),$C$9,$D$9)))</f>
        <v/>
      </c>
      <c r="O899" s="51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7">
        <f>MAX(-0.05,NORMINV(RAND(),$C$6,$D$6))</f>
        <v/>
      </c>
      <c r="L900" s="27">
        <f>MAX(0.02,NORMINV(RAND(),$C$7,$D$7))</f>
        <v/>
      </c>
      <c r="M900" s="27">
        <f>MIN(0.16,MAX(0.05,NORMINV(RAND(),$C$8,$D$8)))</f>
        <v/>
      </c>
      <c r="N900" s="28">
        <f>MIN(24,MAX(5,NORMINV(RAND(),$C$9,$D$9)))</f>
        <v/>
      </c>
      <c r="O900" s="51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7">
        <f>MAX(-0.05,NORMINV(RAND(),$C$6,$D$6))</f>
        <v/>
      </c>
      <c r="L901" s="27">
        <f>MAX(0.02,NORMINV(RAND(),$C$7,$D$7))</f>
        <v/>
      </c>
      <c r="M901" s="27">
        <f>MIN(0.16,MAX(0.05,NORMINV(RAND(),$C$8,$D$8)))</f>
        <v/>
      </c>
      <c r="N901" s="28">
        <f>MIN(24,MAX(5,NORMINV(RAND(),$C$9,$D$9)))</f>
        <v/>
      </c>
      <c r="O901" s="51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7">
        <f>MAX(-0.05,NORMINV(RAND(),$C$6,$D$6))</f>
        <v/>
      </c>
      <c r="L902" s="27">
        <f>MAX(0.02,NORMINV(RAND(),$C$7,$D$7))</f>
        <v/>
      </c>
      <c r="M902" s="27">
        <f>MIN(0.16,MAX(0.05,NORMINV(RAND(),$C$8,$D$8)))</f>
        <v/>
      </c>
      <c r="N902" s="28">
        <f>MIN(24,MAX(5,NORMINV(RAND(),$C$9,$D$9)))</f>
        <v/>
      </c>
      <c r="O902" s="51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7">
        <f>MAX(-0.05,NORMINV(RAND(),$C$6,$D$6))</f>
        <v/>
      </c>
      <c r="L903" s="27">
        <f>MAX(0.02,NORMINV(RAND(),$C$7,$D$7))</f>
        <v/>
      </c>
      <c r="M903" s="27">
        <f>MIN(0.16,MAX(0.05,NORMINV(RAND(),$C$8,$D$8)))</f>
        <v/>
      </c>
      <c r="N903" s="28">
        <f>MIN(24,MAX(5,NORMINV(RAND(),$C$9,$D$9)))</f>
        <v/>
      </c>
      <c r="O903" s="51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7">
        <f>MAX(-0.05,NORMINV(RAND(),$C$6,$D$6))</f>
        <v/>
      </c>
      <c r="L904" s="27">
        <f>MAX(0.02,NORMINV(RAND(),$C$7,$D$7))</f>
        <v/>
      </c>
      <c r="M904" s="27">
        <f>MIN(0.16,MAX(0.05,NORMINV(RAND(),$C$8,$D$8)))</f>
        <v/>
      </c>
      <c r="N904" s="28">
        <f>MIN(24,MAX(5,NORMINV(RAND(),$C$9,$D$9)))</f>
        <v/>
      </c>
      <c r="O904" s="51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7">
        <f>MAX(-0.05,NORMINV(RAND(),$C$6,$D$6))</f>
        <v/>
      </c>
      <c r="L905" s="27">
        <f>MAX(0.02,NORMINV(RAND(),$C$7,$D$7))</f>
        <v/>
      </c>
      <c r="M905" s="27">
        <f>MIN(0.16,MAX(0.05,NORMINV(RAND(),$C$8,$D$8)))</f>
        <v/>
      </c>
      <c r="N905" s="28">
        <f>MIN(24,MAX(5,NORMINV(RAND(),$C$9,$D$9)))</f>
        <v/>
      </c>
      <c r="O905" s="51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7">
        <f>MAX(-0.05,NORMINV(RAND(),$C$6,$D$6))</f>
        <v/>
      </c>
      <c r="L906" s="27">
        <f>MAX(0.02,NORMINV(RAND(),$C$7,$D$7))</f>
        <v/>
      </c>
      <c r="M906" s="27">
        <f>MIN(0.16,MAX(0.05,NORMINV(RAND(),$C$8,$D$8)))</f>
        <v/>
      </c>
      <c r="N906" s="28">
        <f>MIN(24,MAX(5,NORMINV(RAND(),$C$9,$D$9)))</f>
        <v/>
      </c>
      <c r="O906" s="51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7">
        <f>MAX(-0.05,NORMINV(RAND(),$C$6,$D$6))</f>
        <v/>
      </c>
      <c r="L907" s="27">
        <f>MAX(0.02,NORMINV(RAND(),$C$7,$D$7))</f>
        <v/>
      </c>
      <c r="M907" s="27">
        <f>MIN(0.16,MAX(0.05,NORMINV(RAND(),$C$8,$D$8)))</f>
        <v/>
      </c>
      <c r="N907" s="28">
        <f>MIN(24,MAX(5,NORMINV(RAND(),$C$9,$D$9)))</f>
        <v/>
      </c>
      <c r="O907" s="51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7">
        <f>MAX(-0.05,NORMINV(RAND(),$C$6,$D$6))</f>
        <v/>
      </c>
      <c r="L908" s="27">
        <f>MAX(0.02,NORMINV(RAND(),$C$7,$D$7))</f>
        <v/>
      </c>
      <c r="M908" s="27">
        <f>MIN(0.16,MAX(0.05,NORMINV(RAND(),$C$8,$D$8)))</f>
        <v/>
      </c>
      <c r="N908" s="28">
        <f>MIN(24,MAX(5,NORMINV(RAND(),$C$9,$D$9)))</f>
        <v/>
      </c>
      <c r="O908" s="51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7">
        <f>MAX(-0.05,NORMINV(RAND(),$C$6,$D$6))</f>
        <v/>
      </c>
      <c r="L909" s="27">
        <f>MAX(0.02,NORMINV(RAND(),$C$7,$D$7))</f>
        <v/>
      </c>
      <c r="M909" s="27">
        <f>MIN(0.16,MAX(0.05,NORMINV(RAND(),$C$8,$D$8)))</f>
        <v/>
      </c>
      <c r="N909" s="28">
        <f>MIN(24,MAX(5,NORMINV(RAND(),$C$9,$D$9)))</f>
        <v/>
      </c>
      <c r="O909" s="51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7">
        <f>MAX(-0.05,NORMINV(RAND(),$C$6,$D$6))</f>
        <v/>
      </c>
      <c r="L910" s="27">
        <f>MAX(0.02,NORMINV(RAND(),$C$7,$D$7))</f>
        <v/>
      </c>
      <c r="M910" s="27">
        <f>MIN(0.16,MAX(0.05,NORMINV(RAND(),$C$8,$D$8)))</f>
        <v/>
      </c>
      <c r="N910" s="28">
        <f>MIN(24,MAX(5,NORMINV(RAND(),$C$9,$D$9)))</f>
        <v/>
      </c>
      <c r="O910" s="51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7">
        <f>MAX(-0.05,NORMINV(RAND(),$C$6,$D$6))</f>
        <v/>
      </c>
      <c r="L911" s="27">
        <f>MAX(0.02,NORMINV(RAND(),$C$7,$D$7))</f>
        <v/>
      </c>
      <c r="M911" s="27">
        <f>MIN(0.16,MAX(0.05,NORMINV(RAND(),$C$8,$D$8)))</f>
        <v/>
      </c>
      <c r="N911" s="28">
        <f>MIN(24,MAX(5,NORMINV(RAND(),$C$9,$D$9)))</f>
        <v/>
      </c>
      <c r="O911" s="51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7">
        <f>MAX(-0.05,NORMINV(RAND(),$C$6,$D$6))</f>
        <v/>
      </c>
      <c r="L912" s="27">
        <f>MAX(0.02,NORMINV(RAND(),$C$7,$D$7))</f>
        <v/>
      </c>
      <c r="M912" s="27">
        <f>MIN(0.16,MAX(0.05,NORMINV(RAND(),$C$8,$D$8)))</f>
        <v/>
      </c>
      <c r="N912" s="28">
        <f>MIN(24,MAX(5,NORMINV(RAND(),$C$9,$D$9)))</f>
        <v/>
      </c>
      <c r="O912" s="51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7">
        <f>MAX(-0.05,NORMINV(RAND(),$C$6,$D$6))</f>
        <v/>
      </c>
      <c r="L913" s="27">
        <f>MAX(0.02,NORMINV(RAND(),$C$7,$D$7))</f>
        <v/>
      </c>
      <c r="M913" s="27">
        <f>MIN(0.16,MAX(0.05,NORMINV(RAND(),$C$8,$D$8)))</f>
        <v/>
      </c>
      <c r="N913" s="28">
        <f>MIN(24,MAX(5,NORMINV(RAND(),$C$9,$D$9)))</f>
        <v/>
      </c>
      <c r="O913" s="51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7">
        <f>MAX(-0.05,NORMINV(RAND(),$C$6,$D$6))</f>
        <v/>
      </c>
      <c r="L914" s="27">
        <f>MAX(0.02,NORMINV(RAND(),$C$7,$D$7))</f>
        <v/>
      </c>
      <c r="M914" s="27">
        <f>MIN(0.16,MAX(0.05,NORMINV(RAND(),$C$8,$D$8)))</f>
        <v/>
      </c>
      <c r="N914" s="28">
        <f>MIN(24,MAX(5,NORMINV(RAND(),$C$9,$D$9)))</f>
        <v/>
      </c>
      <c r="O914" s="51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7">
        <f>MAX(-0.05,NORMINV(RAND(),$C$6,$D$6))</f>
        <v/>
      </c>
      <c r="L915" s="27">
        <f>MAX(0.02,NORMINV(RAND(),$C$7,$D$7))</f>
        <v/>
      </c>
      <c r="M915" s="27">
        <f>MIN(0.16,MAX(0.05,NORMINV(RAND(),$C$8,$D$8)))</f>
        <v/>
      </c>
      <c r="N915" s="28">
        <f>MIN(24,MAX(5,NORMINV(RAND(),$C$9,$D$9)))</f>
        <v/>
      </c>
      <c r="O915" s="51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7">
        <f>MAX(-0.05,NORMINV(RAND(),$C$6,$D$6))</f>
        <v/>
      </c>
      <c r="L916" s="27">
        <f>MAX(0.02,NORMINV(RAND(),$C$7,$D$7))</f>
        <v/>
      </c>
      <c r="M916" s="27">
        <f>MIN(0.16,MAX(0.05,NORMINV(RAND(),$C$8,$D$8)))</f>
        <v/>
      </c>
      <c r="N916" s="28">
        <f>MIN(24,MAX(5,NORMINV(RAND(),$C$9,$D$9)))</f>
        <v/>
      </c>
      <c r="O916" s="51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7">
        <f>MAX(-0.05,NORMINV(RAND(),$C$6,$D$6))</f>
        <v/>
      </c>
      <c r="L917" s="27">
        <f>MAX(0.02,NORMINV(RAND(),$C$7,$D$7))</f>
        <v/>
      </c>
      <c r="M917" s="27">
        <f>MIN(0.16,MAX(0.05,NORMINV(RAND(),$C$8,$D$8)))</f>
        <v/>
      </c>
      <c r="N917" s="28">
        <f>MIN(24,MAX(5,NORMINV(RAND(),$C$9,$D$9)))</f>
        <v/>
      </c>
      <c r="O917" s="51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7">
        <f>MAX(-0.05,NORMINV(RAND(),$C$6,$D$6))</f>
        <v/>
      </c>
      <c r="L918" s="27">
        <f>MAX(0.02,NORMINV(RAND(),$C$7,$D$7))</f>
        <v/>
      </c>
      <c r="M918" s="27">
        <f>MIN(0.16,MAX(0.05,NORMINV(RAND(),$C$8,$D$8)))</f>
        <v/>
      </c>
      <c r="N918" s="28">
        <f>MIN(24,MAX(5,NORMINV(RAND(),$C$9,$D$9)))</f>
        <v/>
      </c>
      <c r="O918" s="51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7">
        <f>MAX(-0.05,NORMINV(RAND(),$C$6,$D$6))</f>
        <v/>
      </c>
      <c r="L919" s="27">
        <f>MAX(0.02,NORMINV(RAND(),$C$7,$D$7))</f>
        <v/>
      </c>
      <c r="M919" s="27">
        <f>MIN(0.16,MAX(0.05,NORMINV(RAND(),$C$8,$D$8)))</f>
        <v/>
      </c>
      <c r="N919" s="28">
        <f>MIN(24,MAX(5,NORMINV(RAND(),$C$9,$D$9)))</f>
        <v/>
      </c>
      <c r="O919" s="51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7">
        <f>MAX(-0.05,NORMINV(RAND(),$C$6,$D$6))</f>
        <v/>
      </c>
      <c r="L920" s="27">
        <f>MAX(0.02,NORMINV(RAND(),$C$7,$D$7))</f>
        <v/>
      </c>
      <c r="M920" s="27">
        <f>MIN(0.16,MAX(0.05,NORMINV(RAND(),$C$8,$D$8)))</f>
        <v/>
      </c>
      <c r="N920" s="28">
        <f>MIN(24,MAX(5,NORMINV(RAND(),$C$9,$D$9)))</f>
        <v/>
      </c>
      <c r="O920" s="51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7">
        <f>MAX(-0.05,NORMINV(RAND(),$C$6,$D$6))</f>
        <v/>
      </c>
      <c r="L921" s="27">
        <f>MAX(0.02,NORMINV(RAND(),$C$7,$D$7))</f>
        <v/>
      </c>
      <c r="M921" s="27">
        <f>MIN(0.16,MAX(0.05,NORMINV(RAND(),$C$8,$D$8)))</f>
        <v/>
      </c>
      <c r="N921" s="28">
        <f>MIN(24,MAX(5,NORMINV(RAND(),$C$9,$D$9)))</f>
        <v/>
      </c>
      <c r="O921" s="51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7">
        <f>MAX(-0.05,NORMINV(RAND(),$C$6,$D$6))</f>
        <v/>
      </c>
      <c r="L922" s="27">
        <f>MAX(0.02,NORMINV(RAND(),$C$7,$D$7))</f>
        <v/>
      </c>
      <c r="M922" s="27">
        <f>MIN(0.16,MAX(0.05,NORMINV(RAND(),$C$8,$D$8)))</f>
        <v/>
      </c>
      <c r="N922" s="28">
        <f>MIN(24,MAX(5,NORMINV(RAND(),$C$9,$D$9)))</f>
        <v/>
      </c>
      <c r="O922" s="51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7">
        <f>MAX(-0.05,NORMINV(RAND(),$C$6,$D$6))</f>
        <v/>
      </c>
      <c r="L923" s="27">
        <f>MAX(0.02,NORMINV(RAND(),$C$7,$D$7))</f>
        <v/>
      </c>
      <c r="M923" s="27">
        <f>MIN(0.16,MAX(0.05,NORMINV(RAND(),$C$8,$D$8)))</f>
        <v/>
      </c>
      <c r="N923" s="28">
        <f>MIN(24,MAX(5,NORMINV(RAND(),$C$9,$D$9)))</f>
        <v/>
      </c>
      <c r="O923" s="51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7">
        <f>MAX(-0.05,NORMINV(RAND(),$C$6,$D$6))</f>
        <v/>
      </c>
      <c r="L924" s="27">
        <f>MAX(0.02,NORMINV(RAND(),$C$7,$D$7))</f>
        <v/>
      </c>
      <c r="M924" s="27">
        <f>MIN(0.16,MAX(0.05,NORMINV(RAND(),$C$8,$D$8)))</f>
        <v/>
      </c>
      <c r="N924" s="28">
        <f>MIN(24,MAX(5,NORMINV(RAND(),$C$9,$D$9)))</f>
        <v/>
      </c>
      <c r="O924" s="51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7">
        <f>MAX(-0.05,NORMINV(RAND(),$C$6,$D$6))</f>
        <v/>
      </c>
      <c r="L925" s="27">
        <f>MAX(0.02,NORMINV(RAND(),$C$7,$D$7))</f>
        <v/>
      </c>
      <c r="M925" s="27">
        <f>MIN(0.16,MAX(0.05,NORMINV(RAND(),$C$8,$D$8)))</f>
        <v/>
      </c>
      <c r="N925" s="28">
        <f>MIN(24,MAX(5,NORMINV(RAND(),$C$9,$D$9)))</f>
        <v/>
      </c>
      <c r="O925" s="51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7">
        <f>MAX(-0.05,NORMINV(RAND(),$C$6,$D$6))</f>
        <v/>
      </c>
      <c r="L926" s="27">
        <f>MAX(0.02,NORMINV(RAND(),$C$7,$D$7))</f>
        <v/>
      </c>
      <c r="M926" s="27">
        <f>MIN(0.16,MAX(0.05,NORMINV(RAND(),$C$8,$D$8)))</f>
        <v/>
      </c>
      <c r="N926" s="28">
        <f>MIN(24,MAX(5,NORMINV(RAND(),$C$9,$D$9)))</f>
        <v/>
      </c>
      <c r="O926" s="51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7">
        <f>MAX(-0.05,NORMINV(RAND(),$C$6,$D$6))</f>
        <v/>
      </c>
      <c r="L927" s="27">
        <f>MAX(0.02,NORMINV(RAND(),$C$7,$D$7))</f>
        <v/>
      </c>
      <c r="M927" s="27">
        <f>MIN(0.16,MAX(0.05,NORMINV(RAND(),$C$8,$D$8)))</f>
        <v/>
      </c>
      <c r="N927" s="28">
        <f>MIN(24,MAX(5,NORMINV(RAND(),$C$9,$D$9)))</f>
        <v/>
      </c>
      <c r="O927" s="51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7">
        <f>MAX(-0.05,NORMINV(RAND(),$C$6,$D$6))</f>
        <v/>
      </c>
      <c r="L928" s="27">
        <f>MAX(0.02,NORMINV(RAND(),$C$7,$D$7))</f>
        <v/>
      </c>
      <c r="M928" s="27">
        <f>MIN(0.16,MAX(0.05,NORMINV(RAND(),$C$8,$D$8)))</f>
        <v/>
      </c>
      <c r="N928" s="28">
        <f>MIN(24,MAX(5,NORMINV(RAND(),$C$9,$D$9)))</f>
        <v/>
      </c>
      <c r="O928" s="51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7">
        <f>MAX(-0.05,NORMINV(RAND(),$C$6,$D$6))</f>
        <v/>
      </c>
      <c r="L929" s="27">
        <f>MAX(0.02,NORMINV(RAND(),$C$7,$D$7))</f>
        <v/>
      </c>
      <c r="M929" s="27">
        <f>MIN(0.16,MAX(0.05,NORMINV(RAND(),$C$8,$D$8)))</f>
        <v/>
      </c>
      <c r="N929" s="28">
        <f>MIN(24,MAX(5,NORMINV(RAND(),$C$9,$D$9)))</f>
        <v/>
      </c>
      <c r="O929" s="51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7">
        <f>MAX(-0.05,NORMINV(RAND(),$C$6,$D$6))</f>
        <v/>
      </c>
      <c r="L930" s="27">
        <f>MAX(0.02,NORMINV(RAND(),$C$7,$D$7))</f>
        <v/>
      </c>
      <c r="M930" s="27">
        <f>MIN(0.16,MAX(0.05,NORMINV(RAND(),$C$8,$D$8)))</f>
        <v/>
      </c>
      <c r="N930" s="28">
        <f>MIN(24,MAX(5,NORMINV(RAND(),$C$9,$D$9)))</f>
        <v/>
      </c>
      <c r="O930" s="51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7">
        <f>MAX(-0.05,NORMINV(RAND(),$C$6,$D$6))</f>
        <v/>
      </c>
      <c r="L931" s="27">
        <f>MAX(0.02,NORMINV(RAND(),$C$7,$D$7))</f>
        <v/>
      </c>
      <c r="M931" s="27">
        <f>MIN(0.16,MAX(0.05,NORMINV(RAND(),$C$8,$D$8)))</f>
        <v/>
      </c>
      <c r="N931" s="28">
        <f>MIN(24,MAX(5,NORMINV(RAND(),$C$9,$D$9)))</f>
        <v/>
      </c>
      <c r="O931" s="51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7">
        <f>MAX(-0.05,NORMINV(RAND(),$C$6,$D$6))</f>
        <v/>
      </c>
      <c r="L932" s="27">
        <f>MAX(0.02,NORMINV(RAND(),$C$7,$D$7))</f>
        <v/>
      </c>
      <c r="M932" s="27">
        <f>MIN(0.16,MAX(0.05,NORMINV(RAND(),$C$8,$D$8)))</f>
        <v/>
      </c>
      <c r="N932" s="28">
        <f>MIN(24,MAX(5,NORMINV(RAND(),$C$9,$D$9)))</f>
        <v/>
      </c>
      <c r="O932" s="51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7">
        <f>MAX(-0.05,NORMINV(RAND(),$C$6,$D$6))</f>
        <v/>
      </c>
      <c r="L933" s="27">
        <f>MAX(0.02,NORMINV(RAND(),$C$7,$D$7))</f>
        <v/>
      </c>
      <c r="M933" s="27">
        <f>MIN(0.16,MAX(0.05,NORMINV(RAND(),$C$8,$D$8)))</f>
        <v/>
      </c>
      <c r="N933" s="28">
        <f>MIN(24,MAX(5,NORMINV(RAND(),$C$9,$D$9)))</f>
        <v/>
      </c>
      <c r="O933" s="51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7">
        <f>MAX(-0.05,NORMINV(RAND(),$C$6,$D$6))</f>
        <v/>
      </c>
      <c r="L934" s="27">
        <f>MAX(0.02,NORMINV(RAND(),$C$7,$D$7))</f>
        <v/>
      </c>
      <c r="M934" s="27">
        <f>MIN(0.16,MAX(0.05,NORMINV(RAND(),$C$8,$D$8)))</f>
        <v/>
      </c>
      <c r="N934" s="28">
        <f>MIN(24,MAX(5,NORMINV(RAND(),$C$9,$D$9)))</f>
        <v/>
      </c>
      <c r="O934" s="51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7">
        <f>MAX(-0.05,NORMINV(RAND(),$C$6,$D$6))</f>
        <v/>
      </c>
      <c r="L935" s="27">
        <f>MAX(0.02,NORMINV(RAND(),$C$7,$D$7))</f>
        <v/>
      </c>
      <c r="M935" s="27">
        <f>MIN(0.16,MAX(0.05,NORMINV(RAND(),$C$8,$D$8)))</f>
        <v/>
      </c>
      <c r="N935" s="28">
        <f>MIN(24,MAX(5,NORMINV(RAND(),$C$9,$D$9)))</f>
        <v/>
      </c>
      <c r="O935" s="51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7">
        <f>MAX(-0.05,NORMINV(RAND(),$C$6,$D$6))</f>
        <v/>
      </c>
      <c r="L936" s="27">
        <f>MAX(0.02,NORMINV(RAND(),$C$7,$D$7))</f>
        <v/>
      </c>
      <c r="M936" s="27">
        <f>MIN(0.16,MAX(0.05,NORMINV(RAND(),$C$8,$D$8)))</f>
        <v/>
      </c>
      <c r="N936" s="28">
        <f>MIN(24,MAX(5,NORMINV(RAND(),$C$9,$D$9)))</f>
        <v/>
      </c>
      <c r="O936" s="51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7">
        <f>MAX(-0.05,NORMINV(RAND(),$C$6,$D$6))</f>
        <v/>
      </c>
      <c r="L937" s="27">
        <f>MAX(0.02,NORMINV(RAND(),$C$7,$D$7))</f>
        <v/>
      </c>
      <c r="M937" s="27">
        <f>MIN(0.16,MAX(0.05,NORMINV(RAND(),$C$8,$D$8)))</f>
        <v/>
      </c>
      <c r="N937" s="28">
        <f>MIN(24,MAX(5,NORMINV(RAND(),$C$9,$D$9)))</f>
        <v/>
      </c>
      <c r="O937" s="51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7">
        <f>MAX(-0.05,NORMINV(RAND(),$C$6,$D$6))</f>
        <v/>
      </c>
      <c r="L938" s="27">
        <f>MAX(0.02,NORMINV(RAND(),$C$7,$D$7))</f>
        <v/>
      </c>
      <c r="M938" s="27">
        <f>MIN(0.16,MAX(0.05,NORMINV(RAND(),$C$8,$D$8)))</f>
        <v/>
      </c>
      <c r="N938" s="28">
        <f>MIN(24,MAX(5,NORMINV(RAND(),$C$9,$D$9)))</f>
        <v/>
      </c>
      <c r="O938" s="51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7">
        <f>MAX(-0.05,NORMINV(RAND(),$C$6,$D$6))</f>
        <v/>
      </c>
      <c r="L939" s="27">
        <f>MAX(0.02,NORMINV(RAND(),$C$7,$D$7))</f>
        <v/>
      </c>
      <c r="M939" s="27">
        <f>MIN(0.16,MAX(0.05,NORMINV(RAND(),$C$8,$D$8)))</f>
        <v/>
      </c>
      <c r="N939" s="28">
        <f>MIN(24,MAX(5,NORMINV(RAND(),$C$9,$D$9)))</f>
        <v/>
      </c>
      <c r="O939" s="51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7">
        <f>MAX(-0.05,NORMINV(RAND(),$C$6,$D$6))</f>
        <v/>
      </c>
      <c r="L940" s="27">
        <f>MAX(0.02,NORMINV(RAND(),$C$7,$D$7))</f>
        <v/>
      </c>
      <c r="M940" s="27">
        <f>MIN(0.16,MAX(0.05,NORMINV(RAND(),$C$8,$D$8)))</f>
        <v/>
      </c>
      <c r="N940" s="28">
        <f>MIN(24,MAX(5,NORMINV(RAND(),$C$9,$D$9)))</f>
        <v/>
      </c>
      <c r="O940" s="51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7">
        <f>MAX(-0.05,NORMINV(RAND(),$C$6,$D$6))</f>
        <v/>
      </c>
      <c r="L941" s="27">
        <f>MAX(0.02,NORMINV(RAND(),$C$7,$D$7))</f>
        <v/>
      </c>
      <c r="M941" s="27">
        <f>MIN(0.16,MAX(0.05,NORMINV(RAND(),$C$8,$D$8)))</f>
        <v/>
      </c>
      <c r="N941" s="28">
        <f>MIN(24,MAX(5,NORMINV(RAND(),$C$9,$D$9)))</f>
        <v/>
      </c>
      <c r="O941" s="51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7">
        <f>MAX(-0.05,NORMINV(RAND(),$C$6,$D$6))</f>
        <v/>
      </c>
      <c r="L942" s="27">
        <f>MAX(0.02,NORMINV(RAND(),$C$7,$D$7))</f>
        <v/>
      </c>
      <c r="M942" s="27">
        <f>MIN(0.16,MAX(0.05,NORMINV(RAND(),$C$8,$D$8)))</f>
        <v/>
      </c>
      <c r="N942" s="28">
        <f>MIN(24,MAX(5,NORMINV(RAND(),$C$9,$D$9)))</f>
        <v/>
      </c>
      <c r="O942" s="51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7">
        <f>MAX(-0.05,NORMINV(RAND(),$C$6,$D$6))</f>
        <v/>
      </c>
      <c r="L943" s="27">
        <f>MAX(0.02,NORMINV(RAND(),$C$7,$D$7))</f>
        <v/>
      </c>
      <c r="M943" s="27">
        <f>MIN(0.16,MAX(0.05,NORMINV(RAND(),$C$8,$D$8)))</f>
        <v/>
      </c>
      <c r="N943" s="28">
        <f>MIN(24,MAX(5,NORMINV(RAND(),$C$9,$D$9)))</f>
        <v/>
      </c>
      <c r="O943" s="51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7">
        <f>MAX(-0.05,NORMINV(RAND(),$C$6,$D$6))</f>
        <v/>
      </c>
      <c r="L944" s="27">
        <f>MAX(0.02,NORMINV(RAND(),$C$7,$D$7))</f>
        <v/>
      </c>
      <c r="M944" s="27">
        <f>MIN(0.16,MAX(0.05,NORMINV(RAND(),$C$8,$D$8)))</f>
        <v/>
      </c>
      <c r="N944" s="28">
        <f>MIN(24,MAX(5,NORMINV(RAND(),$C$9,$D$9)))</f>
        <v/>
      </c>
      <c r="O944" s="51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7">
        <f>MAX(-0.05,NORMINV(RAND(),$C$6,$D$6))</f>
        <v/>
      </c>
      <c r="L945" s="27">
        <f>MAX(0.02,NORMINV(RAND(),$C$7,$D$7))</f>
        <v/>
      </c>
      <c r="M945" s="27">
        <f>MIN(0.16,MAX(0.05,NORMINV(RAND(),$C$8,$D$8)))</f>
        <v/>
      </c>
      <c r="N945" s="28">
        <f>MIN(24,MAX(5,NORMINV(RAND(),$C$9,$D$9)))</f>
        <v/>
      </c>
      <c r="O945" s="51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7">
        <f>MAX(-0.05,NORMINV(RAND(),$C$6,$D$6))</f>
        <v/>
      </c>
      <c r="L946" s="27">
        <f>MAX(0.02,NORMINV(RAND(),$C$7,$D$7))</f>
        <v/>
      </c>
      <c r="M946" s="27">
        <f>MIN(0.16,MAX(0.05,NORMINV(RAND(),$C$8,$D$8)))</f>
        <v/>
      </c>
      <c r="N946" s="28">
        <f>MIN(24,MAX(5,NORMINV(RAND(),$C$9,$D$9)))</f>
        <v/>
      </c>
      <c r="O946" s="51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7">
        <f>MAX(-0.05,NORMINV(RAND(),$C$6,$D$6))</f>
        <v/>
      </c>
      <c r="L947" s="27">
        <f>MAX(0.02,NORMINV(RAND(),$C$7,$D$7))</f>
        <v/>
      </c>
      <c r="M947" s="27">
        <f>MIN(0.16,MAX(0.05,NORMINV(RAND(),$C$8,$D$8)))</f>
        <v/>
      </c>
      <c r="N947" s="28">
        <f>MIN(24,MAX(5,NORMINV(RAND(),$C$9,$D$9)))</f>
        <v/>
      </c>
      <c r="O947" s="51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7">
        <f>MAX(-0.05,NORMINV(RAND(),$C$6,$D$6))</f>
        <v/>
      </c>
      <c r="L948" s="27">
        <f>MAX(0.02,NORMINV(RAND(),$C$7,$D$7))</f>
        <v/>
      </c>
      <c r="M948" s="27">
        <f>MIN(0.16,MAX(0.05,NORMINV(RAND(),$C$8,$D$8)))</f>
        <v/>
      </c>
      <c r="N948" s="28">
        <f>MIN(24,MAX(5,NORMINV(RAND(),$C$9,$D$9)))</f>
        <v/>
      </c>
      <c r="O948" s="51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7">
        <f>MAX(-0.05,NORMINV(RAND(),$C$6,$D$6))</f>
        <v/>
      </c>
      <c r="L949" s="27">
        <f>MAX(0.02,NORMINV(RAND(),$C$7,$D$7))</f>
        <v/>
      </c>
      <c r="M949" s="27">
        <f>MIN(0.16,MAX(0.05,NORMINV(RAND(),$C$8,$D$8)))</f>
        <v/>
      </c>
      <c r="N949" s="28">
        <f>MIN(24,MAX(5,NORMINV(RAND(),$C$9,$D$9)))</f>
        <v/>
      </c>
      <c r="O949" s="51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7">
        <f>MAX(-0.05,NORMINV(RAND(),$C$6,$D$6))</f>
        <v/>
      </c>
      <c r="L950" s="27">
        <f>MAX(0.02,NORMINV(RAND(),$C$7,$D$7))</f>
        <v/>
      </c>
      <c r="M950" s="27">
        <f>MIN(0.16,MAX(0.05,NORMINV(RAND(),$C$8,$D$8)))</f>
        <v/>
      </c>
      <c r="N950" s="28">
        <f>MIN(24,MAX(5,NORMINV(RAND(),$C$9,$D$9)))</f>
        <v/>
      </c>
      <c r="O950" s="51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7">
        <f>MAX(-0.05,NORMINV(RAND(),$C$6,$D$6))</f>
        <v/>
      </c>
      <c r="L951" s="27">
        <f>MAX(0.02,NORMINV(RAND(),$C$7,$D$7))</f>
        <v/>
      </c>
      <c r="M951" s="27">
        <f>MIN(0.16,MAX(0.05,NORMINV(RAND(),$C$8,$D$8)))</f>
        <v/>
      </c>
      <c r="N951" s="28">
        <f>MIN(24,MAX(5,NORMINV(RAND(),$C$9,$D$9)))</f>
        <v/>
      </c>
      <c r="O951" s="51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7">
        <f>MAX(-0.05,NORMINV(RAND(),$C$6,$D$6))</f>
        <v/>
      </c>
      <c r="L952" s="27">
        <f>MAX(0.02,NORMINV(RAND(),$C$7,$D$7))</f>
        <v/>
      </c>
      <c r="M952" s="27">
        <f>MIN(0.16,MAX(0.05,NORMINV(RAND(),$C$8,$D$8)))</f>
        <v/>
      </c>
      <c r="N952" s="28">
        <f>MIN(24,MAX(5,NORMINV(RAND(),$C$9,$D$9)))</f>
        <v/>
      </c>
      <c r="O952" s="51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7">
        <f>MAX(-0.05,NORMINV(RAND(),$C$6,$D$6))</f>
        <v/>
      </c>
      <c r="L953" s="27">
        <f>MAX(0.02,NORMINV(RAND(),$C$7,$D$7))</f>
        <v/>
      </c>
      <c r="M953" s="27">
        <f>MIN(0.16,MAX(0.05,NORMINV(RAND(),$C$8,$D$8)))</f>
        <v/>
      </c>
      <c r="N953" s="28">
        <f>MIN(24,MAX(5,NORMINV(RAND(),$C$9,$D$9)))</f>
        <v/>
      </c>
      <c r="O953" s="51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7">
        <f>MAX(-0.05,NORMINV(RAND(),$C$6,$D$6))</f>
        <v/>
      </c>
      <c r="L954" s="27">
        <f>MAX(0.02,NORMINV(RAND(),$C$7,$D$7))</f>
        <v/>
      </c>
      <c r="M954" s="27">
        <f>MIN(0.16,MAX(0.05,NORMINV(RAND(),$C$8,$D$8)))</f>
        <v/>
      </c>
      <c r="N954" s="28">
        <f>MIN(24,MAX(5,NORMINV(RAND(),$C$9,$D$9)))</f>
        <v/>
      </c>
      <c r="O954" s="51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7">
        <f>MAX(-0.05,NORMINV(RAND(),$C$6,$D$6))</f>
        <v/>
      </c>
      <c r="L955" s="27">
        <f>MAX(0.02,NORMINV(RAND(),$C$7,$D$7))</f>
        <v/>
      </c>
      <c r="M955" s="27">
        <f>MIN(0.16,MAX(0.05,NORMINV(RAND(),$C$8,$D$8)))</f>
        <v/>
      </c>
      <c r="N955" s="28">
        <f>MIN(24,MAX(5,NORMINV(RAND(),$C$9,$D$9)))</f>
        <v/>
      </c>
      <c r="O955" s="51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7">
        <f>MAX(-0.05,NORMINV(RAND(),$C$6,$D$6))</f>
        <v/>
      </c>
      <c r="L956" s="27">
        <f>MAX(0.02,NORMINV(RAND(),$C$7,$D$7))</f>
        <v/>
      </c>
      <c r="M956" s="27">
        <f>MIN(0.16,MAX(0.05,NORMINV(RAND(),$C$8,$D$8)))</f>
        <v/>
      </c>
      <c r="N956" s="28">
        <f>MIN(24,MAX(5,NORMINV(RAND(),$C$9,$D$9)))</f>
        <v/>
      </c>
      <c r="O956" s="51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7">
        <f>MAX(-0.05,NORMINV(RAND(),$C$6,$D$6))</f>
        <v/>
      </c>
      <c r="L957" s="27">
        <f>MAX(0.02,NORMINV(RAND(),$C$7,$D$7))</f>
        <v/>
      </c>
      <c r="M957" s="27">
        <f>MIN(0.16,MAX(0.05,NORMINV(RAND(),$C$8,$D$8)))</f>
        <v/>
      </c>
      <c r="N957" s="28">
        <f>MIN(24,MAX(5,NORMINV(RAND(),$C$9,$D$9)))</f>
        <v/>
      </c>
      <c r="O957" s="51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7">
        <f>MAX(-0.05,NORMINV(RAND(),$C$6,$D$6))</f>
        <v/>
      </c>
      <c r="L958" s="27">
        <f>MAX(0.02,NORMINV(RAND(),$C$7,$D$7))</f>
        <v/>
      </c>
      <c r="M958" s="27">
        <f>MIN(0.16,MAX(0.05,NORMINV(RAND(),$C$8,$D$8)))</f>
        <v/>
      </c>
      <c r="N958" s="28">
        <f>MIN(24,MAX(5,NORMINV(RAND(),$C$9,$D$9)))</f>
        <v/>
      </c>
      <c r="O958" s="51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7">
        <f>MAX(-0.05,NORMINV(RAND(),$C$6,$D$6))</f>
        <v/>
      </c>
      <c r="L959" s="27">
        <f>MAX(0.02,NORMINV(RAND(),$C$7,$D$7))</f>
        <v/>
      </c>
      <c r="M959" s="27">
        <f>MIN(0.16,MAX(0.05,NORMINV(RAND(),$C$8,$D$8)))</f>
        <v/>
      </c>
      <c r="N959" s="28">
        <f>MIN(24,MAX(5,NORMINV(RAND(),$C$9,$D$9)))</f>
        <v/>
      </c>
      <c r="O959" s="51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7">
        <f>MAX(-0.05,NORMINV(RAND(),$C$6,$D$6))</f>
        <v/>
      </c>
      <c r="L960" s="27">
        <f>MAX(0.02,NORMINV(RAND(),$C$7,$D$7))</f>
        <v/>
      </c>
      <c r="M960" s="27">
        <f>MIN(0.16,MAX(0.05,NORMINV(RAND(),$C$8,$D$8)))</f>
        <v/>
      </c>
      <c r="N960" s="28">
        <f>MIN(24,MAX(5,NORMINV(RAND(),$C$9,$D$9)))</f>
        <v/>
      </c>
      <c r="O960" s="51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7">
        <f>MAX(-0.05,NORMINV(RAND(),$C$6,$D$6))</f>
        <v/>
      </c>
      <c r="L961" s="27">
        <f>MAX(0.02,NORMINV(RAND(),$C$7,$D$7))</f>
        <v/>
      </c>
      <c r="M961" s="27">
        <f>MIN(0.16,MAX(0.05,NORMINV(RAND(),$C$8,$D$8)))</f>
        <v/>
      </c>
      <c r="N961" s="28">
        <f>MIN(24,MAX(5,NORMINV(RAND(),$C$9,$D$9)))</f>
        <v/>
      </c>
      <c r="O961" s="51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7">
        <f>MAX(-0.05,NORMINV(RAND(),$C$6,$D$6))</f>
        <v/>
      </c>
      <c r="L962" s="27">
        <f>MAX(0.02,NORMINV(RAND(),$C$7,$D$7))</f>
        <v/>
      </c>
      <c r="M962" s="27">
        <f>MIN(0.16,MAX(0.05,NORMINV(RAND(),$C$8,$D$8)))</f>
        <v/>
      </c>
      <c r="N962" s="28">
        <f>MIN(24,MAX(5,NORMINV(RAND(),$C$9,$D$9)))</f>
        <v/>
      </c>
      <c r="O962" s="51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7">
        <f>MAX(-0.05,NORMINV(RAND(),$C$6,$D$6))</f>
        <v/>
      </c>
      <c r="L963" s="27">
        <f>MAX(0.02,NORMINV(RAND(),$C$7,$D$7))</f>
        <v/>
      </c>
      <c r="M963" s="27">
        <f>MIN(0.16,MAX(0.05,NORMINV(RAND(),$C$8,$D$8)))</f>
        <v/>
      </c>
      <c r="N963" s="28">
        <f>MIN(24,MAX(5,NORMINV(RAND(),$C$9,$D$9)))</f>
        <v/>
      </c>
      <c r="O963" s="51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7">
        <f>MAX(-0.05,NORMINV(RAND(),$C$6,$D$6))</f>
        <v/>
      </c>
      <c r="L964" s="27">
        <f>MAX(0.02,NORMINV(RAND(),$C$7,$D$7))</f>
        <v/>
      </c>
      <c r="M964" s="27">
        <f>MIN(0.16,MAX(0.05,NORMINV(RAND(),$C$8,$D$8)))</f>
        <v/>
      </c>
      <c r="N964" s="28">
        <f>MIN(24,MAX(5,NORMINV(RAND(),$C$9,$D$9)))</f>
        <v/>
      </c>
      <c r="O964" s="51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7">
        <f>MAX(-0.05,NORMINV(RAND(),$C$6,$D$6))</f>
        <v/>
      </c>
      <c r="L965" s="27">
        <f>MAX(0.02,NORMINV(RAND(),$C$7,$D$7))</f>
        <v/>
      </c>
      <c r="M965" s="27">
        <f>MIN(0.16,MAX(0.05,NORMINV(RAND(),$C$8,$D$8)))</f>
        <v/>
      </c>
      <c r="N965" s="28">
        <f>MIN(24,MAX(5,NORMINV(RAND(),$C$9,$D$9)))</f>
        <v/>
      </c>
      <c r="O965" s="51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7">
        <f>MAX(-0.05,NORMINV(RAND(),$C$6,$D$6))</f>
        <v/>
      </c>
      <c r="L966" s="27">
        <f>MAX(0.02,NORMINV(RAND(),$C$7,$D$7))</f>
        <v/>
      </c>
      <c r="M966" s="27">
        <f>MIN(0.16,MAX(0.05,NORMINV(RAND(),$C$8,$D$8)))</f>
        <v/>
      </c>
      <c r="N966" s="28">
        <f>MIN(24,MAX(5,NORMINV(RAND(),$C$9,$D$9)))</f>
        <v/>
      </c>
      <c r="O966" s="51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7">
        <f>MAX(-0.05,NORMINV(RAND(),$C$6,$D$6))</f>
        <v/>
      </c>
      <c r="L967" s="27">
        <f>MAX(0.02,NORMINV(RAND(),$C$7,$D$7))</f>
        <v/>
      </c>
      <c r="M967" s="27">
        <f>MIN(0.16,MAX(0.05,NORMINV(RAND(),$C$8,$D$8)))</f>
        <v/>
      </c>
      <c r="N967" s="28">
        <f>MIN(24,MAX(5,NORMINV(RAND(),$C$9,$D$9)))</f>
        <v/>
      </c>
      <c r="O967" s="51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7">
        <f>MAX(-0.05,NORMINV(RAND(),$C$6,$D$6))</f>
        <v/>
      </c>
      <c r="L968" s="27">
        <f>MAX(0.02,NORMINV(RAND(),$C$7,$D$7))</f>
        <v/>
      </c>
      <c r="M968" s="27">
        <f>MIN(0.16,MAX(0.05,NORMINV(RAND(),$C$8,$D$8)))</f>
        <v/>
      </c>
      <c r="N968" s="28">
        <f>MIN(24,MAX(5,NORMINV(RAND(),$C$9,$D$9)))</f>
        <v/>
      </c>
      <c r="O968" s="51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7">
        <f>MAX(-0.05,NORMINV(RAND(),$C$6,$D$6))</f>
        <v/>
      </c>
      <c r="L969" s="27">
        <f>MAX(0.02,NORMINV(RAND(),$C$7,$D$7))</f>
        <v/>
      </c>
      <c r="M969" s="27">
        <f>MIN(0.16,MAX(0.05,NORMINV(RAND(),$C$8,$D$8)))</f>
        <v/>
      </c>
      <c r="N969" s="28">
        <f>MIN(24,MAX(5,NORMINV(RAND(),$C$9,$D$9)))</f>
        <v/>
      </c>
      <c r="O969" s="51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7">
        <f>MAX(-0.05,NORMINV(RAND(),$C$6,$D$6))</f>
        <v/>
      </c>
      <c r="L970" s="27">
        <f>MAX(0.02,NORMINV(RAND(),$C$7,$D$7))</f>
        <v/>
      </c>
      <c r="M970" s="27">
        <f>MIN(0.16,MAX(0.05,NORMINV(RAND(),$C$8,$D$8)))</f>
        <v/>
      </c>
      <c r="N970" s="28">
        <f>MIN(24,MAX(5,NORMINV(RAND(),$C$9,$D$9)))</f>
        <v/>
      </c>
      <c r="O970" s="51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7">
        <f>MAX(-0.05,NORMINV(RAND(),$C$6,$D$6))</f>
        <v/>
      </c>
      <c r="L971" s="27">
        <f>MAX(0.02,NORMINV(RAND(),$C$7,$D$7))</f>
        <v/>
      </c>
      <c r="M971" s="27">
        <f>MIN(0.16,MAX(0.05,NORMINV(RAND(),$C$8,$D$8)))</f>
        <v/>
      </c>
      <c r="N971" s="28">
        <f>MIN(24,MAX(5,NORMINV(RAND(),$C$9,$D$9)))</f>
        <v/>
      </c>
      <c r="O971" s="51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7">
        <f>MAX(-0.05,NORMINV(RAND(),$C$6,$D$6))</f>
        <v/>
      </c>
      <c r="L972" s="27">
        <f>MAX(0.02,NORMINV(RAND(),$C$7,$D$7))</f>
        <v/>
      </c>
      <c r="M972" s="27">
        <f>MIN(0.16,MAX(0.05,NORMINV(RAND(),$C$8,$D$8)))</f>
        <v/>
      </c>
      <c r="N972" s="28">
        <f>MIN(24,MAX(5,NORMINV(RAND(),$C$9,$D$9)))</f>
        <v/>
      </c>
      <c r="O972" s="51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7">
        <f>MAX(-0.05,NORMINV(RAND(),$C$6,$D$6))</f>
        <v/>
      </c>
      <c r="L973" s="27">
        <f>MAX(0.02,NORMINV(RAND(),$C$7,$D$7))</f>
        <v/>
      </c>
      <c r="M973" s="27">
        <f>MIN(0.16,MAX(0.05,NORMINV(RAND(),$C$8,$D$8)))</f>
        <v/>
      </c>
      <c r="N973" s="28">
        <f>MIN(24,MAX(5,NORMINV(RAND(),$C$9,$D$9)))</f>
        <v/>
      </c>
      <c r="O973" s="51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7">
        <f>MAX(-0.05,NORMINV(RAND(),$C$6,$D$6))</f>
        <v/>
      </c>
      <c r="L974" s="27">
        <f>MAX(0.02,NORMINV(RAND(),$C$7,$D$7))</f>
        <v/>
      </c>
      <c r="M974" s="27">
        <f>MIN(0.16,MAX(0.05,NORMINV(RAND(),$C$8,$D$8)))</f>
        <v/>
      </c>
      <c r="N974" s="28">
        <f>MIN(24,MAX(5,NORMINV(RAND(),$C$9,$D$9)))</f>
        <v/>
      </c>
      <c r="O974" s="51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7">
        <f>MAX(-0.05,NORMINV(RAND(),$C$6,$D$6))</f>
        <v/>
      </c>
      <c r="L975" s="27">
        <f>MAX(0.02,NORMINV(RAND(),$C$7,$D$7))</f>
        <v/>
      </c>
      <c r="M975" s="27">
        <f>MIN(0.16,MAX(0.05,NORMINV(RAND(),$C$8,$D$8)))</f>
        <v/>
      </c>
      <c r="N975" s="28">
        <f>MIN(24,MAX(5,NORMINV(RAND(),$C$9,$D$9)))</f>
        <v/>
      </c>
      <c r="O975" s="51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7">
        <f>MAX(-0.05,NORMINV(RAND(),$C$6,$D$6))</f>
        <v/>
      </c>
      <c r="L976" s="27">
        <f>MAX(0.02,NORMINV(RAND(),$C$7,$D$7))</f>
        <v/>
      </c>
      <c r="M976" s="27">
        <f>MIN(0.16,MAX(0.05,NORMINV(RAND(),$C$8,$D$8)))</f>
        <v/>
      </c>
      <c r="N976" s="28">
        <f>MIN(24,MAX(5,NORMINV(RAND(),$C$9,$D$9)))</f>
        <v/>
      </c>
      <c r="O976" s="51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7">
        <f>MAX(-0.05,NORMINV(RAND(),$C$6,$D$6))</f>
        <v/>
      </c>
      <c r="L977" s="27">
        <f>MAX(0.02,NORMINV(RAND(),$C$7,$D$7))</f>
        <v/>
      </c>
      <c r="M977" s="27">
        <f>MIN(0.16,MAX(0.05,NORMINV(RAND(),$C$8,$D$8)))</f>
        <v/>
      </c>
      <c r="N977" s="28">
        <f>MIN(24,MAX(5,NORMINV(RAND(),$C$9,$D$9)))</f>
        <v/>
      </c>
      <c r="O977" s="51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7">
        <f>MAX(-0.05,NORMINV(RAND(),$C$6,$D$6))</f>
        <v/>
      </c>
      <c r="L978" s="27">
        <f>MAX(0.02,NORMINV(RAND(),$C$7,$D$7))</f>
        <v/>
      </c>
      <c r="M978" s="27">
        <f>MIN(0.16,MAX(0.05,NORMINV(RAND(),$C$8,$D$8)))</f>
        <v/>
      </c>
      <c r="N978" s="28">
        <f>MIN(24,MAX(5,NORMINV(RAND(),$C$9,$D$9)))</f>
        <v/>
      </c>
      <c r="O978" s="51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7">
        <f>MAX(-0.05,NORMINV(RAND(),$C$6,$D$6))</f>
        <v/>
      </c>
      <c r="L979" s="27">
        <f>MAX(0.02,NORMINV(RAND(),$C$7,$D$7))</f>
        <v/>
      </c>
      <c r="M979" s="27">
        <f>MIN(0.16,MAX(0.05,NORMINV(RAND(),$C$8,$D$8)))</f>
        <v/>
      </c>
      <c r="N979" s="28">
        <f>MIN(24,MAX(5,NORMINV(RAND(),$C$9,$D$9)))</f>
        <v/>
      </c>
      <c r="O979" s="51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7">
        <f>MAX(-0.05,NORMINV(RAND(),$C$6,$D$6))</f>
        <v/>
      </c>
      <c r="L980" s="27">
        <f>MAX(0.02,NORMINV(RAND(),$C$7,$D$7))</f>
        <v/>
      </c>
      <c r="M980" s="27">
        <f>MIN(0.16,MAX(0.05,NORMINV(RAND(),$C$8,$D$8)))</f>
        <v/>
      </c>
      <c r="N980" s="28">
        <f>MIN(24,MAX(5,NORMINV(RAND(),$C$9,$D$9)))</f>
        <v/>
      </c>
      <c r="O980" s="51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7">
        <f>MAX(-0.05,NORMINV(RAND(),$C$6,$D$6))</f>
        <v/>
      </c>
      <c r="L981" s="27">
        <f>MAX(0.02,NORMINV(RAND(),$C$7,$D$7))</f>
        <v/>
      </c>
      <c r="M981" s="27">
        <f>MIN(0.16,MAX(0.05,NORMINV(RAND(),$C$8,$D$8)))</f>
        <v/>
      </c>
      <c r="N981" s="28">
        <f>MIN(24,MAX(5,NORMINV(RAND(),$C$9,$D$9)))</f>
        <v/>
      </c>
      <c r="O981" s="51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7">
        <f>MAX(-0.05,NORMINV(RAND(),$C$6,$D$6))</f>
        <v/>
      </c>
      <c r="L982" s="27">
        <f>MAX(0.02,NORMINV(RAND(),$C$7,$D$7))</f>
        <v/>
      </c>
      <c r="M982" s="27">
        <f>MIN(0.16,MAX(0.05,NORMINV(RAND(),$C$8,$D$8)))</f>
        <v/>
      </c>
      <c r="N982" s="28">
        <f>MIN(24,MAX(5,NORMINV(RAND(),$C$9,$D$9)))</f>
        <v/>
      </c>
      <c r="O982" s="51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7">
        <f>MAX(-0.05,NORMINV(RAND(),$C$6,$D$6))</f>
        <v/>
      </c>
      <c r="L983" s="27">
        <f>MAX(0.02,NORMINV(RAND(),$C$7,$D$7))</f>
        <v/>
      </c>
      <c r="M983" s="27">
        <f>MIN(0.16,MAX(0.05,NORMINV(RAND(),$C$8,$D$8)))</f>
        <v/>
      </c>
      <c r="N983" s="28">
        <f>MIN(24,MAX(5,NORMINV(RAND(),$C$9,$D$9)))</f>
        <v/>
      </c>
      <c r="O983" s="51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7">
        <f>MAX(-0.05,NORMINV(RAND(),$C$6,$D$6))</f>
        <v/>
      </c>
      <c r="L984" s="27">
        <f>MAX(0.02,NORMINV(RAND(),$C$7,$D$7))</f>
        <v/>
      </c>
      <c r="M984" s="27">
        <f>MIN(0.16,MAX(0.05,NORMINV(RAND(),$C$8,$D$8)))</f>
        <v/>
      </c>
      <c r="N984" s="28">
        <f>MIN(24,MAX(5,NORMINV(RAND(),$C$9,$D$9)))</f>
        <v/>
      </c>
      <c r="O984" s="51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7">
        <f>MAX(-0.05,NORMINV(RAND(),$C$6,$D$6))</f>
        <v/>
      </c>
      <c r="L985" s="27">
        <f>MAX(0.02,NORMINV(RAND(),$C$7,$D$7))</f>
        <v/>
      </c>
      <c r="M985" s="27">
        <f>MIN(0.16,MAX(0.05,NORMINV(RAND(),$C$8,$D$8)))</f>
        <v/>
      </c>
      <c r="N985" s="28">
        <f>MIN(24,MAX(5,NORMINV(RAND(),$C$9,$D$9)))</f>
        <v/>
      </c>
      <c r="O985" s="51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7">
        <f>MAX(-0.05,NORMINV(RAND(),$C$6,$D$6))</f>
        <v/>
      </c>
      <c r="L986" s="27">
        <f>MAX(0.02,NORMINV(RAND(),$C$7,$D$7))</f>
        <v/>
      </c>
      <c r="M986" s="27">
        <f>MIN(0.16,MAX(0.05,NORMINV(RAND(),$C$8,$D$8)))</f>
        <v/>
      </c>
      <c r="N986" s="28">
        <f>MIN(24,MAX(5,NORMINV(RAND(),$C$9,$D$9)))</f>
        <v/>
      </c>
      <c r="O986" s="51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7">
        <f>MAX(-0.05,NORMINV(RAND(),$C$6,$D$6))</f>
        <v/>
      </c>
      <c r="L987" s="27">
        <f>MAX(0.02,NORMINV(RAND(),$C$7,$D$7))</f>
        <v/>
      </c>
      <c r="M987" s="27">
        <f>MIN(0.16,MAX(0.05,NORMINV(RAND(),$C$8,$D$8)))</f>
        <v/>
      </c>
      <c r="N987" s="28">
        <f>MIN(24,MAX(5,NORMINV(RAND(),$C$9,$D$9)))</f>
        <v/>
      </c>
      <c r="O987" s="51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7">
        <f>MAX(-0.05,NORMINV(RAND(),$C$6,$D$6))</f>
        <v/>
      </c>
      <c r="L988" s="27">
        <f>MAX(0.02,NORMINV(RAND(),$C$7,$D$7))</f>
        <v/>
      </c>
      <c r="M988" s="27">
        <f>MIN(0.16,MAX(0.05,NORMINV(RAND(),$C$8,$D$8)))</f>
        <v/>
      </c>
      <c r="N988" s="28">
        <f>MIN(24,MAX(5,NORMINV(RAND(),$C$9,$D$9)))</f>
        <v/>
      </c>
      <c r="O988" s="51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7">
        <f>MAX(-0.05,NORMINV(RAND(),$C$6,$D$6))</f>
        <v/>
      </c>
      <c r="L989" s="27">
        <f>MAX(0.02,NORMINV(RAND(),$C$7,$D$7))</f>
        <v/>
      </c>
      <c r="M989" s="27">
        <f>MIN(0.16,MAX(0.05,NORMINV(RAND(),$C$8,$D$8)))</f>
        <v/>
      </c>
      <c r="N989" s="28">
        <f>MIN(24,MAX(5,NORMINV(RAND(),$C$9,$D$9)))</f>
        <v/>
      </c>
      <c r="O989" s="51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7">
        <f>MAX(-0.05,NORMINV(RAND(),$C$6,$D$6))</f>
        <v/>
      </c>
      <c r="L990" s="27">
        <f>MAX(0.02,NORMINV(RAND(),$C$7,$D$7))</f>
        <v/>
      </c>
      <c r="M990" s="27">
        <f>MIN(0.16,MAX(0.05,NORMINV(RAND(),$C$8,$D$8)))</f>
        <v/>
      </c>
      <c r="N990" s="28">
        <f>MIN(24,MAX(5,NORMINV(RAND(),$C$9,$D$9)))</f>
        <v/>
      </c>
      <c r="O990" s="51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7">
        <f>MAX(-0.05,NORMINV(RAND(),$C$6,$D$6))</f>
        <v/>
      </c>
      <c r="L991" s="27">
        <f>MAX(0.02,NORMINV(RAND(),$C$7,$D$7))</f>
        <v/>
      </c>
      <c r="M991" s="27">
        <f>MIN(0.16,MAX(0.05,NORMINV(RAND(),$C$8,$D$8)))</f>
        <v/>
      </c>
      <c r="N991" s="28">
        <f>MIN(24,MAX(5,NORMINV(RAND(),$C$9,$D$9)))</f>
        <v/>
      </c>
      <c r="O991" s="51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7">
        <f>MAX(-0.05,NORMINV(RAND(),$C$6,$D$6))</f>
        <v/>
      </c>
      <c r="L992" s="27">
        <f>MAX(0.02,NORMINV(RAND(),$C$7,$D$7))</f>
        <v/>
      </c>
      <c r="M992" s="27">
        <f>MIN(0.16,MAX(0.05,NORMINV(RAND(),$C$8,$D$8)))</f>
        <v/>
      </c>
      <c r="N992" s="28">
        <f>MIN(24,MAX(5,NORMINV(RAND(),$C$9,$D$9)))</f>
        <v/>
      </c>
      <c r="O992" s="51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7">
        <f>MAX(-0.05,NORMINV(RAND(),$C$6,$D$6))</f>
        <v/>
      </c>
      <c r="L993" s="27">
        <f>MAX(0.02,NORMINV(RAND(),$C$7,$D$7))</f>
        <v/>
      </c>
      <c r="M993" s="27">
        <f>MIN(0.16,MAX(0.05,NORMINV(RAND(),$C$8,$D$8)))</f>
        <v/>
      </c>
      <c r="N993" s="28">
        <f>MIN(24,MAX(5,NORMINV(RAND(),$C$9,$D$9)))</f>
        <v/>
      </c>
      <c r="O993" s="51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7">
        <f>MAX(-0.05,NORMINV(RAND(),$C$6,$D$6))</f>
        <v/>
      </c>
      <c r="L994" s="27">
        <f>MAX(0.02,NORMINV(RAND(),$C$7,$D$7))</f>
        <v/>
      </c>
      <c r="M994" s="27">
        <f>MIN(0.16,MAX(0.05,NORMINV(RAND(),$C$8,$D$8)))</f>
        <v/>
      </c>
      <c r="N994" s="28">
        <f>MIN(24,MAX(5,NORMINV(RAND(),$C$9,$D$9)))</f>
        <v/>
      </c>
      <c r="O994" s="51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7">
        <f>MAX(-0.05,NORMINV(RAND(),$C$6,$D$6))</f>
        <v/>
      </c>
      <c r="L995" s="27">
        <f>MAX(0.02,NORMINV(RAND(),$C$7,$D$7))</f>
        <v/>
      </c>
      <c r="M995" s="27">
        <f>MIN(0.16,MAX(0.05,NORMINV(RAND(),$C$8,$D$8)))</f>
        <v/>
      </c>
      <c r="N995" s="28">
        <f>MIN(24,MAX(5,NORMINV(RAND(),$C$9,$D$9)))</f>
        <v/>
      </c>
      <c r="O995" s="51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7">
        <f>MAX(-0.05,NORMINV(RAND(),$C$6,$D$6))</f>
        <v/>
      </c>
      <c r="L996" s="27">
        <f>MAX(0.02,NORMINV(RAND(),$C$7,$D$7))</f>
        <v/>
      </c>
      <c r="M996" s="27">
        <f>MIN(0.16,MAX(0.05,NORMINV(RAND(),$C$8,$D$8)))</f>
        <v/>
      </c>
      <c r="N996" s="28">
        <f>MIN(24,MAX(5,NORMINV(RAND(),$C$9,$D$9)))</f>
        <v/>
      </c>
      <c r="O996" s="51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7">
        <f>MAX(-0.05,NORMINV(RAND(),$C$6,$D$6))</f>
        <v/>
      </c>
      <c r="L997" s="27">
        <f>MAX(0.02,NORMINV(RAND(),$C$7,$D$7))</f>
        <v/>
      </c>
      <c r="M997" s="27">
        <f>MIN(0.16,MAX(0.05,NORMINV(RAND(),$C$8,$D$8)))</f>
        <v/>
      </c>
      <c r="N997" s="28">
        <f>MIN(24,MAX(5,NORMINV(RAND(),$C$9,$D$9)))</f>
        <v/>
      </c>
      <c r="O997" s="51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7">
        <f>MAX(-0.05,NORMINV(RAND(),$C$6,$D$6))</f>
        <v/>
      </c>
      <c r="L998" s="27">
        <f>MAX(0.02,NORMINV(RAND(),$C$7,$D$7))</f>
        <v/>
      </c>
      <c r="M998" s="27">
        <f>MIN(0.16,MAX(0.05,NORMINV(RAND(),$C$8,$D$8)))</f>
        <v/>
      </c>
      <c r="N998" s="28">
        <f>MIN(24,MAX(5,NORMINV(RAND(),$C$9,$D$9)))</f>
        <v/>
      </c>
      <c r="O998" s="51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7">
        <f>MAX(-0.05,NORMINV(RAND(),$C$6,$D$6))</f>
        <v/>
      </c>
      <c r="L999" s="27">
        <f>MAX(0.02,NORMINV(RAND(),$C$7,$D$7))</f>
        <v/>
      </c>
      <c r="M999" s="27">
        <f>MIN(0.16,MAX(0.05,NORMINV(RAND(),$C$8,$D$8)))</f>
        <v/>
      </c>
      <c r="N999" s="28">
        <f>MIN(24,MAX(5,NORMINV(RAND(),$C$9,$D$9)))</f>
        <v/>
      </c>
      <c r="O999" s="51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7">
        <f>MAX(-0.05,NORMINV(RAND(),$C$6,$D$6))</f>
        <v/>
      </c>
      <c r="L1000" s="27">
        <f>MAX(0.02,NORMINV(RAND(),$C$7,$D$7))</f>
        <v/>
      </c>
      <c r="M1000" s="27">
        <f>MIN(0.16,MAX(0.05,NORMINV(RAND(),$C$8,$D$8)))</f>
        <v/>
      </c>
      <c r="N1000" s="28">
        <f>MIN(24,MAX(5,NORMINV(RAND(),$C$9,$D$9)))</f>
        <v/>
      </c>
      <c r="O1000" s="51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7">
        <f>MAX(-0.05,NORMINV(RAND(),$C$6,$D$6))</f>
        <v/>
      </c>
      <c r="L1001" s="27">
        <f>MAX(0.02,NORMINV(RAND(),$C$7,$D$7))</f>
        <v/>
      </c>
      <c r="M1001" s="27">
        <f>MIN(0.16,MAX(0.05,NORMINV(RAND(),$C$8,$D$8)))</f>
        <v/>
      </c>
      <c r="N1001" s="28">
        <f>MIN(24,MAX(5,NORMINV(RAND(),$C$9,$D$9)))</f>
        <v/>
      </c>
      <c r="O1001" s="51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2026-07-08T07:03:55Z</dcterms:created>
  <dcterms:modified xmlns:dcterms="http://purl.org/dc/terms/" xmlns:xsi="http://www.w3.org/2001/XMLSchema-instance" xsi:type="dcterms:W3CDTF">2026-07-08T07:03:55Z</dcterms:modified>
</cp:coreProperties>
</file>