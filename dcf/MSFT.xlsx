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164" fontId="4" fillId="2" borderId="0" pivotButton="0" quotePrefix="0" xfId="0"/>
    <xf numFmtId="0" fontId="5" fillId="2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3" authorId="0" shapeId="0">
      <text>
        <t>builder default</t>
      </text>
    </comment>
    <comment ref="C23" authorId="0" shapeId="0">
      <text>
        <t>builder default</t>
      </text>
    </comment>
    <comment ref="B24" authorId="0" shapeId="0">
      <text>
        <t>builder default</t>
      </text>
    </comment>
    <comment ref="C24" authorId="0" shapeId="0">
      <text>
        <t>builder default</t>
      </text>
    </comment>
    <comment ref="B25" authorId="0" shapeId="0">
      <text>
        <t>builder default</t>
      </text>
    </comment>
    <comment ref="C25" authorId="0" shapeId="0">
      <text>
        <t>builder default</t>
      </text>
    </comment>
    <comment ref="B26" authorId="0" shapeId="0">
      <text>
        <t>builder default</t>
      </text>
    </comment>
    <comment ref="C26" authorId="0" shapeId="0">
      <text>
        <t>builder default</t>
      </text>
    </comment>
    <comment ref="B27" authorId="0" shapeId="0">
      <text>
        <t>builder default</t>
      </text>
    </comment>
    <comment ref="C27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Microsoft Corporation (MSFT)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Microsoft Corporation (MSFT)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IF(Model!F52&lt;=0,"n/a (neg. capital)",Model!G54-WACC!B15)</f>
        <v/>
      </c>
      <c r="C15" s="10">
        <f>IF(Model!F52&lt;=0,"n/a",IF(Model!G54-WACC!B15&lt;0,"!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Server Products And Cloud Services</t>
        </is>
      </c>
      <c r="B20" s="15" t="n">
        <v>0.161034873351075</v>
      </c>
      <c r="C20" s="15" t="n">
        <v>0.04999999999999999</v>
      </c>
      <c r="D20" s="16" t="n">
        <v>0.161034873351075</v>
      </c>
      <c r="E20" s="2" t="inlineStr"/>
    </row>
    <row r="21">
      <c r="A21" s="4" t="inlineStr">
        <is>
          <t>Microsoft Three Six Five Commercial Products And Cloud Services</t>
        </is>
      </c>
      <c r="B21" s="15" t="n">
        <v>0.1856908010335576</v>
      </c>
      <c r="C21" s="15" t="n">
        <v>0.05000000000000002</v>
      </c>
      <c r="D21" s="16" t="n">
        <v>0.1856908010335576</v>
      </c>
      <c r="E21" s="2" t="inlineStr"/>
    </row>
    <row r="22">
      <c r="A22" s="4" t="inlineStr">
        <is>
          <t>Gaming</t>
        </is>
      </c>
      <c r="B22" s="15" t="n">
        <v>0.209629269567664</v>
      </c>
      <c r="C22" s="15" t="n">
        <v>0.04999999999999999</v>
      </c>
      <c r="D22" s="16" t="n">
        <v>0.209629269567664</v>
      </c>
      <c r="E22" s="2" t="inlineStr"/>
    </row>
    <row r="23">
      <c r="A23" s="4" t="inlineStr">
        <is>
          <t>Linked In Corporation</t>
        </is>
      </c>
      <c r="B23" s="15" t="n">
        <v>0.2074853021500305</v>
      </c>
      <c r="C23" s="15" t="n">
        <v>0.05000000000000002</v>
      </c>
      <c r="D23" s="16" t="n">
        <v>0.2074853021500305</v>
      </c>
      <c r="E23" s="2" t="inlineStr"/>
    </row>
    <row r="24">
      <c r="A24" s="4" t="inlineStr">
        <is>
          <t>Windows</t>
        </is>
      </c>
      <c r="B24" s="15" t="n">
        <v>0.1001352454780021</v>
      </c>
      <c r="C24" s="15" t="n">
        <v>0.05</v>
      </c>
      <c r="D24" s="16" t="n">
        <v>0.1001352454780021</v>
      </c>
      <c r="E24" s="2" t="inlineStr"/>
    </row>
    <row r="25">
      <c r="A25" s="4" t="inlineStr">
        <is>
          <t>Search Advertising</t>
        </is>
      </c>
      <c r="B25" s="15" t="n">
        <v>0.219820966834102</v>
      </c>
      <c r="C25" s="15" t="n">
        <v>0.04999999999999999</v>
      </c>
      <c r="D25" s="16" t="n">
        <v>0.219820966834102</v>
      </c>
      <c r="E25" s="2" t="inlineStr"/>
    </row>
    <row r="26">
      <c r="A26" s="4" t="inlineStr">
        <is>
          <t>Microsoft Three Six Five Consumer Products and Cloud Services</t>
        </is>
      </c>
      <c r="B26" s="15" t="n">
        <v>0.1856908010335576</v>
      </c>
      <c r="C26" s="15" t="n">
        <v>0.05000000000000002</v>
      </c>
      <c r="D26" s="16" t="n">
        <v>0.1856908010335576</v>
      </c>
      <c r="E26" s="2" t="inlineStr"/>
    </row>
    <row r="27">
      <c r="A27" s="4" t="inlineStr">
        <is>
          <t>Dynamics Products And Cloud Services</t>
        </is>
      </c>
      <c r="B27" s="15" t="n">
        <v>0.3289250510203113</v>
      </c>
      <c r="C27" s="15" t="n">
        <v>0.04999999999999999</v>
      </c>
      <c r="D27" s="16" t="n">
        <v>0.3289250510203113</v>
      </c>
      <c r="E27" s="2" t="inlineStr"/>
    </row>
    <row r="28">
      <c r="A28" s="5" t="inlineStr">
        <is>
          <t xml:space="preserve">  PROFITABILITY &amp; TAX</t>
        </is>
      </c>
      <c r="B28" s="17" t="n">
        <v>0.1562352337697712</v>
      </c>
      <c r="C28" s="17" t="n">
        <v>0.05000000000000002</v>
      </c>
      <c r="D28" s="17" t="n">
        <v>0.1562352337697712</v>
      </c>
      <c r="E28" s="18" t="inlineStr"/>
    </row>
    <row r="29">
      <c r="A29" s="4" t="inlineStr">
        <is>
          <t>Near-term operating margin</t>
        </is>
      </c>
      <c r="B29" s="15" t="n">
        <v>0.5013754392966131</v>
      </c>
      <c r="C29" s="15" t="n">
        <v>0.04999999999999999</v>
      </c>
      <c r="D29" s="16" t="n">
        <v>0.5013754392966131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0.5030653107617276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9" t="n">
        <v>71006.10000000001</v>
      </c>
      <c r="D34" s="20" t="n">
        <v>71006.10000000001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21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2" t="n">
        <v>1.093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3">
        <f>WACC!B15</f>
        <v/>
      </c>
    </row>
    <row r="43">
      <c r="A43" s="4" t="inlineStr">
        <is>
          <t>Terminal method</t>
        </is>
      </c>
      <c r="B43" s="24" t="inlineStr">
        <is>
          <t>Exit multiple</t>
        </is>
      </c>
    </row>
    <row r="44">
      <c r="A44" s="4" t="inlineStr">
        <is>
          <t>Exit basis</t>
        </is>
      </c>
      <c r="B44" s="24" t="inlineStr">
        <is>
          <t>EV/EBITDA</t>
        </is>
      </c>
    </row>
    <row r="45">
      <c r="A45" s="4" t="inlineStr">
        <is>
          <t>Exit multiple</t>
        </is>
      </c>
      <c r="B45" s="21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5" t="n">
        <v>390.489990234375</v>
      </c>
    </row>
    <row r="49">
      <c r="A49" s="4" t="inlineStr">
        <is>
          <t>Growth fade curvature</t>
        </is>
      </c>
      <c r="B49" s="22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6" t="n">
        <v>0.03</v>
      </c>
      <c r="D52" s="26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6" t="n">
        <v>0.01</v>
      </c>
      <c r="D53" s="26" t="n">
        <v>-0.01</v>
      </c>
    </row>
    <row r="54">
      <c r="A54" s="4" t="inlineStr">
        <is>
          <t>Operating margin, near-term</t>
        </is>
      </c>
      <c r="B54" s="27">
        <f>B29</f>
        <v/>
      </c>
      <c r="C54" s="26" t="n">
        <v>0.01</v>
      </c>
      <c r="D54" s="26" t="n">
        <v>-0.01</v>
      </c>
    </row>
    <row r="55">
      <c r="A55" s="4" t="inlineStr">
        <is>
          <t>Operating margin, terminal</t>
        </is>
      </c>
      <c r="B55" s="27">
        <f>B30</f>
        <v/>
      </c>
      <c r="C55" s="26" t="n">
        <v>0.02</v>
      </c>
      <c r="D55" s="26" t="n">
        <v>-0.02</v>
      </c>
    </row>
    <row r="56">
      <c r="A56" s="4" t="inlineStr">
        <is>
          <t>Exit multiple</t>
        </is>
      </c>
      <c r="B56" s="28">
        <f>B45</f>
        <v/>
      </c>
      <c r="C56" s="29" t="n">
        <v>2</v>
      </c>
      <c r="D56" s="29" t="n">
        <v>-2</v>
      </c>
    </row>
    <row r="57">
      <c r="A57" s="4" t="inlineStr">
        <is>
          <t>Terminal growth (g)</t>
        </is>
      </c>
      <c r="B57" s="27">
        <f>B46</f>
        <v/>
      </c>
      <c r="C57" s="26" t="n">
        <v>0.005</v>
      </c>
      <c r="D57" s="26" t="n">
        <v>-0.005</v>
      </c>
    </row>
    <row r="58">
      <c r="A58" s="3" t="inlineStr">
        <is>
          <t>Fair value / share — Base · Bull · Bear</t>
        </is>
      </c>
      <c r="B58" s="30" t="n">
        <v>486.6497216080705</v>
      </c>
      <c r="C58" s="30" t="n">
        <v>660.812361609262</v>
      </c>
      <c r="D58" s="30" t="n">
        <v>353.4506594863411</v>
      </c>
    </row>
    <row r="59">
      <c r="A59" s="4" t="inlineStr">
        <is>
          <t>Upside vs current price</t>
        </is>
      </c>
      <c r="B59" s="31">
        <f>IFERROR(B58/$B$48-1,"")</f>
        <v/>
      </c>
      <c r="C59" s="31">
        <f>IFERROR(C58/$B$48-1,"")</f>
        <v/>
      </c>
      <c r="D59" s="31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2" t="n">
        <v>0.5</v>
      </c>
      <c r="C62" s="32" t="n">
        <v>0.25</v>
      </c>
      <c r="D62" s="32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0.04250259118853913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0.02550155471312348</v>
      </c>
      <c r="E66" s="2" t="inlineStr">
        <is>
          <t>fades near-&gt;terminal; also burdens the exit-multiple EBITDA</t>
        </is>
      </c>
    </row>
  </sheetData>
  <conditionalFormatting sqref="B20:B29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MSFT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Server Products And Cloud Services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3" t="inlineStr"/>
    </row>
    <row r="9">
      <c r="A9" t="inlineStr">
        <is>
          <t>Server Products And Cloud Services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3" t="inlineStr"/>
    </row>
    <row r="10">
      <c r="A10" t="inlineStr">
        <is>
          <t>Microsoft Three Six Five Commercial Products And Cloud Services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3" t="inlineStr"/>
    </row>
    <row r="11">
      <c r="A11" t="inlineStr">
        <is>
          <t>Microsoft Three Six Five Commercial Products And Cloud Services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3" t="inlineStr"/>
    </row>
    <row r="12">
      <c r="A12" t="inlineStr">
        <is>
          <t>Gaming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3" t="inlineStr"/>
    </row>
    <row r="13">
      <c r="A13" t="inlineStr">
        <is>
          <t>Gaming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3" t="inlineStr"/>
    </row>
    <row r="14">
      <c r="A14" t="inlineStr">
        <is>
          <t>Linked In Corporation — near-term growth</t>
        </is>
      </c>
      <c r="B14" t="inlineStr">
        <is>
          <t>B23</t>
        </is>
      </c>
      <c r="C14" s="11">
        <f>Dashboard!B23</f>
        <v/>
      </c>
      <c r="D14" t="inlineStr">
        <is>
          <t>builder default</t>
        </is>
      </c>
      <c r="E14" t="inlineStr">
        <is>
          <t>—</t>
        </is>
      </c>
      <c r="F14" s="33" t="inlineStr"/>
    </row>
    <row r="15">
      <c r="A15" t="inlineStr">
        <is>
          <t>Linked In Corporation — terminal growth</t>
        </is>
      </c>
      <c r="B15" t="inlineStr">
        <is>
          <t>C23</t>
        </is>
      </c>
      <c r="C15" s="11">
        <f>Dashboard!C23</f>
        <v/>
      </c>
      <c r="D15" t="inlineStr">
        <is>
          <t>builder default</t>
        </is>
      </c>
      <c r="E15" t="inlineStr">
        <is>
          <t>—</t>
        </is>
      </c>
      <c r="F15" s="33" t="inlineStr"/>
    </row>
    <row r="16">
      <c r="A16" t="inlineStr">
        <is>
          <t>Windows — near-term growth</t>
        </is>
      </c>
      <c r="B16" t="inlineStr">
        <is>
          <t>B24</t>
        </is>
      </c>
      <c r="C16" s="11">
        <f>Dashboard!B24</f>
        <v/>
      </c>
      <c r="D16" t="inlineStr">
        <is>
          <t>builder default</t>
        </is>
      </c>
      <c r="E16" t="inlineStr">
        <is>
          <t>—</t>
        </is>
      </c>
      <c r="F16" s="33" t="inlineStr"/>
    </row>
    <row r="17">
      <c r="A17" t="inlineStr">
        <is>
          <t>Windows — terminal growth</t>
        </is>
      </c>
      <c r="B17" t="inlineStr">
        <is>
          <t>C24</t>
        </is>
      </c>
      <c r="C17" s="11">
        <f>Dashboard!C24</f>
        <v/>
      </c>
      <c r="D17" t="inlineStr">
        <is>
          <t>builder default</t>
        </is>
      </c>
      <c r="E17" t="inlineStr">
        <is>
          <t>—</t>
        </is>
      </c>
      <c r="F17" s="33" t="inlineStr"/>
    </row>
    <row r="18">
      <c r="A18" t="inlineStr">
        <is>
          <t>Search Advertising — near-term growth</t>
        </is>
      </c>
      <c r="B18" t="inlineStr">
        <is>
          <t>B25</t>
        </is>
      </c>
      <c r="C18" s="11">
        <f>Dashboard!B25</f>
        <v/>
      </c>
      <c r="D18" t="inlineStr">
        <is>
          <t>builder default</t>
        </is>
      </c>
      <c r="E18" t="inlineStr">
        <is>
          <t>—</t>
        </is>
      </c>
      <c r="F18" s="33" t="inlineStr"/>
    </row>
    <row r="19">
      <c r="A19" t="inlineStr">
        <is>
          <t>Search Advertising — terminal growth</t>
        </is>
      </c>
      <c r="B19" t="inlineStr">
        <is>
          <t>C25</t>
        </is>
      </c>
      <c r="C19" s="11">
        <f>Dashboard!C25</f>
        <v/>
      </c>
      <c r="D19" t="inlineStr">
        <is>
          <t>builder default</t>
        </is>
      </c>
      <c r="E19" t="inlineStr">
        <is>
          <t>—</t>
        </is>
      </c>
      <c r="F19" s="33" t="inlineStr"/>
    </row>
    <row r="20">
      <c r="A20" t="inlineStr">
        <is>
          <t>Microsoft Three Six Five Consumer Products and Cloud Services — near-term growth</t>
        </is>
      </c>
      <c r="B20" t="inlineStr">
        <is>
          <t>B26</t>
        </is>
      </c>
      <c r="C20" s="11">
        <f>Dashboard!B26</f>
        <v/>
      </c>
      <c r="D20" t="inlineStr">
        <is>
          <t>builder default</t>
        </is>
      </c>
      <c r="E20" t="inlineStr">
        <is>
          <t>—</t>
        </is>
      </c>
      <c r="F20" s="33" t="inlineStr"/>
    </row>
    <row r="21">
      <c r="A21" t="inlineStr">
        <is>
          <t>Microsoft Three Six Five Consumer Products and Cloud Services — terminal growth</t>
        </is>
      </c>
      <c r="B21" t="inlineStr">
        <is>
          <t>C26</t>
        </is>
      </c>
      <c r="C21" s="11">
        <f>Dashboard!C26</f>
        <v/>
      </c>
      <c r="D21" t="inlineStr">
        <is>
          <t>builder default</t>
        </is>
      </c>
      <c r="E21" t="inlineStr">
        <is>
          <t>—</t>
        </is>
      </c>
      <c r="F21" s="33" t="inlineStr"/>
    </row>
    <row r="22">
      <c r="A22" t="inlineStr">
        <is>
          <t>Dynamics Products And Cloud Services — near-term growth</t>
        </is>
      </c>
      <c r="B22" t="inlineStr">
        <is>
          <t>B27</t>
        </is>
      </c>
      <c r="C22" s="11">
        <f>Dashboard!B27</f>
        <v/>
      </c>
      <c r="D22" t="inlineStr">
        <is>
          <t>builder default</t>
        </is>
      </c>
      <c r="E22" t="inlineStr">
        <is>
          <t>—</t>
        </is>
      </c>
      <c r="F22" s="33" t="inlineStr"/>
    </row>
    <row r="23">
      <c r="A23" t="inlineStr">
        <is>
          <t>Dynamics Products And Cloud Services — terminal growth</t>
        </is>
      </c>
      <c r="B23" t="inlineStr">
        <is>
          <t>C27</t>
        </is>
      </c>
      <c r="C23" s="11">
        <f>Dashboard!C27</f>
        <v/>
      </c>
      <c r="D23" t="inlineStr">
        <is>
          <t>builder default</t>
        </is>
      </c>
      <c r="E23" t="inlineStr">
        <is>
          <t>—</t>
        </is>
      </c>
      <c r="F23" s="33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builder default</t>
        </is>
      </c>
      <c r="E24" t="inlineStr">
        <is>
          <t>—</t>
        </is>
      </c>
      <c r="F24" s="33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builder default</t>
        </is>
      </c>
      <c r="E25" t="inlineStr">
        <is>
          <t>—</t>
        </is>
      </c>
      <c r="F25" s="33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builder default</t>
        </is>
      </c>
      <c r="E26" t="inlineStr">
        <is>
          <t>—</t>
        </is>
      </c>
      <c r="F26" s="33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builder default</t>
        </is>
      </c>
      <c r="E27" t="inlineStr">
        <is>
          <t>—</t>
        </is>
      </c>
      <c r="F27" s="33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3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3" t="inlineStr"/>
    </row>
    <row r="30">
      <c r="A30" t="inlineStr">
        <is>
          <t>Beta (levered)</t>
        </is>
      </c>
      <c r="B30" t="inlineStr">
        <is>
          <t>B40</t>
        </is>
      </c>
      <c r="C30" s="34">
        <f>Dashboard!B40</f>
        <v/>
      </c>
      <c r="D30" t="inlineStr">
        <is>
          <t>builder default</t>
        </is>
      </c>
      <c r="E30" t="inlineStr">
        <is>
          <t>—</t>
        </is>
      </c>
      <c r="F30" s="33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3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builder default</t>
        </is>
      </c>
      <c r="E32" t="inlineStr">
        <is>
          <t>—</t>
        </is>
      </c>
      <c r="F32" s="33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builder default</t>
        </is>
      </c>
      <c r="E33" t="inlineStr">
        <is>
          <t>—</t>
        </is>
      </c>
      <c r="F33" s="33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builder default</t>
        </is>
      </c>
      <c r="E34" t="inlineStr">
        <is>
          <t>—</t>
        </is>
      </c>
      <c r="F34" s="33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builder default</t>
        </is>
      </c>
      <c r="E35" t="inlineStr">
        <is>
          <t>—</t>
        </is>
      </c>
      <c r="F35" s="33" t="inlineStr"/>
    </row>
    <row r="36">
      <c r="A36" t="inlineStr">
        <is>
          <t>2026 capex ($M)</t>
        </is>
      </c>
      <c r="B36" t="inlineStr">
        <is>
          <t>B34</t>
        </is>
      </c>
      <c r="C36" s="35">
        <f>Dashboard!B34</f>
        <v/>
      </c>
      <c r="D36" t="inlineStr">
        <is>
          <t>builder default</t>
        </is>
      </c>
      <c r="E36" t="inlineStr">
        <is>
          <t>—</t>
        </is>
      </c>
      <c r="F36" s="33" t="inlineStr">
        <is>
          <t>last-year capex +10% unless set to guidance; edits not tracked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6">
        <f>Dashboard!C52</f>
        <v/>
      </c>
      <c r="D37" t="inlineStr">
        <is>
          <t>seed default</t>
        </is>
      </c>
      <c r="E37" t="inlineStr">
        <is>
          <t>3.0%</t>
        </is>
      </c>
      <c r="F37" s="33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6">
        <f>Dashboard!D52</f>
        <v/>
      </c>
      <c r="D38" t="inlineStr">
        <is>
          <t>seed default</t>
        </is>
      </c>
      <c r="E38" t="inlineStr">
        <is>
          <t>-3.0%</t>
        </is>
      </c>
      <c r="F38" s="33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6">
        <f>Dashboard!C53</f>
        <v/>
      </c>
      <c r="D39" t="inlineStr">
        <is>
          <t>seed default</t>
        </is>
      </c>
      <c r="E39" t="inlineStr">
        <is>
          <t>1.0%</t>
        </is>
      </c>
      <c r="F39" s="33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6">
        <f>Dashboard!D53</f>
        <v/>
      </c>
      <c r="D40" t="inlineStr">
        <is>
          <t>seed default</t>
        </is>
      </c>
      <c r="E40" t="inlineStr">
        <is>
          <t>-1.0%</t>
        </is>
      </c>
      <c r="F40" s="33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6">
        <f>Dashboard!C54</f>
        <v/>
      </c>
      <c r="D41" t="inlineStr">
        <is>
          <t>seed default</t>
        </is>
      </c>
      <c r="E41" t="inlineStr">
        <is>
          <t>1.0%</t>
        </is>
      </c>
      <c r="F41" s="33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6">
        <f>Dashboard!D54</f>
        <v/>
      </c>
      <c r="D42" t="inlineStr">
        <is>
          <t>seed default</t>
        </is>
      </c>
      <c r="E42" t="inlineStr">
        <is>
          <t>-1.0%</t>
        </is>
      </c>
      <c r="F42" s="33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6">
        <f>Dashboard!C55</f>
        <v/>
      </c>
      <c r="D43" t="inlineStr">
        <is>
          <t>seed default</t>
        </is>
      </c>
      <c r="E43" t="inlineStr">
        <is>
          <t>2.0%</t>
        </is>
      </c>
      <c r="F43" s="33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6">
        <f>Dashboard!D55</f>
        <v/>
      </c>
      <c r="D44" t="inlineStr">
        <is>
          <t>seed default</t>
        </is>
      </c>
      <c r="E44" t="inlineStr">
        <is>
          <t>-2.0%</t>
        </is>
      </c>
      <c r="F44" s="33" t="inlineStr"/>
    </row>
    <row r="45">
      <c r="A45" t="inlineStr">
        <is>
          <t>Bull Δ — exit multiple</t>
        </is>
      </c>
      <c r="B45" t="inlineStr">
        <is>
          <t>C56</t>
        </is>
      </c>
      <c r="C45" s="37">
        <f>Dashboard!C56</f>
        <v/>
      </c>
      <c r="D45" t="inlineStr">
        <is>
          <t>seed default</t>
        </is>
      </c>
      <c r="E45" t="inlineStr">
        <is>
          <t>2.0x</t>
        </is>
      </c>
      <c r="F45" s="33" t="inlineStr"/>
    </row>
    <row r="46">
      <c r="A46" t="inlineStr">
        <is>
          <t>Bear Δ — exit multiple</t>
        </is>
      </c>
      <c r="B46" t="inlineStr">
        <is>
          <t>D56</t>
        </is>
      </c>
      <c r="C46" s="37">
        <f>Dashboard!D56</f>
        <v/>
      </c>
      <c r="D46" t="inlineStr">
        <is>
          <t>seed default</t>
        </is>
      </c>
      <c r="E46" t="inlineStr">
        <is>
          <t>-2.0x</t>
        </is>
      </c>
      <c r="F46" s="33" t="inlineStr"/>
    </row>
    <row r="47">
      <c r="A47" t="inlineStr">
        <is>
          <t>Bull Δ — terminal growth (g)</t>
        </is>
      </c>
      <c r="B47" t="inlineStr">
        <is>
          <t>C57</t>
        </is>
      </c>
      <c r="C47" s="36">
        <f>Dashboard!C57</f>
        <v/>
      </c>
      <c r="D47" t="inlineStr">
        <is>
          <t>seed default</t>
        </is>
      </c>
      <c r="E47" t="inlineStr">
        <is>
          <t>0.5%</t>
        </is>
      </c>
      <c r="F47" s="33" t="inlineStr"/>
    </row>
    <row r="48">
      <c r="A48" t="inlineStr">
        <is>
          <t>Bear Δ — terminal growth (g)</t>
        </is>
      </c>
      <c r="B48" t="inlineStr">
        <is>
          <t>D57</t>
        </is>
      </c>
      <c r="C48" s="36">
        <f>Dashboard!D57</f>
        <v/>
      </c>
      <c r="D48" t="inlineStr">
        <is>
          <t>seed default</t>
        </is>
      </c>
      <c r="E48" t="inlineStr">
        <is>
          <t>-0.5%</t>
        </is>
      </c>
      <c r="F48" s="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8" t="inlineStr">
        <is>
          <t>Blue</t>
        </is>
      </c>
      <c r="B3" s="4" t="inlineStr">
        <is>
          <t>Hard-coded actuals (from FMP filings)</t>
        </is>
      </c>
    </row>
    <row r="4">
      <c r="A4" s="24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9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4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7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7">
        <f>B7*(1-B8)</f>
        <v/>
      </c>
    </row>
    <row r="10">
      <c r="A10" s="4" t="inlineStr">
        <is>
          <t>Market cap (E)</t>
        </is>
      </c>
      <c r="B10" s="35">
        <f>Dashboard!$B$48*Financials!AC17</f>
        <v/>
      </c>
    </row>
    <row r="11">
      <c r="A11" s="4" t="inlineStr">
        <is>
          <t>Total debt (D)</t>
        </is>
      </c>
      <c r="B11" s="35">
        <f>Financials!AC62</f>
        <v/>
      </c>
    </row>
    <row r="12">
      <c r="A12" s="4" t="inlineStr">
        <is>
          <t>Equity weight</t>
        </is>
      </c>
      <c r="B12" s="27">
        <f>B10/(B10+B11)</f>
        <v/>
      </c>
    </row>
    <row r="13">
      <c r="A13" s="4" t="inlineStr">
        <is>
          <t>Debt weight</t>
        </is>
      </c>
      <c r="B13" s="27">
        <f>B11/(B10+B11)</f>
        <v/>
      </c>
    </row>
    <row r="15">
      <c r="A15" s="3" t="inlineStr">
        <is>
          <t>WACC</t>
        </is>
      </c>
      <c r="B15" s="40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1" t="inlineStr">
        <is>
          <t>FY2021A</t>
        </is>
      </c>
      <c r="C1" s="41" t="inlineStr">
        <is>
          <t>FY2022A</t>
        </is>
      </c>
      <c r="D1" s="41" t="inlineStr">
        <is>
          <t>FY2023A</t>
        </is>
      </c>
      <c r="E1" s="41" t="inlineStr">
        <is>
          <t>FY2024A</t>
        </is>
      </c>
      <c r="F1" s="41" t="inlineStr">
        <is>
          <t>FY2025A</t>
        </is>
      </c>
      <c r="G1" s="42" t="inlineStr">
        <is>
          <t>FY2026E</t>
        </is>
      </c>
      <c r="H1" s="42" t="inlineStr">
        <is>
          <t>FY2027E</t>
        </is>
      </c>
      <c r="I1" s="42" t="inlineStr">
        <is>
          <t>FY2028E</t>
        </is>
      </c>
      <c r="J1" s="42" t="inlineStr">
        <is>
          <t>FY2029E</t>
        </is>
      </c>
      <c r="K1" s="42" t="inlineStr">
        <is>
          <t>FY2030E</t>
        </is>
      </c>
      <c r="L1" s="42" t="inlineStr">
        <is>
          <t>FY2031E</t>
        </is>
      </c>
      <c r="M1" s="42" t="inlineStr">
        <is>
          <t>FY2032E</t>
        </is>
      </c>
      <c r="N1" s="42" t="inlineStr">
        <is>
          <t>FY2033E</t>
        </is>
      </c>
      <c r="O1" s="42" t="inlineStr">
        <is>
          <t>FY2034E</t>
        </is>
      </c>
      <c r="P1" s="42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Server Products And Cloud Services</t>
        </is>
      </c>
      <c r="B4" s="35">
        <f>SUM(Financials!G19:J19)</f>
        <v/>
      </c>
      <c r="C4" s="35">
        <f>SUM(Financials!K19:N19)</f>
        <v/>
      </c>
      <c r="D4" s="35">
        <f>SUM(Financials!O19:R19)</f>
        <v/>
      </c>
      <c r="E4" s="35">
        <f>SUM(Financials!S19:V19)</f>
        <v/>
      </c>
      <c r="F4" s="35">
        <f>SUM(Financials!W19:Z19)</f>
        <v/>
      </c>
      <c r="G4" s="43">
        <f>F4*(1+G5)</f>
        <v/>
      </c>
      <c r="H4" s="43">
        <f>G4*(1+H5)</f>
        <v/>
      </c>
      <c r="I4" s="43">
        <f>H4*(1+I5)</f>
        <v/>
      </c>
      <c r="J4" s="43">
        <f>I4*(1+J5)</f>
        <v/>
      </c>
      <c r="K4" s="43">
        <f>J4*(1+K5)</f>
        <v/>
      </c>
      <c r="L4" s="43">
        <f>K4*(1+L5)</f>
        <v/>
      </c>
      <c r="M4" s="43">
        <f>L4*(1+M5)</f>
        <v/>
      </c>
      <c r="N4" s="43">
        <f>M4*(1+N5)</f>
        <v/>
      </c>
      <c r="O4" s="43">
        <f>N4*(1+O5)</f>
        <v/>
      </c>
      <c r="P4" s="43">
        <f>O4*(1+P5)</f>
        <v/>
      </c>
    </row>
    <row r="5">
      <c r="A5" s="4" t="inlineStr">
        <is>
          <t xml:space="preserve">    growth % (convex fade; curvature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Microsoft Three Six Five Commercial Products And Cloud Services</t>
        </is>
      </c>
      <c r="B6" s="35">
        <f>SUM(Financials!G22:J22)</f>
        <v/>
      </c>
      <c r="C6" s="35">
        <f>SUM(Financials!K22:N22)</f>
        <v/>
      </c>
      <c r="D6" s="35">
        <f>SUM(Financials!O22:R22)</f>
        <v/>
      </c>
      <c r="E6" s="35">
        <f>SUM(Financials!S22:V22)</f>
        <v/>
      </c>
      <c r="F6" s="35">
        <f>SUM(Financials!W22:Z22)</f>
        <v/>
      </c>
      <c r="G6" s="43">
        <f>F6*(1+G7)</f>
        <v/>
      </c>
      <c r="H6" s="43">
        <f>G6*(1+H7)</f>
        <v/>
      </c>
      <c r="I6" s="43">
        <f>H6*(1+I7)</f>
        <v/>
      </c>
      <c r="J6" s="43">
        <f>I6*(1+J7)</f>
        <v/>
      </c>
      <c r="K6" s="43">
        <f>J6*(1+K7)</f>
        <v/>
      </c>
      <c r="L6" s="43">
        <f>K6*(1+L7)</f>
        <v/>
      </c>
      <c r="M6" s="43">
        <f>L6*(1+M7)</f>
        <v/>
      </c>
      <c r="N6" s="43">
        <f>M6*(1+N7)</f>
        <v/>
      </c>
      <c r="O6" s="43">
        <f>N6*(1+O7)</f>
        <v/>
      </c>
      <c r="P6" s="43">
        <f>O6*(1+P7)</f>
        <v/>
      </c>
    </row>
    <row r="7">
      <c r="A7" s="4" t="inlineStr">
        <is>
          <t xml:space="preserve">    growth % (convex fade; curvature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Gaming</t>
        </is>
      </c>
      <c r="B8" s="35">
        <f>SUM(Financials!G25:J25)</f>
        <v/>
      </c>
      <c r="C8" s="35">
        <f>SUM(Financials!K25:N25)</f>
        <v/>
      </c>
      <c r="D8" s="35">
        <f>SUM(Financials!O25:R25)</f>
        <v/>
      </c>
      <c r="E8" s="35">
        <f>SUM(Financials!S25:V25)</f>
        <v/>
      </c>
      <c r="F8" s="35">
        <f>SUM(Financials!W25:Z25)</f>
        <v/>
      </c>
      <c r="G8" s="43">
        <f>F8*(1+G9)</f>
        <v/>
      </c>
      <c r="H8" s="43">
        <f>G8*(1+H9)</f>
        <v/>
      </c>
      <c r="I8" s="43">
        <f>H8*(1+I9)</f>
        <v/>
      </c>
      <c r="J8" s="43">
        <f>I8*(1+J9)</f>
        <v/>
      </c>
      <c r="K8" s="43">
        <f>J8*(1+K9)</f>
        <v/>
      </c>
      <c r="L8" s="43">
        <f>K8*(1+L9)</f>
        <v/>
      </c>
      <c r="M8" s="43">
        <f>L8*(1+M9)</f>
        <v/>
      </c>
      <c r="N8" s="43">
        <f>M8*(1+N9)</f>
        <v/>
      </c>
      <c r="O8" s="43">
        <f>N8*(1+O9)</f>
        <v/>
      </c>
      <c r="P8" s="43">
        <f>O8*(1+P9)</f>
        <v/>
      </c>
    </row>
    <row r="9">
      <c r="A9" s="4" t="inlineStr">
        <is>
          <t xml:space="preserve">    growth % (convex fade; curvature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Linked In Corporation</t>
        </is>
      </c>
      <c r="B10" s="35">
        <f>SUM(Financials!G28:J28)</f>
        <v/>
      </c>
      <c r="C10" s="35">
        <f>SUM(Financials!K28:N28)</f>
        <v/>
      </c>
      <c r="D10" s="35">
        <f>SUM(Financials!O28:R28)</f>
        <v/>
      </c>
      <c r="E10" s="35">
        <f>SUM(Financials!S28:V28)</f>
        <v/>
      </c>
      <c r="F10" s="35">
        <f>SUM(Financials!W28:Z28)</f>
        <v/>
      </c>
      <c r="G10" s="43">
        <f>F10*(1+G11)</f>
        <v/>
      </c>
      <c r="H10" s="43">
        <f>G10*(1+H11)</f>
        <v/>
      </c>
      <c r="I10" s="43">
        <f>H10*(1+I11)</f>
        <v/>
      </c>
      <c r="J10" s="43">
        <f>I10*(1+J11)</f>
        <v/>
      </c>
      <c r="K10" s="43">
        <f>J10*(1+K11)</f>
        <v/>
      </c>
      <c r="L10" s="43">
        <f>K10*(1+L11)</f>
        <v/>
      </c>
      <c r="M10" s="43">
        <f>L10*(1+M11)</f>
        <v/>
      </c>
      <c r="N10" s="43">
        <f>M10*(1+N11)</f>
        <v/>
      </c>
      <c r="O10" s="43">
        <f>N10*(1+O11)</f>
        <v/>
      </c>
      <c r="P10" s="43">
        <f>O10*(1+P11)</f>
        <v/>
      </c>
    </row>
    <row r="11">
      <c r="A11" s="4" t="inlineStr">
        <is>
          <t xml:space="preserve">    growth % (convex fade; curvature from Dashboard)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Windows</t>
        </is>
      </c>
      <c r="B12" s="35">
        <f>SUM(Financials!G31:J31)</f>
        <v/>
      </c>
      <c r="C12" s="35">
        <f>SUM(Financials!K31:N31)</f>
        <v/>
      </c>
      <c r="D12" s="35">
        <f>SUM(Financials!O31:R31)</f>
        <v/>
      </c>
      <c r="E12" s="35">
        <f>SUM(Financials!S31:V31)</f>
        <v/>
      </c>
      <c r="F12" s="35">
        <f>SUM(Financials!W31:Z31)</f>
        <v/>
      </c>
      <c r="G12" s="43">
        <f>F12*(1+G13)</f>
        <v/>
      </c>
      <c r="H12" s="43">
        <f>G12*(1+H13)</f>
        <v/>
      </c>
      <c r="I12" s="43">
        <f>H12*(1+I13)</f>
        <v/>
      </c>
      <c r="J12" s="43">
        <f>I12*(1+J13)</f>
        <v/>
      </c>
      <c r="K12" s="43">
        <f>J12*(1+K13)</f>
        <v/>
      </c>
      <c r="L12" s="43">
        <f>K12*(1+L13)</f>
        <v/>
      </c>
      <c r="M12" s="43">
        <f>L12*(1+M13)</f>
        <v/>
      </c>
      <c r="N12" s="43">
        <f>M12*(1+N13)</f>
        <v/>
      </c>
      <c r="O12" s="43">
        <f>N12*(1+O13)</f>
        <v/>
      </c>
      <c r="P12" s="43">
        <f>O12*(1+P13)</f>
        <v/>
      </c>
    </row>
    <row r="13">
      <c r="A13" s="4" t="inlineStr">
        <is>
          <t xml:space="preserve">    growth % (convex fade; curvature from Dashboard)</t>
        </is>
      </c>
      <c r="C13" s="27">
        <f>IFERROR(C12/B12-1,"")</f>
        <v/>
      </c>
      <c r="D13" s="27">
        <f>IFERROR(D12/C12-1,"")</f>
        <v/>
      </c>
      <c r="E13" s="27">
        <f>IFERROR(E12/D12-1,"")</f>
        <v/>
      </c>
      <c r="F13" s="27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Search Advertising</t>
        </is>
      </c>
      <c r="B14" s="35">
        <f>SUM(Financials!G34:J34)</f>
        <v/>
      </c>
      <c r="C14" s="35">
        <f>SUM(Financials!K34:N34)</f>
        <v/>
      </c>
      <c r="D14" s="35">
        <f>SUM(Financials!O34:R34)</f>
        <v/>
      </c>
      <c r="E14" s="35">
        <f>SUM(Financials!S34:V34)</f>
        <v/>
      </c>
      <c r="F14" s="35">
        <f>SUM(Financials!W34:Z34)</f>
        <v/>
      </c>
      <c r="G14" s="43">
        <f>F14*(1+G15)</f>
        <v/>
      </c>
      <c r="H14" s="43">
        <f>G14*(1+H15)</f>
        <v/>
      </c>
      <c r="I14" s="43">
        <f>H14*(1+I15)</f>
        <v/>
      </c>
      <c r="J14" s="43">
        <f>I14*(1+J15)</f>
        <v/>
      </c>
      <c r="K14" s="43">
        <f>J14*(1+K15)</f>
        <v/>
      </c>
      <c r="L14" s="43">
        <f>K14*(1+L15)</f>
        <v/>
      </c>
      <c r="M14" s="43">
        <f>L14*(1+M15)</f>
        <v/>
      </c>
      <c r="N14" s="43">
        <f>M14*(1+N15)</f>
        <v/>
      </c>
      <c r="O14" s="43">
        <f>N14*(1+O15)</f>
        <v/>
      </c>
      <c r="P14" s="43">
        <f>O14*(1+P15)</f>
        <v/>
      </c>
    </row>
    <row r="15">
      <c r="A15" s="4" t="inlineStr">
        <is>
          <t xml:space="preserve">    growth % (convex fade; curvature from Dashboard)</t>
        </is>
      </c>
      <c r="C15" s="27">
        <f>IFERROR(C14/B14-1,"")</f>
        <v/>
      </c>
      <c r="D15" s="27">
        <f>IFERROR(D14/C14-1,"")</f>
        <v/>
      </c>
      <c r="E15" s="27">
        <f>IFERROR(E14/D14-1,"")</f>
        <v/>
      </c>
      <c r="F15" s="27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4" t="inlineStr">
        <is>
          <t>Microsoft Three Six Five Consumer Products and Cloud Services</t>
        </is>
      </c>
      <c r="B16" s="35">
        <f>SUM(Financials!G37:J37)</f>
        <v/>
      </c>
      <c r="C16" s="35">
        <f>SUM(Financials!K37:N37)</f>
        <v/>
      </c>
      <c r="D16" s="35">
        <f>SUM(Financials!O37:R37)</f>
        <v/>
      </c>
      <c r="E16" s="35">
        <f>SUM(Financials!S37:V37)</f>
        <v/>
      </c>
      <c r="F16" s="35">
        <f>SUM(Financials!W37:Z37)</f>
        <v/>
      </c>
      <c r="G16" s="43">
        <f>F16*(1+G17)</f>
        <v/>
      </c>
      <c r="H16" s="43">
        <f>G16*(1+H17)</f>
        <v/>
      </c>
      <c r="I16" s="43">
        <f>H16*(1+I17)</f>
        <v/>
      </c>
      <c r="J16" s="43">
        <f>I16*(1+J17)</f>
        <v/>
      </c>
      <c r="K16" s="43">
        <f>J16*(1+K17)</f>
        <v/>
      </c>
      <c r="L16" s="43">
        <f>K16*(1+L17)</f>
        <v/>
      </c>
      <c r="M16" s="43">
        <f>L16*(1+M17)</f>
        <v/>
      </c>
      <c r="N16" s="43">
        <f>M16*(1+N17)</f>
        <v/>
      </c>
      <c r="O16" s="43">
        <f>N16*(1+O17)</f>
        <v/>
      </c>
      <c r="P16" s="43">
        <f>O16*(1+P17)</f>
        <v/>
      </c>
    </row>
    <row r="17">
      <c r="A17" s="4" t="inlineStr">
        <is>
          <t xml:space="preserve">    growth % (convex fade; curvature from Dashboard)</t>
        </is>
      </c>
      <c r="C17" s="27">
        <f>IFERROR(C16/B16-1,"")</f>
        <v/>
      </c>
      <c r="D17" s="27">
        <f>IFERROR(D16/C16-1,"")</f>
        <v/>
      </c>
      <c r="E17" s="27">
        <f>IFERROR(E16/D16-1,"")</f>
        <v/>
      </c>
      <c r="F17" s="27">
        <f>IFERROR(F16/E16-1,"")</f>
        <v/>
      </c>
      <c r="G17" s="11">
        <f>Dashboard!$C$26+(Dashboard!$B$26-Dashboard!$C$26)*((9-0)/9)^Dashboard!$B$49</f>
        <v/>
      </c>
      <c r="H17" s="11">
        <f>Dashboard!$C$26+(Dashboard!$B$26-Dashboard!$C$26)*((9-1)/9)^Dashboard!$B$49</f>
        <v/>
      </c>
      <c r="I17" s="11">
        <f>Dashboard!$C$26+(Dashboard!$B$26-Dashboard!$C$26)*((9-2)/9)^Dashboard!$B$49</f>
        <v/>
      </c>
      <c r="J17" s="11">
        <f>Dashboard!$C$26+(Dashboard!$B$26-Dashboard!$C$26)*((9-3)/9)^Dashboard!$B$49</f>
        <v/>
      </c>
      <c r="K17" s="11">
        <f>Dashboard!$C$26+(Dashboard!$B$26-Dashboard!$C$26)*((9-4)/9)^Dashboard!$B$49</f>
        <v/>
      </c>
      <c r="L17" s="11">
        <f>Dashboard!$C$26+(Dashboard!$B$26-Dashboard!$C$26)*((9-5)/9)^Dashboard!$B$49</f>
        <v/>
      </c>
      <c r="M17" s="11">
        <f>Dashboard!$C$26+(Dashboard!$B$26-Dashboard!$C$26)*((9-6)/9)^Dashboard!$B$49</f>
        <v/>
      </c>
      <c r="N17" s="11">
        <f>Dashboard!$C$26+(Dashboard!$B$26-Dashboard!$C$26)*((9-7)/9)^Dashboard!$B$49</f>
        <v/>
      </c>
      <c r="O17" s="11">
        <f>Dashboard!$C$26+(Dashboard!$B$26-Dashboard!$C$26)*((9-8)/9)^Dashboard!$B$49</f>
        <v/>
      </c>
      <c r="P17" s="11">
        <f>Dashboard!$C$26+(Dashboard!$B$26-Dashboard!$C$26)*((9-9)/9)^Dashboard!$B$49</f>
        <v/>
      </c>
    </row>
    <row r="18">
      <c r="A18" s="4" t="inlineStr">
        <is>
          <t>Dynamics Products And Cloud Services</t>
        </is>
      </c>
      <c r="B18" s="35">
        <f>SUM(Financials!G40:J40)</f>
        <v/>
      </c>
      <c r="C18" s="35">
        <f>SUM(Financials!K40:N40)</f>
        <v/>
      </c>
      <c r="D18" s="35">
        <f>SUM(Financials!O40:R40)</f>
        <v/>
      </c>
      <c r="E18" s="35">
        <f>SUM(Financials!S40:V40)</f>
        <v/>
      </c>
      <c r="F18" s="35">
        <f>SUM(Financials!W40:Z40)</f>
        <v/>
      </c>
      <c r="G18" s="43">
        <f>F18*(1+G19)</f>
        <v/>
      </c>
      <c r="H18" s="43">
        <f>G18*(1+H19)</f>
        <v/>
      </c>
      <c r="I18" s="43">
        <f>H18*(1+I19)</f>
        <v/>
      </c>
      <c r="J18" s="43">
        <f>I18*(1+J19)</f>
        <v/>
      </c>
      <c r="K18" s="43">
        <f>J18*(1+K19)</f>
        <v/>
      </c>
      <c r="L18" s="43">
        <f>K18*(1+L19)</f>
        <v/>
      </c>
      <c r="M18" s="43">
        <f>L18*(1+M19)</f>
        <v/>
      </c>
      <c r="N18" s="43">
        <f>M18*(1+N19)</f>
        <v/>
      </c>
      <c r="O18" s="43">
        <f>N18*(1+O19)</f>
        <v/>
      </c>
      <c r="P18" s="43">
        <f>O18*(1+P19)</f>
        <v/>
      </c>
    </row>
    <row r="19">
      <c r="A19" s="4" t="inlineStr">
        <is>
          <t xml:space="preserve">    growth % (convex fade; curvature from Dashboard)</t>
        </is>
      </c>
      <c r="C19" s="27">
        <f>IFERROR(C18/B18-1,"")</f>
        <v/>
      </c>
      <c r="D19" s="27">
        <f>IFERROR(D18/C18-1,"")</f>
        <v/>
      </c>
      <c r="E19" s="27">
        <f>IFERROR(E18/D18-1,"")</f>
        <v/>
      </c>
      <c r="F19" s="27">
        <f>IFERROR(F18/E18-1,"")</f>
        <v/>
      </c>
      <c r="G19" s="11">
        <f>Dashboard!$C$27+(Dashboard!$B$27-Dashboard!$C$27)*((9-0)/9)^Dashboard!$B$49</f>
        <v/>
      </c>
      <c r="H19" s="11">
        <f>Dashboard!$C$27+(Dashboard!$B$27-Dashboard!$C$27)*((9-1)/9)^Dashboard!$B$49</f>
        <v/>
      </c>
      <c r="I19" s="11">
        <f>Dashboard!$C$27+(Dashboard!$B$27-Dashboard!$C$27)*((9-2)/9)^Dashboard!$B$49</f>
        <v/>
      </c>
      <c r="J19" s="11">
        <f>Dashboard!$C$27+(Dashboard!$B$27-Dashboard!$C$27)*((9-3)/9)^Dashboard!$B$49</f>
        <v/>
      </c>
      <c r="K19" s="11">
        <f>Dashboard!$C$27+(Dashboard!$B$27-Dashboard!$C$27)*((9-4)/9)^Dashboard!$B$49</f>
        <v/>
      </c>
      <c r="L19" s="11">
        <f>Dashboard!$C$27+(Dashboard!$B$27-Dashboard!$C$27)*((9-5)/9)^Dashboard!$B$49</f>
        <v/>
      </c>
      <c r="M19" s="11">
        <f>Dashboard!$C$27+(Dashboard!$B$27-Dashboard!$C$27)*((9-6)/9)^Dashboard!$B$49</f>
        <v/>
      </c>
      <c r="N19" s="11">
        <f>Dashboard!$C$27+(Dashboard!$B$27-Dashboard!$C$27)*((9-7)/9)^Dashboard!$B$49</f>
        <v/>
      </c>
      <c r="O19" s="11">
        <f>Dashboard!$C$27+(Dashboard!$B$27-Dashboard!$C$27)*((9-8)/9)^Dashboard!$B$49</f>
        <v/>
      </c>
      <c r="P19" s="11">
        <f>Dashboard!$C$27+(Dashboard!$B$27-Dashboard!$C$27)*((9-9)/9)^Dashboard!$B$49</f>
        <v/>
      </c>
    </row>
    <row r="20">
      <c r="A20" s="4" t="inlineStr">
        <is>
          <t>Enterprise Services</t>
        </is>
      </c>
      <c r="B20" s="35">
        <f>SUM(Financials!G43:J43)</f>
        <v/>
      </c>
      <c r="C20" s="35">
        <f>SUM(Financials!K43:N43)</f>
        <v/>
      </c>
      <c r="D20" s="35">
        <f>SUM(Financials!O43:R43)</f>
        <v/>
      </c>
      <c r="E20" s="35">
        <f>SUM(Financials!S43:V43)</f>
        <v/>
      </c>
      <c r="F20" s="35">
        <f>SUM(Financials!W43:Z43)</f>
        <v/>
      </c>
      <c r="G20" s="43">
        <f>F20*(1+G21)</f>
        <v/>
      </c>
      <c r="H20" s="43">
        <f>G20*(1+H21)</f>
        <v/>
      </c>
      <c r="I20" s="43">
        <f>H20*(1+I21)</f>
        <v/>
      </c>
      <c r="J20" s="43">
        <f>I20*(1+J21)</f>
        <v/>
      </c>
      <c r="K20" s="43">
        <f>J20*(1+K21)</f>
        <v/>
      </c>
      <c r="L20" s="43">
        <f>K20*(1+L21)</f>
        <v/>
      </c>
      <c r="M20" s="43">
        <f>L20*(1+M21)</f>
        <v/>
      </c>
      <c r="N20" s="43">
        <f>M20*(1+N21)</f>
        <v/>
      </c>
      <c r="O20" s="43">
        <f>N20*(1+O21)</f>
        <v/>
      </c>
      <c r="P20" s="43">
        <f>O20*(1+P21)</f>
        <v/>
      </c>
    </row>
    <row r="21">
      <c r="A21" s="4" t="inlineStr">
        <is>
          <t xml:space="preserve">    growth % (convex fade; curvature from Dashboard)</t>
        </is>
      </c>
      <c r="C21" s="27">
        <f>IFERROR(C20/B20-1,"")</f>
        <v/>
      </c>
      <c r="D21" s="27">
        <f>IFERROR(D20/C20-1,"")</f>
        <v/>
      </c>
      <c r="E21" s="27">
        <f>IFERROR(E20/D20-1,"")</f>
        <v/>
      </c>
      <c r="F21" s="27">
        <f>IFERROR(F20/E20-1,"")</f>
        <v/>
      </c>
      <c r="G21" s="11">
        <f>Dashboard!$C$28+(Dashboard!$B$28-Dashboard!$C$28)*((9-0)/9)^Dashboard!$B$49</f>
        <v/>
      </c>
      <c r="H21" s="11">
        <f>Dashboard!$C$28+(Dashboard!$B$28-Dashboard!$C$28)*((9-1)/9)^Dashboard!$B$49</f>
        <v/>
      </c>
      <c r="I21" s="11">
        <f>Dashboard!$C$28+(Dashboard!$B$28-Dashboard!$C$28)*((9-2)/9)^Dashboard!$B$49</f>
        <v/>
      </c>
      <c r="J21" s="11">
        <f>Dashboard!$C$28+(Dashboard!$B$28-Dashboard!$C$28)*((9-3)/9)^Dashboard!$B$49</f>
        <v/>
      </c>
      <c r="K21" s="11">
        <f>Dashboard!$C$28+(Dashboard!$B$28-Dashboard!$C$28)*((9-4)/9)^Dashboard!$B$49</f>
        <v/>
      </c>
      <c r="L21" s="11">
        <f>Dashboard!$C$28+(Dashboard!$B$28-Dashboard!$C$28)*((9-5)/9)^Dashboard!$B$49</f>
        <v/>
      </c>
      <c r="M21" s="11">
        <f>Dashboard!$C$28+(Dashboard!$B$28-Dashboard!$C$28)*((9-6)/9)^Dashboard!$B$49</f>
        <v/>
      </c>
      <c r="N21" s="11">
        <f>Dashboard!$C$28+(Dashboard!$B$28-Dashboard!$C$28)*((9-7)/9)^Dashboard!$B$49</f>
        <v/>
      </c>
      <c r="O21" s="11">
        <f>Dashboard!$C$28+(Dashboard!$B$28-Dashboard!$C$28)*((9-8)/9)^Dashboard!$B$49</f>
        <v/>
      </c>
      <c r="P21" s="11">
        <f>Dashboard!$C$28+(Dashboard!$B$28-Dashboard!$C$28)*((9-9)/9)^Dashboard!$B$49</f>
        <v/>
      </c>
    </row>
    <row r="22">
      <c r="A22" s="4" t="inlineStr">
        <is>
          <t>Other Products And Services</t>
        </is>
      </c>
      <c r="B22" s="35">
        <f>SUM(Financials!G46:J46)</f>
        <v/>
      </c>
      <c r="C22" s="35">
        <f>SUM(Financials!K46:N46)</f>
        <v/>
      </c>
      <c r="D22" s="35">
        <f>SUM(Financials!O46:R46)</f>
        <v/>
      </c>
      <c r="E22" s="35">
        <f>SUM(Financials!S46:V46)</f>
        <v/>
      </c>
      <c r="F22" s="35">
        <f>SUM(Financials!W46:Z46)</f>
        <v/>
      </c>
      <c r="G22" s="43">
        <f>F22*(1+G23)</f>
        <v/>
      </c>
      <c r="H22" s="43">
        <f>G22*(1+H23)</f>
        <v/>
      </c>
      <c r="I22" s="43">
        <f>H22*(1+I23)</f>
        <v/>
      </c>
      <c r="J22" s="43">
        <f>I22*(1+J23)</f>
        <v/>
      </c>
      <c r="K22" s="43">
        <f>J22*(1+K23)</f>
        <v/>
      </c>
      <c r="L22" s="43">
        <f>K22*(1+L23)</f>
        <v/>
      </c>
      <c r="M22" s="43">
        <f>L22*(1+M23)</f>
        <v/>
      </c>
      <c r="N22" s="43">
        <f>M22*(1+N23)</f>
        <v/>
      </c>
      <c r="O22" s="43">
        <f>N22*(1+O23)</f>
        <v/>
      </c>
      <c r="P22" s="43">
        <f>O22*(1+P23)</f>
        <v/>
      </c>
    </row>
    <row r="23">
      <c r="A23" s="4" t="inlineStr">
        <is>
          <t xml:space="preserve">    growth % (convex fade; curvature from Dashboard)</t>
        </is>
      </c>
      <c r="C23" s="27">
        <f>IFERROR(C22/B22-1,"")</f>
        <v/>
      </c>
      <c r="D23" s="27">
        <f>IFERROR(D22/C22-1,"")</f>
        <v/>
      </c>
      <c r="E23" s="27">
        <f>IFERROR(E22/D22-1,"")</f>
        <v/>
      </c>
      <c r="F23" s="27">
        <f>IFERROR(F22/E22-1,"")</f>
        <v/>
      </c>
      <c r="G23" s="11">
        <f>Dashboard!$C$29+(Dashboard!$B$29-Dashboard!$C$29)*((9-0)/9)^Dashboard!$B$49</f>
        <v/>
      </c>
      <c r="H23" s="11">
        <f>Dashboard!$C$29+(Dashboard!$B$29-Dashboard!$C$29)*((9-1)/9)^Dashboard!$B$49</f>
        <v/>
      </c>
      <c r="I23" s="11">
        <f>Dashboard!$C$29+(Dashboard!$B$29-Dashboard!$C$29)*((9-2)/9)^Dashboard!$B$49</f>
        <v/>
      </c>
      <c r="J23" s="11">
        <f>Dashboard!$C$29+(Dashboard!$B$29-Dashboard!$C$29)*((9-3)/9)^Dashboard!$B$49</f>
        <v/>
      </c>
      <c r="K23" s="11">
        <f>Dashboard!$C$29+(Dashboard!$B$29-Dashboard!$C$29)*((9-4)/9)^Dashboard!$B$49</f>
        <v/>
      </c>
      <c r="L23" s="11">
        <f>Dashboard!$C$29+(Dashboard!$B$29-Dashboard!$C$29)*((9-5)/9)^Dashboard!$B$49</f>
        <v/>
      </c>
      <c r="M23" s="11">
        <f>Dashboard!$C$29+(Dashboard!$B$29-Dashboard!$C$29)*((9-6)/9)^Dashboard!$B$49</f>
        <v/>
      </c>
      <c r="N23" s="11">
        <f>Dashboard!$C$29+(Dashboard!$B$29-Dashboard!$C$29)*((9-7)/9)^Dashboard!$B$49</f>
        <v/>
      </c>
      <c r="O23" s="11">
        <f>Dashboard!$C$29+(Dashboard!$B$29-Dashboard!$C$29)*((9-8)/9)^Dashboard!$B$49</f>
        <v/>
      </c>
      <c r="P23" s="11">
        <f>Dashboard!$C$29+(Dashboard!$B$29-Dashboard!$C$29)*((9-9)/9)^Dashboard!$B$49</f>
        <v/>
      </c>
    </row>
    <row r="24">
      <c r="A24" s="3" t="inlineStr">
        <is>
          <t>Total revenue</t>
        </is>
      </c>
      <c r="B24" s="44">
        <f>B4+B6+B8+B10+B12+B14+B16+B18+B20+B22</f>
        <v/>
      </c>
      <c r="C24" s="44">
        <f>C4+C6+C8+C10+C12+C14+C16+C18+C20+C22</f>
        <v/>
      </c>
      <c r="D24" s="44">
        <f>D4+D6+D8+D10+D12+D14+D16+D18+D20+D22</f>
        <v/>
      </c>
      <c r="E24" s="44">
        <f>E4+E6+E8+E10+E12+E14+E16+E18+E20+E22</f>
        <v/>
      </c>
      <c r="F24" s="44">
        <f>F4+F6+F8+F10+F12+F14+F16+F18+F20+F22</f>
        <v/>
      </c>
      <c r="G24" s="44">
        <f>G4+G6+G8+G10+G12+G14+G16+G18+G20+G22</f>
        <v/>
      </c>
      <c r="H24" s="44">
        <f>H4+H6+H8+H10+H12+H14+H16+H18+H20+H22</f>
        <v/>
      </c>
      <c r="I24" s="44">
        <f>I4+I6+I8+I10+I12+I14+I16+I18+I20+I22</f>
        <v/>
      </c>
      <c r="J24" s="44">
        <f>J4+J6+J8+J10+J12+J14+J16+J18+J20+J22</f>
        <v/>
      </c>
      <c r="K24" s="44">
        <f>K4+K6+K8+K10+K12+K14+K16+K18+K20+K22</f>
        <v/>
      </c>
      <c r="L24" s="44">
        <f>L4+L6+L8+L10+L12+L14+L16+L18+L20+L22</f>
        <v/>
      </c>
      <c r="M24" s="44">
        <f>M4+M6+M8+M10+M12+M14+M16+M18+M20+M22</f>
        <v/>
      </c>
      <c r="N24" s="44">
        <f>N4+N6+N8+N10+N12+N14+N16+N18+N20+N22</f>
        <v/>
      </c>
      <c r="O24" s="44">
        <f>O4+O6+O8+O10+O12+O14+O16+O18+O20+O22</f>
        <v/>
      </c>
      <c r="P24" s="44">
        <f>P4+P6+P8+P10+P12+P14+P16+P18+P20+P22</f>
        <v/>
      </c>
    </row>
    <row r="25">
      <c r="A25" s="4" t="inlineStr">
        <is>
          <t xml:space="preserve">    growth %</t>
        </is>
      </c>
      <c r="C25" s="27">
        <f>IFERROR(C24/B24-1,"")</f>
        <v/>
      </c>
      <c r="D25" s="27">
        <f>IFERROR(D24/C24-1,"")</f>
        <v/>
      </c>
      <c r="E25" s="27">
        <f>IFERROR(E24/D24-1,"")</f>
        <v/>
      </c>
      <c r="F25" s="27">
        <f>IFERROR(F24/E24-1,"")</f>
        <v/>
      </c>
      <c r="G25" s="27">
        <f>IFERROR(G24/F24-1,"")</f>
        <v/>
      </c>
      <c r="H25" s="27">
        <f>IFERROR(H24/G24-1,"")</f>
        <v/>
      </c>
      <c r="I25" s="27">
        <f>IFERROR(I24/H24-1,"")</f>
        <v/>
      </c>
      <c r="J25" s="27">
        <f>IFERROR(J24/I24-1,"")</f>
        <v/>
      </c>
      <c r="K25" s="27">
        <f>IFERROR(K24/J24-1,"")</f>
        <v/>
      </c>
      <c r="L25" s="27">
        <f>IFERROR(L24/K24-1,"")</f>
        <v/>
      </c>
      <c r="M25" s="27">
        <f>IFERROR(M24/L24-1,"")</f>
        <v/>
      </c>
      <c r="N25" s="27">
        <f>IFERROR(N24/M24-1,"")</f>
        <v/>
      </c>
      <c r="O25" s="27">
        <f>IFERROR(O24/N24-1,"")</f>
        <v/>
      </c>
      <c r="P25" s="27">
        <f>IFERROR(P24/O24-1,"")</f>
        <v/>
      </c>
    </row>
    <row r="27">
      <c r="A27" s="5" t="inlineStr">
        <is>
          <t xml:space="preserve">  COST STRUCTURE (yellow = % of revenue)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4" t="inlineStr">
        <is>
          <t>Cost of revenue</t>
        </is>
      </c>
      <c r="B28" s="35">
        <f>SUM(Financials!G5:J5)</f>
        <v/>
      </c>
      <c r="C28" s="35">
        <f>SUM(Financials!K5:N5)</f>
        <v/>
      </c>
      <c r="D28" s="35">
        <f>SUM(Financials!O5:R5)</f>
        <v/>
      </c>
      <c r="E28" s="35">
        <f>SUM(Financials!S5:V5)</f>
        <v/>
      </c>
      <c r="F28" s="35">
        <f>SUM(Financials!W5:Z5)</f>
        <v/>
      </c>
      <c r="G28" s="43">
        <f>G24*G29</f>
        <v/>
      </c>
      <c r="H28" s="43">
        <f>H24*H29</f>
        <v/>
      </c>
      <c r="I28" s="43">
        <f>I24*I29</f>
        <v/>
      </c>
      <c r="J28" s="43">
        <f>J24*J29</f>
        <v/>
      </c>
      <c r="K28" s="43">
        <f>K24*K29</f>
        <v/>
      </c>
      <c r="L28" s="43">
        <f>L24*L29</f>
        <v/>
      </c>
      <c r="M28" s="43">
        <f>M24*M29</f>
        <v/>
      </c>
      <c r="N28" s="43">
        <f>N24*N29</f>
        <v/>
      </c>
      <c r="O28" s="43">
        <f>O24*O29</f>
        <v/>
      </c>
      <c r="P28" s="43">
        <f>P24*P29</f>
        <v/>
      </c>
    </row>
    <row r="29">
      <c r="A29" s="4" t="inlineStr">
        <is>
          <t xml:space="preserve">    % of revenue</t>
        </is>
      </c>
      <c r="B29" s="27">
        <f>IFERROR(B28/B24,"")</f>
        <v/>
      </c>
      <c r="C29" s="27">
        <f>IFERROR(C28/C24,"")</f>
        <v/>
      </c>
      <c r="D29" s="27">
        <f>IFERROR(D28/D24,"")</f>
        <v/>
      </c>
      <c r="E29" s="27">
        <f>IFERROR(E28/E24,"")</f>
        <v/>
      </c>
      <c r="F29" s="27">
        <f>IFERROR(F28/F24,"")</f>
        <v/>
      </c>
      <c r="G29" s="15" t="n">
        <v>0.3117625761383482</v>
      </c>
      <c r="H29" s="15" t="n">
        <v>0.3117625761383482</v>
      </c>
      <c r="I29" s="15" t="n">
        <v>0.3117625761383482</v>
      </c>
      <c r="J29" s="15" t="n">
        <v>0.3117625761383482</v>
      </c>
      <c r="K29" s="15" t="n">
        <v>0.3117625761383482</v>
      </c>
      <c r="L29" s="15" t="n">
        <v>0.3117625761383482</v>
      </c>
      <c r="M29" s="15" t="n">
        <v>0.3117625761383482</v>
      </c>
      <c r="N29" s="15" t="n">
        <v>0.3117625761383482</v>
      </c>
      <c r="O29" s="15" t="n">
        <v>0.3117625761383482</v>
      </c>
      <c r="P29" s="15" t="n">
        <v>0.3117625761383482</v>
      </c>
    </row>
    <row r="30">
      <c r="A30" s="4" t="inlineStr">
        <is>
          <t>R&amp;D / Technology</t>
        </is>
      </c>
      <c r="B30" s="35">
        <f>SUM(Financials!G7:J7)</f>
        <v/>
      </c>
      <c r="C30" s="35">
        <f>SUM(Financials!K7:N7)</f>
        <v/>
      </c>
      <c r="D30" s="35">
        <f>SUM(Financials!O7:R7)</f>
        <v/>
      </c>
      <c r="E30" s="35">
        <f>SUM(Financials!S7:V7)</f>
        <v/>
      </c>
      <c r="F30" s="35">
        <f>SUM(Financials!W7:Z7)</f>
        <v/>
      </c>
      <c r="G30" s="43">
        <f>G24*G31</f>
        <v/>
      </c>
      <c r="H30" s="43">
        <f>H24*H31</f>
        <v/>
      </c>
      <c r="I30" s="43">
        <f>I24*I31</f>
        <v/>
      </c>
      <c r="J30" s="43">
        <f>J24*J31</f>
        <v/>
      </c>
      <c r="K30" s="43">
        <f>K24*K31</f>
        <v/>
      </c>
      <c r="L30" s="43">
        <f>L24*L31</f>
        <v/>
      </c>
      <c r="M30" s="43">
        <f>M24*M31</f>
        <v/>
      </c>
      <c r="N30" s="43">
        <f>N24*N31</f>
        <v/>
      </c>
      <c r="O30" s="43">
        <f>O24*O31</f>
        <v/>
      </c>
      <c r="P30" s="43">
        <f>P24*P31</f>
        <v/>
      </c>
    </row>
    <row r="31">
      <c r="A31" s="4" t="inlineStr">
        <is>
          <t xml:space="preserve">    % of revenue</t>
        </is>
      </c>
      <c r="B31" s="27">
        <f>IFERROR(B30/B24,"")</f>
        <v/>
      </c>
      <c r="C31" s="27">
        <f>IFERROR(C30/C24,"")</f>
        <v/>
      </c>
      <c r="D31" s="27">
        <f>IFERROR(D30/D24,"")</f>
        <v/>
      </c>
      <c r="E31" s="27">
        <f>IFERROR(E30/E24,"")</f>
        <v/>
      </c>
      <c r="F31" s="27">
        <f>IFERROR(F30/F24,"")</f>
        <v/>
      </c>
      <c r="G31" s="15" t="n">
        <v>0.1153185387116469</v>
      </c>
      <c r="H31" s="15" t="n">
        <v>0.1153185387116469</v>
      </c>
      <c r="I31" s="15" t="n">
        <v>0.1153185387116469</v>
      </c>
      <c r="J31" s="15" t="n">
        <v>0.1153185387116469</v>
      </c>
      <c r="K31" s="15" t="n">
        <v>0.1153185387116469</v>
      </c>
      <c r="L31" s="15" t="n">
        <v>0.1153185387116469</v>
      </c>
      <c r="M31" s="15" t="n">
        <v>0.1153185387116469</v>
      </c>
      <c r="N31" s="15" t="n">
        <v>0.1153185387116469</v>
      </c>
      <c r="O31" s="15" t="n">
        <v>0.1153185387116469</v>
      </c>
      <c r="P31" s="15" t="n">
        <v>0.1153185387116469</v>
      </c>
    </row>
    <row r="32">
      <c r="A32" s="4" t="inlineStr">
        <is>
          <t>SG&amp;A</t>
        </is>
      </c>
      <c r="B32" s="35">
        <f>SUM(Financials!G9:J9)</f>
        <v/>
      </c>
      <c r="C32" s="35">
        <f>SUM(Financials!K9:N9)</f>
        <v/>
      </c>
      <c r="D32" s="35">
        <f>SUM(Financials!O9:R9)</f>
        <v/>
      </c>
      <c r="E32" s="35">
        <f>SUM(Financials!S9:V9)</f>
        <v/>
      </c>
      <c r="F32" s="35">
        <f>SUM(Financials!W9:Z9)</f>
        <v/>
      </c>
      <c r="G32" s="43">
        <f>G24*G33</f>
        <v/>
      </c>
      <c r="H32" s="43">
        <f>H24*H33</f>
        <v/>
      </c>
      <c r="I32" s="43">
        <f>I24*I33</f>
        <v/>
      </c>
      <c r="J32" s="43">
        <f>J24*J33</f>
        <v/>
      </c>
      <c r="K32" s="43">
        <f>K24*K33</f>
        <v/>
      </c>
      <c r="L32" s="43">
        <f>L24*L33</f>
        <v/>
      </c>
      <c r="M32" s="43">
        <f>M24*M33</f>
        <v/>
      </c>
      <c r="N32" s="43">
        <f>N24*N33</f>
        <v/>
      </c>
      <c r="O32" s="43">
        <f>O24*O33</f>
        <v/>
      </c>
      <c r="P32" s="43">
        <f>P24*P33</f>
        <v/>
      </c>
    </row>
    <row r="33">
      <c r="A33" s="4" t="inlineStr">
        <is>
          <t xml:space="preserve">    % of revenue</t>
        </is>
      </c>
      <c r="B33" s="27">
        <f>IFERROR(B32/B24,"")</f>
        <v/>
      </c>
      <c r="C33" s="27">
        <f>IFERROR(C32/C24,"")</f>
        <v/>
      </c>
      <c r="D33" s="27">
        <f>IFERROR(D32/D24,"")</f>
        <v/>
      </c>
      <c r="E33" s="27">
        <f>IFERROR(E32/E24,"")</f>
        <v/>
      </c>
      <c r="F33" s="27">
        <f>IFERROR(F32/F24,"")</f>
        <v/>
      </c>
      <c r="G33" s="15" t="n">
        <v>0.1166993227414065</v>
      </c>
      <c r="H33" s="15" t="n">
        <v>0.1166993227414065</v>
      </c>
      <c r="I33" s="15" t="n">
        <v>0.1166993227414065</v>
      </c>
      <c r="J33" s="15" t="n">
        <v>0.1166993227414065</v>
      </c>
      <c r="K33" s="15" t="n">
        <v>0.1166993227414065</v>
      </c>
      <c r="L33" s="15" t="n">
        <v>0.1166993227414065</v>
      </c>
      <c r="M33" s="15" t="n">
        <v>0.1166993227414065</v>
      </c>
      <c r="N33" s="15" t="n">
        <v>0.1166993227414065</v>
      </c>
      <c r="O33" s="15" t="n">
        <v>0.1166993227414065</v>
      </c>
      <c r="P33" s="15" t="n">
        <v>0.1166993227414065</v>
      </c>
    </row>
    <row r="34">
      <c r="A34" s="4" t="inlineStr">
        <is>
          <t>Other opex (fulfilment, etc.)</t>
        </is>
      </c>
      <c r="B34" s="35">
        <f>B24-(B28+B30+B32)-SUM(Financials!G13:J13)</f>
        <v/>
      </c>
      <c r="C34" s="35">
        <f>C24-(C28+C30+C32)-SUM(Financials!K13:N13)</f>
        <v/>
      </c>
      <c r="D34" s="35">
        <f>D24-(D28+D30+D32)-SUM(Financials!O13:R13)</f>
        <v/>
      </c>
      <c r="E34" s="35">
        <f>E24-(E28+E30+E32)-SUM(Financials!S13:V13)</f>
        <v/>
      </c>
      <c r="F34" s="35">
        <f>F24-(F28+F30+F32)-SUM(Financials!W13:Z13)</f>
        <v/>
      </c>
      <c r="G34" s="35">
        <f>G24*(1-(Dashboard!$B$29+(Dashboard!$B$30-Dashboard!$B$29)*MIN(1,0/4)))-(G28+G30+G32)</f>
        <v/>
      </c>
      <c r="H34" s="35">
        <f>H24*(1-(Dashboard!$B$29+(Dashboard!$B$30-Dashboard!$B$29)*MIN(1,1/4)))-(H28+H30+H32)</f>
        <v/>
      </c>
      <c r="I34" s="35">
        <f>I24*(1-(Dashboard!$B$29+(Dashboard!$B$30-Dashboard!$B$29)*MIN(1,2/4)))-(I28+I30+I32)</f>
        <v/>
      </c>
      <c r="J34" s="35">
        <f>J24*(1-(Dashboard!$B$29+(Dashboard!$B$30-Dashboard!$B$29)*MIN(1,3/4)))-(J28+J30+J32)</f>
        <v/>
      </c>
      <c r="K34" s="35">
        <f>K24*(1-(Dashboard!$B$29+(Dashboard!$B$30-Dashboard!$B$29)*MIN(1,4/4)))-(K28+K30+K32)</f>
        <v/>
      </c>
      <c r="L34" s="35">
        <f>L24*(1-(Dashboard!$B$29+(Dashboard!$B$30-Dashboard!$B$29)*MIN(1,5/4)))-(L28+L30+L32)</f>
        <v/>
      </c>
      <c r="M34" s="35">
        <f>M24*(1-(Dashboard!$B$29+(Dashboard!$B$30-Dashboard!$B$29)*MIN(1,6/4)))-(M28+M30+M32)</f>
        <v/>
      </c>
      <c r="N34" s="35">
        <f>N24*(1-(Dashboard!$B$29+(Dashboard!$B$30-Dashboard!$B$29)*MIN(1,7/4)))-(N28+N30+N32)</f>
        <v/>
      </c>
      <c r="O34" s="35">
        <f>O24*(1-(Dashboard!$B$29+(Dashboard!$B$30-Dashboard!$B$29)*MIN(1,8/4)))-(O28+O30+O32)</f>
        <v/>
      </c>
      <c r="P34" s="35">
        <f>P24*(1-(Dashboard!$B$29+(Dashboard!$B$30-Dashboard!$B$29)*MIN(1,9/4)))-(P28+P30+P32)</f>
        <v/>
      </c>
    </row>
    <row r="35">
      <c r="A35" s="4" t="inlineStr">
        <is>
          <t xml:space="preserve">    % of revenue</t>
        </is>
      </c>
      <c r="B35" s="27">
        <f>IFERROR(B34/B24,"")</f>
        <v/>
      </c>
      <c r="C35" s="27">
        <f>IFERROR(C34/C24,"")</f>
        <v/>
      </c>
      <c r="D35" s="27">
        <f>IFERROR(D34/D24,"")</f>
        <v/>
      </c>
      <c r="E35" s="27">
        <f>IFERROR(E34/E24,"")</f>
        <v/>
      </c>
      <c r="F35" s="27">
        <f>IFERROR(F34/F24,"")</f>
        <v/>
      </c>
      <c r="G35" s="27">
        <f>IFERROR(G34/G24,"")</f>
        <v/>
      </c>
      <c r="H35" s="27">
        <f>IFERROR(H34/H24,"")</f>
        <v/>
      </c>
      <c r="I35" s="27">
        <f>IFERROR(I34/I24,"")</f>
        <v/>
      </c>
      <c r="J35" s="27">
        <f>IFERROR(J34/J24,"")</f>
        <v/>
      </c>
      <c r="K35" s="27">
        <f>IFERROR(K34/K24,"")</f>
        <v/>
      </c>
      <c r="L35" s="27">
        <f>IFERROR(L34/L24,"")</f>
        <v/>
      </c>
      <c r="M35" s="27">
        <f>IFERROR(M34/M24,"")</f>
        <v/>
      </c>
      <c r="N35" s="27">
        <f>IFERROR(N34/N24,"")</f>
        <v/>
      </c>
      <c r="O35" s="27">
        <f>IFERROR(O34/O24,"")</f>
        <v/>
      </c>
      <c r="P35" s="27">
        <f>IFERROR(P34/P24,"")</f>
        <v/>
      </c>
    </row>
    <row r="37">
      <c r="A37" s="3" t="inlineStr">
        <is>
          <t>Operating income (EBIT)</t>
        </is>
      </c>
      <c r="B37" s="44">
        <f>B24-(B28+B30+B32)-B34</f>
        <v/>
      </c>
      <c r="C37" s="44">
        <f>C24-(C28+C30+C32)-C34</f>
        <v/>
      </c>
      <c r="D37" s="44">
        <f>D24-(D28+D30+D32)-D34</f>
        <v/>
      </c>
      <c r="E37" s="44">
        <f>E24-(E28+E30+E32)-E34</f>
        <v/>
      </c>
      <c r="F37" s="44">
        <f>F24-(F28+F30+F32)-F34</f>
        <v/>
      </c>
      <c r="G37" s="44">
        <f>G24-(G28+G30+G32)-G34</f>
        <v/>
      </c>
      <c r="H37" s="44">
        <f>H24-(H28+H30+H32)-H34</f>
        <v/>
      </c>
      <c r="I37" s="44">
        <f>I24-(I28+I30+I32)-I34</f>
        <v/>
      </c>
      <c r="J37" s="44">
        <f>J24-(J28+J30+J32)-J34</f>
        <v/>
      </c>
      <c r="K37" s="44">
        <f>K24-(K28+K30+K32)-K34</f>
        <v/>
      </c>
      <c r="L37" s="44">
        <f>L24-(L28+L30+L32)-L34</f>
        <v/>
      </c>
      <c r="M37" s="44">
        <f>M24-(M28+M30+M32)-M34</f>
        <v/>
      </c>
      <c r="N37" s="44">
        <f>N24-(N28+N30+N32)-N34</f>
        <v/>
      </c>
      <c r="O37" s="44">
        <f>O24-(O28+O30+O32)-O34</f>
        <v/>
      </c>
      <c r="P37" s="44">
        <f>P24-(P28+P30+P32)-P34</f>
        <v/>
      </c>
    </row>
    <row r="38">
      <c r="A38" s="4" t="inlineStr">
        <is>
          <t xml:space="preserve">    operating margin</t>
        </is>
      </c>
      <c r="B38" s="27">
        <f>IFERROR(B37/B24,"")</f>
        <v/>
      </c>
      <c r="C38" s="27">
        <f>IFERROR(C37/C24,"")</f>
        <v/>
      </c>
      <c r="D38" s="27">
        <f>IFERROR(D37/D24,"")</f>
        <v/>
      </c>
      <c r="E38" s="27">
        <f>IFERROR(E37/E24,"")</f>
        <v/>
      </c>
      <c r="F38" s="27">
        <f>IFERROR(F37/F24,"")</f>
        <v/>
      </c>
      <c r="G38" s="27">
        <f>IFERROR(G37/G24,"")</f>
        <v/>
      </c>
      <c r="H38" s="27">
        <f>IFERROR(H37/H24,"")</f>
        <v/>
      </c>
      <c r="I38" s="27">
        <f>IFERROR(I37/I24,"")</f>
        <v/>
      </c>
      <c r="J38" s="27">
        <f>IFERROR(J37/J24,"")</f>
        <v/>
      </c>
      <c r="K38" s="27">
        <f>IFERROR(K37/K24,"")</f>
        <v/>
      </c>
      <c r="L38" s="27">
        <f>IFERROR(L37/L24,"")</f>
        <v/>
      </c>
      <c r="M38" s="27">
        <f>IFERROR(M37/M24,"")</f>
        <v/>
      </c>
      <c r="N38" s="27">
        <f>IFERROR(N37/N24,"")</f>
        <v/>
      </c>
      <c r="O38" s="27">
        <f>IFERROR(O37/O24,"")</f>
        <v/>
      </c>
      <c r="P38" s="27">
        <f>IFERROR(P37/P24,"")</f>
        <v/>
      </c>
    </row>
    <row r="40">
      <c r="A40" s="5" t="inlineStr">
        <is>
          <t xml:space="preserve">  FCF BRIDGE (NOPAT + D&amp;A + SBC - dNWC - Capex)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4" t="inlineStr">
        <is>
          <t>NOPAT = EBIT x (1 - tax)</t>
        </is>
      </c>
      <c r="B41" s="35">
        <f>B37*(1-Valuation!$B$5)</f>
        <v/>
      </c>
      <c r="C41" s="35">
        <f>C37*(1-Valuation!$B$5)</f>
        <v/>
      </c>
      <c r="D41" s="35">
        <f>D37*(1-Valuation!$B$5)</f>
        <v/>
      </c>
      <c r="E41" s="35">
        <f>E37*(1-Valuation!$B$5)</f>
        <v/>
      </c>
      <c r="F41" s="35">
        <f>F37*(1-Valuation!$B$5)</f>
        <v/>
      </c>
      <c r="G41" s="35">
        <f>G37*(1-Valuation!$B$5)</f>
        <v/>
      </c>
      <c r="H41" s="35">
        <f>H37*(1-Valuation!$B$5)</f>
        <v/>
      </c>
      <c r="I41" s="35">
        <f>I37*(1-Valuation!$B$5)</f>
        <v/>
      </c>
      <c r="J41" s="35">
        <f>J37*(1-Valuation!$B$5)</f>
        <v/>
      </c>
      <c r="K41" s="35">
        <f>K37*(1-Valuation!$B$5)</f>
        <v/>
      </c>
      <c r="L41" s="35">
        <f>L37*(1-Valuation!$B$5)</f>
        <v/>
      </c>
      <c r="M41" s="35">
        <f>M37*(1-Valuation!$B$5)</f>
        <v/>
      </c>
      <c r="N41" s="35">
        <f>N37*(1-Valuation!$B$5)</f>
        <v/>
      </c>
      <c r="O41" s="35">
        <f>O37*(1-Valuation!$B$5)</f>
        <v/>
      </c>
      <c r="P41" s="35">
        <f>P37*(1-Valuation!$B$5)</f>
        <v/>
      </c>
    </row>
    <row r="42">
      <c r="A42" s="4" t="inlineStr">
        <is>
          <t>+ D&amp;A</t>
        </is>
      </c>
      <c r="B42" s="35">
        <f>SUM(Financials!G65:J65)</f>
        <v/>
      </c>
      <c r="C42" s="35">
        <f>SUM(Financials!K65:N65)</f>
        <v/>
      </c>
      <c r="D42" s="35">
        <f>SUM(Financials!O65:R65)</f>
        <v/>
      </c>
      <c r="E42" s="35">
        <f>SUM(Financials!S65:V65)</f>
        <v/>
      </c>
      <c r="F42" s="35">
        <f>SUM(Financials!W65:Z65)</f>
        <v/>
      </c>
      <c r="G42" s="43">
        <f>G24*0.1171</f>
        <v/>
      </c>
      <c r="H42" s="43">
        <f>H24*0.1171</f>
        <v/>
      </c>
      <c r="I42" s="43">
        <f>I24*0.1171</f>
        <v/>
      </c>
      <c r="J42" s="43">
        <f>J24*0.1171</f>
        <v/>
      </c>
      <c r="K42" s="43">
        <f>K24*0.1171</f>
        <v/>
      </c>
      <c r="L42" s="43">
        <f>L24*0.1171</f>
        <v/>
      </c>
      <c r="M42" s="43">
        <f>M24*0.1171</f>
        <v/>
      </c>
      <c r="N42" s="43">
        <f>N24*0.1171</f>
        <v/>
      </c>
      <c r="O42" s="43">
        <f>O24*0.1171</f>
        <v/>
      </c>
      <c r="P42" s="43">
        <f>P24*0.1171</f>
        <v/>
      </c>
    </row>
    <row r="43">
      <c r="A43" s="4" t="inlineStr">
        <is>
          <t>+ SBC (non-cash)</t>
        </is>
      </c>
      <c r="B43" s="35">
        <f>SUM(Financials!G66:J66)</f>
        <v/>
      </c>
      <c r="C43" s="35">
        <f>SUM(Financials!K66:N66)</f>
        <v/>
      </c>
      <c r="D43" s="35">
        <f>SUM(Financials!O66:R66)</f>
        <v/>
      </c>
      <c r="E43" s="35">
        <f>SUM(Financials!S66:V66)</f>
        <v/>
      </c>
      <c r="F43" s="35">
        <f>SUM(Financials!W66:Z66)</f>
        <v/>
      </c>
      <c r="G43" s="35">
        <f>G24*(Dashboard!$B$65+(Dashboard!$B$66-Dashboard!$B$65)*0/9)</f>
        <v/>
      </c>
      <c r="H43" s="35">
        <f>H24*(Dashboard!$B$65+(Dashboard!$B$66-Dashboard!$B$65)*1/9)</f>
        <v/>
      </c>
      <c r="I43" s="35">
        <f>I24*(Dashboard!$B$65+(Dashboard!$B$66-Dashboard!$B$65)*2/9)</f>
        <v/>
      </c>
      <c r="J43" s="35">
        <f>J24*(Dashboard!$B$65+(Dashboard!$B$66-Dashboard!$B$65)*3/9)</f>
        <v/>
      </c>
      <c r="K43" s="35">
        <f>K24*(Dashboard!$B$65+(Dashboard!$B$66-Dashboard!$B$65)*4/9)</f>
        <v/>
      </c>
      <c r="L43" s="35">
        <f>L24*(Dashboard!$B$65+(Dashboard!$B$66-Dashboard!$B$65)*5/9)</f>
        <v/>
      </c>
      <c r="M43" s="35">
        <f>M24*(Dashboard!$B$65+(Dashboard!$B$66-Dashboard!$B$65)*6/9)</f>
        <v/>
      </c>
      <c r="N43" s="35">
        <f>N24*(Dashboard!$B$65+(Dashboard!$B$66-Dashboard!$B$65)*7/9)</f>
        <v/>
      </c>
      <c r="O43" s="35">
        <f>O24*(Dashboard!$B$65+(Dashboard!$B$66-Dashboard!$B$65)*8/9)</f>
        <v/>
      </c>
      <c r="P43" s="35">
        <f>P24*(Dashboard!$B$65+(Dashboard!$B$66-Dashboard!$B$65)*9/9)</f>
        <v/>
      </c>
    </row>
    <row r="44">
      <c r="A44" s="4" t="inlineStr">
        <is>
          <t>- dNWC</t>
        </is>
      </c>
      <c r="G44" s="43">
        <f>(G24-F24)*0.0050</f>
        <v/>
      </c>
      <c r="H44" s="43">
        <f>(H24-G24)*0.0050</f>
        <v/>
      </c>
      <c r="I44" s="43">
        <f>(I24-H24)*0.0050</f>
        <v/>
      </c>
      <c r="J44" s="43">
        <f>(J24-I24)*0.0050</f>
        <v/>
      </c>
      <c r="K44" s="43">
        <f>(K24-J24)*0.0050</f>
        <v/>
      </c>
      <c r="L44" s="43">
        <f>(L24-K24)*0.0050</f>
        <v/>
      </c>
      <c r="M44" s="43">
        <f>(M24-L24)*0.0050</f>
        <v/>
      </c>
      <c r="N44" s="43">
        <f>(N24-M24)*0.0050</f>
        <v/>
      </c>
      <c r="O44" s="43">
        <f>(O24-N24)*0.0050</f>
        <v/>
      </c>
      <c r="P44" s="43">
        <f>(P24-O24)*0.0050</f>
        <v/>
      </c>
    </row>
    <row r="45">
      <c r="A45" s="4" t="inlineStr">
        <is>
          <t>- Capex</t>
        </is>
      </c>
      <c r="B45" s="35">
        <f>-SUM(Financials!G69:J69)</f>
        <v/>
      </c>
      <c r="C45" s="35">
        <f>-SUM(Financials!K69:N69)</f>
        <v/>
      </c>
      <c r="D45" s="35">
        <f>-SUM(Financials!O69:R69)</f>
        <v/>
      </c>
      <c r="E45" s="35">
        <f>-SUM(Financials!S69:V69)</f>
        <v/>
      </c>
      <c r="F45" s="35">
        <f>-SUM(Financials!W69:Z69)</f>
        <v/>
      </c>
      <c r="G45" s="43">
        <f>G42*G46</f>
        <v/>
      </c>
      <c r="H45" s="43">
        <f>H42*H46</f>
        <v/>
      </c>
      <c r="I45" s="43">
        <f>I42*I46</f>
        <v/>
      </c>
      <c r="J45" s="43">
        <f>J42*J46</f>
        <v/>
      </c>
      <c r="K45" s="43">
        <f>K42*K46</f>
        <v/>
      </c>
      <c r="L45" s="43">
        <f>L42*L46</f>
        <v/>
      </c>
      <c r="M45" s="43">
        <f>M42*M46</f>
        <v/>
      </c>
      <c r="N45" s="43">
        <f>N42*N46</f>
        <v/>
      </c>
      <c r="O45" s="43">
        <f>O42*O46</f>
        <v/>
      </c>
      <c r="P45" s="43">
        <f>P42*P46</f>
        <v/>
      </c>
    </row>
    <row r="46">
      <c r="A46" s="4" t="inlineStr">
        <is>
          <t xml:space="preserve">    Capex / D&amp;A  (from Dashboard: $cap'26 -&gt; terminal)</t>
        </is>
      </c>
      <c r="B46" s="28">
        <f>IFERROR(B45/B42,"")</f>
        <v/>
      </c>
      <c r="C46" s="28">
        <f>IFERROR(C45/C42,"")</f>
        <v/>
      </c>
      <c r="D46" s="28">
        <f>IFERROR(D45/D42,"")</f>
        <v/>
      </c>
      <c r="E46" s="28">
        <f>IFERROR(E45/E42,"")</f>
        <v/>
      </c>
      <c r="F46" s="28">
        <f>IFERROR(F45/F42,"")</f>
        <v/>
      </c>
      <c r="G46" s="13">
        <f>(Dashboard!$B$34/G42)+(Dashboard!$B$35-(Dashboard!$B$34/G42))*0/9</f>
        <v/>
      </c>
      <c r="H46" s="13">
        <f>(Dashboard!$B$34/G42)+(Dashboard!$B$35-(Dashboard!$B$34/G42))*1/9</f>
        <v/>
      </c>
      <c r="I46" s="13">
        <f>(Dashboard!$B$34/G42)+(Dashboard!$B$35-(Dashboard!$B$34/G42))*2/9</f>
        <v/>
      </c>
      <c r="J46" s="13">
        <f>(Dashboard!$B$34/G42)+(Dashboard!$B$35-(Dashboard!$B$34/G42))*3/9</f>
        <v/>
      </c>
      <c r="K46" s="13">
        <f>(Dashboard!$B$34/G42)+(Dashboard!$B$35-(Dashboard!$B$34/G42))*4/9</f>
        <v/>
      </c>
      <c r="L46" s="13">
        <f>(Dashboard!$B$34/G42)+(Dashboard!$B$35-(Dashboard!$B$34/G42))*5/9</f>
        <v/>
      </c>
      <c r="M46" s="13">
        <f>(Dashboard!$B$34/G42)+(Dashboard!$B$35-(Dashboard!$B$34/G42))*6/9</f>
        <v/>
      </c>
      <c r="N46" s="13">
        <f>(Dashboard!$B$34/G42)+(Dashboard!$B$35-(Dashboard!$B$34/G42))*7/9</f>
        <v/>
      </c>
      <c r="O46" s="13">
        <f>(Dashboard!$B$34/G42)+(Dashboard!$B$35-(Dashboard!$B$34/G42))*8/9</f>
        <v/>
      </c>
      <c r="P46" s="13">
        <f>(Dashboard!$B$34/G42)+(Dashboard!$B$35-(Dashboard!$B$34/G42))*9/9</f>
        <v/>
      </c>
    </row>
    <row r="48">
      <c r="A48" s="3" t="inlineStr">
        <is>
          <t>FCFF (firm)</t>
        </is>
      </c>
      <c r="B48" s="44">
        <f>B41+B42+B43-B44-B45</f>
        <v/>
      </c>
      <c r="C48" s="44">
        <f>C41+C42+C43-C44-C45</f>
        <v/>
      </c>
      <c r="D48" s="44">
        <f>D41+D42+D43-D44-D45</f>
        <v/>
      </c>
      <c r="E48" s="44">
        <f>E41+E42+E43-E44-E45</f>
        <v/>
      </c>
      <c r="F48" s="44">
        <f>F41+F42+F43-F44-F45</f>
        <v/>
      </c>
      <c r="G48" s="44">
        <f>G41+G42+G43-G44-G45</f>
        <v/>
      </c>
      <c r="H48" s="44">
        <f>H41+H42+H43-H44-H45</f>
        <v/>
      </c>
      <c r="I48" s="44">
        <f>I41+I42+I43-I44-I45</f>
        <v/>
      </c>
      <c r="J48" s="44">
        <f>J41+J42+J43-J44-J45</f>
        <v/>
      </c>
      <c r="K48" s="44">
        <f>K41+K42+K43-K44-K45</f>
        <v/>
      </c>
      <c r="L48" s="44">
        <f>L41+L42+L43-L44-L45</f>
        <v/>
      </c>
      <c r="M48" s="44">
        <f>M41+M42+M43-M44-M45</f>
        <v/>
      </c>
      <c r="N48" s="44">
        <f>N41+N42+N43-N44-N45</f>
        <v/>
      </c>
      <c r="O48" s="44">
        <f>O41+O42+O43-O44-O45</f>
        <v/>
      </c>
      <c r="P48" s="44">
        <f>P41+P42+P43-P44-P45</f>
        <v/>
      </c>
    </row>
    <row r="49">
      <c r="A49" s="3" t="inlineStr">
        <is>
          <t>Valuation FCF (NOPAT + D&amp;A - dNWC - Capex - after-tax SBC)</t>
        </is>
      </c>
      <c r="B49" s="45">
        <f>B48-B43-B43*(1-Valuation!$B$5)</f>
        <v/>
      </c>
      <c r="C49" s="45">
        <f>C48-C43-C43*(1-Valuation!$B$5)</f>
        <v/>
      </c>
      <c r="D49" s="45">
        <f>D48-D43-D43*(1-Valuation!$B$5)</f>
        <v/>
      </c>
      <c r="E49" s="45">
        <f>E48-E43-E43*(1-Valuation!$B$5)</f>
        <v/>
      </c>
      <c r="F49" s="45">
        <f>F48-F43-F43*(1-Valuation!$B$5)</f>
        <v/>
      </c>
      <c r="G49" s="45">
        <f>G48-G43-G43*(1-Valuation!$B$5)</f>
        <v/>
      </c>
      <c r="H49" s="45">
        <f>H48-H43-H43*(1-Valuation!$B$5)</f>
        <v/>
      </c>
      <c r="I49" s="45">
        <f>I48-I43-I43*(1-Valuation!$B$5)</f>
        <v/>
      </c>
      <c r="J49" s="45">
        <f>J48-J43-J43*(1-Valuation!$B$5)</f>
        <v/>
      </c>
      <c r="K49" s="45">
        <f>K48-K43-K43*(1-Valuation!$B$5)</f>
        <v/>
      </c>
      <c r="L49" s="45">
        <f>L48-L43-L43*(1-Valuation!$B$5)</f>
        <v/>
      </c>
      <c r="M49" s="45">
        <f>M48-M43-M43*(1-Valuation!$B$5)</f>
        <v/>
      </c>
      <c r="N49" s="45">
        <f>N48-N43-N43*(1-Valuation!$B$5)</f>
        <v/>
      </c>
      <c r="O49" s="45">
        <f>O48-O43-O43*(1-Valuation!$B$5)</f>
        <v/>
      </c>
      <c r="P49" s="45">
        <f>P48-P43-P43*(1-Valuation!$B$5)</f>
        <v/>
      </c>
    </row>
    <row r="51">
      <c r="A51" s="5" t="inlineStr">
        <is>
          <t xml:space="preserve">  RETURNS ON CAPITAL &amp; EFFICIENCY  (is new revenue/capital earning its keep?)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4" t="inlineStr">
        <is>
          <t>Invested capital (debt + equity - cash)</t>
        </is>
      </c>
      <c r="B52" s="35">
        <f>Financials!J63+Financials!J62-Financials!J57</f>
        <v/>
      </c>
      <c r="C52" s="35">
        <f>Financials!N63+Financials!N62-Financials!N57</f>
        <v/>
      </c>
      <c r="D52" s="35">
        <f>Financials!R63+Financials!R62-Financials!R57</f>
        <v/>
      </c>
      <c r="E52" s="35">
        <f>Financials!V63+Financials!V62-Financials!V57</f>
        <v/>
      </c>
      <c r="F52" s="35">
        <f>Financials!Z63+Financials!Z62-Financials!Z57</f>
        <v/>
      </c>
      <c r="G52" s="43">
        <f>F52+G45-G42+G44</f>
        <v/>
      </c>
      <c r="H52" s="43">
        <f>G52+H45-H42+H44</f>
        <v/>
      </c>
      <c r="I52" s="43">
        <f>H52+I45-I42+I44</f>
        <v/>
      </c>
      <c r="J52" s="43">
        <f>I52+J45-J42+J44</f>
        <v/>
      </c>
      <c r="K52" s="43">
        <f>J52+K45-K42+K44</f>
        <v/>
      </c>
      <c r="L52" s="43">
        <f>K52+L45-L42+L44</f>
        <v/>
      </c>
      <c r="M52" s="43">
        <f>L52+M45-M42+M44</f>
        <v/>
      </c>
      <c r="N52" s="43">
        <f>M52+N45-N42+N44</f>
        <v/>
      </c>
      <c r="O52" s="43">
        <f>N52+O45-O42+O44</f>
        <v/>
      </c>
      <c r="P52" s="43">
        <f>O52+P45-P42+P44</f>
        <v/>
      </c>
    </row>
    <row r="53">
      <c r="A53" s="4" t="inlineStr">
        <is>
          <t>Book equity (year-end)</t>
        </is>
      </c>
      <c r="B53" s="35">
        <f>Financials!J63</f>
        <v/>
      </c>
      <c r="C53" s="35">
        <f>Financials!N63</f>
        <v/>
      </c>
      <c r="D53" s="35">
        <f>Financials!R63</f>
        <v/>
      </c>
      <c r="E53" s="35">
        <f>Financials!V63</f>
        <v/>
      </c>
      <c r="F53" s="35">
        <f>Financials!Z63</f>
        <v/>
      </c>
      <c r="G53" s="43">
        <f>F53+G41</f>
        <v/>
      </c>
      <c r="H53" s="43">
        <f>G53+H41</f>
        <v/>
      </c>
      <c r="I53" s="43">
        <f>H53+I41</f>
        <v/>
      </c>
      <c r="J53" s="43">
        <f>I53+J41</f>
        <v/>
      </c>
      <c r="K53" s="43">
        <f>J53+K41</f>
        <v/>
      </c>
      <c r="L53" s="43">
        <f>K53+L41</f>
        <v/>
      </c>
      <c r="M53" s="43">
        <f>L53+M41</f>
        <v/>
      </c>
      <c r="N53" s="43">
        <f>M53+N41</f>
        <v/>
      </c>
      <c r="O53" s="43">
        <f>N53+O41</f>
        <v/>
      </c>
      <c r="P53" s="43">
        <f>O53+P41</f>
        <v/>
      </c>
    </row>
    <row r="54">
      <c r="A54" s="3" t="inlineStr">
        <is>
          <t xml:space="preserve">  ROIC (NOPAT / beg. invested capital)</t>
        </is>
      </c>
      <c r="C54" s="27">
        <f>IFERROR(C41/B52,"")</f>
        <v/>
      </c>
      <c r="D54" s="27">
        <f>IFERROR(D41/C52,"")</f>
        <v/>
      </c>
      <c r="E54" s="27">
        <f>IFERROR(E41/D52,"")</f>
        <v/>
      </c>
      <c r="F54" s="27">
        <f>IFERROR(F41/E52,"")</f>
        <v/>
      </c>
      <c r="G54" s="27">
        <f>IFERROR(G41/F52,"")</f>
        <v/>
      </c>
      <c r="H54" s="27">
        <f>IFERROR(H41/G52,"")</f>
        <v/>
      </c>
      <c r="I54" s="27">
        <f>IFERROR(I41/H52,"")</f>
        <v/>
      </c>
      <c r="J54" s="27">
        <f>IFERROR(J41/I52,"")</f>
        <v/>
      </c>
      <c r="K54" s="27">
        <f>IFERROR(K41/J52,"")</f>
        <v/>
      </c>
      <c r="L54" s="27">
        <f>IFERROR(L41/K52,"")</f>
        <v/>
      </c>
      <c r="M54" s="27">
        <f>IFERROR(M41/L52,"")</f>
        <v/>
      </c>
      <c r="N54" s="27">
        <f>IFERROR(N41/M52,"")</f>
        <v/>
      </c>
      <c r="O54" s="27">
        <f>IFERROR(O41/N52,"")</f>
        <v/>
      </c>
      <c r="P54" s="27">
        <f>IFERROR(P41/O52,"")</f>
        <v/>
      </c>
    </row>
    <row r="55">
      <c r="A55" s="3" t="inlineStr">
        <is>
          <t xml:space="preserve">  ROE (earnings / beg. equity)</t>
        </is>
      </c>
      <c r="C55" s="11">
        <f>IFERROR(SUM(Financials!K15:N15)/B53,"")</f>
        <v/>
      </c>
      <c r="D55" s="11">
        <f>IFERROR(SUM(Financials!O15:R15)/C53,"")</f>
        <v/>
      </c>
      <c r="E55" s="11">
        <f>IFERROR(SUM(Financials!S15:V15)/D53,"")</f>
        <v/>
      </c>
      <c r="F55" s="11">
        <f>IFERROR(SUM(Financials!W15:Z15)/E53,"")</f>
        <v/>
      </c>
      <c r="G55" s="27">
        <f>IFERROR(G41/F53,"")</f>
        <v/>
      </c>
      <c r="H55" s="27">
        <f>IFERROR(H41/G53,"")</f>
        <v/>
      </c>
      <c r="I55" s="27">
        <f>IFERROR(I41/H53,"")</f>
        <v/>
      </c>
      <c r="J55" s="27">
        <f>IFERROR(J41/I53,"")</f>
        <v/>
      </c>
      <c r="K55" s="27">
        <f>IFERROR(K41/J53,"")</f>
        <v/>
      </c>
      <c r="L55" s="27">
        <f>IFERROR(L41/K53,"")</f>
        <v/>
      </c>
      <c r="M55" s="27">
        <f>IFERROR(M41/L53,"")</f>
        <v/>
      </c>
      <c r="N55" s="27">
        <f>IFERROR(N41/M53,"")</f>
        <v/>
      </c>
      <c r="O55" s="27">
        <f>IFERROR(O41/N53,"")</f>
        <v/>
      </c>
      <c r="P55" s="27">
        <f>IFERROR(P41/O53,"")</f>
        <v/>
      </c>
    </row>
    <row r="56">
      <c r="A56" s="4" t="inlineStr">
        <is>
          <t xml:space="preserve">  ROIC - WACC spread (value created)</t>
        </is>
      </c>
      <c r="C56" s="11">
        <f>IFERROR(C54-WACC!$B$15,"")</f>
        <v/>
      </c>
      <c r="D56" s="11">
        <f>IFERROR(D54-WACC!$B$15,"")</f>
        <v/>
      </c>
      <c r="E56" s="11">
        <f>IFERROR(E54-WACC!$B$15,"")</f>
        <v/>
      </c>
      <c r="F56" s="11">
        <f>IFERROR(F54-WACC!$B$15,"")</f>
        <v/>
      </c>
      <c r="G56" s="11">
        <f>IFERROR(G54-WACC!$B$15,"")</f>
        <v/>
      </c>
      <c r="H56" s="11">
        <f>IFERROR(H54-WACC!$B$15,"")</f>
        <v/>
      </c>
      <c r="I56" s="11">
        <f>IFERROR(I54-WACC!$B$15,"")</f>
        <v/>
      </c>
      <c r="J56" s="11">
        <f>IFERROR(J54-WACC!$B$15,"")</f>
        <v/>
      </c>
      <c r="K56" s="11">
        <f>IFERROR(K54-WACC!$B$15,"")</f>
        <v/>
      </c>
      <c r="L56" s="11">
        <f>IFERROR(L54-WACC!$B$15,"")</f>
        <v/>
      </c>
      <c r="M56" s="11">
        <f>IFERROR(M54-WACC!$B$15,"")</f>
        <v/>
      </c>
      <c r="N56" s="11">
        <f>IFERROR(N54-WACC!$B$15,"")</f>
        <v/>
      </c>
      <c r="O56" s="11">
        <f>IFERROR(O54-WACC!$B$15,"")</f>
        <v/>
      </c>
      <c r="P56" s="11">
        <f>IFERROR(P54-WACC!$B$15,"")</f>
        <v/>
      </c>
    </row>
    <row r="57">
      <c r="A57" s="4" t="inlineStr">
        <is>
          <t xml:space="preserve">  Incremental op margin (ΔEBIT / ΔRev)</t>
        </is>
      </c>
      <c r="C57" s="27">
        <f>IFERROR((C37-B37)/(C24-B24),"")</f>
        <v/>
      </c>
      <c r="D57" s="27">
        <f>IFERROR((D37-C37)/(D24-C24),"")</f>
        <v/>
      </c>
      <c r="E57" s="27">
        <f>IFERROR((E37-D37)/(E24-D24),"")</f>
        <v/>
      </c>
      <c r="F57" s="27">
        <f>IFERROR((F37-E37)/(F24-E24),"")</f>
        <v/>
      </c>
      <c r="G57" s="27">
        <f>IFERROR((G37-F37)/(G24-F24),"")</f>
        <v/>
      </c>
      <c r="H57" s="27">
        <f>IFERROR((H37-G37)/(H24-G24),"")</f>
        <v/>
      </c>
      <c r="I57" s="27">
        <f>IFERROR((I37-H37)/(I24-H24),"")</f>
        <v/>
      </c>
      <c r="J57" s="27">
        <f>IFERROR((J37-I37)/(J24-I24),"")</f>
        <v/>
      </c>
      <c r="K57" s="27">
        <f>IFERROR((K37-J37)/(K24-J24),"")</f>
        <v/>
      </c>
      <c r="L57" s="27">
        <f>IFERROR((L37-K37)/(L24-K24),"")</f>
        <v/>
      </c>
      <c r="M57" s="27">
        <f>IFERROR((M37-L37)/(M24-L24),"")</f>
        <v/>
      </c>
      <c r="N57" s="27">
        <f>IFERROR((N37-M37)/(N24-M24),"")</f>
        <v/>
      </c>
      <c r="O57" s="27">
        <f>IFERROR((O37-N37)/(O24-N24),"")</f>
        <v/>
      </c>
      <c r="P57" s="27">
        <f>IFERROR((P37-O37)/(P24-O24),"")</f>
        <v/>
      </c>
    </row>
    <row r="58">
      <c r="A58" s="3" t="inlineStr">
        <is>
          <t xml:space="preserve">  ROIIC (ΔNOPAT / ΔInvested capital)</t>
        </is>
      </c>
      <c r="C58" s="27">
        <f>IFERROR((C41-B41)/(C52-B52),"")</f>
        <v/>
      </c>
      <c r="D58" s="27">
        <f>IFERROR((D41-C41)/(D52-C52),"")</f>
        <v/>
      </c>
      <c r="E58" s="27">
        <f>IFERROR((E41-D41)/(E52-D52),"")</f>
        <v/>
      </c>
      <c r="F58" s="27">
        <f>IFERROR((F41-E41)/(F52-E52),"")</f>
        <v/>
      </c>
      <c r="G58" s="27">
        <f>IFERROR((G41-F41)/(G52-F52),"")</f>
        <v/>
      </c>
      <c r="H58" s="27">
        <f>IFERROR((H41-G41)/(H52-G52),"")</f>
        <v/>
      </c>
      <c r="I58" s="27">
        <f>IFERROR((I41-H41)/(I52-H52),"")</f>
        <v/>
      </c>
      <c r="J58" s="27">
        <f>IFERROR((J41-I41)/(J52-I52),"")</f>
        <v/>
      </c>
      <c r="K58" s="27">
        <f>IFERROR((K41-J41)/(K52-J52),"")</f>
        <v/>
      </c>
      <c r="L58" s="27">
        <f>IFERROR((L41-K41)/(L52-K52),"")</f>
        <v/>
      </c>
      <c r="M58" s="27">
        <f>IFERROR((M41-L41)/(M52-L52),"")</f>
        <v/>
      </c>
      <c r="N58" s="27">
        <f>IFERROR((N41-M41)/(N52-M52),"")</f>
        <v/>
      </c>
      <c r="O58" s="27">
        <f>IFERROR((O41-N41)/(O52-N52),"")</f>
        <v/>
      </c>
      <c r="P58" s="27">
        <f>IFERROR((P41-O41)/(P52-O52),"")</f>
        <v/>
      </c>
    </row>
    <row r="59">
      <c r="A59" s="4" t="inlineStr">
        <is>
          <t xml:space="preserve">  Sales-to-capital (ΔRev / ΔInvested capital)</t>
        </is>
      </c>
      <c r="C59" s="46">
        <f>IFERROR((C24-B24)/(C52-B52),"")</f>
        <v/>
      </c>
      <c r="D59" s="46">
        <f>IFERROR((D24-C24)/(D52-C52),"")</f>
        <v/>
      </c>
      <c r="E59" s="46">
        <f>IFERROR((E24-D24)/(E52-D52),"")</f>
        <v/>
      </c>
      <c r="F59" s="46">
        <f>IFERROR((F24-E24)/(F52-E52),"")</f>
        <v/>
      </c>
      <c r="G59" s="46">
        <f>IFERROR((G24-F24)/(G52-F52),"")</f>
        <v/>
      </c>
      <c r="H59" s="46">
        <f>IFERROR((H24-G24)/(H52-G52),"")</f>
        <v/>
      </c>
      <c r="I59" s="46">
        <f>IFERROR((I24-H24)/(I52-H52),"")</f>
        <v/>
      </c>
      <c r="J59" s="46">
        <f>IFERROR((J24-I24)/(J52-I52),"")</f>
        <v/>
      </c>
      <c r="K59" s="46">
        <f>IFERROR((K24-J24)/(K52-J52),"")</f>
        <v/>
      </c>
      <c r="L59" s="46">
        <f>IFERROR((L24-K24)/(L52-K52),"")</f>
        <v/>
      </c>
      <c r="M59" s="46">
        <f>IFERROR((M24-L24)/(M52-L52),"")</f>
        <v/>
      </c>
      <c r="N59" s="46">
        <f>IFERROR((N24-M24)/(N52-M52),"")</f>
        <v/>
      </c>
      <c r="O59" s="46">
        <f>IFERROR((O24-N24)/(O52-N52),"")</f>
        <v/>
      </c>
      <c r="P59" s="46">
        <f>IFERROR((P24-O24)/(P52-O52),"")</f>
        <v/>
      </c>
    </row>
    <row r="60">
      <c r="A60" s="4" t="inlineStr">
        <is>
          <t xml:space="preserve">  Reinvestment rate (ΔInvested capital / NOPAT)</t>
        </is>
      </c>
      <c r="C60" s="27">
        <f>IFERROR((C52-B52)/C41,"")</f>
        <v/>
      </c>
      <c r="D60" s="27">
        <f>IFERROR((D52-C52)/D41,"")</f>
        <v/>
      </c>
      <c r="E60" s="27">
        <f>IFERROR((E52-D52)/E41,"")</f>
        <v/>
      </c>
      <c r="F60" s="27">
        <f>IFERROR((F52-E52)/F41,"")</f>
        <v/>
      </c>
      <c r="G60" s="27">
        <f>IFERROR((G52-F52)/G41,"")</f>
        <v/>
      </c>
      <c r="H60" s="27">
        <f>IFERROR((H52-G52)/H41,"")</f>
        <v/>
      </c>
      <c r="I60" s="27">
        <f>IFERROR((I52-H52)/I41,"")</f>
        <v/>
      </c>
      <c r="J60" s="27">
        <f>IFERROR((J52-I52)/J41,"")</f>
        <v/>
      </c>
      <c r="K60" s="27">
        <f>IFERROR((K52-J52)/K41,"")</f>
        <v/>
      </c>
      <c r="L60" s="27">
        <f>IFERROR((L52-K52)/L41,"")</f>
        <v/>
      </c>
      <c r="M60" s="27">
        <f>IFERROR((M52-L52)/M41,"")</f>
        <v/>
      </c>
      <c r="N60" s="27">
        <f>IFERROR((N52-M52)/N41,"")</f>
        <v/>
      </c>
      <c r="O60" s="27">
        <f>IFERROR((O52-N52)/O41,"")</f>
        <v/>
      </c>
      <c r="P60" s="27">
        <f>IFERROR((P52-O52)/P41,"")</f>
        <v/>
      </c>
    </row>
    <row r="62">
      <c r="A6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7" t="inlineStr">
        <is>
          <t>Q4 2019</t>
        </is>
      </c>
      <c r="C1" s="47" t="inlineStr">
        <is>
          <t>Q1 2020</t>
        </is>
      </c>
      <c r="D1" s="47" t="inlineStr">
        <is>
          <t>Q2 2020</t>
        </is>
      </c>
      <c r="E1" s="47" t="inlineStr">
        <is>
          <t>Q3 2020</t>
        </is>
      </c>
      <c r="F1" s="47" t="inlineStr">
        <is>
          <t>Q4 2020</t>
        </is>
      </c>
      <c r="G1" s="47" t="inlineStr">
        <is>
          <t>Q1 2021</t>
        </is>
      </c>
      <c r="H1" s="47" t="inlineStr">
        <is>
          <t>Q2 2021</t>
        </is>
      </c>
      <c r="I1" s="47" t="inlineStr">
        <is>
          <t>Q3 2021</t>
        </is>
      </c>
      <c r="J1" s="47" t="inlineStr">
        <is>
          <t>Q4 2021</t>
        </is>
      </c>
      <c r="K1" s="47" t="inlineStr">
        <is>
          <t>Q1 2022</t>
        </is>
      </c>
      <c r="L1" s="47" t="inlineStr">
        <is>
          <t>Q2 2022</t>
        </is>
      </c>
      <c r="M1" s="47" t="inlineStr">
        <is>
          <t>Q3 2022</t>
        </is>
      </c>
      <c r="N1" s="47" t="inlineStr">
        <is>
          <t>Q4 2022</t>
        </is>
      </c>
      <c r="O1" s="47" t="inlineStr">
        <is>
          <t>Q1 2023</t>
        </is>
      </c>
      <c r="P1" s="47" t="inlineStr">
        <is>
          <t>Q2 2023</t>
        </is>
      </c>
      <c r="Q1" s="47" t="inlineStr">
        <is>
          <t>Q3 2023</t>
        </is>
      </c>
      <c r="R1" s="47" t="inlineStr">
        <is>
          <t>Q4 2023</t>
        </is>
      </c>
      <c r="S1" s="47" t="inlineStr">
        <is>
          <t>Q1 2024</t>
        </is>
      </c>
      <c r="T1" s="47" t="inlineStr">
        <is>
          <t>Q2 2024</t>
        </is>
      </c>
      <c r="U1" s="47" t="inlineStr">
        <is>
          <t>Q3 2024</t>
        </is>
      </c>
      <c r="V1" s="47" t="inlineStr">
        <is>
          <t>Q4 2024</t>
        </is>
      </c>
      <c r="W1" s="47" t="inlineStr">
        <is>
          <t>Q1 2025</t>
        </is>
      </c>
      <c r="X1" s="47" t="inlineStr">
        <is>
          <t>Q2 2025</t>
        </is>
      </c>
      <c r="Y1" s="47" t="inlineStr">
        <is>
          <t>Q3 2025</t>
        </is>
      </c>
      <c r="Z1" s="47" t="inlineStr">
        <is>
          <t>Q4 2025</t>
        </is>
      </c>
      <c r="AA1" s="47" t="inlineStr">
        <is>
          <t>Q1 2026</t>
        </is>
      </c>
      <c r="AB1" s="47" t="inlineStr">
        <is>
          <t>Q2 2026</t>
        </is>
      </c>
      <c r="AC1" s="47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20" t="n">
        <v>33717</v>
      </c>
      <c r="C3" s="20" t="n">
        <v>33055</v>
      </c>
      <c r="D3" s="20" t="n">
        <v>36906</v>
      </c>
      <c r="E3" s="20" t="n">
        <v>35021</v>
      </c>
      <c r="F3" s="20" t="n">
        <v>38033</v>
      </c>
      <c r="G3" s="20" t="n">
        <v>37154</v>
      </c>
      <c r="H3" s="20" t="n">
        <v>43076</v>
      </c>
      <c r="I3" s="20" t="n">
        <v>41706</v>
      </c>
      <c r="J3" s="20" t="n">
        <v>46152</v>
      </c>
      <c r="K3" s="20" t="n">
        <v>45317</v>
      </c>
      <c r="L3" s="20" t="n">
        <v>51728</v>
      </c>
      <c r="M3" s="20" t="n">
        <v>49360</v>
      </c>
      <c r="N3" s="20" t="n">
        <v>51865</v>
      </c>
      <c r="O3" s="20" t="n">
        <v>50122</v>
      </c>
      <c r="P3" s="20" t="n">
        <v>52747</v>
      </c>
      <c r="Q3" s="20" t="n">
        <v>52857</v>
      </c>
      <c r="R3" s="20" t="n">
        <v>56189</v>
      </c>
      <c r="S3" s="20" t="n">
        <v>56517</v>
      </c>
      <c r="T3" s="20" t="n">
        <v>62020</v>
      </c>
      <c r="U3" s="20" t="n">
        <v>61858</v>
      </c>
      <c r="V3" s="20" t="n">
        <v>64727</v>
      </c>
      <c r="W3" s="20" t="n">
        <v>65585</v>
      </c>
      <c r="X3" s="20" t="n">
        <v>69632</v>
      </c>
      <c r="Y3" s="20" t="n">
        <v>70066</v>
      </c>
      <c r="Z3" s="20" t="n">
        <v>76441</v>
      </c>
      <c r="AA3" s="20" t="n">
        <v>77673</v>
      </c>
      <c r="AB3" s="20" t="n">
        <v>81273</v>
      </c>
      <c r="AC3" s="20" t="n">
        <v>82886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20" t="n">
        <v>10412</v>
      </c>
      <c r="C5" s="20" t="n">
        <v>10406</v>
      </c>
      <c r="D5" s="20" t="n">
        <v>12358</v>
      </c>
      <c r="E5" s="20" t="n">
        <v>10975</v>
      </c>
      <c r="F5" s="20" t="n">
        <v>12339</v>
      </c>
      <c r="G5" s="20" t="n">
        <v>11002</v>
      </c>
      <c r="H5" s="20" t="n">
        <v>14194</v>
      </c>
      <c r="I5" s="20" t="n">
        <v>13045</v>
      </c>
      <c r="J5" s="20" t="n">
        <v>13991</v>
      </c>
      <c r="K5" s="20" t="n">
        <v>13646</v>
      </c>
      <c r="L5" s="20" t="n">
        <v>16960</v>
      </c>
      <c r="M5" s="20" t="n">
        <v>15615</v>
      </c>
      <c r="N5" s="20" t="n">
        <v>16429</v>
      </c>
      <c r="O5" s="20" t="n">
        <v>15452</v>
      </c>
      <c r="P5" s="20" t="n">
        <v>17488</v>
      </c>
      <c r="Q5" s="20" t="n">
        <v>16128</v>
      </c>
      <c r="R5" s="20" t="n">
        <v>16795</v>
      </c>
      <c r="S5" s="20" t="n">
        <v>16302</v>
      </c>
      <c r="T5" s="20" t="n">
        <v>19623</v>
      </c>
      <c r="U5" s="20" t="n">
        <v>18505</v>
      </c>
      <c r="V5" s="20" t="n">
        <v>19684</v>
      </c>
      <c r="W5" s="20" t="n">
        <v>20099</v>
      </c>
      <c r="X5" s="20" t="n">
        <v>21799</v>
      </c>
      <c r="Y5" s="20" t="n">
        <v>21919</v>
      </c>
      <c r="Z5" s="20" t="n">
        <v>24014</v>
      </c>
      <c r="AA5" s="20" t="n">
        <v>24043</v>
      </c>
      <c r="AB5" s="20" t="n">
        <v>25978</v>
      </c>
      <c r="AC5" s="20" t="n">
        <v>26828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20" t="n">
        <v>4513</v>
      </c>
      <c r="C7" s="20" t="n">
        <v>4565</v>
      </c>
      <c r="D7" s="20" t="n">
        <v>4603</v>
      </c>
      <c r="E7" s="20" t="n">
        <v>4887</v>
      </c>
      <c r="F7" s="20" t="n">
        <v>5214</v>
      </c>
      <c r="G7" s="20" t="n">
        <v>4926</v>
      </c>
      <c r="H7" s="20" t="n">
        <v>4899</v>
      </c>
      <c r="I7" s="20" t="n">
        <v>5204</v>
      </c>
      <c r="J7" s="20" t="n">
        <v>5687</v>
      </c>
      <c r="K7" s="20" t="n">
        <v>5599</v>
      </c>
      <c r="L7" s="20" t="n">
        <v>5758</v>
      </c>
      <c r="M7" s="20" t="n">
        <v>6306</v>
      </c>
      <c r="N7" s="20" t="n">
        <v>6849</v>
      </c>
      <c r="O7" s="20" t="n">
        <v>6628</v>
      </c>
      <c r="P7" s="20" t="n">
        <v>6844</v>
      </c>
      <c r="Q7" s="20" t="n">
        <v>6984</v>
      </c>
      <c r="R7" s="20" t="n">
        <v>6739</v>
      </c>
      <c r="S7" s="20" t="n">
        <v>6659</v>
      </c>
      <c r="T7" s="20" t="n">
        <v>7142</v>
      </c>
      <c r="U7" s="20" t="n">
        <v>7653</v>
      </c>
      <c r="V7" s="20" t="n">
        <v>8056</v>
      </c>
      <c r="W7" s="20" t="n">
        <v>7544</v>
      </c>
      <c r="X7" s="20" t="n">
        <v>7917</v>
      </c>
      <c r="Y7" s="20" t="n">
        <v>8198</v>
      </c>
      <c r="Z7" s="20" t="n">
        <v>8829</v>
      </c>
      <c r="AA7" s="20" t="n">
        <v>8146</v>
      </c>
      <c r="AB7" s="20" t="n">
        <v>8504</v>
      </c>
      <c r="AC7" s="20" t="n">
        <v>8915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20" t="n">
        <v>6387</v>
      </c>
      <c r="C9" s="20" t="n">
        <v>5398</v>
      </c>
      <c r="D9" s="20" t="n">
        <v>6054</v>
      </c>
      <c r="E9" s="20" t="n">
        <v>6184</v>
      </c>
      <c r="F9" s="20" t="n">
        <v>7073</v>
      </c>
      <c r="G9" s="20" t="n">
        <v>5350</v>
      </c>
      <c r="H9" s="20" t="n">
        <v>6086</v>
      </c>
      <c r="I9" s="20" t="n">
        <v>6409</v>
      </c>
      <c r="J9" s="20" t="n">
        <v>7379</v>
      </c>
      <c r="K9" s="20" t="n">
        <v>5834</v>
      </c>
      <c r="L9" s="20" t="n">
        <v>6763</v>
      </c>
      <c r="M9" s="20" t="n">
        <v>7075</v>
      </c>
      <c r="N9" s="20" t="n">
        <v>8053</v>
      </c>
      <c r="O9" s="20" t="n">
        <v>6524</v>
      </c>
      <c r="P9" s="20" t="n">
        <v>8016</v>
      </c>
      <c r="Q9" s="20" t="n">
        <v>7393</v>
      </c>
      <c r="R9" s="20" t="n">
        <v>8401</v>
      </c>
      <c r="S9" s="20" t="n">
        <v>6661</v>
      </c>
      <c r="T9" s="20" t="n">
        <v>8223</v>
      </c>
      <c r="U9" s="20" t="n">
        <v>8119</v>
      </c>
      <c r="V9" s="20" t="n">
        <v>9062</v>
      </c>
      <c r="W9" s="20" t="n">
        <v>7390</v>
      </c>
      <c r="X9" s="20" t="n">
        <v>8263</v>
      </c>
      <c r="Y9" s="20" t="n">
        <v>7949</v>
      </c>
      <c r="Z9" s="20" t="n">
        <v>9275</v>
      </c>
      <c r="AA9" s="20" t="n">
        <v>7523</v>
      </c>
      <c r="AB9" s="20" t="n">
        <v>8516</v>
      </c>
      <c r="AC9" s="20" t="n">
        <v>8745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20" t="n">
        <v>23305</v>
      </c>
      <c r="C11" s="20" t="n">
        <v>22649</v>
      </c>
      <c r="D11" s="20" t="n">
        <v>24548</v>
      </c>
      <c r="E11" s="20" t="n">
        <v>24046</v>
      </c>
      <c r="F11" s="20" t="n">
        <v>25694</v>
      </c>
      <c r="G11" s="20" t="n">
        <v>26152</v>
      </c>
      <c r="H11" s="20" t="n">
        <v>28882</v>
      </c>
      <c r="I11" s="20" t="n">
        <v>28661</v>
      </c>
      <c r="J11" s="20" t="n">
        <v>32161</v>
      </c>
      <c r="K11" s="20" t="n">
        <v>31671</v>
      </c>
      <c r="L11" s="20" t="n">
        <v>34768</v>
      </c>
      <c r="M11" s="20" t="n">
        <v>33745</v>
      </c>
      <c r="N11" s="20" t="n">
        <v>35436</v>
      </c>
      <c r="O11" s="20" t="n">
        <v>34670</v>
      </c>
      <c r="P11" s="20" t="n">
        <v>35259</v>
      </c>
      <c r="Q11" s="20" t="n">
        <v>36729</v>
      </c>
      <c r="R11" s="20" t="n">
        <v>39394</v>
      </c>
      <c r="S11" s="20" t="n">
        <v>40215</v>
      </c>
      <c r="T11" s="20" t="n">
        <v>42397</v>
      </c>
      <c r="U11" s="20" t="n">
        <v>43353</v>
      </c>
      <c r="V11" s="20" t="n">
        <v>45043</v>
      </c>
      <c r="W11" s="20" t="n">
        <v>45486</v>
      </c>
      <c r="X11" s="20" t="n">
        <v>47833</v>
      </c>
      <c r="Y11" s="20" t="n">
        <v>48147</v>
      </c>
      <c r="Z11" s="20" t="n">
        <v>52427</v>
      </c>
      <c r="AA11" s="20" t="n">
        <v>53630</v>
      </c>
      <c r="AB11" s="20" t="n">
        <v>55295</v>
      </c>
      <c r="AC11" s="20" t="n">
        <v>56058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20" t="n">
        <v>12405</v>
      </c>
      <c r="C13" s="20" t="n">
        <v>12686</v>
      </c>
      <c r="D13" s="20" t="n">
        <v>13891</v>
      </c>
      <c r="E13" s="20" t="n">
        <v>12975</v>
      </c>
      <c r="F13" s="20" t="n">
        <v>13407</v>
      </c>
      <c r="G13" s="20" t="n">
        <v>15876</v>
      </c>
      <c r="H13" s="20" t="n">
        <v>17897</v>
      </c>
      <c r="I13" s="20" t="n">
        <v>17048</v>
      </c>
      <c r="J13" s="20" t="n">
        <v>19095</v>
      </c>
      <c r="K13" s="20" t="n">
        <v>20238</v>
      </c>
      <c r="L13" s="20" t="n">
        <v>22247</v>
      </c>
      <c r="M13" s="20" t="n">
        <v>20364</v>
      </c>
      <c r="N13" s="20" t="n">
        <v>20534</v>
      </c>
      <c r="O13" s="20" t="n">
        <v>21518</v>
      </c>
      <c r="P13" s="20" t="n">
        <v>20399</v>
      </c>
      <c r="Q13" s="20" t="n">
        <v>22352</v>
      </c>
      <c r="R13" s="20" t="n">
        <v>24254</v>
      </c>
      <c r="S13" s="20" t="n">
        <v>26895</v>
      </c>
      <c r="T13" s="20" t="n">
        <v>27032</v>
      </c>
      <c r="U13" s="20" t="n">
        <v>27581</v>
      </c>
      <c r="V13" s="20" t="n">
        <v>27925</v>
      </c>
      <c r="W13" s="20" t="n">
        <v>30552</v>
      </c>
      <c r="X13" s="20" t="n">
        <v>31653</v>
      </c>
      <c r="Y13" s="20" t="n">
        <v>32000</v>
      </c>
      <c r="Z13" s="20" t="n">
        <v>34323</v>
      </c>
      <c r="AA13" s="20" t="n">
        <v>37961</v>
      </c>
      <c r="AB13" s="20" t="n">
        <v>38275</v>
      </c>
      <c r="AC13" s="20" t="n">
        <v>38398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20" t="n">
        <v>13187</v>
      </c>
      <c r="C15" s="20" t="n">
        <v>10678</v>
      </c>
      <c r="D15" s="20" t="n">
        <v>11649</v>
      </c>
      <c r="E15" s="20" t="n">
        <v>10752</v>
      </c>
      <c r="F15" s="20" t="n">
        <v>11202</v>
      </c>
      <c r="G15" s="20" t="n">
        <v>13893</v>
      </c>
      <c r="H15" s="20" t="n">
        <v>15463</v>
      </c>
      <c r="I15" s="20" t="n">
        <v>15457</v>
      </c>
      <c r="J15" s="20" t="n">
        <v>16458</v>
      </c>
      <c r="K15" s="20" t="n">
        <v>20505</v>
      </c>
      <c r="L15" s="20" t="n">
        <v>18765</v>
      </c>
      <c r="M15" s="20" t="n">
        <v>16728</v>
      </c>
      <c r="N15" s="20" t="n">
        <v>16740</v>
      </c>
      <c r="O15" s="20" t="n">
        <v>17556</v>
      </c>
      <c r="P15" s="20" t="n">
        <v>16425</v>
      </c>
      <c r="Q15" s="20" t="n">
        <v>18299</v>
      </c>
      <c r="R15" s="20" t="n">
        <v>20081</v>
      </c>
      <c r="S15" s="20" t="n">
        <v>22291</v>
      </c>
      <c r="T15" s="20" t="n">
        <v>21870</v>
      </c>
      <c r="U15" s="20" t="n">
        <v>21939</v>
      </c>
      <c r="V15" s="20" t="n">
        <v>22036</v>
      </c>
      <c r="W15" s="20" t="n">
        <v>24667</v>
      </c>
      <c r="X15" s="20" t="n">
        <v>24108</v>
      </c>
      <c r="Y15" s="20" t="n">
        <v>25824</v>
      </c>
      <c r="Z15" s="20" t="n">
        <v>27233</v>
      </c>
      <c r="AA15" s="20" t="n">
        <v>27747</v>
      </c>
      <c r="AB15" s="20" t="n">
        <v>38458</v>
      </c>
      <c r="AC15" s="20" t="n">
        <v>31778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20" t="n">
        <v>7730</v>
      </c>
      <c r="C17" s="20" t="n">
        <v>7710</v>
      </c>
      <c r="D17" s="20" t="n">
        <v>7691</v>
      </c>
      <c r="E17" s="20" t="n">
        <v>7675</v>
      </c>
      <c r="F17" s="20" t="n">
        <v>7650</v>
      </c>
      <c r="G17" s="20" t="n">
        <v>7637</v>
      </c>
      <c r="H17" s="20" t="n">
        <v>7616</v>
      </c>
      <c r="I17" s="20" t="n">
        <v>7597</v>
      </c>
      <c r="J17" s="20" t="n">
        <v>7581</v>
      </c>
      <c r="K17" s="20" t="n">
        <v>7567</v>
      </c>
      <c r="L17" s="20" t="n">
        <v>7555</v>
      </c>
      <c r="M17" s="20" t="n">
        <v>7534</v>
      </c>
      <c r="N17" s="20" t="n">
        <v>7506</v>
      </c>
      <c r="O17" s="20" t="n">
        <v>7485</v>
      </c>
      <c r="P17" s="20" t="n">
        <v>7473</v>
      </c>
      <c r="Q17" s="20" t="n">
        <v>7464</v>
      </c>
      <c r="R17" s="20" t="n">
        <v>7467</v>
      </c>
      <c r="S17" s="20" t="n">
        <v>7462</v>
      </c>
      <c r="T17" s="20" t="n">
        <v>7468</v>
      </c>
      <c r="U17" s="20" t="n">
        <v>7472</v>
      </c>
      <c r="V17" s="20" t="n">
        <v>7472</v>
      </c>
      <c r="W17" s="20" t="n">
        <v>7470</v>
      </c>
      <c r="X17" s="20" t="n">
        <v>7468</v>
      </c>
      <c r="Y17" s="20" t="n">
        <v>7461</v>
      </c>
      <c r="Z17" s="20" t="n">
        <v>7461</v>
      </c>
      <c r="AA17" s="20" t="n">
        <v>7466</v>
      </c>
      <c r="AB17" s="20" t="n">
        <v>7460</v>
      </c>
      <c r="AC17" s="20" t="n">
        <v>7445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Server Products And Cloud Services</t>
        </is>
      </c>
      <c r="B19" s="20" t="n">
        <v>9720</v>
      </c>
      <c r="C19" s="20" t="n">
        <v>9192</v>
      </c>
      <c r="D19" s="20" t="n">
        <v>10119</v>
      </c>
      <c r="E19" s="20" t="n">
        <v>10490</v>
      </c>
      <c r="F19" s="20" t="n">
        <v>11578</v>
      </c>
      <c r="G19" s="20" t="n">
        <v>11195</v>
      </c>
      <c r="H19" s="20" t="n">
        <v>12729</v>
      </c>
      <c r="I19" s="20" t="n">
        <v>13204</v>
      </c>
      <c r="J19" s="20" t="n">
        <v>15461</v>
      </c>
      <c r="K19" s="20" t="n">
        <v>15069</v>
      </c>
      <c r="L19" s="20" t="n">
        <v>16375</v>
      </c>
      <c r="M19" s="20" t="n">
        <v>17038</v>
      </c>
      <c r="N19" s="20" t="n">
        <v>18839</v>
      </c>
      <c r="O19" s="20" t="n">
        <v>18388</v>
      </c>
      <c r="P19" s="20" t="n">
        <v>19594</v>
      </c>
      <c r="Q19" s="20" t="n">
        <v>20025</v>
      </c>
      <c r="R19" s="20" t="n">
        <v>21963</v>
      </c>
      <c r="S19" s="20" t="n">
        <v>22308</v>
      </c>
      <c r="T19" s="20" t="n">
        <v>23953</v>
      </c>
      <c r="U19" s="20" t="n">
        <v>24832</v>
      </c>
      <c r="V19" s="20" t="n">
        <v>24633</v>
      </c>
      <c r="W19" s="20" t="n">
        <v>22155</v>
      </c>
      <c r="X19" s="20" t="n">
        <v>23641</v>
      </c>
      <c r="Y19" s="20" t="n">
        <v>24761</v>
      </c>
      <c r="Z19" s="20" t="n">
        <v>27878</v>
      </c>
      <c r="AA19" s="20" t="n">
        <v>28872</v>
      </c>
      <c r="AB19" s="20" t="n">
        <v>30865</v>
      </c>
      <c r="AC19" s="20" t="n">
        <v>32592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Microsoft Three Six Five Commercial Products And Cloud Services</t>
        </is>
      </c>
      <c r="W22" s="20" t="n">
        <v>20449</v>
      </c>
      <c r="X22" s="20" t="n">
        <v>21117</v>
      </c>
      <c r="Y22" s="20" t="n">
        <v>21883</v>
      </c>
      <c r="Z22" s="20" t="n">
        <v>24318</v>
      </c>
      <c r="AA22" s="20" t="n">
        <v>23966</v>
      </c>
      <c r="AB22" s="20" t="n">
        <v>24524</v>
      </c>
      <c r="AC22" s="20" t="n">
        <v>25593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Gaming</t>
        </is>
      </c>
      <c r="B25" s="20" t="n">
        <v>2053</v>
      </c>
      <c r="C25" s="20" t="n">
        <v>2542</v>
      </c>
      <c r="D25" s="20" t="n">
        <v>3327</v>
      </c>
      <c r="E25" s="20" t="n">
        <v>2349</v>
      </c>
      <c r="F25" s="20" t="n">
        <v>3357</v>
      </c>
      <c r="G25" s="20" t="n">
        <v>3092</v>
      </c>
      <c r="H25" s="20" t="n">
        <v>5031</v>
      </c>
      <c r="I25" s="20" t="n">
        <v>3533</v>
      </c>
      <c r="J25" s="20" t="n">
        <v>3714</v>
      </c>
      <c r="K25" s="20" t="n">
        <v>3593</v>
      </c>
      <c r="L25" s="20" t="n">
        <v>5442</v>
      </c>
      <c r="M25" s="20" t="n">
        <v>3740</v>
      </c>
      <c r="N25" s="20" t="n">
        <v>3455</v>
      </c>
      <c r="O25" s="20" t="n">
        <v>3610</v>
      </c>
      <c r="P25" s="20" t="n">
        <v>4758</v>
      </c>
      <c r="Q25" s="20" t="n">
        <v>3607</v>
      </c>
      <c r="R25" s="20" t="n">
        <v>3491</v>
      </c>
      <c r="S25" s="20" t="n">
        <v>3919</v>
      </c>
      <c r="T25" s="20" t="n">
        <v>7111</v>
      </c>
      <c r="U25" s="20" t="n">
        <v>5451</v>
      </c>
      <c r="V25" s="20" t="n">
        <v>5022</v>
      </c>
      <c r="W25" s="20" t="n">
        <v>5621</v>
      </c>
      <c r="X25" s="20" t="n">
        <v>6581</v>
      </c>
      <c r="Y25" s="20" t="n">
        <v>5721</v>
      </c>
      <c r="Z25" s="20" t="n">
        <v>5532</v>
      </c>
      <c r="AA25" s="20" t="n">
        <v>5508</v>
      </c>
      <c r="AB25" s="20" t="n">
        <v>5958</v>
      </c>
      <c r="AC25" s="20" t="n">
        <v>5341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4" t="inlineStr">
        <is>
          <t>Linked In Corporation</t>
        </is>
      </c>
      <c r="B28" s="20" t="n">
        <v>1835</v>
      </c>
      <c r="C28" s="20" t="n">
        <v>1909</v>
      </c>
      <c r="D28" s="20" t="n">
        <v>2102</v>
      </c>
      <c r="E28" s="20" t="n">
        <v>2050</v>
      </c>
      <c r="F28" s="20" t="n">
        <v>2016</v>
      </c>
      <c r="G28" s="20" t="n">
        <v>2206</v>
      </c>
      <c r="H28" s="20" t="n">
        <v>2577</v>
      </c>
      <c r="I28" s="20" t="n">
        <v>2562</v>
      </c>
      <c r="J28" s="20" t="n">
        <v>2944</v>
      </c>
      <c r="K28" s="20" t="n">
        <v>3136</v>
      </c>
      <c r="L28" s="20" t="n">
        <v>3531</v>
      </c>
      <c r="M28" s="20" t="n">
        <v>3437</v>
      </c>
      <c r="N28" s="20" t="n">
        <v>3712</v>
      </c>
      <c r="O28" s="20" t="n">
        <v>3663</v>
      </c>
      <c r="P28" s="20" t="n">
        <v>3876</v>
      </c>
      <c r="Q28" s="20" t="n">
        <v>3697</v>
      </c>
      <c r="R28" s="20" t="n">
        <v>3909</v>
      </c>
      <c r="S28" s="20" t="n">
        <v>3913</v>
      </c>
      <c r="T28" s="20" t="n">
        <v>4195</v>
      </c>
      <c r="U28" s="20" t="n">
        <v>4013</v>
      </c>
      <c r="V28" s="20" t="n">
        <v>4250</v>
      </c>
      <c r="W28" s="20" t="n">
        <v>4292</v>
      </c>
      <c r="X28" s="20" t="n">
        <v>4587</v>
      </c>
      <c r="Y28" s="20" t="n">
        <v>4311</v>
      </c>
      <c r="Z28" s="20" t="n">
        <v>4622</v>
      </c>
      <c r="AA28" s="20" t="n">
        <v>4714</v>
      </c>
      <c r="AB28" s="20" t="n">
        <v>5082</v>
      </c>
      <c r="AC28" s="20" t="n">
        <v>4832</v>
      </c>
    </row>
    <row r="29">
      <c r="A29" s="4" t="inlineStr">
        <is>
          <t xml:space="preserve">    % YoY</t>
        </is>
      </c>
      <c r="F29" s="27">
        <f>IFERROR(F28/B28-1,"")</f>
        <v/>
      </c>
      <c r="G29" s="27">
        <f>IFERROR(G28/C28-1,"")</f>
        <v/>
      </c>
      <c r="H29" s="27">
        <f>IFERROR(H28/D28-1,"")</f>
        <v/>
      </c>
      <c r="I29" s="27">
        <f>IFERROR(I28/E28-1,"")</f>
        <v/>
      </c>
      <c r="J29" s="27">
        <f>IFERROR(J28/F28-1,"")</f>
        <v/>
      </c>
      <c r="K29" s="27">
        <f>IFERROR(K28/G28-1,"")</f>
        <v/>
      </c>
      <c r="L29" s="27">
        <f>IFERROR(L28/H28-1,"")</f>
        <v/>
      </c>
      <c r="M29" s="27">
        <f>IFERROR(M28/I28-1,"")</f>
        <v/>
      </c>
      <c r="N29" s="27">
        <f>IFERROR(N28/J28-1,"")</f>
        <v/>
      </c>
      <c r="O29" s="27">
        <f>IFERROR(O28/K28-1,"")</f>
        <v/>
      </c>
      <c r="P29" s="27">
        <f>IFERROR(P28/L28-1,"")</f>
        <v/>
      </c>
      <c r="Q29" s="27">
        <f>IFERROR(Q28/M28-1,"")</f>
        <v/>
      </c>
      <c r="R29" s="27">
        <f>IFERROR(R28/N28-1,"")</f>
        <v/>
      </c>
      <c r="S29" s="27">
        <f>IFERROR(S28/O28-1,"")</f>
        <v/>
      </c>
      <c r="T29" s="27">
        <f>IFERROR(T28/P28-1,"")</f>
        <v/>
      </c>
      <c r="U29" s="27">
        <f>IFERROR(U28/Q28-1,"")</f>
        <v/>
      </c>
      <c r="V29" s="27">
        <f>IFERROR(V28/R28-1,"")</f>
        <v/>
      </c>
      <c r="W29" s="27">
        <f>IFERROR(W28/S28-1,"")</f>
        <v/>
      </c>
      <c r="X29" s="27">
        <f>IFERROR(X28/T28-1,"")</f>
        <v/>
      </c>
      <c r="Y29" s="27">
        <f>IFERROR(Y28/U28-1,"")</f>
        <v/>
      </c>
      <c r="Z29" s="27">
        <f>IFERROR(Z28/V28-1,"")</f>
        <v/>
      </c>
      <c r="AA29" s="27">
        <f>IFERROR(AA28/W28-1,"")</f>
        <v/>
      </c>
      <c r="AB29" s="27">
        <f>IFERROR(AB28/X28-1,"")</f>
        <v/>
      </c>
      <c r="AC29" s="27">
        <f>IFERROR(AC28/Y28-1,"")</f>
        <v/>
      </c>
    </row>
    <row r="30">
      <c r="A30" s="4" t="inlineStr">
        <is>
          <t xml:space="preserve">    % of revenue</t>
        </is>
      </c>
      <c r="B30" s="27">
        <f>IFERROR(B28/B3,"")</f>
        <v/>
      </c>
      <c r="C30" s="27">
        <f>IFERROR(C28/C3,"")</f>
        <v/>
      </c>
      <c r="D30" s="27">
        <f>IFERROR(D28/D3,"")</f>
        <v/>
      </c>
      <c r="E30" s="27">
        <f>IFERROR(E28/E3,"")</f>
        <v/>
      </c>
      <c r="F30" s="27">
        <f>IFERROR(F28/F3,"")</f>
        <v/>
      </c>
      <c r="G30" s="27">
        <f>IFERROR(G28/G3,"")</f>
        <v/>
      </c>
      <c r="H30" s="27">
        <f>IFERROR(H28/H3,"")</f>
        <v/>
      </c>
      <c r="I30" s="27">
        <f>IFERROR(I28/I3,"")</f>
        <v/>
      </c>
      <c r="J30" s="27">
        <f>IFERROR(J28/J3,"")</f>
        <v/>
      </c>
      <c r="K30" s="27">
        <f>IFERROR(K28/K3,"")</f>
        <v/>
      </c>
      <c r="L30" s="27">
        <f>IFERROR(L28/L3,"")</f>
        <v/>
      </c>
      <c r="M30" s="27">
        <f>IFERROR(M28/M3,"")</f>
        <v/>
      </c>
      <c r="N30" s="27">
        <f>IFERROR(N28/N3,"")</f>
        <v/>
      </c>
      <c r="O30" s="27">
        <f>IFERROR(O28/O3,"")</f>
        <v/>
      </c>
      <c r="P30" s="27">
        <f>IFERROR(P28/P3,"")</f>
        <v/>
      </c>
      <c r="Q30" s="27">
        <f>IFERROR(Q28/Q3,"")</f>
        <v/>
      </c>
      <c r="R30" s="27">
        <f>IFERROR(R28/R3,"")</f>
        <v/>
      </c>
      <c r="S30" s="27">
        <f>IFERROR(S28/S3,"")</f>
        <v/>
      </c>
      <c r="T30" s="27">
        <f>IFERROR(T28/T3,"")</f>
        <v/>
      </c>
      <c r="U30" s="27">
        <f>IFERROR(U28/U3,"")</f>
        <v/>
      </c>
      <c r="V30" s="27">
        <f>IFERROR(V28/V3,"")</f>
        <v/>
      </c>
      <c r="W30" s="27">
        <f>IFERROR(W28/W3,"")</f>
        <v/>
      </c>
      <c r="X30" s="27">
        <f>IFERROR(X28/X3,"")</f>
        <v/>
      </c>
      <c r="Y30" s="27">
        <f>IFERROR(Y28/Y3,"")</f>
        <v/>
      </c>
      <c r="Z30" s="27">
        <f>IFERROR(Z28/Z3,"")</f>
        <v/>
      </c>
      <c r="AA30" s="27">
        <f>IFERROR(AA28/AA3,"")</f>
        <v/>
      </c>
      <c r="AB30" s="27">
        <f>IFERROR(AB28/AB3,"")</f>
        <v/>
      </c>
      <c r="AC30" s="27">
        <f>IFERROR(AC28/AC3,"")</f>
        <v/>
      </c>
    </row>
    <row r="31">
      <c r="A31" s="4" t="inlineStr">
        <is>
          <t>Windows</t>
        </is>
      </c>
      <c r="B31" s="20" t="n">
        <v>5792</v>
      </c>
      <c r="C31" s="20" t="n">
        <v>5353</v>
      </c>
      <c r="D31" s="20" t="n">
        <v>5593</v>
      </c>
      <c r="E31" s="20" t="n">
        <v>5220</v>
      </c>
      <c r="F31" s="20" t="n">
        <v>6128</v>
      </c>
      <c r="G31" s="20" t="n">
        <v>5305</v>
      </c>
      <c r="H31" s="20" t="n">
        <v>5716</v>
      </c>
      <c r="I31" s="20" t="n">
        <v>5646</v>
      </c>
      <c r="J31" s="20" t="n">
        <v>6560</v>
      </c>
      <c r="K31" s="20" t="n">
        <v>5676</v>
      </c>
      <c r="L31" s="20" t="n">
        <v>6600</v>
      </c>
      <c r="M31" s="20" t="n">
        <v>6077</v>
      </c>
      <c r="N31" s="20" t="n">
        <v>6408</v>
      </c>
      <c r="O31" s="20" t="n">
        <v>5313</v>
      </c>
      <c r="P31" s="20" t="n">
        <v>4808</v>
      </c>
      <c r="Q31" s="20" t="n">
        <v>5328</v>
      </c>
      <c r="R31" s="20" t="n">
        <v>6058</v>
      </c>
      <c r="S31" s="20" t="n">
        <v>5567</v>
      </c>
      <c r="T31" s="20" t="n">
        <v>5262</v>
      </c>
      <c r="U31" s="20" t="n">
        <v>5929</v>
      </c>
      <c r="V31" s="20" t="n">
        <v>6486</v>
      </c>
      <c r="W31" s="20" t="n">
        <v>4329</v>
      </c>
      <c r="X31" s="20" t="n">
        <v>4512</v>
      </c>
      <c r="Y31" s="20" t="n">
        <v>4144</v>
      </c>
      <c r="Z31" s="20" t="n">
        <v>4329</v>
      </c>
      <c r="AA31" s="20" t="n">
        <v>4551</v>
      </c>
      <c r="AB31" s="20" t="n">
        <v>4479</v>
      </c>
      <c r="AC31" s="20" t="n">
        <v>4041</v>
      </c>
    </row>
    <row r="32">
      <c r="A32" s="4" t="inlineStr">
        <is>
          <t xml:space="preserve">    % YoY</t>
        </is>
      </c>
      <c r="F32" s="27">
        <f>IFERROR(F31/B31-1,"")</f>
        <v/>
      </c>
      <c r="G32" s="27">
        <f>IFERROR(G31/C31-1,"")</f>
        <v/>
      </c>
      <c r="H32" s="27">
        <f>IFERROR(H31/D31-1,"")</f>
        <v/>
      </c>
      <c r="I32" s="27">
        <f>IFERROR(I31/E31-1,"")</f>
        <v/>
      </c>
      <c r="J32" s="27">
        <f>IFERROR(J31/F31-1,"")</f>
        <v/>
      </c>
      <c r="K32" s="27">
        <f>IFERROR(K31/G31-1,"")</f>
        <v/>
      </c>
      <c r="L32" s="27">
        <f>IFERROR(L31/H31-1,"")</f>
        <v/>
      </c>
      <c r="M32" s="27">
        <f>IFERROR(M31/I31-1,"")</f>
        <v/>
      </c>
      <c r="N32" s="27">
        <f>IFERROR(N31/J31-1,"")</f>
        <v/>
      </c>
      <c r="O32" s="27">
        <f>IFERROR(O31/K31-1,"")</f>
        <v/>
      </c>
      <c r="P32" s="27">
        <f>IFERROR(P31/L31-1,"")</f>
        <v/>
      </c>
      <c r="Q32" s="27">
        <f>IFERROR(Q31/M31-1,"")</f>
        <v/>
      </c>
      <c r="R32" s="27">
        <f>IFERROR(R31/N31-1,"")</f>
        <v/>
      </c>
      <c r="S32" s="27">
        <f>IFERROR(S31/O31-1,"")</f>
        <v/>
      </c>
      <c r="T32" s="27">
        <f>IFERROR(T31/P31-1,"")</f>
        <v/>
      </c>
      <c r="U32" s="27">
        <f>IFERROR(U31/Q31-1,"")</f>
        <v/>
      </c>
      <c r="V32" s="27">
        <f>IFERROR(V31/R31-1,"")</f>
        <v/>
      </c>
      <c r="W32" s="27">
        <f>IFERROR(W31/S31-1,"")</f>
        <v/>
      </c>
      <c r="X32" s="27">
        <f>IFERROR(X31/T31-1,"")</f>
        <v/>
      </c>
      <c r="Y32" s="27">
        <f>IFERROR(Y31/U31-1,"")</f>
        <v/>
      </c>
      <c r="Z32" s="27">
        <f>IFERROR(Z31/V31-1,"")</f>
        <v/>
      </c>
      <c r="AA32" s="27">
        <f>IFERROR(AA31/W31-1,"")</f>
        <v/>
      </c>
      <c r="AB32" s="27">
        <f>IFERROR(AB31/X31-1,"")</f>
        <v/>
      </c>
      <c r="AC32" s="27">
        <f>IFERROR(AC31/Y31-1,"")</f>
        <v/>
      </c>
    </row>
    <row r="33">
      <c r="A33" s="4" t="inlineStr">
        <is>
          <t xml:space="preserve">    % of revenue</t>
        </is>
      </c>
      <c r="B33" s="27">
        <f>IFERROR(B31/B3,"")</f>
        <v/>
      </c>
      <c r="C33" s="27">
        <f>IFERROR(C31/C3,"")</f>
        <v/>
      </c>
      <c r="D33" s="27">
        <f>IFERROR(D31/D3,"")</f>
        <v/>
      </c>
      <c r="E33" s="27">
        <f>IFERROR(E31/E3,"")</f>
        <v/>
      </c>
      <c r="F33" s="27">
        <f>IFERROR(F31/F3,"")</f>
        <v/>
      </c>
      <c r="G33" s="27">
        <f>IFERROR(G31/G3,"")</f>
        <v/>
      </c>
      <c r="H33" s="27">
        <f>IFERROR(H31/H3,"")</f>
        <v/>
      </c>
      <c r="I33" s="27">
        <f>IFERROR(I31/I3,"")</f>
        <v/>
      </c>
      <c r="J33" s="27">
        <f>IFERROR(J31/J3,"")</f>
        <v/>
      </c>
      <c r="K33" s="27">
        <f>IFERROR(K31/K3,"")</f>
        <v/>
      </c>
      <c r="L33" s="27">
        <f>IFERROR(L31/L3,"")</f>
        <v/>
      </c>
      <c r="M33" s="27">
        <f>IFERROR(M31/M3,"")</f>
        <v/>
      </c>
      <c r="N33" s="27">
        <f>IFERROR(N31/N3,"")</f>
        <v/>
      </c>
      <c r="O33" s="27">
        <f>IFERROR(O31/O3,"")</f>
        <v/>
      </c>
      <c r="P33" s="27">
        <f>IFERROR(P31/P3,"")</f>
        <v/>
      </c>
      <c r="Q33" s="27">
        <f>IFERROR(Q31/Q3,"")</f>
        <v/>
      </c>
      <c r="R33" s="27">
        <f>IFERROR(R31/R3,"")</f>
        <v/>
      </c>
      <c r="S33" s="27">
        <f>IFERROR(S31/S3,"")</f>
        <v/>
      </c>
      <c r="T33" s="27">
        <f>IFERROR(T31/T3,"")</f>
        <v/>
      </c>
      <c r="U33" s="27">
        <f>IFERROR(U31/U3,"")</f>
        <v/>
      </c>
      <c r="V33" s="27">
        <f>IFERROR(V31/V3,"")</f>
        <v/>
      </c>
      <c r="W33" s="27">
        <f>IFERROR(W31/W3,"")</f>
        <v/>
      </c>
      <c r="X33" s="27">
        <f>IFERROR(X31/X3,"")</f>
        <v/>
      </c>
      <c r="Y33" s="27">
        <f>IFERROR(Y31/Y3,"")</f>
        <v/>
      </c>
      <c r="Z33" s="27">
        <f>IFERROR(Z31/Z3,"")</f>
        <v/>
      </c>
      <c r="AA33" s="27">
        <f>IFERROR(AA31/AA3,"")</f>
        <v/>
      </c>
      <c r="AB33" s="27">
        <f>IFERROR(AB31/AB3,"")</f>
        <v/>
      </c>
      <c r="AC33" s="27">
        <f>IFERROR(AC31/AC3,"")</f>
        <v/>
      </c>
    </row>
    <row r="34">
      <c r="A34" s="4" t="inlineStr">
        <is>
          <t>Search Advertising</t>
        </is>
      </c>
      <c r="B34" s="20" t="n">
        <v>1953</v>
      </c>
      <c r="C34" s="20" t="n">
        <v>1991</v>
      </c>
      <c r="D34" s="20" t="n">
        <v>2163</v>
      </c>
      <c r="E34" s="20" t="n">
        <v>1986</v>
      </c>
      <c r="F34" s="20" t="n">
        <v>1600</v>
      </c>
      <c r="G34" s="20" t="n">
        <v>1789</v>
      </c>
      <c r="H34" s="20" t="n">
        <v>2184</v>
      </c>
      <c r="I34" s="20" t="n">
        <v>2218</v>
      </c>
      <c r="J34" s="20" t="n">
        <v>2337</v>
      </c>
      <c r="K34" s="20" t="n">
        <v>2656</v>
      </c>
      <c r="L34" s="20" t="n">
        <v>3064</v>
      </c>
      <c r="M34" s="20" t="n">
        <v>2945</v>
      </c>
      <c r="N34" s="20" t="n">
        <v>2926</v>
      </c>
      <c r="O34" s="20" t="n">
        <v>2928</v>
      </c>
      <c r="P34" s="20" t="n">
        <v>3223</v>
      </c>
      <c r="Q34" s="20" t="n">
        <v>3045</v>
      </c>
      <c r="R34" s="20" t="n">
        <v>3012</v>
      </c>
      <c r="S34" s="20" t="n">
        <v>3053</v>
      </c>
      <c r="T34" s="20" t="n">
        <v>3220</v>
      </c>
      <c r="U34" s="20" t="n">
        <v>3134</v>
      </c>
      <c r="V34" s="20" t="n">
        <v>3165</v>
      </c>
      <c r="W34" s="20" t="n">
        <v>3225</v>
      </c>
      <c r="X34" s="20" t="n">
        <v>3558</v>
      </c>
      <c r="Y34" s="20" t="n">
        <v>3504</v>
      </c>
      <c r="Z34" s="20" t="n">
        <v>3591</v>
      </c>
      <c r="AA34" s="20" t="n">
        <v>3697</v>
      </c>
      <c r="AB34" s="20" t="n">
        <v>3812</v>
      </c>
      <c r="AC34" s="20" t="n">
        <v>3808</v>
      </c>
    </row>
    <row r="35">
      <c r="A35" s="4" t="inlineStr">
        <is>
          <t xml:space="preserve">    % YoY</t>
        </is>
      </c>
      <c r="F35" s="27">
        <f>IFERROR(F34/B34-1,"")</f>
        <v/>
      </c>
      <c r="G35" s="27">
        <f>IFERROR(G34/C34-1,"")</f>
        <v/>
      </c>
      <c r="H35" s="27">
        <f>IFERROR(H34/D34-1,"")</f>
        <v/>
      </c>
      <c r="I35" s="27">
        <f>IFERROR(I34/E34-1,"")</f>
        <v/>
      </c>
      <c r="J35" s="27">
        <f>IFERROR(J34/F34-1,"")</f>
        <v/>
      </c>
      <c r="K35" s="27">
        <f>IFERROR(K34/G34-1,"")</f>
        <v/>
      </c>
      <c r="L35" s="27">
        <f>IFERROR(L34/H34-1,"")</f>
        <v/>
      </c>
      <c r="M35" s="27">
        <f>IFERROR(M34/I34-1,"")</f>
        <v/>
      </c>
      <c r="N35" s="27">
        <f>IFERROR(N34/J34-1,"")</f>
        <v/>
      </c>
      <c r="O35" s="27">
        <f>IFERROR(O34/K34-1,"")</f>
        <v/>
      </c>
      <c r="P35" s="27">
        <f>IFERROR(P34/L34-1,"")</f>
        <v/>
      </c>
      <c r="Q35" s="27">
        <f>IFERROR(Q34/M34-1,"")</f>
        <v/>
      </c>
      <c r="R35" s="27">
        <f>IFERROR(R34/N34-1,"")</f>
        <v/>
      </c>
      <c r="S35" s="27">
        <f>IFERROR(S34/O34-1,"")</f>
        <v/>
      </c>
      <c r="T35" s="27">
        <f>IFERROR(T34/P34-1,"")</f>
        <v/>
      </c>
      <c r="U35" s="27">
        <f>IFERROR(U34/Q34-1,"")</f>
        <v/>
      </c>
      <c r="V35" s="27">
        <f>IFERROR(V34/R34-1,"")</f>
        <v/>
      </c>
      <c r="W35" s="27">
        <f>IFERROR(W34/S34-1,"")</f>
        <v/>
      </c>
      <c r="X35" s="27">
        <f>IFERROR(X34/T34-1,"")</f>
        <v/>
      </c>
      <c r="Y35" s="27">
        <f>IFERROR(Y34/U34-1,"")</f>
        <v/>
      </c>
      <c r="Z35" s="27">
        <f>IFERROR(Z34/V34-1,"")</f>
        <v/>
      </c>
      <c r="AA35" s="27">
        <f>IFERROR(AA34/W34-1,"")</f>
        <v/>
      </c>
      <c r="AB35" s="27">
        <f>IFERROR(AB34/X34-1,"")</f>
        <v/>
      </c>
      <c r="AC35" s="27">
        <f>IFERROR(AC34/Y34-1,"")</f>
        <v/>
      </c>
    </row>
    <row r="36">
      <c r="A36" s="4" t="inlineStr">
        <is>
          <t xml:space="preserve">    % of revenue</t>
        </is>
      </c>
      <c r="B36" s="27">
        <f>IFERROR(B34/B3,"")</f>
        <v/>
      </c>
      <c r="C36" s="27">
        <f>IFERROR(C34/C3,"")</f>
        <v/>
      </c>
      <c r="D36" s="27">
        <f>IFERROR(D34/D3,"")</f>
        <v/>
      </c>
      <c r="E36" s="27">
        <f>IFERROR(E34/E3,"")</f>
        <v/>
      </c>
      <c r="F36" s="27">
        <f>IFERROR(F34/F3,"")</f>
        <v/>
      </c>
      <c r="G36" s="27">
        <f>IFERROR(G34/G3,"")</f>
        <v/>
      </c>
      <c r="H36" s="27">
        <f>IFERROR(H34/H3,"")</f>
        <v/>
      </c>
      <c r="I36" s="27">
        <f>IFERROR(I34/I3,"")</f>
        <v/>
      </c>
      <c r="J36" s="27">
        <f>IFERROR(J34/J3,"")</f>
        <v/>
      </c>
      <c r="K36" s="27">
        <f>IFERROR(K34/K3,"")</f>
        <v/>
      </c>
      <c r="L36" s="27">
        <f>IFERROR(L34/L3,"")</f>
        <v/>
      </c>
      <c r="M36" s="27">
        <f>IFERROR(M34/M3,"")</f>
        <v/>
      </c>
      <c r="N36" s="27">
        <f>IFERROR(N34/N3,"")</f>
        <v/>
      </c>
      <c r="O36" s="27">
        <f>IFERROR(O34/O3,"")</f>
        <v/>
      </c>
      <c r="P36" s="27">
        <f>IFERROR(P34/P3,"")</f>
        <v/>
      </c>
      <c r="Q36" s="27">
        <f>IFERROR(Q34/Q3,"")</f>
        <v/>
      </c>
      <c r="R36" s="27">
        <f>IFERROR(R34/R3,"")</f>
        <v/>
      </c>
      <c r="S36" s="27">
        <f>IFERROR(S34/S3,"")</f>
        <v/>
      </c>
      <c r="T36" s="27">
        <f>IFERROR(T34/T3,"")</f>
        <v/>
      </c>
      <c r="U36" s="27">
        <f>IFERROR(U34/U3,"")</f>
        <v/>
      </c>
      <c r="V36" s="27">
        <f>IFERROR(V34/V3,"")</f>
        <v/>
      </c>
      <c r="W36" s="27">
        <f>IFERROR(W34/W3,"")</f>
        <v/>
      </c>
      <c r="X36" s="27">
        <f>IFERROR(X34/X3,"")</f>
        <v/>
      </c>
      <c r="Y36" s="27">
        <f>IFERROR(Y34/Y3,"")</f>
        <v/>
      </c>
      <c r="Z36" s="27">
        <f>IFERROR(Z34/Z3,"")</f>
        <v/>
      </c>
      <c r="AA36" s="27">
        <f>IFERROR(AA34/AA3,"")</f>
        <v/>
      </c>
      <c r="AB36" s="27">
        <f>IFERROR(AB34/AB3,"")</f>
        <v/>
      </c>
      <c r="AC36" s="27">
        <f>IFERROR(AC34/AC3,"")</f>
        <v/>
      </c>
    </row>
    <row r="37">
      <c r="A37" s="4" t="inlineStr">
        <is>
          <t>Microsoft Three Six Five Consumer Products and Cloud Services</t>
        </is>
      </c>
      <c r="W37" s="20" t="n">
        <v>1727</v>
      </c>
      <c r="X37" s="20" t="n">
        <v>1821</v>
      </c>
      <c r="Y37" s="20" t="n">
        <v>1821</v>
      </c>
      <c r="Z37" s="20" t="n">
        <v>2035</v>
      </c>
      <c r="AA37" s="20" t="n">
        <v>2204</v>
      </c>
      <c r="AB37" s="20" t="n">
        <v>2305</v>
      </c>
      <c r="AC37" s="20" t="n">
        <v>2297</v>
      </c>
    </row>
    <row r="38">
      <c r="A38" s="4" t="inlineStr">
        <is>
          <t xml:space="preserve">    % YoY</t>
        </is>
      </c>
      <c r="F38" s="27">
        <f>IFERROR(F37/B37-1,"")</f>
        <v/>
      </c>
      <c r="G38" s="27">
        <f>IFERROR(G37/C37-1,"")</f>
        <v/>
      </c>
      <c r="H38" s="27">
        <f>IFERROR(H37/D37-1,"")</f>
        <v/>
      </c>
      <c r="I38" s="27">
        <f>IFERROR(I37/E37-1,"")</f>
        <v/>
      </c>
      <c r="J38" s="27">
        <f>IFERROR(J37/F37-1,"")</f>
        <v/>
      </c>
      <c r="K38" s="27">
        <f>IFERROR(K37/G37-1,"")</f>
        <v/>
      </c>
      <c r="L38" s="27">
        <f>IFERROR(L37/H37-1,"")</f>
        <v/>
      </c>
      <c r="M38" s="27">
        <f>IFERROR(M37/I37-1,"")</f>
        <v/>
      </c>
      <c r="N38" s="27">
        <f>IFERROR(N37/J37-1,"")</f>
        <v/>
      </c>
      <c r="O38" s="27">
        <f>IFERROR(O37/K37-1,"")</f>
        <v/>
      </c>
      <c r="P38" s="27">
        <f>IFERROR(P37/L37-1,"")</f>
        <v/>
      </c>
      <c r="Q38" s="27">
        <f>IFERROR(Q37/M37-1,"")</f>
        <v/>
      </c>
      <c r="R38" s="27">
        <f>IFERROR(R37/N37-1,"")</f>
        <v/>
      </c>
      <c r="S38" s="27">
        <f>IFERROR(S37/O37-1,"")</f>
        <v/>
      </c>
      <c r="T38" s="27">
        <f>IFERROR(T37/P37-1,"")</f>
        <v/>
      </c>
      <c r="U38" s="27">
        <f>IFERROR(U37/Q37-1,"")</f>
        <v/>
      </c>
      <c r="V38" s="27">
        <f>IFERROR(V37/R37-1,"")</f>
        <v/>
      </c>
      <c r="W38" s="27">
        <f>IFERROR(W37/S37-1,"")</f>
        <v/>
      </c>
      <c r="X38" s="27">
        <f>IFERROR(X37/T37-1,"")</f>
        <v/>
      </c>
      <c r="Y38" s="27">
        <f>IFERROR(Y37/U37-1,"")</f>
        <v/>
      </c>
      <c r="Z38" s="27">
        <f>IFERROR(Z37/V37-1,"")</f>
        <v/>
      </c>
      <c r="AA38" s="27">
        <f>IFERROR(AA37/W37-1,"")</f>
        <v/>
      </c>
      <c r="AB38" s="27">
        <f>IFERROR(AB37/X37-1,"")</f>
        <v/>
      </c>
      <c r="AC38" s="27">
        <f>IFERROR(AC37/Y37-1,"")</f>
        <v/>
      </c>
    </row>
    <row r="39">
      <c r="A39" s="4" t="inlineStr">
        <is>
          <t xml:space="preserve">    % of revenue</t>
        </is>
      </c>
      <c r="B39" s="27">
        <f>IFERROR(B37/B3,"")</f>
        <v/>
      </c>
      <c r="C39" s="27">
        <f>IFERROR(C37/C3,"")</f>
        <v/>
      </c>
      <c r="D39" s="27">
        <f>IFERROR(D37/D3,"")</f>
        <v/>
      </c>
      <c r="E39" s="27">
        <f>IFERROR(E37/E3,"")</f>
        <v/>
      </c>
      <c r="F39" s="27">
        <f>IFERROR(F37/F3,"")</f>
        <v/>
      </c>
      <c r="G39" s="27">
        <f>IFERROR(G37/G3,"")</f>
        <v/>
      </c>
      <c r="H39" s="27">
        <f>IFERROR(H37/H3,"")</f>
        <v/>
      </c>
      <c r="I39" s="27">
        <f>IFERROR(I37/I3,"")</f>
        <v/>
      </c>
      <c r="J39" s="27">
        <f>IFERROR(J37/J3,"")</f>
        <v/>
      </c>
      <c r="K39" s="27">
        <f>IFERROR(K37/K3,"")</f>
        <v/>
      </c>
      <c r="L39" s="27">
        <f>IFERROR(L37/L3,"")</f>
        <v/>
      </c>
      <c r="M39" s="27">
        <f>IFERROR(M37/M3,"")</f>
        <v/>
      </c>
      <c r="N39" s="27">
        <f>IFERROR(N37/N3,"")</f>
        <v/>
      </c>
      <c r="O39" s="27">
        <f>IFERROR(O37/O3,"")</f>
        <v/>
      </c>
      <c r="P39" s="27">
        <f>IFERROR(P37/P3,"")</f>
        <v/>
      </c>
      <c r="Q39" s="27">
        <f>IFERROR(Q37/Q3,"")</f>
        <v/>
      </c>
      <c r="R39" s="27">
        <f>IFERROR(R37/R3,"")</f>
        <v/>
      </c>
      <c r="S39" s="27">
        <f>IFERROR(S37/S3,"")</f>
        <v/>
      </c>
      <c r="T39" s="27">
        <f>IFERROR(T37/T3,"")</f>
        <v/>
      </c>
      <c r="U39" s="27">
        <f>IFERROR(U37/U3,"")</f>
        <v/>
      </c>
      <c r="V39" s="27">
        <f>IFERROR(V37/V3,"")</f>
        <v/>
      </c>
      <c r="W39" s="27">
        <f>IFERROR(W37/W3,"")</f>
        <v/>
      </c>
      <c r="X39" s="27">
        <f>IFERROR(X37/X3,"")</f>
        <v/>
      </c>
      <c r="Y39" s="27">
        <f>IFERROR(Y37/Y3,"")</f>
        <v/>
      </c>
      <c r="Z39" s="27">
        <f>IFERROR(Z37/Z3,"")</f>
        <v/>
      </c>
      <c r="AA39" s="27">
        <f>IFERROR(AA37/AA3,"")</f>
        <v/>
      </c>
      <c r="AB39" s="27">
        <f>IFERROR(AB37/AB3,"")</f>
        <v/>
      </c>
      <c r="AC39" s="27">
        <f>IFERROR(AC37/AC3,"")</f>
        <v/>
      </c>
    </row>
    <row r="40">
      <c r="A40" s="4" t="inlineStr">
        <is>
          <t>Dynamics Products And Cloud Services</t>
        </is>
      </c>
      <c r="T40" s="20" t="n">
        <v>1576</v>
      </c>
      <c r="U40" s="20" t="n">
        <v>1646</v>
      </c>
      <c r="V40" s="20" t="n">
        <v>3069</v>
      </c>
      <c r="W40" s="20" t="n">
        <v>1849</v>
      </c>
      <c r="X40" s="20" t="n">
        <v>1913</v>
      </c>
      <c r="Y40" s="20" t="n">
        <v>1929</v>
      </c>
      <c r="Z40" s="20" t="n">
        <v>2136</v>
      </c>
      <c r="AA40" s="20" t="n">
        <v>2136</v>
      </c>
      <c r="AB40" s="20" t="n">
        <v>2204</v>
      </c>
      <c r="AC40" s="20" t="n">
        <v>2292</v>
      </c>
    </row>
    <row r="41">
      <c r="A41" s="4" t="inlineStr">
        <is>
          <t xml:space="preserve">    % YoY</t>
        </is>
      </c>
      <c r="F41" s="27">
        <f>IFERROR(F40/B40-1,"")</f>
        <v/>
      </c>
      <c r="G41" s="27">
        <f>IFERROR(G40/C40-1,"")</f>
        <v/>
      </c>
      <c r="H41" s="27">
        <f>IFERROR(H40/D40-1,"")</f>
        <v/>
      </c>
      <c r="I41" s="27">
        <f>IFERROR(I40/E40-1,"")</f>
        <v/>
      </c>
      <c r="J41" s="27">
        <f>IFERROR(J40/F40-1,"")</f>
        <v/>
      </c>
      <c r="K41" s="27">
        <f>IFERROR(K40/G40-1,"")</f>
        <v/>
      </c>
      <c r="L41" s="27">
        <f>IFERROR(L40/H40-1,"")</f>
        <v/>
      </c>
      <c r="M41" s="27">
        <f>IFERROR(M40/I40-1,"")</f>
        <v/>
      </c>
      <c r="N41" s="27">
        <f>IFERROR(N40/J40-1,"")</f>
        <v/>
      </c>
      <c r="O41" s="27">
        <f>IFERROR(O40/K40-1,"")</f>
        <v/>
      </c>
      <c r="P41" s="27">
        <f>IFERROR(P40/L40-1,"")</f>
        <v/>
      </c>
      <c r="Q41" s="27">
        <f>IFERROR(Q40/M40-1,"")</f>
        <v/>
      </c>
      <c r="R41" s="27">
        <f>IFERROR(R40/N40-1,"")</f>
        <v/>
      </c>
      <c r="S41" s="27">
        <f>IFERROR(S40/O40-1,"")</f>
        <v/>
      </c>
      <c r="T41" s="27">
        <f>IFERROR(T40/P40-1,"")</f>
        <v/>
      </c>
      <c r="U41" s="27">
        <f>IFERROR(U40/Q40-1,"")</f>
        <v/>
      </c>
      <c r="V41" s="27">
        <f>IFERROR(V40/R40-1,"")</f>
        <v/>
      </c>
      <c r="W41" s="27">
        <f>IFERROR(W40/S40-1,"")</f>
        <v/>
      </c>
      <c r="X41" s="27">
        <f>IFERROR(X40/T40-1,"")</f>
        <v/>
      </c>
      <c r="Y41" s="27">
        <f>IFERROR(Y40/U40-1,"")</f>
        <v/>
      </c>
      <c r="Z41" s="27">
        <f>IFERROR(Z40/V40-1,"")</f>
        <v/>
      </c>
      <c r="AA41" s="27">
        <f>IFERROR(AA40/W40-1,"")</f>
        <v/>
      </c>
      <c r="AB41" s="27">
        <f>IFERROR(AB40/X40-1,"")</f>
        <v/>
      </c>
      <c r="AC41" s="27">
        <f>IFERROR(AC40/Y40-1,"")</f>
        <v/>
      </c>
    </row>
    <row r="42">
      <c r="A42" s="4" t="inlineStr">
        <is>
          <t xml:space="preserve">    % of revenue</t>
        </is>
      </c>
      <c r="B42" s="27">
        <f>IFERROR(B40/B3,"")</f>
        <v/>
      </c>
      <c r="C42" s="27">
        <f>IFERROR(C40/C3,"")</f>
        <v/>
      </c>
      <c r="D42" s="27">
        <f>IFERROR(D40/D3,"")</f>
        <v/>
      </c>
      <c r="E42" s="27">
        <f>IFERROR(E40/E3,"")</f>
        <v/>
      </c>
      <c r="F42" s="27">
        <f>IFERROR(F40/F3,"")</f>
        <v/>
      </c>
      <c r="G42" s="27">
        <f>IFERROR(G40/G3,"")</f>
        <v/>
      </c>
      <c r="H42" s="27">
        <f>IFERROR(H40/H3,"")</f>
        <v/>
      </c>
      <c r="I42" s="27">
        <f>IFERROR(I40/I3,"")</f>
        <v/>
      </c>
      <c r="J42" s="27">
        <f>IFERROR(J40/J3,"")</f>
        <v/>
      </c>
      <c r="K42" s="27">
        <f>IFERROR(K40/K3,"")</f>
        <v/>
      </c>
      <c r="L42" s="27">
        <f>IFERROR(L40/L3,"")</f>
        <v/>
      </c>
      <c r="M42" s="27">
        <f>IFERROR(M40/M3,"")</f>
        <v/>
      </c>
      <c r="N42" s="27">
        <f>IFERROR(N40/N3,"")</f>
        <v/>
      </c>
      <c r="O42" s="27">
        <f>IFERROR(O40/O3,"")</f>
        <v/>
      </c>
      <c r="P42" s="27">
        <f>IFERROR(P40/P3,"")</f>
        <v/>
      </c>
      <c r="Q42" s="27">
        <f>IFERROR(Q40/Q3,"")</f>
        <v/>
      </c>
      <c r="R42" s="27">
        <f>IFERROR(R40/R3,"")</f>
        <v/>
      </c>
      <c r="S42" s="27">
        <f>IFERROR(S40/S3,"")</f>
        <v/>
      </c>
      <c r="T42" s="27">
        <f>IFERROR(T40/T3,"")</f>
        <v/>
      </c>
      <c r="U42" s="27">
        <f>IFERROR(U40/U3,"")</f>
        <v/>
      </c>
      <c r="V42" s="27">
        <f>IFERROR(V40/V3,"")</f>
        <v/>
      </c>
      <c r="W42" s="27">
        <f>IFERROR(W40/W3,"")</f>
        <v/>
      </c>
      <c r="X42" s="27">
        <f>IFERROR(X40/X3,"")</f>
        <v/>
      </c>
      <c r="Y42" s="27">
        <f>IFERROR(Y40/Y3,"")</f>
        <v/>
      </c>
      <c r="Z42" s="27">
        <f>IFERROR(Z40/Z3,"")</f>
        <v/>
      </c>
      <c r="AA42" s="27">
        <f>IFERROR(AA40/AA3,"")</f>
        <v/>
      </c>
      <c r="AB42" s="27">
        <f>IFERROR(AB40/AB3,"")</f>
        <v/>
      </c>
      <c r="AC42" s="27">
        <f>IFERROR(AC40/AC3,"")</f>
        <v/>
      </c>
    </row>
    <row r="43">
      <c r="A43" s="4" t="inlineStr">
        <is>
          <t>Enterprise Services</t>
        </is>
      </c>
      <c r="B43" s="20" t="n">
        <v>1611</v>
      </c>
      <c r="C43" s="20" t="n">
        <v>1545</v>
      </c>
      <c r="D43" s="20" t="n">
        <v>1612</v>
      </c>
      <c r="E43" s="20" t="n">
        <v>1633</v>
      </c>
      <c r="F43" s="20" t="n">
        <v>1619</v>
      </c>
      <c r="G43" s="20" t="n">
        <v>1637</v>
      </c>
      <c r="H43" s="20" t="n">
        <v>1695</v>
      </c>
      <c r="I43" s="20" t="n">
        <v>1803</v>
      </c>
      <c r="J43" s="20" t="n">
        <v>1808</v>
      </c>
      <c r="K43" s="20" t="n">
        <v>1791</v>
      </c>
      <c r="L43" s="20" t="n">
        <v>1823</v>
      </c>
      <c r="M43" s="20" t="n">
        <v>1891</v>
      </c>
      <c r="N43" s="20" t="n">
        <v>1902</v>
      </c>
      <c r="O43" s="20" t="n">
        <v>1876</v>
      </c>
      <c r="P43" s="20" t="n">
        <v>1862</v>
      </c>
      <c r="Q43" s="20" t="n">
        <v>2007</v>
      </c>
      <c r="R43" s="20" t="n">
        <v>1977</v>
      </c>
      <c r="S43" s="20" t="n">
        <v>1944</v>
      </c>
      <c r="T43" s="20" t="n">
        <v>1917</v>
      </c>
      <c r="U43" s="20" t="n">
        <v>1861</v>
      </c>
      <c r="V43" s="20" t="n">
        <v>1870</v>
      </c>
      <c r="W43" s="20" t="n">
        <v>1928</v>
      </c>
      <c r="X43" s="20" t="n">
        <v>1892</v>
      </c>
      <c r="Y43" s="20" t="n">
        <v>1946</v>
      </c>
      <c r="Z43" s="20" t="n">
        <v>1994</v>
      </c>
      <c r="AA43" s="20" t="n">
        <v>2022</v>
      </c>
      <c r="AB43" s="20" t="n">
        <v>2038</v>
      </c>
      <c r="AC43" s="20" t="n">
        <v>2087</v>
      </c>
    </row>
    <row r="44">
      <c r="A44" s="4" t="inlineStr">
        <is>
          <t xml:space="preserve">    % YoY</t>
        </is>
      </c>
      <c r="F44" s="27">
        <f>IFERROR(F43/B43-1,"")</f>
        <v/>
      </c>
      <c r="G44" s="27">
        <f>IFERROR(G43/C43-1,"")</f>
        <v/>
      </c>
      <c r="H44" s="27">
        <f>IFERROR(H43/D43-1,"")</f>
        <v/>
      </c>
      <c r="I44" s="27">
        <f>IFERROR(I43/E43-1,"")</f>
        <v/>
      </c>
      <c r="J44" s="27">
        <f>IFERROR(J43/F43-1,"")</f>
        <v/>
      </c>
      <c r="K44" s="27">
        <f>IFERROR(K43/G43-1,"")</f>
        <v/>
      </c>
      <c r="L44" s="27">
        <f>IFERROR(L43/H43-1,"")</f>
        <v/>
      </c>
      <c r="M44" s="27">
        <f>IFERROR(M43/I43-1,"")</f>
        <v/>
      </c>
      <c r="N44" s="27">
        <f>IFERROR(N43/J43-1,"")</f>
        <v/>
      </c>
      <c r="O44" s="27">
        <f>IFERROR(O43/K43-1,"")</f>
        <v/>
      </c>
      <c r="P44" s="27">
        <f>IFERROR(P43/L43-1,"")</f>
        <v/>
      </c>
      <c r="Q44" s="27">
        <f>IFERROR(Q43/M43-1,"")</f>
        <v/>
      </c>
      <c r="R44" s="27">
        <f>IFERROR(R43/N43-1,"")</f>
        <v/>
      </c>
      <c r="S44" s="27">
        <f>IFERROR(S43/O43-1,"")</f>
        <v/>
      </c>
      <c r="T44" s="27">
        <f>IFERROR(T43/P43-1,"")</f>
        <v/>
      </c>
      <c r="U44" s="27">
        <f>IFERROR(U43/Q43-1,"")</f>
        <v/>
      </c>
      <c r="V44" s="27">
        <f>IFERROR(V43/R43-1,"")</f>
        <v/>
      </c>
      <c r="W44" s="27">
        <f>IFERROR(W43/S43-1,"")</f>
        <v/>
      </c>
      <c r="X44" s="27">
        <f>IFERROR(X43/T43-1,"")</f>
        <v/>
      </c>
      <c r="Y44" s="27">
        <f>IFERROR(Y43/U43-1,"")</f>
        <v/>
      </c>
      <c r="Z44" s="27">
        <f>IFERROR(Z43/V43-1,"")</f>
        <v/>
      </c>
      <c r="AA44" s="27">
        <f>IFERROR(AA43/W43-1,"")</f>
        <v/>
      </c>
      <c r="AB44" s="27">
        <f>IFERROR(AB43/X43-1,"")</f>
        <v/>
      </c>
      <c r="AC44" s="27">
        <f>IFERROR(AC43/Y43-1,"")</f>
        <v/>
      </c>
    </row>
    <row r="45">
      <c r="A45" s="4" t="inlineStr">
        <is>
          <t xml:space="preserve">    % of revenue</t>
        </is>
      </c>
      <c r="B45" s="27">
        <f>IFERROR(B43/B3,"")</f>
        <v/>
      </c>
      <c r="C45" s="27">
        <f>IFERROR(C43/C3,"")</f>
        <v/>
      </c>
      <c r="D45" s="27">
        <f>IFERROR(D43/D3,"")</f>
        <v/>
      </c>
      <c r="E45" s="27">
        <f>IFERROR(E43/E3,"")</f>
        <v/>
      </c>
      <c r="F45" s="27">
        <f>IFERROR(F43/F3,"")</f>
        <v/>
      </c>
      <c r="G45" s="27">
        <f>IFERROR(G43/G3,"")</f>
        <v/>
      </c>
      <c r="H45" s="27">
        <f>IFERROR(H43/H3,"")</f>
        <v/>
      </c>
      <c r="I45" s="27">
        <f>IFERROR(I43/I3,"")</f>
        <v/>
      </c>
      <c r="J45" s="27">
        <f>IFERROR(J43/J3,"")</f>
        <v/>
      </c>
      <c r="K45" s="27">
        <f>IFERROR(K43/K3,"")</f>
        <v/>
      </c>
      <c r="L45" s="27">
        <f>IFERROR(L43/L3,"")</f>
        <v/>
      </c>
      <c r="M45" s="27">
        <f>IFERROR(M43/M3,"")</f>
        <v/>
      </c>
      <c r="N45" s="27">
        <f>IFERROR(N43/N3,"")</f>
        <v/>
      </c>
      <c r="O45" s="27">
        <f>IFERROR(O43/O3,"")</f>
        <v/>
      </c>
      <c r="P45" s="27">
        <f>IFERROR(P43/P3,"")</f>
        <v/>
      </c>
      <c r="Q45" s="27">
        <f>IFERROR(Q43/Q3,"")</f>
        <v/>
      </c>
      <c r="R45" s="27">
        <f>IFERROR(R43/R3,"")</f>
        <v/>
      </c>
      <c r="S45" s="27">
        <f>IFERROR(S43/S3,"")</f>
        <v/>
      </c>
      <c r="T45" s="27">
        <f>IFERROR(T43/T3,"")</f>
        <v/>
      </c>
      <c r="U45" s="27">
        <f>IFERROR(U43/U3,"")</f>
        <v/>
      </c>
      <c r="V45" s="27">
        <f>IFERROR(V43/V3,"")</f>
        <v/>
      </c>
      <c r="W45" s="27">
        <f>IFERROR(W43/W3,"")</f>
        <v/>
      </c>
      <c r="X45" s="27">
        <f>IFERROR(X43/X3,"")</f>
        <v/>
      </c>
      <c r="Y45" s="27">
        <f>IFERROR(Y43/Y3,"")</f>
        <v/>
      </c>
      <c r="Z45" s="27">
        <f>IFERROR(Z43/Z3,"")</f>
        <v/>
      </c>
      <c r="AA45" s="27">
        <f>IFERROR(AA43/AA3,"")</f>
        <v/>
      </c>
      <c r="AB45" s="27">
        <f>IFERROR(AB43/AB3,"")</f>
        <v/>
      </c>
      <c r="AC45" s="27">
        <f>IFERROR(AC43/AC3,"")</f>
        <v/>
      </c>
    </row>
    <row r="46">
      <c r="A46" s="4" t="inlineStr">
        <is>
          <t>Other Products And Services</t>
        </is>
      </c>
      <c r="B46" s="20" t="n">
        <v>779</v>
      </c>
      <c r="C46" s="20" t="n">
        <v>855</v>
      </c>
      <c r="D46" s="20" t="n">
        <v>959</v>
      </c>
      <c r="E46" s="20" t="n">
        <v>961</v>
      </c>
      <c r="F46" s="20" t="n">
        <v>993</v>
      </c>
      <c r="G46" s="20" t="n">
        <v>1032</v>
      </c>
      <c r="H46" s="20" t="n">
        <v>1143</v>
      </c>
      <c r="I46" s="20" t="n">
        <v>1125</v>
      </c>
      <c r="J46" s="20" t="n">
        <v>1179</v>
      </c>
      <c r="K46" s="20" t="n">
        <v>1227</v>
      </c>
      <c r="L46" s="20" t="n">
        <v>1357</v>
      </c>
      <c r="M46" s="20" t="n">
        <v>1304</v>
      </c>
      <c r="N46" s="20" t="n">
        <v>1403</v>
      </c>
      <c r="O46" s="20" t="n">
        <v>1348</v>
      </c>
      <c r="P46" s="20" t="n">
        <v>1359</v>
      </c>
      <c r="Q46" s="20" t="n">
        <v>1428</v>
      </c>
      <c r="R46" s="20" t="n">
        <v>-3924</v>
      </c>
      <c r="S46" s="20" t="n">
        <v>8</v>
      </c>
      <c r="T46" s="20" t="n">
        <v>11</v>
      </c>
      <c r="U46" s="20" t="n">
        <v>14</v>
      </c>
      <c r="V46" s="20" t="n">
        <v>12</v>
      </c>
      <c r="W46" s="20" t="n">
        <v>10</v>
      </c>
      <c r="X46" s="20" t="n">
        <v>10</v>
      </c>
      <c r="Y46" s="20" t="n">
        <v>46</v>
      </c>
      <c r="Z46" s="20" t="n">
        <v>6</v>
      </c>
      <c r="AA46" s="20" t="n">
        <v>3</v>
      </c>
      <c r="AB46" s="20" t="n">
        <v>6</v>
      </c>
      <c r="AC46" s="20" t="n">
        <v>3</v>
      </c>
    </row>
    <row r="47">
      <c r="A47" s="4" t="inlineStr">
        <is>
          <t xml:space="preserve">    % YoY</t>
        </is>
      </c>
      <c r="F47" s="27">
        <f>IFERROR(F46/B46-1,"")</f>
        <v/>
      </c>
      <c r="G47" s="27">
        <f>IFERROR(G46/C46-1,"")</f>
        <v/>
      </c>
      <c r="H47" s="27">
        <f>IFERROR(H46/D46-1,"")</f>
        <v/>
      </c>
      <c r="I47" s="27">
        <f>IFERROR(I46/E46-1,"")</f>
        <v/>
      </c>
      <c r="J47" s="27">
        <f>IFERROR(J46/F46-1,"")</f>
        <v/>
      </c>
      <c r="K47" s="27">
        <f>IFERROR(K46/G46-1,"")</f>
        <v/>
      </c>
      <c r="L47" s="27">
        <f>IFERROR(L46/H46-1,"")</f>
        <v/>
      </c>
      <c r="M47" s="27">
        <f>IFERROR(M46/I46-1,"")</f>
        <v/>
      </c>
      <c r="N47" s="27">
        <f>IFERROR(N46/J46-1,"")</f>
        <v/>
      </c>
      <c r="O47" s="27">
        <f>IFERROR(O46/K46-1,"")</f>
        <v/>
      </c>
      <c r="P47" s="27">
        <f>IFERROR(P46/L46-1,"")</f>
        <v/>
      </c>
      <c r="Q47" s="27">
        <f>IFERROR(Q46/M46-1,"")</f>
        <v/>
      </c>
      <c r="R47" s="27">
        <f>IFERROR(R46/N46-1,"")</f>
        <v/>
      </c>
      <c r="S47" s="27">
        <f>IFERROR(S46/O46-1,"")</f>
        <v/>
      </c>
      <c r="T47" s="27">
        <f>IFERROR(T46/P46-1,"")</f>
        <v/>
      </c>
      <c r="U47" s="27">
        <f>IFERROR(U46/Q46-1,"")</f>
        <v/>
      </c>
      <c r="V47" s="27">
        <f>IFERROR(V46/R46-1,"")</f>
        <v/>
      </c>
      <c r="W47" s="27">
        <f>IFERROR(W46/S46-1,"")</f>
        <v/>
      </c>
      <c r="X47" s="27">
        <f>IFERROR(X46/T46-1,"")</f>
        <v/>
      </c>
      <c r="Y47" s="27">
        <f>IFERROR(Y46/U46-1,"")</f>
        <v/>
      </c>
      <c r="Z47" s="27">
        <f>IFERROR(Z46/V46-1,"")</f>
        <v/>
      </c>
      <c r="AA47" s="27">
        <f>IFERROR(AA46/W46-1,"")</f>
        <v/>
      </c>
      <c r="AB47" s="27">
        <f>IFERROR(AB46/X46-1,"")</f>
        <v/>
      </c>
      <c r="AC47" s="27">
        <f>IFERROR(AC46/Y46-1,"")</f>
        <v/>
      </c>
    </row>
    <row r="48">
      <c r="A48" s="4" t="inlineStr">
        <is>
          <t xml:space="preserve">    % of revenue</t>
        </is>
      </c>
      <c r="B48" s="27">
        <f>IFERROR(B46/B3,"")</f>
        <v/>
      </c>
      <c r="C48" s="27">
        <f>IFERROR(C46/C3,"")</f>
        <v/>
      </c>
      <c r="D48" s="27">
        <f>IFERROR(D46/D3,"")</f>
        <v/>
      </c>
      <c r="E48" s="27">
        <f>IFERROR(E46/E3,"")</f>
        <v/>
      </c>
      <c r="F48" s="27">
        <f>IFERROR(F46/F3,"")</f>
        <v/>
      </c>
      <c r="G48" s="27">
        <f>IFERROR(G46/G3,"")</f>
        <v/>
      </c>
      <c r="H48" s="27">
        <f>IFERROR(H46/H3,"")</f>
        <v/>
      </c>
      <c r="I48" s="27">
        <f>IFERROR(I46/I3,"")</f>
        <v/>
      </c>
      <c r="J48" s="27">
        <f>IFERROR(J46/J3,"")</f>
        <v/>
      </c>
      <c r="K48" s="27">
        <f>IFERROR(K46/K3,"")</f>
        <v/>
      </c>
      <c r="L48" s="27">
        <f>IFERROR(L46/L3,"")</f>
        <v/>
      </c>
      <c r="M48" s="27">
        <f>IFERROR(M46/M3,"")</f>
        <v/>
      </c>
      <c r="N48" s="27">
        <f>IFERROR(N46/N3,"")</f>
        <v/>
      </c>
      <c r="O48" s="27">
        <f>IFERROR(O46/O3,"")</f>
        <v/>
      </c>
      <c r="P48" s="27">
        <f>IFERROR(P46/P3,"")</f>
        <v/>
      </c>
      <c r="Q48" s="27">
        <f>IFERROR(Q46/Q3,"")</f>
        <v/>
      </c>
      <c r="R48" s="27">
        <f>IFERROR(R46/R3,"")</f>
        <v/>
      </c>
      <c r="S48" s="27">
        <f>IFERROR(S46/S3,"")</f>
        <v/>
      </c>
      <c r="T48" s="27">
        <f>IFERROR(T46/T3,"")</f>
        <v/>
      </c>
      <c r="U48" s="27">
        <f>IFERROR(U46/U3,"")</f>
        <v/>
      </c>
      <c r="V48" s="27">
        <f>IFERROR(V46/V3,"")</f>
        <v/>
      </c>
      <c r="W48" s="27">
        <f>IFERROR(W46/W3,"")</f>
        <v/>
      </c>
      <c r="X48" s="27">
        <f>IFERROR(X46/X3,"")</f>
        <v/>
      </c>
      <c r="Y48" s="27">
        <f>IFERROR(Y46/Y3,"")</f>
        <v/>
      </c>
      <c r="Z48" s="27">
        <f>IFERROR(Z46/Z3,"")</f>
        <v/>
      </c>
      <c r="AA48" s="27">
        <f>IFERROR(AA46/AA3,"")</f>
        <v/>
      </c>
      <c r="AB48" s="27">
        <f>IFERROR(AB46/AB3,"")</f>
        <v/>
      </c>
      <c r="AC48" s="27">
        <f>IFERROR(AC46/AC3,"")</f>
        <v/>
      </c>
    </row>
    <row r="49">
      <c r="A49" s="5" t="inlineStr">
        <is>
          <t xml:space="preserve">  REVENUE BY SEGMENT — GEOGRAPHY (% YoY, % of revenue)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UNITED STATES</t>
        </is>
      </c>
      <c r="B50" s="20" t="n">
        <v>17300</v>
      </c>
      <c r="C50" s="20" t="n">
        <v>17270</v>
      </c>
      <c r="D50" s="20" t="n">
        <v>19149</v>
      </c>
      <c r="E50" s="20" t="n">
        <v>17428</v>
      </c>
      <c r="F50" s="20" t="n">
        <v>19313</v>
      </c>
      <c r="G50" s="20" t="n">
        <v>19025</v>
      </c>
      <c r="H50" s="20" t="n">
        <v>21836</v>
      </c>
      <c r="I50" s="20" t="n">
        <v>20373</v>
      </c>
      <c r="J50" s="20" t="n">
        <v>22719</v>
      </c>
      <c r="K50" s="20" t="n">
        <v>22830</v>
      </c>
      <c r="L50" s="20" t="n">
        <v>26463</v>
      </c>
      <c r="M50" s="20" t="n">
        <v>24771</v>
      </c>
      <c r="N50" s="20" t="n">
        <v>26154</v>
      </c>
      <c r="O50" s="20" t="n">
        <v>25867</v>
      </c>
      <c r="P50" s="20" t="n">
        <v>26976</v>
      </c>
      <c r="Q50" s="20" t="n">
        <v>26007</v>
      </c>
      <c r="R50" s="20" t="n">
        <v>27894</v>
      </c>
      <c r="S50" s="20" t="n">
        <v>28812</v>
      </c>
      <c r="T50" s="20" t="n">
        <v>32295</v>
      </c>
      <c r="U50" s="20" t="n">
        <v>31437</v>
      </c>
      <c r="V50" s="20" t="n">
        <v>32160</v>
      </c>
      <c r="W50" s="20" t="n">
        <v>33913</v>
      </c>
      <c r="X50" s="20" t="n">
        <v>35537</v>
      </c>
      <c r="Y50" s="20" t="n">
        <v>36084</v>
      </c>
      <c r="Z50" s="20" t="n">
        <v>39012</v>
      </c>
      <c r="AA50" s="20" t="n">
        <v>40077</v>
      </c>
      <c r="AB50" s="20" t="n">
        <v>41410</v>
      </c>
      <c r="AC50" s="20" t="n">
        <v>42336</v>
      </c>
    </row>
    <row r="51">
      <c r="A51" s="4" t="inlineStr">
        <is>
          <t xml:space="preserve">    % YoY</t>
        </is>
      </c>
      <c r="F51" s="27">
        <f>IFERROR(F50/B50-1,"")</f>
        <v/>
      </c>
      <c r="G51" s="27">
        <f>IFERROR(G50/C50-1,"")</f>
        <v/>
      </c>
      <c r="H51" s="27">
        <f>IFERROR(H50/D50-1,"")</f>
        <v/>
      </c>
      <c r="I51" s="27">
        <f>IFERROR(I50/E50-1,"")</f>
        <v/>
      </c>
      <c r="J51" s="27">
        <f>IFERROR(J50/F50-1,"")</f>
        <v/>
      </c>
      <c r="K51" s="27">
        <f>IFERROR(K50/G50-1,"")</f>
        <v/>
      </c>
      <c r="L51" s="27">
        <f>IFERROR(L50/H50-1,"")</f>
        <v/>
      </c>
      <c r="M51" s="27">
        <f>IFERROR(M50/I50-1,"")</f>
        <v/>
      </c>
      <c r="N51" s="27">
        <f>IFERROR(N50/J50-1,"")</f>
        <v/>
      </c>
      <c r="O51" s="27">
        <f>IFERROR(O50/K50-1,"")</f>
        <v/>
      </c>
      <c r="P51" s="27">
        <f>IFERROR(P50/L50-1,"")</f>
        <v/>
      </c>
      <c r="Q51" s="27">
        <f>IFERROR(Q50/M50-1,"")</f>
        <v/>
      </c>
      <c r="R51" s="27">
        <f>IFERROR(R50/N50-1,"")</f>
        <v/>
      </c>
      <c r="S51" s="27">
        <f>IFERROR(S50/O50-1,"")</f>
        <v/>
      </c>
      <c r="T51" s="27">
        <f>IFERROR(T50/P50-1,"")</f>
        <v/>
      </c>
      <c r="U51" s="27">
        <f>IFERROR(U50/Q50-1,"")</f>
        <v/>
      </c>
      <c r="V51" s="27">
        <f>IFERROR(V50/R50-1,"")</f>
        <v/>
      </c>
      <c r="W51" s="27">
        <f>IFERROR(W50/S50-1,"")</f>
        <v/>
      </c>
      <c r="X51" s="27">
        <f>IFERROR(X50/T50-1,"")</f>
        <v/>
      </c>
      <c r="Y51" s="27">
        <f>IFERROR(Y50/U50-1,"")</f>
        <v/>
      </c>
      <c r="Z51" s="27">
        <f>IFERROR(Z50/V50-1,"")</f>
        <v/>
      </c>
      <c r="AA51" s="27">
        <f>IFERROR(AA50/W50-1,"")</f>
        <v/>
      </c>
      <c r="AB51" s="27">
        <f>IFERROR(AB50/X50-1,"")</f>
        <v/>
      </c>
      <c r="AC51" s="27">
        <f>IFERROR(AC50/Y50-1,"")</f>
        <v/>
      </c>
    </row>
    <row r="52">
      <c r="A52" s="4" t="inlineStr">
        <is>
          <t xml:space="preserve">    % of revenue</t>
        </is>
      </c>
      <c r="B52" s="27">
        <f>IFERROR(B50/B3,"")</f>
        <v/>
      </c>
      <c r="C52" s="27">
        <f>IFERROR(C50/C3,"")</f>
        <v/>
      </c>
      <c r="D52" s="27">
        <f>IFERROR(D50/D3,"")</f>
        <v/>
      </c>
      <c r="E52" s="27">
        <f>IFERROR(E50/E3,"")</f>
        <v/>
      </c>
      <c r="F52" s="27">
        <f>IFERROR(F50/F3,"")</f>
        <v/>
      </c>
      <c r="G52" s="27">
        <f>IFERROR(G50/G3,"")</f>
        <v/>
      </c>
      <c r="H52" s="27">
        <f>IFERROR(H50/H3,"")</f>
        <v/>
      </c>
      <c r="I52" s="27">
        <f>IFERROR(I50/I3,"")</f>
        <v/>
      </c>
      <c r="J52" s="27">
        <f>IFERROR(J50/J3,"")</f>
        <v/>
      </c>
      <c r="K52" s="27">
        <f>IFERROR(K50/K3,"")</f>
        <v/>
      </c>
      <c r="L52" s="27">
        <f>IFERROR(L50/L3,"")</f>
        <v/>
      </c>
      <c r="M52" s="27">
        <f>IFERROR(M50/M3,"")</f>
        <v/>
      </c>
      <c r="N52" s="27">
        <f>IFERROR(N50/N3,"")</f>
        <v/>
      </c>
      <c r="O52" s="27">
        <f>IFERROR(O50/O3,"")</f>
        <v/>
      </c>
      <c r="P52" s="27">
        <f>IFERROR(P50/P3,"")</f>
        <v/>
      </c>
      <c r="Q52" s="27">
        <f>IFERROR(Q50/Q3,"")</f>
        <v/>
      </c>
      <c r="R52" s="27">
        <f>IFERROR(R50/R3,"")</f>
        <v/>
      </c>
      <c r="S52" s="27">
        <f>IFERROR(S50/S3,"")</f>
        <v/>
      </c>
      <c r="T52" s="27">
        <f>IFERROR(T50/T3,"")</f>
        <v/>
      </c>
      <c r="U52" s="27">
        <f>IFERROR(U50/U3,"")</f>
        <v/>
      </c>
      <c r="V52" s="27">
        <f>IFERROR(V50/V3,"")</f>
        <v/>
      </c>
      <c r="W52" s="27">
        <f>IFERROR(W50/W3,"")</f>
        <v/>
      </c>
      <c r="X52" s="27">
        <f>IFERROR(X50/X3,"")</f>
        <v/>
      </c>
      <c r="Y52" s="27">
        <f>IFERROR(Y50/Y3,"")</f>
        <v/>
      </c>
      <c r="Z52" s="27">
        <f>IFERROR(Z50/Z3,"")</f>
        <v/>
      </c>
      <c r="AA52" s="27">
        <f>IFERROR(AA50/AA3,"")</f>
        <v/>
      </c>
      <c r="AB52" s="27">
        <f>IFERROR(AB50/AB3,"")</f>
        <v/>
      </c>
      <c r="AC52" s="27">
        <f>IFERROR(AC50/AC3,"")</f>
        <v/>
      </c>
    </row>
    <row r="53">
      <c r="A53" s="4" t="inlineStr">
        <is>
          <t>Non Us</t>
        </is>
      </c>
      <c r="B53" s="20" t="n">
        <v>16417</v>
      </c>
      <c r="C53" s="20" t="n">
        <v>15785</v>
      </c>
      <c r="D53" s="20" t="n">
        <v>17757</v>
      </c>
      <c r="E53" s="20" t="n">
        <v>17593</v>
      </c>
      <c r="F53" s="20" t="n">
        <v>18720</v>
      </c>
      <c r="G53" s="20" t="n">
        <v>18129</v>
      </c>
      <c r="H53" s="20" t="n">
        <v>21240</v>
      </c>
      <c r="I53" s="20" t="n">
        <v>21333</v>
      </c>
      <c r="J53" s="20" t="n">
        <v>23433</v>
      </c>
      <c r="K53" s="20" t="n">
        <v>22487</v>
      </c>
      <c r="L53" s="20" t="n">
        <v>25265</v>
      </c>
      <c r="M53" s="20" t="n">
        <v>24589</v>
      </c>
      <c r="N53" s="20" t="n">
        <v>25711</v>
      </c>
      <c r="O53" s="20" t="n">
        <v>24255</v>
      </c>
      <c r="P53" s="20" t="n">
        <v>25771</v>
      </c>
      <c r="Q53" s="20" t="n">
        <v>26850</v>
      </c>
      <c r="R53" s="20" t="n">
        <v>28295</v>
      </c>
      <c r="S53" s="20" t="n">
        <v>27705</v>
      </c>
      <c r="T53" s="20" t="n">
        <v>29725</v>
      </c>
      <c r="U53" s="20" t="n">
        <v>30421</v>
      </c>
      <c r="V53" s="20" t="n">
        <v>32567</v>
      </c>
      <c r="W53" s="20" t="n">
        <v>31672</v>
      </c>
      <c r="X53" s="20" t="n">
        <v>34095</v>
      </c>
      <c r="Y53" s="20" t="n">
        <v>33982</v>
      </c>
      <c r="Z53" s="20" t="n">
        <v>37429</v>
      </c>
      <c r="AA53" s="20" t="n">
        <v>37596</v>
      </c>
      <c r="AB53" s="20" t="n">
        <v>39863</v>
      </c>
      <c r="AC53" s="20" t="n">
        <v>40550</v>
      </c>
    </row>
    <row r="54">
      <c r="A54" s="4" t="inlineStr">
        <is>
          <t xml:space="preserve">    % YoY</t>
        </is>
      </c>
      <c r="F54" s="27">
        <f>IFERROR(F53/B53-1,"")</f>
        <v/>
      </c>
      <c r="G54" s="27">
        <f>IFERROR(G53/C53-1,"")</f>
        <v/>
      </c>
      <c r="H54" s="27">
        <f>IFERROR(H53/D53-1,"")</f>
        <v/>
      </c>
      <c r="I54" s="27">
        <f>IFERROR(I53/E53-1,"")</f>
        <v/>
      </c>
      <c r="J54" s="27">
        <f>IFERROR(J53/F53-1,"")</f>
        <v/>
      </c>
      <c r="K54" s="27">
        <f>IFERROR(K53/G53-1,"")</f>
        <v/>
      </c>
      <c r="L54" s="27">
        <f>IFERROR(L53/H53-1,"")</f>
        <v/>
      </c>
      <c r="M54" s="27">
        <f>IFERROR(M53/I53-1,"")</f>
        <v/>
      </c>
      <c r="N54" s="27">
        <f>IFERROR(N53/J53-1,"")</f>
        <v/>
      </c>
      <c r="O54" s="27">
        <f>IFERROR(O53/K53-1,"")</f>
        <v/>
      </c>
      <c r="P54" s="27">
        <f>IFERROR(P53/L53-1,"")</f>
        <v/>
      </c>
      <c r="Q54" s="27">
        <f>IFERROR(Q53/M53-1,"")</f>
        <v/>
      </c>
      <c r="R54" s="27">
        <f>IFERROR(R53/N53-1,"")</f>
        <v/>
      </c>
      <c r="S54" s="27">
        <f>IFERROR(S53/O53-1,"")</f>
        <v/>
      </c>
      <c r="T54" s="27">
        <f>IFERROR(T53/P53-1,"")</f>
        <v/>
      </c>
      <c r="U54" s="27">
        <f>IFERROR(U53/Q53-1,"")</f>
        <v/>
      </c>
      <c r="V54" s="27">
        <f>IFERROR(V53/R53-1,"")</f>
        <v/>
      </c>
      <c r="W54" s="27">
        <f>IFERROR(W53/S53-1,"")</f>
        <v/>
      </c>
      <c r="X54" s="27">
        <f>IFERROR(X53/T53-1,"")</f>
        <v/>
      </c>
      <c r="Y54" s="27">
        <f>IFERROR(Y53/U53-1,"")</f>
        <v/>
      </c>
      <c r="Z54" s="27">
        <f>IFERROR(Z53/V53-1,"")</f>
        <v/>
      </c>
      <c r="AA54" s="27">
        <f>IFERROR(AA53/W53-1,"")</f>
        <v/>
      </c>
      <c r="AB54" s="27">
        <f>IFERROR(AB53/X53-1,"")</f>
        <v/>
      </c>
      <c r="AC54" s="27">
        <f>IFERROR(AC53/Y53-1,"")</f>
        <v/>
      </c>
    </row>
    <row r="55">
      <c r="A55" s="4" t="inlineStr">
        <is>
          <t xml:space="preserve">    % of revenue</t>
        </is>
      </c>
      <c r="B55" s="27">
        <f>IFERROR(B53/B3,"")</f>
        <v/>
      </c>
      <c r="C55" s="27">
        <f>IFERROR(C53/C3,"")</f>
        <v/>
      </c>
      <c r="D55" s="27">
        <f>IFERROR(D53/D3,"")</f>
        <v/>
      </c>
      <c r="E55" s="27">
        <f>IFERROR(E53/E3,"")</f>
        <v/>
      </c>
      <c r="F55" s="27">
        <f>IFERROR(F53/F3,"")</f>
        <v/>
      </c>
      <c r="G55" s="27">
        <f>IFERROR(G53/G3,"")</f>
        <v/>
      </c>
      <c r="H55" s="27">
        <f>IFERROR(H53/H3,"")</f>
        <v/>
      </c>
      <c r="I55" s="27">
        <f>IFERROR(I53/I3,"")</f>
        <v/>
      </c>
      <c r="J55" s="27">
        <f>IFERROR(J53/J3,"")</f>
        <v/>
      </c>
      <c r="K55" s="27">
        <f>IFERROR(K53/K3,"")</f>
        <v/>
      </c>
      <c r="L55" s="27">
        <f>IFERROR(L53/L3,"")</f>
        <v/>
      </c>
      <c r="M55" s="27">
        <f>IFERROR(M53/M3,"")</f>
        <v/>
      </c>
      <c r="N55" s="27">
        <f>IFERROR(N53/N3,"")</f>
        <v/>
      </c>
      <c r="O55" s="27">
        <f>IFERROR(O53/O3,"")</f>
        <v/>
      </c>
      <c r="P55" s="27">
        <f>IFERROR(P53/P3,"")</f>
        <v/>
      </c>
      <c r="Q55" s="27">
        <f>IFERROR(Q53/Q3,"")</f>
        <v/>
      </c>
      <c r="R55" s="27">
        <f>IFERROR(R53/R3,"")</f>
        <v/>
      </c>
      <c r="S55" s="27">
        <f>IFERROR(S53/S3,"")</f>
        <v/>
      </c>
      <c r="T55" s="27">
        <f>IFERROR(T53/T3,"")</f>
        <v/>
      </c>
      <c r="U55" s="27">
        <f>IFERROR(U53/U3,"")</f>
        <v/>
      </c>
      <c r="V55" s="27">
        <f>IFERROR(V53/V3,"")</f>
        <v/>
      </c>
      <c r="W55" s="27">
        <f>IFERROR(W53/W3,"")</f>
        <v/>
      </c>
      <c r="X55" s="27">
        <f>IFERROR(X53/X3,"")</f>
        <v/>
      </c>
      <c r="Y55" s="27">
        <f>IFERROR(Y53/Y3,"")</f>
        <v/>
      </c>
      <c r="Z55" s="27">
        <f>IFERROR(Z53/Z3,"")</f>
        <v/>
      </c>
      <c r="AA55" s="27">
        <f>IFERROR(AA53/AA3,"")</f>
        <v/>
      </c>
      <c r="AB55" s="27">
        <f>IFERROR(AB53/AB3,"")</f>
        <v/>
      </c>
      <c r="AC55" s="27">
        <f>IFERROR(AC53/AC3,"")</f>
        <v/>
      </c>
    </row>
    <row r="56">
      <c r="A56" s="5" t="inlineStr">
        <is>
          <t xml:space="preserve">  BALANCE SHEET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</row>
    <row r="57">
      <c r="A57" s="4" t="inlineStr">
        <is>
          <t>Cash &amp; ST Investments</t>
        </is>
      </c>
      <c r="B57" s="20" t="n">
        <v>133819</v>
      </c>
      <c r="C57" s="20" t="n">
        <v>136636</v>
      </c>
      <c r="D57" s="20" t="n">
        <v>134253</v>
      </c>
      <c r="E57" s="20" t="n">
        <v>137626</v>
      </c>
      <c r="F57" s="20" t="n">
        <v>136527</v>
      </c>
      <c r="G57" s="20" t="n">
        <v>137977</v>
      </c>
      <c r="H57" s="20" t="n">
        <v>131968</v>
      </c>
      <c r="I57" s="20" t="n">
        <v>125407</v>
      </c>
      <c r="J57" s="20" t="n">
        <v>130256</v>
      </c>
      <c r="K57" s="20" t="n">
        <v>130584</v>
      </c>
      <c r="L57" s="20" t="n">
        <v>125348</v>
      </c>
      <c r="M57" s="20" t="n">
        <v>104660</v>
      </c>
      <c r="N57" s="20" t="n">
        <v>104749</v>
      </c>
      <c r="O57" s="20" t="n">
        <v>107244</v>
      </c>
      <c r="P57" s="20" t="n">
        <v>99495</v>
      </c>
      <c r="Q57" s="20" t="n">
        <v>104419</v>
      </c>
      <c r="R57" s="20" t="n">
        <v>111256</v>
      </c>
      <c r="S57" s="20" t="n">
        <v>143945</v>
      </c>
      <c r="T57" s="20" t="n">
        <v>80982</v>
      </c>
      <c r="U57" s="20" t="n">
        <v>80013</v>
      </c>
      <c r="V57" s="20" t="n">
        <v>75531</v>
      </c>
      <c r="W57" s="20" t="n">
        <v>78429</v>
      </c>
      <c r="X57" s="20" t="n">
        <v>71551</v>
      </c>
      <c r="Y57" s="20" t="n">
        <v>79612</v>
      </c>
      <c r="Z57" s="20" t="n">
        <v>94555</v>
      </c>
      <c r="AA57" s="20" t="n">
        <v>102005</v>
      </c>
      <c r="AB57" s="20" t="n">
        <v>89456</v>
      </c>
      <c r="AC57" s="20" t="n">
        <v>78272</v>
      </c>
    </row>
    <row r="58">
      <c r="A58" s="4" t="inlineStr">
        <is>
          <t>Total Current Assets</t>
        </is>
      </c>
      <c r="B58" s="20" t="n">
        <v>175552</v>
      </c>
      <c r="C58" s="20" t="n">
        <v>165896</v>
      </c>
      <c r="D58" s="20" t="n">
        <v>167074</v>
      </c>
      <c r="E58" s="20" t="n">
        <v>170505</v>
      </c>
      <c r="F58" s="20" t="n">
        <v>181915</v>
      </c>
      <c r="G58" s="20" t="n">
        <v>177077</v>
      </c>
      <c r="H58" s="20" t="n">
        <v>173973</v>
      </c>
      <c r="I58" s="20" t="n">
        <v>165614</v>
      </c>
      <c r="J58" s="20" t="n">
        <v>184406</v>
      </c>
      <c r="K58" s="20" t="n">
        <v>174326</v>
      </c>
      <c r="L58" s="20" t="n">
        <v>174188</v>
      </c>
      <c r="M58" s="20" t="n">
        <v>153922</v>
      </c>
      <c r="N58" s="20" t="n">
        <v>169684</v>
      </c>
      <c r="O58" s="20" t="n">
        <v>160812</v>
      </c>
      <c r="P58" s="20" t="n">
        <v>157823</v>
      </c>
      <c r="Q58" s="20" t="n">
        <v>163889</v>
      </c>
      <c r="R58" s="20" t="n">
        <v>184257</v>
      </c>
      <c r="S58" s="20" t="n">
        <v>207586</v>
      </c>
      <c r="T58" s="20" t="n">
        <v>147393</v>
      </c>
      <c r="U58" s="20" t="n">
        <v>147180</v>
      </c>
      <c r="V58" s="20" t="n">
        <v>159734</v>
      </c>
      <c r="W58" s="20" t="n">
        <v>149926</v>
      </c>
      <c r="X58" s="20" t="n">
        <v>147080</v>
      </c>
      <c r="Y58" s="20" t="n">
        <v>156644</v>
      </c>
      <c r="Z58" s="20" t="n">
        <v>191131</v>
      </c>
      <c r="AA58" s="20" t="n">
        <v>189066</v>
      </c>
      <c r="AB58" s="20" t="n">
        <v>180190</v>
      </c>
      <c r="AC58" s="20" t="n">
        <v>175329</v>
      </c>
    </row>
    <row r="59">
      <c r="A59" s="4" t="inlineStr">
        <is>
          <t>PP&amp;E (net)</t>
        </is>
      </c>
      <c r="B59" s="20" t="n">
        <v>43856</v>
      </c>
      <c r="C59" s="20" t="n">
        <v>46299</v>
      </c>
      <c r="D59" s="20" t="n">
        <v>48961</v>
      </c>
      <c r="E59" s="20" t="n">
        <v>49669</v>
      </c>
      <c r="F59" s="20" t="n">
        <v>52904</v>
      </c>
      <c r="G59" s="20" t="n">
        <v>56974</v>
      </c>
      <c r="H59" s="20" t="n">
        <v>62035</v>
      </c>
      <c r="I59" s="20" t="n">
        <v>65618</v>
      </c>
      <c r="J59" s="20" t="n">
        <v>70803</v>
      </c>
      <c r="K59" s="20" t="n">
        <v>75347</v>
      </c>
      <c r="L59" s="20" t="n">
        <v>79568</v>
      </c>
      <c r="M59" s="20" t="n">
        <v>83214</v>
      </c>
      <c r="N59" s="20" t="n">
        <v>87546</v>
      </c>
      <c r="O59" s="20" t="n">
        <v>90384</v>
      </c>
      <c r="P59" s="20" t="n">
        <v>96379</v>
      </c>
      <c r="Q59" s="20" t="n">
        <v>102011</v>
      </c>
      <c r="R59" s="20" t="n">
        <v>109987</v>
      </c>
      <c r="S59" s="20" t="n">
        <v>117937</v>
      </c>
      <c r="T59" s="20" t="n">
        <v>128706</v>
      </c>
      <c r="U59" s="20" t="n">
        <v>138746</v>
      </c>
      <c r="V59" s="20" t="n">
        <v>154552</v>
      </c>
      <c r="W59" s="20" t="n">
        <v>173391</v>
      </c>
      <c r="X59" s="20" t="n">
        <v>189718</v>
      </c>
      <c r="Y59" s="20" t="n">
        <v>208414</v>
      </c>
      <c r="Z59" s="20" t="n">
        <v>229789</v>
      </c>
      <c r="AA59" s="20" t="n">
        <v>255652</v>
      </c>
      <c r="AB59" s="20" t="n">
        <v>286229</v>
      </c>
      <c r="AC59" s="20" t="n">
        <v>307631</v>
      </c>
    </row>
    <row r="60">
      <c r="A60" s="4" t="inlineStr">
        <is>
          <t>Total Assets</t>
        </is>
      </c>
      <c r="B60" s="20" t="n">
        <v>286556</v>
      </c>
      <c r="C60" s="20" t="n">
        <v>278955</v>
      </c>
      <c r="D60" s="20" t="n">
        <v>282794</v>
      </c>
      <c r="E60" s="20" t="n">
        <v>285449</v>
      </c>
      <c r="F60" s="20" t="n">
        <v>301311</v>
      </c>
      <c r="G60" s="20" t="n">
        <v>301001</v>
      </c>
      <c r="H60" s="20" t="n">
        <v>304137</v>
      </c>
      <c r="I60" s="20" t="n">
        <v>308879</v>
      </c>
      <c r="J60" s="20" t="n">
        <v>333779</v>
      </c>
      <c r="K60" s="20" t="n">
        <v>335418</v>
      </c>
      <c r="L60" s="20" t="n">
        <v>340389</v>
      </c>
      <c r="M60" s="20" t="n">
        <v>344607</v>
      </c>
      <c r="N60" s="20" t="n">
        <v>364840</v>
      </c>
      <c r="O60" s="20" t="n">
        <v>359784</v>
      </c>
      <c r="P60" s="20" t="n">
        <v>364552</v>
      </c>
      <c r="Q60" s="20" t="n">
        <v>380088</v>
      </c>
      <c r="R60" s="20" t="n">
        <v>411976</v>
      </c>
      <c r="S60" s="20" t="n">
        <v>445785</v>
      </c>
      <c r="T60" s="20" t="n">
        <v>470558</v>
      </c>
      <c r="U60" s="20" t="n">
        <v>484275</v>
      </c>
      <c r="V60" s="20" t="n">
        <v>512163</v>
      </c>
      <c r="W60" s="20" t="n">
        <v>523013</v>
      </c>
      <c r="X60" s="20" t="n">
        <v>533898</v>
      </c>
      <c r="Y60" s="20" t="n">
        <v>562624</v>
      </c>
      <c r="Z60" s="20" t="n">
        <v>619003</v>
      </c>
      <c r="AA60" s="20" t="n">
        <v>636351</v>
      </c>
      <c r="AB60" s="20" t="n">
        <v>665302</v>
      </c>
      <c r="AC60" s="20" t="n">
        <v>694228</v>
      </c>
    </row>
    <row r="61">
      <c r="A61" s="4" t="inlineStr">
        <is>
          <t>Total Current Liabilities</t>
        </is>
      </c>
      <c r="B61" s="20" t="n">
        <v>69420</v>
      </c>
      <c r="C61" s="20" t="n">
        <v>58118</v>
      </c>
      <c r="D61" s="20" t="n">
        <v>59640</v>
      </c>
      <c r="E61" s="20" t="n">
        <v>58707</v>
      </c>
      <c r="F61" s="20" t="n">
        <v>72310</v>
      </c>
      <c r="G61" s="20" t="n">
        <v>70056</v>
      </c>
      <c r="H61" s="20" t="n">
        <v>67486</v>
      </c>
      <c r="I61" s="20" t="n">
        <v>72193</v>
      </c>
      <c r="J61" s="20" t="n">
        <v>88657</v>
      </c>
      <c r="K61" s="20" t="n">
        <v>80528</v>
      </c>
      <c r="L61" s="20" t="n">
        <v>77510</v>
      </c>
      <c r="M61" s="20" t="n">
        <v>77439</v>
      </c>
      <c r="N61" s="20" t="n">
        <v>95082</v>
      </c>
      <c r="O61" s="20" t="n">
        <v>87389</v>
      </c>
      <c r="P61" s="20" t="n">
        <v>81718</v>
      </c>
      <c r="Q61" s="20" t="n">
        <v>85691</v>
      </c>
      <c r="R61" s="20" t="n">
        <v>104149</v>
      </c>
      <c r="S61" s="20" t="n">
        <v>124792</v>
      </c>
      <c r="T61" s="20" t="n">
        <v>121016</v>
      </c>
      <c r="U61" s="20" t="n">
        <v>118525</v>
      </c>
      <c r="V61" s="20" t="n">
        <v>125286</v>
      </c>
      <c r="W61" s="20" t="n">
        <v>115200</v>
      </c>
      <c r="X61" s="20" t="n">
        <v>108882</v>
      </c>
      <c r="Y61" s="20" t="n">
        <v>114206</v>
      </c>
      <c r="Z61" s="20" t="n">
        <v>141218</v>
      </c>
      <c r="AA61" s="20" t="n">
        <v>134996</v>
      </c>
      <c r="AB61" s="20" t="n">
        <v>130005</v>
      </c>
      <c r="AC61" s="20" t="n">
        <v>136661</v>
      </c>
    </row>
    <row r="62">
      <c r="A62" s="4" t="inlineStr">
        <is>
          <t>Long-term Debt</t>
        </is>
      </c>
      <c r="B62" s="20" t="n">
        <v>66662</v>
      </c>
      <c r="C62" s="20" t="n">
        <v>66478</v>
      </c>
      <c r="D62" s="20" t="n">
        <v>63361</v>
      </c>
      <c r="E62" s="20" t="n">
        <v>62862</v>
      </c>
      <c r="F62" s="20" t="n">
        <v>59578</v>
      </c>
      <c r="G62" s="20" t="n">
        <v>57055</v>
      </c>
      <c r="H62" s="20" t="n">
        <v>55136</v>
      </c>
      <c r="I62" s="20" t="n">
        <v>50007</v>
      </c>
      <c r="J62" s="20" t="n">
        <v>50074</v>
      </c>
      <c r="K62" s="20" t="n">
        <v>50039</v>
      </c>
      <c r="L62" s="20" t="n">
        <v>48260</v>
      </c>
      <c r="M62" s="20" t="n">
        <v>48177</v>
      </c>
      <c r="N62" s="20" t="n">
        <v>47032</v>
      </c>
      <c r="O62" s="20" t="n">
        <v>45374</v>
      </c>
      <c r="P62" s="20" t="n">
        <v>44119</v>
      </c>
      <c r="Q62" s="20" t="n">
        <v>41965</v>
      </c>
      <c r="R62" s="20" t="n">
        <v>41990</v>
      </c>
      <c r="S62" s="20" t="n">
        <v>41946</v>
      </c>
      <c r="T62" s="20" t="n">
        <v>44928</v>
      </c>
      <c r="U62" s="20" t="n">
        <v>42658</v>
      </c>
      <c r="V62" s="20" t="n">
        <v>42688</v>
      </c>
      <c r="W62" s="20" t="n">
        <v>42868</v>
      </c>
      <c r="X62" s="20" t="n">
        <v>39722</v>
      </c>
      <c r="Y62" s="20" t="n">
        <v>39882</v>
      </c>
      <c r="Z62" s="20" t="n">
        <v>40152</v>
      </c>
      <c r="AA62" s="20" t="n">
        <v>35376</v>
      </c>
      <c r="AB62" s="20" t="n">
        <v>35425</v>
      </c>
      <c r="AC62" s="20" t="n">
        <v>48126</v>
      </c>
    </row>
    <row r="63">
      <c r="A63" s="4" t="inlineStr">
        <is>
          <t>Total Equity</t>
        </is>
      </c>
      <c r="B63" s="20" t="n">
        <v>102330</v>
      </c>
      <c r="C63" s="20" t="n">
        <v>106061</v>
      </c>
      <c r="D63" s="20" t="n">
        <v>110109</v>
      </c>
      <c r="E63" s="20" t="n">
        <v>114501</v>
      </c>
      <c r="F63" s="20" t="n">
        <v>118304</v>
      </c>
      <c r="G63" s="20" t="n">
        <v>123392</v>
      </c>
      <c r="H63" s="20" t="n">
        <v>130236</v>
      </c>
      <c r="I63" s="20" t="n">
        <v>134505</v>
      </c>
      <c r="J63" s="20" t="n">
        <v>141988</v>
      </c>
      <c r="K63" s="20" t="n">
        <v>151978</v>
      </c>
      <c r="L63" s="20" t="n">
        <v>160010</v>
      </c>
      <c r="M63" s="20" t="n">
        <v>162924</v>
      </c>
      <c r="N63" s="20" t="n">
        <v>166542</v>
      </c>
      <c r="O63" s="20" t="n">
        <v>173566</v>
      </c>
      <c r="P63" s="20" t="n">
        <v>183136</v>
      </c>
      <c r="Q63" s="20" t="n">
        <v>194683</v>
      </c>
      <c r="R63" s="20" t="n">
        <v>206223</v>
      </c>
      <c r="S63" s="20" t="n">
        <v>220714</v>
      </c>
      <c r="T63" s="20" t="n">
        <v>238268</v>
      </c>
      <c r="U63" s="20" t="n">
        <v>253152</v>
      </c>
      <c r="V63" s="20" t="n">
        <v>268477</v>
      </c>
      <c r="W63" s="20" t="n">
        <v>287723</v>
      </c>
      <c r="X63" s="20" t="n">
        <v>302695</v>
      </c>
      <c r="Y63" s="20" t="n">
        <v>321891</v>
      </c>
      <c r="Z63" s="20" t="n">
        <v>343479</v>
      </c>
      <c r="AA63" s="20" t="n">
        <v>363076</v>
      </c>
      <c r="AB63" s="20" t="n">
        <v>390875</v>
      </c>
      <c r="AC63" s="20" t="n">
        <v>414367</v>
      </c>
    </row>
    <row r="64">
      <c r="A64" s="5" t="inlineStr">
        <is>
          <t xml:space="preserve">  CASH FLOW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</row>
    <row r="65">
      <c r="A65" s="4" t="inlineStr">
        <is>
          <t>D&amp;A</t>
        </is>
      </c>
      <c r="B65" s="20" t="n">
        <v>2924</v>
      </c>
      <c r="C65" s="20" t="n">
        <v>2971</v>
      </c>
      <c r="D65" s="20" t="n">
        <v>3203</v>
      </c>
      <c r="E65" s="20" t="n">
        <v>3118</v>
      </c>
      <c r="F65" s="20" t="n">
        <v>3504</v>
      </c>
      <c r="G65" s="20" t="n">
        <v>2645</v>
      </c>
      <c r="H65" s="20" t="n">
        <v>2761</v>
      </c>
      <c r="I65" s="20" t="n">
        <v>2936</v>
      </c>
      <c r="J65" s="20" t="n">
        <v>3344</v>
      </c>
      <c r="K65" s="20" t="n">
        <v>3212</v>
      </c>
      <c r="L65" s="20" t="n">
        <v>3496</v>
      </c>
      <c r="M65" s="20" t="n">
        <v>3773</v>
      </c>
      <c r="N65" s="20" t="n">
        <v>3979</v>
      </c>
      <c r="O65" s="20" t="n">
        <v>2790</v>
      </c>
      <c r="P65" s="20" t="n">
        <v>3648</v>
      </c>
      <c r="Q65" s="20" t="n">
        <v>3549</v>
      </c>
      <c r="R65" s="20" t="n">
        <v>3874</v>
      </c>
      <c r="S65" s="20" t="n">
        <v>3921</v>
      </c>
      <c r="T65" s="20" t="n">
        <v>5959</v>
      </c>
      <c r="U65" s="20" t="n">
        <v>6027</v>
      </c>
      <c r="V65" s="20" t="n">
        <v>6380</v>
      </c>
      <c r="W65" s="20" t="n">
        <v>7383</v>
      </c>
      <c r="X65" s="20" t="n">
        <v>5667</v>
      </c>
      <c r="Y65" s="20" t="n">
        <v>8740</v>
      </c>
      <c r="Z65" s="20" t="n">
        <v>11203</v>
      </c>
      <c r="AA65" s="20" t="n">
        <v>13061</v>
      </c>
      <c r="AB65" s="20" t="n">
        <v>9198</v>
      </c>
      <c r="AC65" s="20" t="n">
        <v>10167</v>
      </c>
    </row>
    <row r="66">
      <c r="A66" s="4" t="inlineStr">
        <is>
          <t>Stock-based Compensation</t>
        </is>
      </c>
      <c r="B66" s="20" t="n">
        <v>1190</v>
      </c>
      <c r="C66" s="20" t="n">
        <v>1262</v>
      </c>
      <c r="D66" s="20" t="n">
        <v>1340</v>
      </c>
      <c r="E66" s="20" t="n">
        <v>1338</v>
      </c>
      <c r="F66" s="20" t="n">
        <v>1349</v>
      </c>
      <c r="G66" s="20" t="n">
        <v>1456</v>
      </c>
      <c r="H66" s="20" t="n">
        <v>1566</v>
      </c>
      <c r="I66" s="20" t="n">
        <v>1525</v>
      </c>
      <c r="J66" s="20" t="n">
        <v>1571</v>
      </c>
      <c r="K66" s="20" t="n">
        <v>1702</v>
      </c>
      <c r="L66" s="20" t="n">
        <v>1897</v>
      </c>
      <c r="M66" s="20" t="n">
        <v>1906</v>
      </c>
      <c r="N66" s="20" t="n">
        <v>1997</v>
      </c>
      <c r="O66" s="20" t="n">
        <v>2192</v>
      </c>
      <c r="P66" s="20" t="n">
        <v>2538</v>
      </c>
      <c r="Q66" s="20" t="n">
        <v>2465</v>
      </c>
      <c r="R66" s="20" t="n">
        <v>2416</v>
      </c>
      <c r="S66" s="20" t="n">
        <v>2507</v>
      </c>
      <c r="T66" s="20" t="n">
        <v>2828</v>
      </c>
      <c r="U66" s="20" t="n">
        <v>2703</v>
      </c>
      <c r="V66" s="20" t="n">
        <v>2696</v>
      </c>
      <c r="W66" s="20" t="n">
        <v>2832</v>
      </c>
      <c r="X66" s="20" t="n">
        <v>3089</v>
      </c>
      <c r="Y66" s="20" t="n">
        <v>2980</v>
      </c>
      <c r="Z66" s="20" t="n">
        <v>3073</v>
      </c>
      <c r="AA66" s="20" t="n">
        <v>2983</v>
      </c>
      <c r="AB66" s="20" t="n">
        <v>3219</v>
      </c>
      <c r="AC66" s="20" t="n">
        <v>3081</v>
      </c>
    </row>
    <row r="67">
      <c r="A67" s="4" t="inlineStr">
        <is>
          <t>Change in Working Capital</t>
        </is>
      </c>
      <c r="B67" s="20" t="n">
        <v>4852</v>
      </c>
      <c r="C67" s="20" t="n">
        <v>-927</v>
      </c>
      <c r="D67" s="20" t="n">
        <v>-5256</v>
      </c>
      <c r="E67" s="20" t="n">
        <v>2450</v>
      </c>
      <c r="F67" s="20" t="n">
        <v>2250</v>
      </c>
      <c r="G67" s="20" t="n">
        <v>1480</v>
      </c>
      <c r="H67" s="20" t="n">
        <v>-6903</v>
      </c>
      <c r="I67" s="20" t="n">
        <v>2700</v>
      </c>
      <c r="J67" s="20" t="n">
        <v>1787</v>
      </c>
      <c r="K67" s="20" t="n">
        <v>5455</v>
      </c>
      <c r="L67" s="20" t="n">
        <v>-9554</v>
      </c>
      <c r="M67" s="20" t="n">
        <v>3072</v>
      </c>
      <c r="N67" s="20" t="n">
        <v>1473</v>
      </c>
      <c r="O67" s="20" t="n">
        <v>1873</v>
      </c>
      <c r="P67" s="20" t="n">
        <v>-10347</v>
      </c>
      <c r="Q67" s="20" t="n">
        <v>1843</v>
      </c>
      <c r="R67" s="20" t="n">
        <v>4243</v>
      </c>
      <c r="S67" s="20" t="n">
        <v>2418</v>
      </c>
      <c r="T67" s="20" t="n">
        <v>-10300</v>
      </c>
      <c r="U67" s="20" t="n">
        <v>2522</v>
      </c>
      <c r="V67" s="20" t="n">
        <v>7184</v>
      </c>
      <c r="W67" s="20" t="n">
        <v>856</v>
      </c>
      <c r="X67" s="20" t="n">
        <v>-11551</v>
      </c>
      <c r="Y67" s="20" t="n">
        <v>2042</v>
      </c>
      <c r="Z67" s="20" t="n">
        <v>3303</v>
      </c>
      <c r="AA67" s="20" t="n">
        <v>-218</v>
      </c>
      <c r="AB67" s="20" t="n">
        <v>-9632</v>
      </c>
      <c r="AC67" s="20" t="n">
        <v>331</v>
      </c>
    </row>
    <row r="68">
      <c r="A68" s="4" t="inlineStr">
        <is>
          <t>Operating Cash Flow</t>
        </is>
      </c>
      <c r="B68" s="20" t="n">
        <v>16108</v>
      </c>
      <c r="C68" s="20" t="n">
        <v>13818</v>
      </c>
      <c r="D68" s="20" t="n">
        <v>10680</v>
      </c>
      <c r="E68" s="20" t="n">
        <v>17504</v>
      </c>
      <c r="F68" s="20" t="n">
        <v>18673</v>
      </c>
      <c r="G68" s="20" t="n">
        <v>19335</v>
      </c>
      <c r="H68" s="20" t="n">
        <v>12516</v>
      </c>
      <c r="I68" s="20" t="n">
        <v>22179</v>
      </c>
      <c r="J68" s="20" t="n">
        <v>22710</v>
      </c>
      <c r="K68" s="20" t="n">
        <v>24540</v>
      </c>
      <c r="L68" s="20" t="n">
        <v>14480</v>
      </c>
      <c r="M68" s="20" t="n">
        <v>25386</v>
      </c>
      <c r="N68" s="20" t="n">
        <v>24629</v>
      </c>
      <c r="O68" s="20" t="n">
        <v>23198</v>
      </c>
      <c r="P68" s="20" t="n">
        <v>11173</v>
      </c>
      <c r="Q68" s="20" t="n">
        <v>24441</v>
      </c>
      <c r="R68" s="20" t="n">
        <v>28770</v>
      </c>
      <c r="S68" s="20" t="n">
        <v>30583</v>
      </c>
      <c r="T68" s="20" t="n">
        <v>18853</v>
      </c>
      <c r="U68" s="20" t="n">
        <v>31917</v>
      </c>
      <c r="V68" s="20" t="n">
        <v>37195</v>
      </c>
      <c r="W68" s="20" t="n">
        <v>34180</v>
      </c>
      <c r="X68" s="20" t="n">
        <v>22291</v>
      </c>
      <c r="Y68" s="20" t="n">
        <v>37044</v>
      </c>
      <c r="Z68" s="20" t="n">
        <v>42647</v>
      </c>
      <c r="AA68" s="20" t="n">
        <v>45057</v>
      </c>
      <c r="AB68" s="20" t="n">
        <v>35758</v>
      </c>
      <c r="AC68" s="20" t="n">
        <v>46679</v>
      </c>
    </row>
    <row r="69">
      <c r="A69" s="4" t="inlineStr">
        <is>
          <t>Capex</t>
        </is>
      </c>
      <c r="B69" s="20" t="n">
        <v>-4051</v>
      </c>
      <c r="C69" s="20" t="n">
        <v>-3385</v>
      </c>
      <c r="D69" s="20" t="n">
        <v>-3545</v>
      </c>
      <c r="E69" s="20" t="n">
        <v>-3767</v>
      </c>
      <c r="F69" s="20" t="n">
        <v>-4744</v>
      </c>
      <c r="G69" s="20" t="n">
        <v>-4907</v>
      </c>
      <c r="H69" s="20" t="n">
        <v>-4174</v>
      </c>
      <c r="I69" s="20" t="n">
        <v>-5089</v>
      </c>
      <c r="J69" s="20" t="n">
        <v>-6452</v>
      </c>
      <c r="K69" s="20" t="n">
        <v>-5810</v>
      </c>
      <c r="L69" s="20" t="n">
        <v>-5865</v>
      </c>
      <c r="M69" s="20" t="n">
        <v>-5340</v>
      </c>
      <c r="N69" s="20" t="n">
        <v>-6871</v>
      </c>
      <c r="O69" s="20" t="n">
        <v>-6283</v>
      </c>
      <c r="P69" s="20" t="n">
        <v>-6274</v>
      </c>
      <c r="Q69" s="20" t="n">
        <v>-6607</v>
      </c>
      <c r="R69" s="20" t="n">
        <v>-8943</v>
      </c>
      <c r="S69" s="20" t="n">
        <v>-9917</v>
      </c>
      <c r="T69" s="20" t="n">
        <v>-9735</v>
      </c>
      <c r="U69" s="20" t="n">
        <v>-10952</v>
      </c>
      <c r="V69" s="20" t="n">
        <v>-13873</v>
      </c>
      <c r="W69" s="20" t="n">
        <v>-14923</v>
      </c>
      <c r="X69" s="20" t="n">
        <v>-15804</v>
      </c>
      <c r="Y69" s="20" t="n">
        <v>-16745</v>
      </c>
      <c r="Z69" s="20" t="n">
        <v>-17079</v>
      </c>
      <c r="AA69" s="20" t="n">
        <v>-19394</v>
      </c>
      <c r="AB69" s="20" t="n">
        <v>-29876</v>
      </c>
      <c r="AC69" s="20" t="n">
        <v>-30876</v>
      </c>
    </row>
    <row r="70">
      <c r="A70" s="4" t="inlineStr">
        <is>
          <t>Free Cash Flow</t>
        </is>
      </c>
      <c r="B70" s="20" t="n">
        <v>12057</v>
      </c>
      <c r="C70" s="20" t="n">
        <v>10433</v>
      </c>
      <c r="D70" s="20" t="n">
        <v>7135</v>
      </c>
      <c r="E70" s="20" t="n">
        <v>13737</v>
      </c>
      <c r="F70" s="20" t="n">
        <v>13929</v>
      </c>
      <c r="G70" s="20" t="n">
        <v>14428</v>
      </c>
      <c r="H70" s="20" t="n">
        <v>8342</v>
      </c>
      <c r="I70" s="20" t="n">
        <v>17090</v>
      </c>
      <c r="J70" s="20" t="n">
        <v>16258</v>
      </c>
      <c r="K70" s="20" t="n">
        <v>18730</v>
      </c>
      <c r="L70" s="20" t="n">
        <v>8615</v>
      </c>
      <c r="M70" s="20" t="n">
        <v>20046</v>
      </c>
      <c r="N70" s="20" t="n">
        <v>17758</v>
      </c>
      <c r="O70" s="20" t="n">
        <v>16915</v>
      </c>
      <c r="P70" s="20" t="n">
        <v>4899</v>
      </c>
      <c r="Q70" s="20" t="n">
        <v>17834</v>
      </c>
      <c r="R70" s="20" t="n">
        <v>19827</v>
      </c>
      <c r="S70" s="20" t="n">
        <v>20666</v>
      </c>
      <c r="T70" s="20" t="n">
        <v>9118</v>
      </c>
      <c r="U70" s="20" t="n">
        <v>20965</v>
      </c>
      <c r="V70" s="20" t="n">
        <v>23322</v>
      </c>
      <c r="W70" s="20" t="n">
        <v>19257</v>
      </c>
      <c r="X70" s="20" t="n">
        <v>6487</v>
      </c>
      <c r="Y70" s="20" t="n">
        <v>20299</v>
      </c>
      <c r="Z70" s="20" t="n">
        <v>25568</v>
      </c>
      <c r="AA70" s="20" t="n">
        <v>25663</v>
      </c>
      <c r="AB70" s="20" t="n">
        <v>5882</v>
      </c>
      <c r="AC70" s="20" t="n">
        <v>15803</v>
      </c>
    </row>
    <row r="72">
      <c r="A72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7" t="n">
        <v>2026</v>
      </c>
      <c r="C2" s="47" t="n">
        <v>2027</v>
      </c>
      <c r="D2" s="47" t="n">
        <v>2028</v>
      </c>
      <c r="E2" s="47" t="n">
        <v>2029</v>
      </c>
      <c r="F2" s="47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20" t="n">
        <v>329396.154634</v>
      </c>
      <c r="C4" s="20" t="n">
        <v>384288.281316</v>
      </c>
      <c r="D4" s="20" t="n">
        <v>454319.367677</v>
      </c>
      <c r="E4" s="20" t="n">
        <v>537235.395896</v>
      </c>
      <c r="F4" s="20" t="n">
        <v>651062.333333</v>
      </c>
    </row>
    <row r="5">
      <c r="A5" s="4" t="inlineStr">
        <is>
          <t xml:space="preserve">  model</t>
        </is>
      </c>
      <c r="B5" s="35">
        <f>Model!G24</f>
        <v/>
      </c>
      <c r="C5" s="35">
        <f>Model!H24</f>
        <v/>
      </c>
      <c r="D5" s="35">
        <f>Model!I24</f>
        <v/>
      </c>
      <c r="E5" s="35">
        <f>Model!J24</f>
        <v/>
      </c>
      <c r="F5" s="35">
        <f>Model!K24</f>
        <v/>
      </c>
    </row>
    <row r="6">
      <c r="A6" s="4" t="inlineStr">
        <is>
          <t xml:space="preserve">  vs consensus</t>
        </is>
      </c>
      <c r="B6" s="48">
        <f>IFERROR(B5/B4-1,"")</f>
        <v/>
      </c>
      <c r="C6" s="48">
        <f>IFERROR(C5/C4-1,"")</f>
        <v/>
      </c>
      <c r="D6" s="48">
        <f>IFERROR(D5/D4-1,"")</f>
        <v/>
      </c>
      <c r="E6" s="48">
        <f>IFERROR(E5/E4-1,"")</f>
        <v/>
      </c>
      <c r="F6" s="48">
        <f>IFERROR(F5/F4-1,"")</f>
        <v/>
      </c>
    </row>
    <row r="8">
      <c r="A8" s="3" t="inlineStr">
        <is>
          <t>EBITDA* — consensus</t>
        </is>
      </c>
      <c r="B8" s="20" t="n">
        <v>172559.859114</v>
      </c>
      <c r="C8" s="20" t="n">
        <v>201316.046803</v>
      </c>
      <c r="D8" s="20" t="n">
        <v>238003.039733</v>
      </c>
      <c r="E8" s="20" t="n">
        <v>281440.031776</v>
      </c>
      <c r="F8" s="20" t="n">
        <v>341070.23696</v>
      </c>
    </row>
    <row r="9">
      <c r="A9" s="4" t="inlineStr">
        <is>
          <t xml:space="preserve">  model</t>
        </is>
      </c>
      <c r="B9" s="35">
        <f>Model!G37+Model!G42</f>
        <v/>
      </c>
      <c r="C9" s="35">
        <f>Model!H37+Model!H42</f>
        <v/>
      </c>
      <c r="D9" s="35">
        <f>Model!I37+Model!I42</f>
        <v/>
      </c>
      <c r="E9" s="35">
        <f>Model!J37+Model!J42</f>
        <v/>
      </c>
      <c r="F9" s="35">
        <f>Model!K37+Model!K42</f>
        <v/>
      </c>
    </row>
    <row r="10">
      <c r="A10" s="4" t="inlineStr">
        <is>
          <t xml:space="preserve">  vs consensus</t>
        </is>
      </c>
      <c r="B10" s="48">
        <f>IFERROR(B9/B8-1,"")</f>
        <v/>
      </c>
      <c r="C10" s="48">
        <f>IFERROR(C9/C8-1,"")</f>
        <v/>
      </c>
      <c r="D10" s="48">
        <f>IFERROR(D9/D8-1,"")</f>
        <v/>
      </c>
      <c r="E10" s="48">
        <f>IFERROR(E9/E8-1,"")</f>
        <v/>
      </c>
      <c r="F10" s="48">
        <f>IFERROR(F9/F8-1,"")</f>
        <v/>
      </c>
    </row>
    <row r="12">
      <c r="A12" s="3" t="inlineStr">
        <is>
          <t>EBIT* — consensus</t>
        </is>
      </c>
      <c r="B12" s="20" t="n">
        <v>144889.731684</v>
      </c>
      <c r="C12" s="20" t="n">
        <v>169034.83901</v>
      </c>
      <c r="D12" s="20" t="n">
        <v>199839.039878</v>
      </c>
      <c r="E12" s="20" t="n">
        <v>236310.871476</v>
      </c>
      <c r="F12" s="20" t="n">
        <v>286379.320035</v>
      </c>
    </row>
    <row r="13">
      <c r="A13" s="4" t="inlineStr">
        <is>
          <t xml:space="preserve">  model</t>
        </is>
      </c>
      <c r="B13" s="35">
        <f>Model!G37</f>
        <v/>
      </c>
      <c r="C13" s="35">
        <f>Model!H37</f>
        <v/>
      </c>
      <c r="D13" s="35">
        <f>Model!I37</f>
        <v/>
      </c>
      <c r="E13" s="35">
        <f>Model!J37</f>
        <v/>
      </c>
      <c r="F13" s="35">
        <f>Model!K37</f>
        <v/>
      </c>
    </row>
    <row r="14">
      <c r="A14" s="4" t="inlineStr">
        <is>
          <t xml:space="preserve">  vs consensus</t>
        </is>
      </c>
      <c r="B14" s="48">
        <f>IFERROR(B13/B12-1,"")</f>
        <v/>
      </c>
      <c r="C14" s="48">
        <f>IFERROR(C13/C12-1,"")</f>
        <v/>
      </c>
      <c r="D14" s="48">
        <f>IFERROR(D13/D12-1,"")</f>
        <v/>
      </c>
      <c r="E14" s="48">
        <f>IFERROR(E13/E12-1,"")</f>
        <v/>
      </c>
      <c r="F14" s="48">
        <f>IFERROR(F13/F12-1,"")</f>
        <v/>
      </c>
    </row>
    <row r="16">
      <c r="A16" s="3" t="inlineStr">
        <is>
          <t>SG&amp;A — consensus</t>
        </is>
      </c>
      <c r="B16" s="20" t="n">
        <v>44834.298575</v>
      </c>
      <c r="C16" s="20" t="n">
        <v>52305.697261</v>
      </c>
      <c r="D16" s="20" t="n">
        <v>61837.668389</v>
      </c>
      <c r="E16" s="20" t="n">
        <v>73123.41630500001</v>
      </c>
      <c r="F16" s="20" t="n">
        <v>88616.46571400001</v>
      </c>
    </row>
    <row r="17">
      <c r="A17" s="4" t="inlineStr">
        <is>
          <t xml:space="preserve">  model</t>
        </is>
      </c>
      <c r="B17" s="35">
        <f>Model!G32</f>
        <v/>
      </c>
      <c r="C17" s="35">
        <f>Model!H32</f>
        <v/>
      </c>
      <c r="D17" s="35">
        <f>Model!I32</f>
        <v/>
      </c>
      <c r="E17" s="35">
        <f>Model!J32</f>
        <v/>
      </c>
      <c r="F17" s="35">
        <f>Model!K32</f>
        <v/>
      </c>
    </row>
    <row r="18">
      <c r="A18" s="4" t="inlineStr">
        <is>
          <t xml:space="preserve">  vs consensus</t>
        </is>
      </c>
      <c r="B18" s="48">
        <f>IFERROR(B17/B16-1,"")</f>
        <v/>
      </c>
      <c r="C18" s="48">
        <f>IFERROR(C17/C16-1,"")</f>
        <v/>
      </c>
      <c r="D18" s="48">
        <f>IFERROR(D17/D16-1,"")</f>
        <v/>
      </c>
      <c r="E18" s="48">
        <f>IFERROR(E17/E16-1,"")</f>
        <v/>
      </c>
      <c r="F18" s="48">
        <f>IFERROR(F17/F16-1,"")</f>
        <v/>
      </c>
    </row>
    <row r="20">
      <c r="A20" s="3" t="inlineStr">
        <is>
          <t>Net income (NOPAT) — consensus</t>
        </is>
      </c>
      <c r="B20" s="20" t="n">
        <v>125514.8677165</v>
      </c>
      <c r="C20" s="20" t="n">
        <v>145169.55361</v>
      </c>
      <c r="D20" s="20" t="n">
        <v>169900.42142</v>
      </c>
      <c r="E20" s="20" t="n">
        <v>200326.261026</v>
      </c>
      <c r="F20" s="20" t="n">
        <v>248920.425033</v>
      </c>
    </row>
    <row r="21">
      <c r="A21" s="4" t="inlineStr">
        <is>
          <t xml:space="preserve">  model</t>
        </is>
      </c>
      <c r="B21" s="35">
        <f>Model!G41</f>
        <v/>
      </c>
      <c r="C21" s="35">
        <f>Model!H41</f>
        <v/>
      </c>
      <c r="D21" s="35">
        <f>Model!I41</f>
        <v/>
      </c>
      <c r="E21" s="35">
        <f>Model!J41</f>
        <v/>
      </c>
      <c r="F21" s="35">
        <f>Model!K41</f>
        <v/>
      </c>
    </row>
    <row r="22">
      <c r="A22" s="4" t="inlineStr">
        <is>
          <t xml:space="preserve">  vs consensus</t>
        </is>
      </c>
      <c r="B22" s="48">
        <f>IFERROR(B21/B20-1,"")</f>
        <v/>
      </c>
      <c r="C22" s="48">
        <f>IFERROR(C21/C20-1,"")</f>
        <v/>
      </c>
      <c r="D22" s="48">
        <f>IFERROR(D21/D20-1,"")</f>
        <v/>
      </c>
      <c r="E22" s="48">
        <f>IFERROR(E21/E20-1,"")</f>
        <v/>
      </c>
      <c r="F22" s="48">
        <f>IFERROR(F21/F20-1,"")</f>
        <v/>
      </c>
    </row>
    <row r="24">
      <c r="A24" s="3" t="inlineStr">
        <is>
          <t>EPS — consensus</t>
        </is>
      </c>
      <c r="B24" s="49" t="n">
        <v>16.77989</v>
      </c>
      <c r="C24" s="49" t="n">
        <v>19.43188</v>
      </c>
      <c r="D24" s="49" t="n">
        <v>22.81711</v>
      </c>
      <c r="E24" s="49" t="n">
        <v>26.8354</v>
      </c>
      <c r="F24" s="49" t="n">
        <v>33.345</v>
      </c>
    </row>
    <row r="25">
      <c r="A25" s="4" t="inlineStr">
        <is>
          <t xml:space="preserve">  model</t>
        </is>
      </c>
      <c r="B25" s="8">
        <f>Model!G41/Financials!AC17</f>
        <v/>
      </c>
      <c r="C25" s="8">
        <f>Model!H41/Financials!AC17</f>
        <v/>
      </c>
      <c r="D25" s="8">
        <f>Model!I41/Financials!AC17</f>
        <v/>
      </c>
      <c r="E25" s="8">
        <f>Model!J41/Financials!AC17</f>
        <v/>
      </c>
      <c r="F25" s="8">
        <f>Model!K41/Financials!AC17</f>
        <v/>
      </c>
    </row>
    <row r="26">
      <c r="A26" s="4" t="inlineStr">
        <is>
          <t xml:space="preserve">  vs consensus</t>
        </is>
      </c>
      <c r="B26" s="48">
        <f>IFERROR(B25/B24-1,"")</f>
        <v/>
      </c>
      <c r="C26" s="48">
        <f>IFERROR(C25/C24-1,"")</f>
        <v/>
      </c>
      <c r="D26" s="48">
        <f>IFERROR(D25/D24-1,"")</f>
        <v/>
      </c>
      <c r="E26" s="48">
        <f>IFERROR(E25/E24-1,"")</f>
        <v/>
      </c>
      <c r="F26" s="48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Microsoft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7" t="n">
        <v>2026</v>
      </c>
      <c r="D11" s="47" t="n">
        <v>2027</v>
      </c>
      <c r="E11" s="47" t="n">
        <v>2028</v>
      </c>
      <c r="F11" s="47" t="n">
        <v>2029</v>
      </c>
      <c r="G11" s="47" t="n">
        <v>2030</v>
      </c>
      <c r="H11" s="47" t="n">
        <v>2031</v>
      </c>
      <c r="I11" s="47" t="n">
        <v>2032</v>
      </c>
      <c r="J11" s="47" t="n">
        <v>2033</v>
      </c>
      <c r="K11" s="47" t="n">
        <v>2034</v>
      </c>
      <c r="L11" s="47" t="n">
        <v>2035</v>
      </c>
    </row>
    <row r="12">
      <c r="A12" s="4" t="inlineStr">
        <is>
          <t>FCFF ($M)</t>
        </is>
      </c>
      <c r="C12" s="35">
        <f>Model!G49</f>
        <v/>
      </c>
      <c r="D12" s="35">
        <f>Model!H49</f>
        <v/>
      </c>
      <c r="E12" s="35">
        <f>Model!I49</f>
        <v/>
      </c>
      <c r="F12" s="35">
        <f>Model!J49</f>
        <v/>
      </c>
      <c r="G12" s="35">
        <f>Model!K49</f>
        <v/>
      </c>
      <c r="H12" s="35">
        <f>Model!L49</f>
        <v/>
      </c>
      <c r="I12" s="35">
        <f>Model!M49</f>
        <v/>
      </c>
      <c r="J12" s="35">
        <f>Model!N49</f>
        <v/>
      </c>
      <c r="K12" s="35">
        <f>Model!O49</f>
        <v/>
      </c>
      <c r="L12" s="35">
        <f>Model!P49</f>
        <v/>
      </c>
    </row>
    <row r="13">
      <c r="A13" s="4" t="inlineStr">
        <is>
          <t>PV factor</t>
        </is>
      </c>
      <c r="C13" s="50">
        <f>1/(1+$B$3)^1</f>
        <v/>
      </c>
      <c r="D13" s="50">
        <f>1/(1+$B$3)^2</f>
        <v/>
      </c>
      <c r="E13" s="50">
        <f>1/(1+$B$3)^3</f>
        <v/>
      </c>
      <c r="F13" s="50">
        <f>1/(1+$B$3)^4</f>
        <v/>
      </c>
      <c r="G13" s="50">
        <f>1/(1+$B$3)^5</f>
        <v/>
      </c>
      <c r="H13" s="50">
        <f>1/(1+$B$3)^6</f>
        <v/>
      </c>
      <c r="I13" s="50">
        <f>1/(1+$B$3)^7</f>
        <v/>
      </c>
      <c r="J13" s="50">
        <f>1/(1+$B$3)^8</f>
        <v/>
      </c>
      <c r="K13" s="50">
        <f>1/(1+$B$3)^9</f>
        <v/>
      </c>
      <c r="L13" s="50">
        <f>1/(1+$B$3)^10</f>
        <v/>
      </c>
    </row>
    <row r="14">
      <c r="A14" s="4" t="inlineStr">
        <is>
          <t>PV of FCFF ($M)</t>
        </is>
      </c>
      <c r="C14" s="43">
        <f>C12*C13</f>
        <v/>
      </c>
      <c r="D14" s="43">
        <f>D12*D13</f>
        <v/>
      </c>
      <c r="E14" s="43">
        <f>E12*E13</f>
        <v/>
      </c>
      <c r="F14" s="43">
        <f>F12*F13</f>
        <v/>
      </c>
      <c r="G14" s="43">
        <f>G12*G13</f>
        <v/>
      </c>
      <c r="H14" s="43">
        <f>H12*H13</f>
        <v/>
      </c>
      <c r="I14" s="43">
        <f>I12*I13</f>
        <v/>
      </c>
      <c r="J14" s="43">
        <f>J12*J13</f>
        <v/>
      </c>
      <c r="K14" s="43">
        <f>K12*K13</f>
        <v/>
      </c>
      <c r="L14" s="43">
        <f>L12*L13</f>
        <v/>
      </c>
    </row>
    <row r="16">
      <c r="A16" s="3" t="inlineStr">
        <is>
          <t>Sum PV of FCFF</t>
        </is>
      </c>
      <c r="B16" s="44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3">
        <f>L12</f>
        <v/>
      </c>
    </row>
    <row r="20">
      <c r="A20" s="4" t="inlineStr">
        <is>
          <t>Terminal revenue</t>
        </is>
      </c>
      <c r="B20" s="35">
        <f>Model!P24</f>
        <v/>
      </c>
    </row>
    <row r="21">
      <c r="A21" s="4" t="inlineStr">
        <is>
          <t>Terminal EBIT</t>
        </is>
      </c>
      <c r="B21" s="35">
        <f>Model!P37</f>
        <v/>
      </c>
    </row>
    <row r="22">
      <c r="A22" s="4" t="inlineStr">
        <is>
          <t>Terminal EBITDA (SBC-burdened)</t>
        </is>
      </c>
      <c r="B22" s="35">
        <f>Model!P37+Model!P42-Model!P43</f>
        <v/>
      </c>
    </row>
    <row r="23">
      <c r="A23" s="4" t="inlineStr">
        <is>
          <t>Terminal metric (per exit basis)</t>
        </is>
      </c>
      <c r="B23" s="43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3">
        <f>B23*$B$8</f>
        <v/>
      </c>
    </row>
    <row r="25">
      <c r="A25" s="4" t="inlineStr">
        <is>
          <t>PV of TV — exit multiple</t>
        </is>
      </c>
      <c r="B25" s="43">
        <f>B24/(1+$B$3)^10</f>
        <v/>
      </c>
    </row>
    <row r="26">
      <c r="A26" s="4" t="inlineStr">
        <is>
          <t>TV (perpetuity) = FCFF(1+g)/(WACC-g)</t>
        </is>
      </c>
      <c r="B26" s="43">
        <f>B19*(1+$B$4)/($B$3-$B$4)</f>
        <v/>
      </c>
    </row>
    <row r="27">
      <c r="A27" s="4" t="inlineStr">
        <is>
          <t>PV of TV — perpetuity</t>
        </is>
      </c>
      <c r="B27" s="43">
        <f>B26/(1+$B$3)^10</f>
        <v/>
      </c>
    </row>
    <row r="28">
      <c r="A28" s="3" t="inlineStr">
        <is>
          <t>PV of TV — SELECTED</t>
        </is>
      </c>
      <c r="B28" s="44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4">
        <f>B16+B28</f>
        <v/>
      </c>
    </row>
    <row r="32">
      <c r="A32" s="4" t="inlineStr">
        <is>
          <t>+ Cash &amp; ST investments</t>
        </is>
      </c>
      <c r="B32" s="35">
        <f>Financials!AC57</f>
        <v/>
      </c>
    </row>
    <row r="33">
      <c r="A33" s="4" t="inlineStr">
        <is>
          <t>- Long-term debt</t>
        </is>
      </c>
      <c r="B33" s="35">
        <f>-Financials!AC62</f>
        <v/>
      </c>
    </row>
    <row r="34">
      <c r="A34" s="3" t="inlineStr">
        <is>
          <t>Equity value</t>
        </is>
      </c>
      <c r="B34" s="44">
        <f>B31+B32+B33</f>
        <v/>
      </c>
    </row>
    <row r="35">
      <c r="A35" s="4" t="inlineStr">
        <is>
          <t>Diluted shares (M)</t>
        </is>
      </c>
      <c r="B35" s="35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28">
        <f>B26/B22</f>
        <v/>
      </c>
    </row>
    <row r="42">
      <c r="A42" s="4" t="inlineStr">
        <is>
          <t>Upside / (downside) to fair value</t>
        </is>
      </c>
      <c r="B42" s="31">
        <f>B36/$B$2-1</f>
        <v/>
      </c>
    </row>
    <row r="44">
      <c r="A44" s="4" t="inlineStr">
        <is>
          <t>Owner cashflow / share</t>
        </is>
      </c>
      <c r="B44" s="51">
        <f>-$B$2</f>
        <v/>
      </c>
      <c r="C44" s="52">
        <f>C12/B35</f>
        <v/>
      </c>
      <c r="D44" s="52">
        <f>D12/B35</f>
        <v/>
      </c>
      <c r="E44" s="52">
        <f>E12/B35</f>
        <v/>
      </c>
      <c r="F44" s="52">
        <f>F12/B35</f>
        <v/>
      </c>
      <c r="G44" s="52">
        <f>G12/B35</f>
        <v/>
      </c>
      <c r="H44" s="52">
        <f>H12/B35</f>
        <v/>
      </c>
      <c r="I44" s="52">
        <f>I12/B35</f>
        <v/>
      </c>
      <c r="J44" s="52">
        <f>J12/B35</f>
        <v/>
      </c>
      <c r="K44" s="52">
        <f>K12/B35</f>
        <v/>
      </c>
      <c r="L44" s="52">
        <f>L12/B35+B36</f>
        <v/>
      </c>
    </row>
    <row r="45">
      <c r="A45" s="3" t="inlineStr">
        <is>
          <t>IRR (buy at price, hold 10y)</t>
        </is>
      </c>
      <c r="B45" s="40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3" t="n">
        <v>0.0762407427437941</v>
      </c>
      <c r="C4" s="53" t="n">
        <v>0.0812407427437941</v>
      </c>
      <c r="D4" s="53" t="n">
        <v>0.08624074274379409</v>
      </c>
      <c r="E4" s="53" t="n">
        <v>0.0912407427437941</v>
      </c>
      <c r="F4" s="53" t="n">
        <v>0.0962407427437941</v>
      </c>
      <c r="G4" s="53" t="n">
        <v>0.1012407427437941</v>
      </c>
      <c r="H4" s="53" t="n">
        <v>0.1062407427437941</v>
      </c>
    </row>
    <row r="5">
      <c r="A5" s="54" t="n">
        <v>9</v>
      </c>
      <c r="B5" s="8" t="n">
        <v>452.5480848724027</v>
      </c>
      <c r="C5" s="8" t="n">
        <v>435.051671738573</v>
      </c>
      <c r="D5" s="8" t="n">
        <v>418.3707093037397</v>
      </c>
      <c r="E5" s="8" t="n">
        <v>402.4627724425263</v>
      </c>
      <c r="F5" s="55" t="n">
        <v>387.2878463538759</v>
      </c>
      <c r="G5" s="55" t="n">
        <v>372.8081787521715</v>
      </c>
      <c r="H5" s="55" t="n">
        <v>358.9881417661969</v>
      </c>
    </row>
    <row r="6">
      <c r="A6" s="54" t="n">
        <v>10</v>
      </c>
      <c r="B6" s="8" t="n">
        <v>484.7762034416771</v>
      </c>
      <c r="C6" s="8" t="n">
        <v>465.8200934889218</v>
      </c>
      <c r="D6" s="8" t="n">
        <v>447.7518301137108</v>
      </c>
      <c r="E6" s="8" t="n">
        <v>430.525088831041</v>
      </c>
      <c r="F6" s="8" t="n">
        <v>414.0961819881474</v>
      </c>
      <c r="G6" s="8" t="n">
        <v>398.4238968492464</v>
      </c>
      <c r="H6" s="55" t="n">
        <v>383.4693443252008</v>
      </c>
    </row>
    <row r="7">
      <c r="A7" s="54" t="n">
        <v>11</v>
      </c>
      <c r="B7" s="8" t="n">
        <v>517.0043220109515</v>
      </c>
      <c r="C7" s="8" t="n">
        <v>496.5885152392705</v>
      </c>
      <c r="D7" s="8" t="n">
        <v>477.1329509236818</v>
      </c>
      <c r="E7" s="8" t="n">
        <v>458.5874052195558</v>
      </c>
      <c r="F7" s="8" t="n">
        <v>440.9045176224188</v>
      </c>
      <c r="G7" s="8" t="n">
        <v>424.0396149463213</v>
      </c>
      <c r="H7" s="8" t="n">
        <v>407.9505468842048</v>
      </c>
    </row>
    <row r="8">
      <c r="A8" s="54" t="n">
        <v>12</v>
      </c>
      <c r="B8" s="8" t="n">
        <v>549.2324405802258</v>
      </c>
      <c r="C8" s="8" t="n">
        <v>527.3569369896193</v>
      </c>
      <c r="D8" s="8" t="n">
        <v>506.5140717336529</v>
      </c>
      <c r="E8" s="56" t="n">
        <v>486.6497216080705</v>
      </c>
      <c r="F8" s="8" t="n">
        <v>467.7128532566902</v>
      </c>
      <c r="G8" s="8" t="n">
        <v>449.655333043396</v>
      </c>
      <c r="H8" s="8" t="n">
        <v>432.4317494432088</v>
      </c>
    </row>
    <row r="9">
      <c r="A9" s="54" t="n">
        <v>13</v>
      </c>
      <c r="B9" s="8" t="n">
        <v>581.4605591495</v>
      </c>
      <c r="C9" s="8" t="n">
        <v>558.125358739968</v>
      </c>
      <c r="D9" s="8" t="n">
        <v>535.895192543624</v>
      </c>
      <c r="E9" s="8" t="n">
        <v>514.7120379965852</v>
      </c>
      <c r="F9" s="8" t="n">
        <v>494.5211888909616</v>
      </c>
      <c r="G9" s="8" t="n">
        <v>475.2710511404709</v>
      </c>
      <c r="H9" s="8" t="n">
        <v>456.9129520022127</v>
      </c>
    </row>
    <row r="10">
      <c r="A10" s="54" t="n">
        <v>14</v>
      </c>
      <c r="B10" s="8" t="n">
        <v>613.6886777187743</v>
      </c>
      <c r="C10" s="8" t="n">
        <v>588.8937804903167</v>
      </c>
      <c r="D10" s="8" t="n">
        <v>565.2763133535951</v>
      </c>
      <c r="E10" s="8" t="n">
        <v>542.7743543850999</v>
      </c>
      <c r="F10" s="8" t="n">
        <v>521.329524525233</v>
      </c>
      <c r="G10" s="8" t="n">
        <v>500.8867692375457</v>
      </c>
      <c r="H10" s="8" t="n">
        <v>481.3941545612166</v>
      </c>
    </row>
    <row r="11">
      <c r="A11" s="54" t="n">
        <v>15</v>
      </c>
      <c r="B11" s="8" t="n">
        <v>645.9167962880488</v>
      </c>
      <c r="C11" s="8" t="n">
        <v>619.6622022406656</v>
      </c>
      <c r="D11" s="8" t="n">
        <v>594.6574341635661</v>
      </c>
      <c r="E11" s="8" t="n">
        <v>570.8366707736146</v>
      </c>
      <c r="F11" s="8" t="n">
        <v>548.1378601595044</v>
      </c>
      <c r="G11" s="8" t="n">
        <v>526.5024873346206</v>
      </c>
      <c r="H11" s="8" t="n">
        <v>505.8753571202206</v>
      </c>
    </row>
    <row r="13">
      <c r="A13" s="3" t="inlineStr">
        <is>
          <t>Current price</t>
        </is>
      </c>
      <c r="B13" s="55" t="n">
        <v>390.489990234375</v>
      </c>
    </row>
    <row r="14">
      <c r="A14" s="3" t="inlineStr">
        <is>
          <t>Base WACC / multiple</t>
        </is>
      </c>
      <c r="B14" s="57" t="n">
        <v>0.0912407427437941</v>
      </c>
      <c r="C14" s="58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Model!F24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28">
        <f>MIN(24,MAX(5,NORMINV(RAND(),$C$9,$D$9)))</f>
        <v/>
      </c>
      <c r="O2" s="5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Model!F38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28">
        <f>MIN(24,MAX(5,NORMINV(RAND(),$C$9,$D$9)))</f>
        <v/>
      </c>
      <c r="O3" s="5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50" t="n">
        <v>0.1171110732489955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28">
        <f>MIN(24,MAX(5,NORMINV(RAND(),$C$9,$D$9)))</f>
        <v/>
      </c>
      <c r="O4" s="5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50" t="n">
        <v>1.840683731006534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28">
        <f>MIN(24,MAX(5,NORMINV(RAND(),$C$9,$D$9)))</f>
        <v/>
      </c>
      <c r="O5" s="5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(Model!P24/Model!F24)^(1/10)-1</f>
        <v/>
      </c>
      <c r="D6" s="15" t="n">
        <v>0.02090085937062468</v>
      </c>
      <c r="H6" s="4" t="inlineStr">
        <is>
          <t>nwc (% incr revenue)</t>
        </is>
      </c>
      <c r="I6" s="50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28">
        <f>MIN(24,MAX(5,NORMINV(RAND(),$C$9,$D$9)))</f>
        <v/>
      </c>
      <c r="O6" s="5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0.01664694397951143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28">
        <f>MIN(24,MAX(5,NORMINV(RAND(),$C$9,$D$9)))</f>
        <v/>
      </c>
      <c r="O7" s="5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50" t="n">
        <v>0.9872005737829918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28">
        <f>MIN(24,MAX(5,NORMINV(RAND(),$C$9,$D$9)))</f>
        <v/>
      </c>
      <c r="O8" s="5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21" t="n">
        <v>1.5</v>
      </c>
      <c r="H9" s="4" t="inlineStr">
        <is>
          <t>cash</t>
        </is>
      </c>
      <c r="I9" s="12">
        <f>Financials!AC57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28">
        <f>MIN(24,MAX(5,NORMINV(RAND(),$C$9,$D$9)))</f>
        <v/>
      </c>
      <c r="O9" s="5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Financials!AC62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28">
        <f>MIN(24,MAX(5,NORMINV(RAND(),$C$9,$D$9)))</f>
        <v/>
      </c>
      <c r="O10" s="5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28">
        <f>MIN(24,MAX(5,NORMINV(RAND(),$C$9,$D$9)))</f>
        <v/>
      </c>
      <c r="O11" s="5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28">
        <f>MIN(24,MAX(5,NORMINV(RAND(),$C$9,$D$9)))</f>
        <v/>
      </c>
      <c r="O12" s="5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30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28">
        <f>MIN(24,MAX(5,NORMINV(RAND(),$C$9,$D$9)))</f>
        <v/>
      </c>
      <c r="O13" s="5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28">
        <f>MIN(24,MAX(5,NORMINV(RAND(),$C$9,$D$9)))</f>
        <v/>
      </c>
      <c r="O14" s="5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28">
        <f>MIN(24,MAX(5,NORMINV(RAND(),$C$9,$D$9)))</f>
        <v/>
      </c>
      <c r="O15" s="5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28">
        <f>MIN(24,MAX(5,NORMINV(RAND(),$C$9,$D$9)))</f>
        <v/>
      </c>
      <c r="O16" s="5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28">
        <f>MIN(24,MAX(5,NORMINV(RAND(),$C$9,$D$9)))</f>
        <v/>
      </c>
      <c r="O17" s="5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28">
        <f>MIN(24,MAX(5,NORMINV(RAND(),$C$9,$D$9)))</f>
        <v/>
      </c>
      <c r="O18" s="5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28">
        <f>MIN(24,MAX(5,NORMINV(RAND(),$C$9,$D$9)))</f>
        <v/>
      </c>
      <c r="O19" s="5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3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28">
        <f>MIN(24,MAX(5,NORMINV(RAND(),$C$9,$D$9)))</f>
        <v/>
      </c>
      <c r="O20" s="5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28">
        <f>MIN(24,MAX(5,NORMINV(RAND(),$C$9,$D$9)))</f>
        <v/>
      </c>
      <c r="O21" s="5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28">
        <f>MIN(24,MAX(5,NORMINV(RAND(),$C$9,$D$9)))</f>
        <v/>
      </c>
      <c r="O22" s="5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28">
        <f>MIN(24,MAX(5,NORMINV(RAND(),$C$9,$D$9)))</f>
        <v/>
      </c>
      <c r="O23" s="5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28">
        <f>MIN(24,MAX(5,NORMINV(RAND(),$C$9,$D$9)))</f>
        <v/>
      </c>
      <c r="O24" s="5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28">
        <f>MIN(24,MAX(5,NORMINV(RAND(),$C$9,$D$9)))</f>
        <v/>
      </c>
      <c r="O25" s="5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28">
        <f>MIN(24,MAX(5,NORMINV(RAND(),$C$9,$D$9)))</f>
        <v/>
      </c>
      <c r="O26" s="5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28">
        <f>MIN(24,MAX(5,NORMINV(RAND(),$C$9,$D$9)))</f>
        <v/>
      </c>
      <c r="O27" s="5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28">
        <f>MIN(24,MAX(5,NORMINV(RAND(),$C$9,$D$9)))</f>
        <v/>
      </c>
      <c r="O28" s="5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28">
        <f>MIN(24,MAX(5,NORMINV(RAND(),$C$9,$D$9)))</f>
        <v/>
      </c>
      <c r="O29" s="5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28">
        <f>MIN(24,MAX(5,NORMINV(RAND(),$C$9,$D$9)))</f>
        <v/>
      </c>
      <c r="O30" s="5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28">
        <f>MIN(24,MAX(5,NORMINV(RAND(),$C$9,$D$9)))</f>
        <v/>
      </c>
      <c r="O31" s="5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28">
        <f>MIN(24,MAX(5,NORMINV(RAND(),$C$9,$D$9)))</f>
        <v/>
      </c>
      <c r="O32" s="5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28">
        <f>MIN(24,MAX(5,NORMINV(RAND(),$C$9,$D$9)))</f>
        <v/>
      </c>
      <c r="O33" s="5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9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28">
        <f>MIN(24,MAX(5,NORMINV(RAND(),$C$9,$D$9)))</f>
        <v/>
      </c>
      <c r="O34" s="5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9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28">
        <f>MIN(24,MAX(5,NORMINV(RAND(),$C$9,$D$9)))</f>
        <v/>
      </c>
      <c r="O35" s="5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9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28">
        <f>MIN(24,MAX(5,NORMINV(RAND(),$C$9,$D$9)))</f>
        <v/>
      </c>
      <c r="O36" s="5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9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28">
        <f>MIN(24,MAX(5,NORMINV(RAND(),$C$9,$D$9)))</f>
        <v/>
      </c>
      <c r="O37" s="5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9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28">
        <f>MIN(24,MAX(5,NORMINV(RAND(),$C$9,$D$9)))</f>
        <v/>
      </c>
      <c r="O38" s="5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9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28">
        <f>MIN(24,MAX(5,NORMINV(RAND(),$C$9,$D$9)))</f>
        <v/>
      </c>
      <c r="O39" s="5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9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28">
        <f>MIN(24,MAX(5,NORMINV(RAND(),$C$9,$D$9)))</f>
        <v/>
      </c>
      <c r="O40" s="5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9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28">
        <f>MIN(24,MAX(5,NORMINV(RAND(),$C$9,$D$9)))</f>
        <v/>
      </c>
      <c r="O41" s="5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9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28">
        <f>MIN(24,MAX(5,NORMINV(RAND(),$C$9,$D$9)))</f>
        <v/>
      </c>
      <c r="O42" s="5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9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28">
        <f>MIN(24,MAX(5,NORMINV(RAND(),$C$9,$D$9)))</f>
        <v/>
      </c>
      <c r="O43" s="5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9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28">
        <f>MIN(24,MAX(5,NORMINV(RAND(),$C$9,$D$9)))</f>
        <v/>
      </c>
      <c r="O44" s="5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9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28">
        <f>MIN(24,MAX(5,NORMINV(RAND(),$C$9,$D$9)))</f>
        <v/>
      </c>
      <c r="O45" s="5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9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28">
        <f>MIN(24,MAX(5,NORMINV(RAND(),$C$9,$D$9)))</f>
        <v/>
      </c>
      <c r="O46" s="5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9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28">
        <f>MIN(24,MAX(5,NORMINV(RAND(),$C$9,$D$9)))</f>
        <v/>
      </c>
      <c r="O47" s="5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9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28">
        <f>MIN(24,MAX(5,NORMINV(RAND(),$C$9,$D$9)))</f>
        <v/>
      </c>
      <c r="O48" s="5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28">
        <f>MIN(24,MAX(5,NORMINV(RAND(),$C$9,$D$9)))</f>
        <v/>
      </c>
      <c r="O49" s="5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28">
        <f>MIN(24,MAX(5,NORMINV(RAND(),$C$9,$D$9)))</f>
        <v/>
      </c>
      <c r="O50" s="5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28">
        <f>MIN(24,MAX(5,NORMINV(RAND(),$C$9,$D$9)))</f>
        <v/>
      </c>
      <c r="O51" s="5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28">
        <f>MIN(24,MAX(5,NORMINV(RAND(),$C$9,$D$9)))</f>
        <v/>
      </c>
      <c r="O52" s="5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28">
        <f>MIN(24,MAX(5,NORMINV(RAND(),$C$9,$D$9)))</f>
        <v/>
      </c>
      <c r="O53" s="5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28">
        <f>MIN(24,MAX(5,NORMINV(RAND(),$C$9,$D$9)))</f>
        <v/>
      </c>
      <c r="O54" s="5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28">
        <f>MIN(24,MAX(5,NORMINV(RAND(),$C$9,$D$9)))</f>
        <v/>
      </c>
      <c r="O55" s="5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28">
        <f>MIN(24,MAX(5,NORMINV(RAND(),$C$9,$D$9)))</f>
        <v/>
      </c>
      <c r="O56" s="5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28">
        <f>MIN(24,MAX(5,NORMINV(RAND(),$C$9,$D$9)))</f>
        <v/>
      </c>
      <c r="O57" s="5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28">
        <f>MIN(24,MAX(5,NORMINV(RAND(),$C$9,$D$9)))</f>
        <v/>
      </c>
      <c r="O58" s="5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28">
        <f>MIN(24,MAX(5,NORMINV(RAND(),$C$9,$D$9)))</f>
        <v/>
      </c>
      <c r="O59" s="5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28">
        <f>MIN(24,MAX(5,NORMINV(RAND(),$C$9,$D$9)))</f>
        <v/>
      </c>
      <c r="O60" s="5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28">
        <f>MIN(24,MAX(5,NORMINV(RAND(),$C$9,$D$9)))</f>
        <v/>
      </c>
      <c r="O61" s="5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28">
        <f>MIN(24,MAX(5,NORMINV(RAND(),$C$9,$D$9)))</f>
        <v/>
      </c>
      <c r="O62" s="5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28">
        <f>MIN(24,MAX(5,NORMINV(RAND(),$C$9,$D$9)))</f>
        <v/>
      </c>
      <c r="O63" s="5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28">
        <f>MIN(24,MAX(5,NORMINV(RAND(),$C$9,$D$9)))</f>
        <v/>
      </c>
      <c r="O64" s="5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28">
        <f>MIN(24,MAX(5,NORMINV(RAND(),$C$9,$D$9)))</f>
        <v/>
      </c>
      <c r="O65" s="5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28">
        <f>MIN(24,MAX(5,NORMINV(RAND(),$C$9,$D$9)))</f>
        <v/>
      </c>
      <c r="O66" s="5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28">
        <f>MIN(24,MAX(5,NORMINV(RAND(),$C$9,$D$9)))</f>
        <v/>
      </c>
      <c r="O67" s="5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28">
        <f>MIN(24,MAX(5,NORMINV(RAND(),$C$9,$D$9)))</f>
        <v/>
      </c>
      <c r="O68" s="5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28">
        <f>MIN(24,MAX(5,NORMINV(RAND(),$C$9,$D$9)))</f>
        <v/>
      </c>
      <c r="O69" s="5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28">
        <f>MIN(24,MAX(5,NORMINV(RAND(),$C$9,$D$9)))</f>
        <v/>
      </c>
      <c r="O70" s="5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28">
        <f>MIN(24,MAX(5,NORMINV(RAND(),$C$9,$D$9)))</f>
        <v/>
      </c>
      <c r="O71" s="5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28">
        <f>MIN(24,MAX(5,NORMINV(RAND(),$C$9,$D$9)))</f>
        <v/>
      </c>
      <c r="O72" s="5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28">
        <f>MIN(24,MAX(5,NORMINV(RAND(),$C$9,$D$9)))</f>
        <v/>
      </c>
      <c r="O73" s="5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28">
        <f>MIN(24,MAX(5,NORMINV(RAND(),$C$9,$D$9)))</f>
        <v/>
      </c>
      <c r="O74" s="5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28">
        <f>MIN(24,MAX(5,NORMINV(RAND(),$C$9,$D$9)))</f>
        <v/>
      </c>
      <c r="O75" s="5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28">
        <f>MIN(24,MAX(5,NORMINV(RAND(),$C$9,$D$9)))</f>
        <v/>
      </c>
      <c r="O76" s="5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28">
        <f>MIN(24,MAX(5,NORMINV(RAND(),$C$9,$D$9)))</f>
        <v/>
      </c>
      <c r="O77" s="5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28">
        <f>MIN(24,MAX(5,NORMINV(RAND(),$C$9,$D$9)))</f>
        <v/>
      </c>
      <c r="O78" s="5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28">
        <f>MIN(24,MAX(5,NORMINV(RAND(),$C$9,$D$9)))</f>
        <v/>
      </c>
      <c r="O79" s="5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28">
        <f>MIN(24,MAX(5,NORMINV(RAND(),$C$9,$D$9)))</f>
        <v/>
      </c>
      <c r="O80" s="5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28">
        <f>MIN(24,MAX(5,NORMINV(RAND(),$C$9,$D$9)))</f>
        <v/>
      </c>
      <c r="O81" s="5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28">
        <f>MIN(24,MAX(5,NORMINV(RAND(),$C$9,$D$9)))</f>
        <v/>
      </c>
      <c r="O82" s="5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28">
        <f>MIN(24,MAX(5,NORMINV(RAND(),$C$9,$D$9)))</f>
        <v/>
      </c>
      <c r="O83" s="5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28">
        <f>MIN(24,MAX(5,NORMINV(RAND(),$C$9,$D$9)))</f>
        <v/>
      </c>
      <c r="O84" s="5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28">
        <f>MIN(24,MAX(5,NORMINV(RAND(),$C$9,$D$9)))</f>
        <v/>
      </c>
      <c r="O85" s="5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28">
        <f>MIN(24,MAX(5,NORMINV(RAND(),$C$9,$D$9)))</f>
        <v/>
      </c>
      <c r="O86" s="5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28">
        <f>MIN(24,MAX(5,NORMINV(RAND(),$C$9,$D$9)))</f>
        <v/>
      </c>
      <c r="O87" s="5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28">
        <f>MIN(24,MAX(5,NORMINV(RAND(),$C$9,$D$9)))</f>
        <v/>
      </c>
      <c r="O88" s="5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28">
        <f>MIN(24,MAX(5,NORMINV(RAND(),$C$9,$D$9)))</f>
        <v/>
      </c>
      <c r="O89" s="5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28">
        <f>MIN(24,MAX(5,NORMINV(RAND(),$C$9,$D$9)))</f>
        <v/>
      </c>
      <c r="O90" s="5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28">
        <f>MIN(24,MAX(5,NORMINV(RAND(),$C$9,$D$9)))</f>
        <v/>
      </c>
      <c r="O91" s="5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28">
        <f>MIN(24,MAX(5,NORMINV(RAND(),$C$9,$D$9)))</f>
        <v/>
      </c>
      <c r="O92" s="5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28">
        <f>MIN(24,MAX(5,NORMINV(RAND(),$C$9,$D$9)))</f>
        <v/>
      </c>
      <c r="O93" s="5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28">
        <f>MIN(24,MAX(5,NORMINV(RAND(),$C$9,$D$9)))</f>
        <v/>
      </c>
      <c r="O94" s="5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28">
        <f>MIN(24,MAX(5,NORMINV(RAND(),$C$9,$D$9)))</f>
        <v/>
      </c>
      <c r="O95" s="5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28">
        <f>MIN(24,MAX(5,NORMINV(RAND(),$C$9,$D$9)))</f>
        <v/>
      </c>
      <c r="O96" s="5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28">
        <f>MIN(24,MAX(5,NORMINV(RAND(),$C$9,$D$9)))</f>
        <v/>
      </c>
      <c r="O97" s="5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28">
        <f>MIN(24,MAX(5,NORMINV(RAND(),$C$9,$D$9)))</f>
        <v/>
      </c>
      <c r="O98" s="5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28">
        <f>MIN(24,MAX(5,NORMINV(RAND(),$C$9,$D$9)))</f>
        <v/>
      </c>
      <c r="O99" s="5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28">
        <f>MIN(24,MAX(5,NORMINV(RAND(),$C$9,$D$9)))</f>
        <v/>
      </c>
      <c r="O100" s="5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28">
        <f>MIN(24,MAX(5,NORMINV(RAND(),$C$9,$D$9)))</f>
        <v/>
      </c>
      <c r="O101" s="5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28">
        <f>MIN(24,MAX(5,NORMINV(RAND(),$C$9,$D$9)))</f>
        <v/>
      </c>
      <c r="O102" s="5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28">
        <f>MIN(24,MAX(5,NORMINV(RAND(),$C$9,$D$9)))</f>
        <v/>
      </c>
      <c r="O103" s="5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28">
        <f>MIN(24,MAX(5,NORMINV(RAND(),$C$9,$D$9)))</f>
        <v/>
      </c>
      <c r="O104" s="5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28">
        <f>MIN(24,MAX(5,NORMINV(RAND(),$C$9,$D$9)))</f>
        <v/>
      </c>
      <c r="O105" s="5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28">
        <f>MIN(24,MAX(5,NORMINV(RAND(),$C$9,$D$9)))</f>
        <v/>
      </c>
      <c r="O106" s="5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28">
        <f>MIN(24,MAX(5,NORMINV(RAND(),$C$9,$D$9)))</f>
        <v/>
      </c>
      <c r="O107" s="5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28">
        <f>MIN(24,MAX(5,NORMINV(RAND(),$C$9,$D$9)))</f>
        <v/>
      </c>
      <c r="O108" s="5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28">
        <f>MIN(24,MAX(5,NORMINV(RAND(),$C$9,$D$9)))</f>
        <v/>
      </c>
      <c r="O109" s="5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28">
        <f>MIN(24,MAX(5,NORMINV(RAND(),$C$9,$D$9)))</f>
        <v/>
      </c>
      <c r="O110" s="5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28">
        <f>MIN(24,MAX(5,NORMINV(RAND(),$C$9,$D$9)))</f>
        <v/>
      </c>
      <c r="O111" s="5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28">
        <f>MIN(24,MAX(5,NORMINV(RAND(),$C$9,$D$9)))</f>
        <v/>
      </c>
      <c r="O112" s="5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28">
        <f>MIN(24,MAX(5,NORMINV(RAND(),$C$9,$D$9)))</f>
        <v/>
      </c>
      <c r="O113" s="5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28">
        <f>MIN(24,MAX(5,NORMINV(RAND(),$C$9,$D$9)))</f>
        <v/>
      </c>
      <c r="O114" s="5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28">
        <f>MIN(24,MAX(5,NORMINV(RAND(),$C$9,$D$9)))</f>
        <v/>
      </c>
      <c r="O115" s="5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28">
        <f>MIN(24,MAX(5,NORMINV(RAND(),$C$9,$D$9)))</f>
        <v/>
      </c>
      <c r="O116" s="5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28">
        <f>MIN(24,MAX(5,NORMINV(RAND(),$C$9,$D$9)))</f>
        <v/>
      </c>
      <c r="O117" s="5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28">
        <f>MIN(24,MAX(5,NORMINV(RAND(),$C$9,$D$9)))</f>
        <v/>
      </c>
      <c r="O118" s="5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28">
        <f>MIN(24,MAX(5,NORMINV(RAND(),$C$9,$D$9)))</f>
        <v/>
      </c>
      <c r="O119" s="5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28">
        <f>MIN(24,MAX(5,NORMINV(RAND(),$C$9,$D$9)))</f>
        <v/>
      </c>
      <c r="O120" s="5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28">
        <f>MIN(24,MAX(5,NORMINV(RAND(),$C$9,$D$9)))</f>
        <v/>
      </c>
      <c r="O121" s="5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28">
        <f>MIN(24,MAX(5,NORMINV(RAND(),$C$9,$D$9)))</f>
        <v/>
      </c>
      <c r="O122" s="5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28">
        <f>MIN(24,MAX(5,NORMINV(RAND(),$C$9,$D$9)))</f>
        <v/>
      </c>
      <c r="O123" s="5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28">
        <f>MIN(24,MAX(5,NORMINV(RAND(),$C$9,$D$9)))</f>
        <v/>
      </c>
      <c r="O124" s="5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28">
        <f>MIN(24,MAX(5,NORMINV(RAND(),$C$9,$D$9)))</f>
        <v/>
      </c>
      <c r="O125" s="5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28">
        <f>MIN(24,MAX(5,NORMINV(RAND(),$C$9,$D$9)))</f>
        <v/>
      </c>
      <c r="O126" s="5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28">
        <f>MIN(24,MAX(5,NORMINV(RAND(),$C$9,$D$9)))</f>
        <v/>
      </c>
      <c r="O127" s="5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28">
        <f>MIN(24,MAX(5,NORMINV(RAND(),$C$9,$D$9)))</f>
        <v/>
      </c>
      <c r="O128" s="5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28">
        <f>MIN(24,MAX(5,NORMINV(RAND(),$C$9,$D$9)))</f>
        <v/>
      </c>
      <c r="O129" s="5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28">
        <f>MIN(24,MAX(5,NORMINV(RAND(),$C$9,$D$9)))</f>
        <v/>
      </c>
      <c r="O130" s="5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28">
        <f>MIN(24,MAX(5,NORMINV(RAND(),$C$9,$D$9)))</f>
        <v/>
      </c>
      <c r="O131" s="5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28">
        <f>MIN(24,MAX(5,NORMINV(RAND(),$C$9,$D$9)))</f>
        <v/>
      </c>
      <c r="O132" s="5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28">
        <f>MIN(24,MAX(5,NORMINV(RAND(),$C$9,$D$9)))</f>
        <v/>
      </c>
      <c r="O133" s="5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28">
        <f>MIN(24,MAX(5,NORMINV(RAND(),$C$9,$D$9)))</f>
        <v/>
      </c>
      <c r="O134" s="5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28">
        <f>MIN(24,MAX(5,NORMINV(RAND(),$C$9,$D$9)))</f>
        <v/>
      </c>
      <c r="O135" s="5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28">
        <f>MIN(24,MAX(5,NORMINV(RAND(),$C$9,$D$9)))</f>
        <v/>
      </c>
      <c r="O136" s="5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28">
        <f>MIN(24,MAX(5,NORMINV(RAND(),$C$9,$D$9)))</f>
        <v/>
      </c>
      <c r="O137" s="5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28">
        <f>MIN(24,MAX(5,NORMINV(RAND(),$C$9,$D$9)))</f>
        <v/>
      </c>
      <c r="O138" s="5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28">
        <f>MIN(24,MAX(5,NORMINV(RAND(),$C$9,$D$9)))</f>
        <v/>
      </c>
      <c r="O139" s="5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28">
        <f>MIN(24,MAX(5,NORMINV(RAND(),$C$9,$D$9)))</f>
        <v/>
      </c>
      <c r="O140" s="5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28">
        <f>MIN(24,MAX(5,NORMINV(RAND(),$C$9,$D$9)))</f>
        <v/>
      </c>
      <c r="O141" s="5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28">
        <f>MIN(24,MAX(5,NORMINV(RAND(),$C$9,$D$9)))</f>
        <v/>
      </c>
      <c r="O142" s="5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28">
        <f>MIN(24,MAX(5,NORMINV(RAND(),$C$9,$D$9)))</f>
        <v/>
      </c>
      <c r="O143" s="5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28">
        <f>MIN(24,MAX(5,NORMINV(RAND(),$C$9,$D$9)))</f>
        <v/>
      </c>
      <c r="O144" s="5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28">
        <f>MIN(24,MAX(5,NORMINV(RAND(),$C$9,$D$9)))</f>
        <v/>
      </c>
      <c r="O145" s="5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28">
        <f>MIN(24,MAX(5,NORMINV(RAND(),$C$9,$D$9)))</f>
        <v/>
      </c>
      <c r="O146" s="5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28">
        <f>MIN(24,MAX(5,NORMINV(RAND(),$C$9,$D$9)))</f>
        <v/>
      </c>
      <c r="O147" s="5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28">
        <f>MIN(24,MAX(5,NORMINV(RAND(),$C$9,$D$9)))</f>
        <v/>
      </c>
      <c r="O148" s="5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28">
        <f>MIN(24,MAX(5,NORMINV(RAND(),$C$9,$D$9)))</f>
        <v/>
      </c>
      <c r="O149" s="5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28">
        <f>MIN(24,MAX(5,NORMINV(RAND(),$C$9,$D$9)))</f>
        <v/>
      </c>
      <c r="O150" s="5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28">
        <f>MIN(24,MAX(5,NORMINV(RAND(),$C$9,$D$9)))</f>
        <v/>
      </c>
      <c r="O151" s="5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28">
        <f>MIN(24,MAX(5,NORMINV(RAND(),$C$9,$D$9)))</f>
        <v/>
      </c>
      <c r="O152" s="5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28">
        <f>MIN(24,MAX(5,NORMINV(RAND(),$C$9,$D$9)))</f>
        <v/>
      </c>
      <c r="O153" s="5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28">
        <f>MIN(24,MAX(5,NORMINV(RAND(),$C$9,$D$9)))</f>
        <v/>
      </c>
      <c r="O154" s="5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28">
        <f>MIN(24,MAX(5,NORMINV(RAND(),$C$9,$D$9)))</f>
        <v/>
      </c>
      <c r="O155" s="5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28">
        <f>MIN(24,MAX(5,NORMINV(RAND(),$C$9,$D$9)))</f>
        <v/>
      </c>
      <c r="O156" s="5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28">
        <f>MIN(24,MAX(5,NORMINV(RAND(),$C$9,$D$9)))</f>
        <v/>
      </c>
      <c r="O157" s="5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28">
        <f>MIN(24,MAX(5,NORMINV(RAND(),$C$9,$D$9)))</f>
        <v/>
      </c>
      <c r="O158" s="5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28">
        <f>MIN(24,MAX(5,NORMINV(RAND(),$C$9,$D$9)))</f>
        <v/>
      </c>
      <c r="O159" s="5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28">
        <f>MIN(24,MAX(5,NORMINV(RAND(),$C$9,$D$9)))</f>
        <v/>
      </c>
      <c r="O160" s="5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28">
        <f>MIN(24,MAX(5,NORMINV(RAND(),$C$9,$D$9)))</f>
        <v/>
      </c>
      <c r="O161" s="5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28">
        <f>MIN(24,MAX(5,NORMINV(RAND(),$C$9,$D$9)))</f>
        <v/>
      </c>
      <c r="O162" s="5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28">
        <f>MIN(24,MAX(5,NORMINV(RAND(),$C$9,$D$9)))</f>
        <v/>
      </c>
      <c r="O163" s="5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28">
        <f>MIN(24,MAX(5,NORMINV(RAND(),$C$9,$D$9)))</f>
        <v/>
      </c>
      <c r="O164" s="5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28">
        <f>MIN(24,MAX(5,NORMINV(RAND(),$C$9,$D$9)))</f>
        <v/>
      </c>
      <c r="O165" s="5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28">
        <f>MIN(24,MAX(5,NORMINV(RAND(),$C$9,$D$9)))</f>
        <v/>
      </c>
      <c r="O166" s="5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28">
        <f>MIN(24,MAX(5,NORMINV(RAND(),$C$9,$D$9)))</f>
        <v/>
      </c>
      <c r="O167" s="5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28">
        <f>MIN(24,MAX(5,NORMINV(RAND(),$C$9,$D$9)))</f>
        <v/>
      </c>
      <c r="O168" s="5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28">
        <f>MIN(24,MAX(5,NORMINV(RAND(),$C$9,$D$9)))</f>
        <v/>
      </c>
      <c r="O169" s="5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28">
        <f>MIN(24,MAX(5,NORMINV(RAND(),$C$9,$D$9)))</f>
        <v/>
      </c>
      <c r="O170" s="5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28">
        <f>MIN(24,MAX(5,NORMINV(RAND(),$C$9,$D$9)))</f>
        <v/>
      </c>
      <c r="O171" s="5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28">
        <f>MIN(24,MAX(5,NORMINV(RAND(),$C$9,$D$9)))</f>
        <v/>
      </c>
      <c r="O172" s="5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28">
        <f>MIN(24,MAX(5,NORMINV(RAND(),$C$9,$D$9)))</f>
        <v/>
      </c>
      <c r="O173" s="5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28">
        <f>MIN(24,MAX(5,NORMINV(RAND(),$C$9,$D$9)))</f>
        <v/>
      </c>
      <c r="O174" s="5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28">
        <f>MIN(24,MAX(5,NORMINV(RAND(),$C$9,$D$9)))</f>
        <v/>
      </c>
      <c r="O175" s="5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28">
        <f>MIN(24,MAX(5,NORMINV(RAND(),$C$9,$D$9)))</f>
        <v/>
      </c>
      <c r="O176" s="5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28">
        <f>MIN(24,MAX(5,NORMINV(RAND(),$C$9,$D$9)))</f>
        <v/>
      </c>
      <c r="O177" s="5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28">
        <f>MIN(24,MAX(5,NORMINV(RAND(),$C$9,$D$9)))</f>
        <v/>
      </c>
      <c r="O178" s="5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28">
        <f>MIN(24,MAX(5,NORMINV(RAND(),$C$9,$D$9)))</f>
        <v/>
      </c>
      <c r="O179" s="5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28">
        <f>MIN(24,MAX(5,NORMINV(RAND(),$C$9,$D$9)))</f>
        <v/>
      </c>
      <c r="O180" s="5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28">
        <f>MIN(24,MAX(5,NORMINV(RAND(),$C$9,$D$9)))</f>
        <v/>
      </c>
      <c r="O181" s="5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28">
        <f>MIN(24,MAX(5,NORMINV(RAND(),$C$9,$D$9)))</f>
        <v/>
      </c>
      <c r="O182" s="5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28">
        <f>MIN(24,MAX(5,NORMINV(RAND(),$C$9,$D$9)))</f>
        <v/>
      </c>
      <c r="O183" s="5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28">
        <f>MIN(24,MAX(5,NORMINV(RAND(),$C$9,$D$9)))</f>
        <v/>
      </c>
      <c r="O184" s="5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28">
        <f>MIN(24,MAX(5,NORMINV(RAND(),$C$9,$D$9)))</f>
        <v/>
      </c>
      <c r="O185" s="5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28">
        <f>MIN(24,MAX(5,NORMINV(RAND(),$C$9,$D$9)))</f>
        <v/>
      </c>
      <c r="O186" s="5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28">
        <f>MIN(24,MAX(5,NORMINV(RAND(),$C$9,$D$9)))</f>
        <v/>
      </c>
      <c r="O187" s="5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28">
        <f>MIN(24,MAX(5,NORMINV(RAND(),$C$9,$D$9)))</f>
        <v/>
      </c>
      <c r="O188" s="5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28">
        <f>MIN(24,MAX(5,NORMINV(RAND(),$C$9,$D$9)))</f>
        <v/>
      </c>
      <c r="O189" s="5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28">
        <f>MIN(24,MAX(5,NORMINV(RAND(),$C$9,$D$9)))</f>
        <v/>
      </c>
      <c r="O190" s="5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28">
        <f>MIN(24,MAX(5,NORMINV(RAND(),$C$9,$D$9)))</f>
        <v/>
      </c>
      <c r="O191" s="5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28">
        <f>MIN(24,MAX(5,NORMINV(RAND(),$C$9,$D$9)))</f>
        <v/>
      </c>
      <c r="O192" s="5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28">
        <f>MIN(24,MAX(5,NORMINV(RAND(),$C$9,$D$9)))</f>
        <v/>
      </c>
      <c r="O193" s="5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28">
        <f>MIN(24,MAX(5,NORMINV(RAND(),$C$9,$D$9)))</f>
        <v/>
      </c>
      <c r="O194" s="5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28">
        <f>MIN(24,MAX(5,NORMINV(RAND(),$C$9,$D$9)))</f>
        <v/>
      </c>
      <c r="O195" s="5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28">
        <f>MIN(24,MAX(5,NORMINV(RAND(),$C$9,$D$9)))</f>
        <v/>
      </c>
      <c r="O196" s="5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28">
        <f>MIN(24,MAX(5,NORMINV(RAND(),$C$9,$D$9)))</f>
        <v/>
      </c>
      <c r="O197" s="5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28">
        <f>MIN(24,MAX(5,NORMINV(RAND(),$C$9,$D$9)))</f>
        <v/>
      </c>
      <c r="O198" s="5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28">
        <f>MIN(24,MAX(5,NORMINV(RAND(),$C$9,$D$9)))</f>
        <v/>
      </c>
      <c r="O199" s="5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28">
        <f>MIN(24,MAX(5,NORMINV(RAND(),$C$9,$D$9)))</f>
        <v/>
      </c>
      <c r="O200" s="5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28">
        <f>MIN(24,MAX(5,NORMINV(RAND(),$C$9,$D$9)))</f>
        <v/>
      </c>
      <c r="O201" s="5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28">
        <f>MIN(24,MAX(5,NORMINV(RAND(),$C$9,$D$9)))</f>
        <v/>
      </c>
      <c r="O202" s="5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28">
        <f>MIN(24,MAX(5,NORMINV(RAND(),$C$9,$D$9)))</f>
        <v/>
      </c>
      <c r="O203" s="5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28">
        <f>MIN(24,MAX(5,NORMINV(RAND(),$C$9,$D$9)))</f>
        <v/>
      </c>
      <c r="O204" s="5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28">
        <f>MIN(24,MAX(5,NORMINV(RAND(),$C$9,$D$9)))</f>
        <v/>
      </c>
      <c r="O205" s="5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28">
        <f>MIN(24,MAX(5,NORMINV(RAND(),$C$9,$D$9)))</f>
        <v/>
      </c>
      <c r="O206" s="5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28">
        <f>MIN(24,MAX(5,NORMINV(RAND(),$C$9,$D$9)))</f>
        <v/>
      </c>
      <c r="O207" s="5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28">
        <f>MIN(24,MAX(5,NORMINV(RAND(),$C$9,$D$9)))</f>
        <v/>
      </c>
      <c r="O208" s="5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28">
        <f>MIN(24,MAX(5,NORMINV(RAND(),$C$9,$D$9)))</f>
        <v/>
      </c>
      <c r="O209" s="5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28">
        <f>MIN(24,MAX(5,NORMINV(RAND(),$C$9,$D$9)))</f>
        <v/>
      </c>
      <c r="O210" s="5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28">
        <f>MIN(24,MAX(5,NORMINV(RAND(),$C$9,$D$9)))</f>
        <v/>
      </c>
      <c r="O211" s="5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28">
        <f>MIN(24,MAX(5,NORMINV(RAND(),$C$9,$D$9)))</f>
        <v/>
      </c>
      <c r="O212" s="5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28">
        <f>MIN(24,MAX(5,NORMINV(RAND(),$C$9,$D$9)))</f>
        <v/>
      </c>
      <c r="O213" s="5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28">
        <f>MIN(24,MAX(5,NORMINV(RAND(),$C$9,$D$9)))</f>
        <v/>
      </c>
      <c r="O214" s="5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28">
        <f>MIN(24,MAX(5,NORMINV(RAND(),$C$9,$D$9)))</f>
        <v/>
      </c>
      <c r="O215" s="5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28">
        <f>MIN(24,MAX(5,NORMINV(RAND(),$C$9,$D$9)))</f>
        <v/>
      </c>
      <c r="O216" s="5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28">
        <f>MIN(24,MAX(5,NORMINV(RAND(),$C$9,$D$9)))</f>
        <v/>
      </c>
      <c r="O217" s="5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28">
        <f>MIN(24,MAX(5,NORMINV(RAND(),$C$9,$D$9)))</f>
        <v/>
      </c>
      <c r="O218" s="5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28">
        <f>MIN(24,MAX(5,NORMINV(RAND(),$C$9,$D$9)))</f>
        <v/>
      </c>
      <c r="O219" s="5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28">
        <f>MIN(24,MAX(5,NORMINV(RAND(),$C$9,$D$9)))</f>
        <v/>
      </c>
      <c r="O220" s="5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28">
        <f>MIN(24,MAX(5,NORMINV(RAND(),$C$9,$D$9)))</f>
        <v/>
      </c>
      <c r="O221" s="5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28">
        <f>MIN(24,MAX(5,NORMINV(RAND(),$C$9,$D$9)))</f>
        <v/>
      </c>
      <c r="O222" s="5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28">
        <f>MIN(24,MAX(5,NORMINV(RAND(),$C$9,$D$9)))</f>
        <v/>
      </c>
      <c r="O223" s="5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28">
        <f>MIN(24,MAX(5,NORMINV(RAND(),$C$9,$D$9)))</f>
        <v/>
      </c>
      <c r="O224" s="5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28">
        <f>MIN(24,MAX(5,NORMINV(RAND(),$C$9,$D$9)))</f>
        <v/>
      </c>
      <c r="O225" s="5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28">
        <f>MIN(24,MAX(5,NORMINV(RAND(),$C$9,$D$9)))</f>
        <v/>
      </c>
      <c r="O226" s="5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28">
        <f>MIN(24,MAX(5,NORMINV(RAND(),$C$9,$D$9)))</f>
        <v/>
      </c>
      <c r="O227" s="5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28">
        <f>MIN(24,MAX(5,NORMINV(RAND(),$C$9,$D$9)))</f>
        <v/>
      </c>
      <c r="O228" s="5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28">
        <f>MIN(24,MAX(5,NORMINV(RAND(),$C$9,$D$9)))</f>
        <v/>
      </c>
      <c r="O229" s="5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28">
        <f>MIN(24,MAX(5,NORMINV(RAND(),$C$9,$D$9)))</f>
        <v/>
      </c>
      <c r="O230" s="5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28">
        <f>MIN(24,MAX(5,NORMINV(RAND(),$C$9,$D$9)))</f>
        <v/>
      </c>
      <c r="O231" s="5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28">
        <f>MIN(24,MAX(5,NORMINV(RAND(),$C$9,$D$9)))</f>
        <v/>
      </c>
      <c r="O232" s="5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28">
        <f>MIN(24,MAX(5,NORMINV(RAND(),$C$9,$D$9)))</f>
        <v/>
      </c>
      <c r="O233" s="5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28">
        <f>MIN(24,MAX(5,NORMINV(RAND(),$C$9,$D$9)))</f>
        <v/>
      </c>
      <c r="O234" s="5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28">
        <f>MIN(24,MAX(5,NORMINV(RAND(),$C$9,$D$9)))</f>
        <v/>
      </c>
      <c r="O235" s="5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28">
        <f>MIN(24,MAX(5,NORMINV(RAND(),$C$9,$D$9)))</f>
        <v/>
      </c>
      <c r="O236" s="5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28">
        <f>MIN(24,MAX(5,NORMINV(RAND(),$C$9,$D$9)))</f>
        <v/>
      </c>
      <c r="O237" s="5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28">
        <f>MIN(24,MAX(5,NORMINV(RAND(),$C$9,$D$9)))</f>
        <v/>
      </c>
      <c r="O238" s="5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28">
        <f>MIN(24,MAX(5,NORMINV(RAND(),$C$9,$D$9)))</f>
        <v/>
      </c>
      <c r="O239" s="5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28">
        <f>MIN(24,MAX(5,NORMINV(RAND(),$C$9,$D$9)))</f>
        <v/>
      </c>
      <c r="O240" s="5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28">
        <f>MIN(24,MAX(5,NORMINV(RAND(),$C$9,$D$9)))</f>
        <v/>
      </c>
      <c r="O241" s="5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28">
        <f>MIN(24,MAX(5,NORMINV(RAND(),$C$9,$D$9)))</f>
        <v/>
      </c>
      <c r="O242" s="5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28">
        <f>MIN(24,MAX(5,NORMINV(RAND(),$C$9,$D$9)))</f>
        <v/>
      </c>
      <c r="O243" s="5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28">
        <f>MIN(24,MAX(5,NORMINV(RAND(),$C$9,$D$9)))</f>
        <v/>
      </c>
      <c r="O244" s="5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28">
        <f>MIN(24,MAX(5,NORMINV(RAND(),$C$9,$D$9)))</f>
        <v/>
      </c>
      <c r="O245" s="5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28">
        <f>MIN(24,MAX(5,NORMINV(RAND(),$C$9,$D$9)))</f>
        <v/>
      </c>
      <c r="O246" s="5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28">
        <f>MIN(24,MAX(5,NORMINV(RAND(),$C$9,$D$9)))</f>
        <v/>
      </c>
      <c r="O247" s="5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28">
        <f>MIN(24,MAX(5,NORMINV(RAND(),$C$9,$D$9)))</f>
        <v/>
      </c>
      <c r="O248" s="5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28">
        <f>MIN(24,MAX(5,NORMINV(RAND(),$C$9,$D$9)))</f>
        <v/>
      </c>
      <c r="O249" s="5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28">
        <f>MIN(24,MAX(5,NORMINV(RAND(),$C$9,$D$9)))</f>
        <v/>
      </c>
      <c r="O250" s="5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28">
        <f>MIN(24,MAX(5,NORMINV(RAND(),$C$9,$D$9)))</f>
        <v/>
      </c>
      <c r="O251" s="5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28">
        <f>MIN(24,MAX(5,NORMINV(RAND(),$C$9,$D$9)))</f>
        <v/>
      </c>
      <c r="O252" s="5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28">
        <f>MIN(24,MAX(5,NORMINV(RAND(),$C$9,$D$9)))</f>
        <v/>
      </c>
      <c r="O253" s="5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28">
        <f>MIN(24,MAX(5,NORMINV(RAND(),$C$9,$D$9)))</f>
        <v/>
      </c>
      <c r="O254" s="5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28">
        <f>MIN(24,MAX(5,NORMINV(RAND(),$C$9,$D$9)))</f>
        <v/>
      </c>
      <c r="O255" s="5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28">
        <f>MIN(24,MAX(5,NORMINV(RAND(),$C$9,$D$9)))</f>
        <v/>
      </c>
      <c r="O256" s="5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28">
        <f>MIN(24,MAX(5,NORMINV(RAND(),$C$9,$D$9)))</f>
        <v/>
      </c>
      <c r="O257" s="5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28">
        <f>MIN(24,MAX(5,NORMINV(RAND(),$C$9,$D$9)))</f>
        <v/>
      </c>
      <c r="O258" s="5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28">
        <f>MIN(24,MAX(5,NORMINV(RAND(),$C$9,$D$9)))</f>
        <v/>
      </c>
      <c r="O259" s="5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28">
        <f>MIN(24,MAX(5,NORMINV(RAND(),$C$9,$D$9)))</f>
        <v/>
      </c>
      <c r="O260" s="5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28">
        <f>MIN(24,MAX(5,NORMINV(RAND(),$C$9,$D$9)))</f>
        <v/>
      </c>
      <c r="O261" s="5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28">
        <f>MIN(24,MAX(5,NORMINV(RAND(),$C$9,$D$9)))</f>
        <v/>
      </c>
      <c r="O262" s="5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28">
        <f>MIN(24,MAX(5,NORMINV(RAND(),$C$9,$D$9)))</f>
        <v/>
      </c>
      <c r="O263" s="5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28">
        <f>MIN(24,MAX(5,NORMINV(RAND(),$C$9,$D$9)))</f>
        <v/>
      </c>
      <c r="O264" s="5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28">
        <f>MIN(24,MAX(5,NORMINV(RAND(),$C$9,$D$9)))</f>
        <v/>
      </c>
      <c r="O265" s="5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28">
        <f>MIN(24,MAX(5,NORMINV(RAND(),$C$9,$D$9)))</f>
        <v/>
      </c>
      <c r="O266" s="5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28">
        <f>MIN(24,MAX(5,NORMINV(RAND(),$C$9,$D$9)))</f>
        <v/>
      </c>
      <c r="O267" s="5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28">
        <f>MIN(24,MAX(5,NORMINV(RAND(),$C$9,$D$9)))</f>
        <v/>
      </c>
      <c r="O268" s="5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28">
        <f>MIN(24,MAX(5,NORMINV(RAND(),$C$9,$D$9)))</f>
        <v/>
      </c>
      <c r="O269" s="5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28">
        <f>MIN(24,MAX(5,NORMINV(RAND(),$C$9,$D$9)))</f>
        <v/>
      </c>
      <c r="O270" s="5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28">
        <f>MIN(24,MAX(5,NORMINV(RAND(),$C$9,$D$9)))</f>
        <v/>
      </c>
      <c r="O271" s="5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28">
        <f>MIN(24,MAX(5,NORMINV(RAND(),$C$9,$D$9)))</f>
        <v/>
      </c>
      <c r="O272" s="5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28">
        <f>MIN(24,MAX(5,NORMINV(RAND(),$C$9,$D$9)))</f>
        <v/>
      </c>
      <c r="O273" s="5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28">
        <f>MIN(24,MAX(5,NORMINV(RAND(),$C$9,$D$9)))</f>
        <v/>
      </c>
      <c r="O274" s="5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28">
        <f>MIN(24,MAX(5,NORMINV(RAND(),$C$9,$D$9)))</f>
        <v/>
      </c>
      <c r="O275" s="5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28">
        <f>MIN(24,MAX(5,NORMINV(RAND(),$C$9,$D$9)))</f>
        <v/>
      </c>
      <c r="O276" s="5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28">
        <f>MIN(24,MAX(5,NORMINV(RAND(),$C$9,$D$9)))</f>
        <v/>
      </c>
      <c r="O277" s="5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28">
        <f>MIN(24,MAX(5,NORMINV(RAND(),$C$9,$D$9)))</f>
        <v/>
      </c>
      <c r="O278" s="5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28">
        <f>MIN(24,MAX(5,NORMINV(RAND(),$C$9,$D$9)))</f>
        <v/>
      </c>
      <c r="O279" s="5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28">
        <f>MIN(24,MAX(5,NORMINV(RAND(),$C$9,$D$9)))</f>
        <v/>
      </c>
      <c r="O280" s="5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28">
        <f>MIN(24,MAX(5,NORMINV(RAND(),$C$9,$D$9)))</f>
        <v/>
      </c>
      <c r="O281" s="5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28">
        <f>MIN(24,MAX(5,NORMINV(RAND(),$C$9,$D$9)))</f>
        <v/>
      </c>
      <c r="O282" s="5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28">
        <f>MIN(24,MAX(5,NORMINV(RAND(),$C$9,$D$9)))</f>
        <v/>
      </c>
      <c r="O283" s="5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28">
        <f>MIN(24,MAX(5,NORMINV(RAND(),$C$9,$D$9)))</f>
        <v/>
      </c>
      <c r="O284" s="5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28">
        <f>MIN(24,MAX(5,NORMINV(RAND(),$C$9,$D$9)))</f>
        <v/>
      </c>
      <c r="O285" s="5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28">
        <f>MIN(24,MAX(5,NORMINV(RAND(),$C$9,$D$9)))</f>
        <v/>
      </c>
      <c r="O286" s="5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28">
        <f>MIN(24,MAX(5,NORMINV(RAND(),$C$9,$D$9)))</f>
        <v/>
      </c>
      <c r="O287" s="5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28">
        <f>MIN(24,MAX(5,NORMINV(RAND(),$C$9,$D$9)))</f>
        <v/>
      </c>
      <c r="O288" s="5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28">
        <f>MIN(24,MAX(5,NORMINV(RAND(),$C$9,$D$9)))</f>
        <v/>
      </c>
      <c r="O289" s="5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28">
        <f>MIN(24,MAX(5,NORMINV(RAND(),$C$9,$D$9)))</f>
        <v/>
      </c>
      <c r="O290" s="5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28">
        <f>MIN(24,MAX(5,NORMINV(RAND(),$C$9,$D$9)))</f>
        <v/>
      </c>
      <c r="O291" s="5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28">
        <f>MIN(24,MAX(5,NORMINV(RAND(),$C$9,$D$9)))</f>
        <v/>
      </c>
      <c r="O292" s="5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28">
        <f>MIN(24,MAX(5,NORMINV(RAND(),$C$9,$D$9)))</f>
        <v/>
      </c>
      <c r="O293" s="5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28">
        <f>MIN(24,MAX(5,NORMINV(RAND(),$C$9,$D$9)))</f>
        <v/>
      </c>
      <c r="O294" s="5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28">
        <f>MIN(24,MAX(5,NORMINV(RAND(),$C$9,$D$9)))</f>
        <v/>
      </c>
      <c r="O295" s="5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28">
        <f>MIN(24,MAX(5,NORMINV(RAND(),$C$9,$D$9)))</f>
        <v/>
      </c>
      <c r="O296" s="5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28">
        <f>MIN(24,MAX(5,NORMINV(RAND(),$C$9,$D$9)))</f>
        <v/>
      </c>
      <c r="O297" s="5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28">
        <f>MIN(24,MAX(5,NORMINV(RAND(),$C$9,$D$9)))</f>
        <v/>
      </c>
      <c r="O298" s="5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28">
        <f>MIN(24,MAX(5,NORMINV(RAND(),$C$9,$D$9)))</f>
        <v/>
      </c>
      <c r="O299" s="5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28">
        <f>MIN(24,MAX(5,NORMINV(RAND(),$C$9,$D$9)))</f>
        <v/>
      </c>
      <c r="O300" s="5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28">
        <f>MIN(24,MAX(5,NORMINV(RAND(),$C$9,$D$9)))</f>
        <v/>
      </c>
      <c r="O301" s="5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28">
        <f>MIN(24,MAX(5,NORMINV(RAND(),$C$9,$D$9)))</f>
        <v/>
      </c>
      <c r="O302" s="5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28">
        <f>MIN(24,MAX(5,NORMINV(RAND(),$C$9,$D$9)))</f>
        <v/>
      </c>
      <c r="O303" s="5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28">
        <f>MIN(24,MAX(5,NORMINV(RAND(),$C$9,$D$9)))</f>
        <v/>
      </c>
      <c r="O304" s="5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28">
        <f>MIN(24,MAX(5,NORMINV(RAND(),$C$9,$D$9)))</f>
        <v/>
      </c>
      <c r="O305" s="5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28">
        <f>MIN(24,MAX(5,NORMINV(RAND(),$C$9,$D$9)))</f>
        <v/>
      </c>
      <c r="O306" s="5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28">
        <f>MIN(24,MAX(5,NORMINV(RAND(),$C$9,$D$9)))</f>
        <v/>
      </c>
      <c r="O307" s="5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28">
        <f>MIN(24,MAX(5,NORMINV(RAND(),$C$9,$D$9)))</f>
        <v/>
      </c>
      <c r="O308" s="5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28">
        <f>MIN(24,MAX(5,NORMINV(RAND(),$C$9,$D$9)))</f>
        <v/>
      </c>
      <c r="O309" s="5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28">
        <f>MIN(24,MAX(5,NORMINV(RAND(),$C$9,$D$9)))</f>
        <v/>
      </c>
      <c r="O310" s="5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28">
        <f>MIN(24,MAX(5,NORMINV(RAND(),$C$9,$D$9)))</f>
        <v/>
      </c>
      <c r="O311" s="5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28">
        <f>MIN(24,MAX(5,NORMINV(RAND(),$C$9,$D$9)))</f>
        <v/>
      </c>
      <c r="O312" s="5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28">
        <f>MIN(24,MAX(5,NORMINV(RAND(),$C$9,$D$9)))</f>
        <v/>
      </c>
      <c r="O313" s="5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28">
        <f>MIN(24,MAX(5,NORMINV(RAND(),$C$9,$D$9)))</f>
        <v/>
      </c>
      <c r="O314" s="5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28">
        <f>MIN(24,MAX(5,NORMINV(RAND(),$C$9,$D$9)))</f>
        <v/>
      </c>
      <c r="O315" s="5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28">
        <f>MIN(24,MAX(5,NORMINV(RAND(),$C$9,$D$9)))</f>
        <v/>
      </c>
      <c r="O316" s="5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28">
        <f>MIN(24,MAX(5,NORMINV(RAND(),$C$9,$D$9)))</f>
        <v/>
      </c>
      <c r="O317" s="5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28">
        <f>MIN(24,MAX(5,NORMINV(RAND(),$C$9,$D$9)))</f>
        <v/>
      </c>
      <c r="O318" s="5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28">
        <f>MIN(24,MAX(5,NORMINV(RAND(),$C$9,$D$9)))</f>
        <v/>
      </c>
      <c r="O319" s="5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28">
        <f>MIN(24,MAX(5,NORMINV(RAND(),$C$9,$D$9)))</f>
        <v/>
      </c>
      <c r="O320" s="5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28">
        <f>MIN(24,MAX(5,NORMINV(RAND(),$C$9,$D$9)))</f>
        <v/>
      </c>
      <c r="O321" s="5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28">
        <f>MIN(24,MAX(5,NORMINV(RAND(),$C$9,$D$9)))</f>
        <v/>
      </c>
      <c r="O322" s="5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28">
        <f>MIN(24,MAX(5,NORMINV(RAND(),$C$9,$D$9)))</f>
        <v/>
      </c>
      <c r="O323" s="5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28">
        <f>MIN(24,MAX(5,NORMINV(RAND(),$C$9,$D$9)))</f>
        <v/>
      </c>
      <c r="O324" s="5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28">
        <f>MIN(24,MAX(5,NORMINV(RAND(),$C$9,$D$9)))</f>
        <v/>
      </c>
      <c r="O325" s="5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28">
        <f>MIN(24,MAX(5,NORMINV(RAND(),$C$9,$D$9)))</f>
        <v/>
      </c>
      <c r="O326" s="5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28">
        <f>MIN(24,MAX(5,NORMINV(RAND(),$C$9,$D$9)))</f>
        <v/>
      </c>
      <c r="O327" s="5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28">
        <f>MIN(24,MAX(5,NORMINV(RAND(),$C$9,$D$9)))</f>
        <v/>
      </c>
      <c r="O328" s="5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28">
        <f>MIN(24,MAX(5,NORMINV(RAND(),$C$9,$D$9)))</f>
        <v/>
      </c>
      <c r="O329" s="5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28">
        <f>MIN(24,MAX(5,NORMINV(RAND(),$C$9,$D$9)))</f>
        <v/>
      </c>
      <c r="O330" s="5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28">
        <f>MIN(24,MAX(5,NORMINV(RAND(),$C$9,$D$9)))</f>
        <v/>
      </c>
      <c r="O331" s="5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28">
        <f>MIN(24,MAX(5,NORMINV(RAND(),$C$9,$D$9)))</f>
        <v/>
      </c>
      <c r="O332" s="5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28">
        <f>MIN(24,MAX(5,NORMINV(RAND(),$C$9,$D$9)))</f>
        <v/>
      </c>
      <c r="O333" s="5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28">
        <f>MIN(24,MAX(5,NORMINV(RAND(),$C$9,$D$9)))</f>
        <v/>
      </c>
      <c r="O334" s="5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28">
        <f>MIN(24,MAX(5,NORMINV(RAND(),$C$9,$D$9)))</f>
        <v/>
      </c>
      <c r="O335" s="5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28">
        <f>MIN(24,MAX(5,NORMINV(RAND(),$C$9,$D$9)))</f>
        <v/>
      </c>
      <c r="O336" s="5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28">
        <f>MIN(24,MAX(5,NORMINV(RAND(),$C$9,$D$9)))</f>
        <v/>
      </c>
      <c r="O337" s="5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28">
        <f>MIN(24,MAX(5,NORMINV(RAND(),$C$9,$D$9)))</f>
        <v/>
      </c>
      <c r="O338" s="5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28">
        <f>MIN(24,MAX(5,NORMINV(RAND(),$C$9,$D$9)))</f>
        <v/>
      </c>
      <c r="O339" s="5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28">
        <f>MIN(24,MAX(5,NORMINV(RAND(),$C$9,$D$9)))</f>
        <v/>
      </c>
      <c r="O340" s="5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28">
        <f>MIN(24,MAX(5,NORMINV(RAND(),$C$9,$D$9)))</f>
        <v/>
      </c>
      <c r="O341" s="5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28">
        <f>MIN(24,MAX(5,NORMINV(RAND(),$C$9,$D$9)))</f>
        <v/>
      </c>
      <c r="O342" s="5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28">
        <f>MIN(24,MAX(5,NORMINV(RAND(),$C$9,$D$9)))</f>
        <v/>
      </c>
      <c r="O343" s="5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28">
        <f>MIN(24,MAX(5,NORMINV(RAND(),$C$9,$D$9)))</f>
        <v/>
      </c>
      <c r="O344" s="5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28">
        <f>MIN(24,MAX(5,NORMINV(RAND(),$C$9,$D$9)))</f>
        <v/>
      </c>
      <c r="O345" s="5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28">
        <f>MIN(24,MAX(5,NORMINV(RAND(),$C$9,$D$9)))</f>
        <v/>
      </c>
      <c r="O346" s="5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28">
        <f>MIN(24,MAX(5,NORMINV(RAND(),$C$9,$D$9)))</f>
        <v/>
      </c>
      <c r="O347" s="5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28">
        <f>MIN(24,MAX(5,NORMINV(RAND(),$C$9,$D$9)))</f>
        <v/>
      </c>
      <c r="O348" s="5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28">
        <f>MIN(24,MAX(5,NORMINV(RAND(),$C$9,$D$9)))</f>
        <v/>
      </c>
      <c r="O349" s="5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28">
        <f>MIN(24,MAX(5,NORMINV(RAND(),$C$9,$D$9)))</f>
        <v/>
      </c>
      <c r="O350" s="5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28">
        <f>MIN(24,MAX(5,NORMINV(RAND(),$C$9,$D$9)))</f>
        <v/>
      </c>
      <c r="O351" s="5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28">
        <f>MIN(24,MAX(5,NORMINV(RAND(),$C$9,$D$9)))</f>
        <v/>
      </c>
      <c r="O352" s="5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28">
        <f>MIN(24,MAX(5,NORMINV(RAND(),$C$9,$D$9)))</f>
        <v/>
      </c>
      <c r="O353" s="5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28">
        <f>MIN(24,MAX(5,NORMINV(RAND(),$C$9,$D$9)))</f>
        <v/>
      </c>
      <c r="O354" s="5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28">
        <f>MIN(24,MAX(5,NORMINV(RAND(),$C$9,$D$9)))</f>
        <v/>
      </c>
      <c r="O355" s="5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28">
        <f>MIN(24,MAX(5,NORMINV(RAND(),$C$9,$D$9)))</f>
        <v/>
      </c>
      <c r="O356" s="5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28">
        <f>MIN(24,MAX(5,NORMINV(RAND(),$C$9,$D$9)))</f>
        <v/>
      </c>
      <c r="O357" s="5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28">
        <f>MIN(24,MAX(5,NORMINV(RAND(),$C$9,$D$9)))</f>
        <v/>
      </c>
      <c r="O358" s="5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28">
        <f>MIN(24,MAX(5,NORMINV(RAND(),$C$9,$D$9)))</f>
        <v/>
      </c>
      <c r="O359" s="5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28">
        <f>MIN(24,MAX(5,NORMINV(RAND(),$C$9,$D$9)))</f>
        <v/>
      </c>
      <c r="O360" s="5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28">
        <f>MIN(24,MAX(5,NORMINV(RAND(),$C$9,$D$9)))</f>
        <v/>
      </c>
      <c r="O361" s="5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28">
        <f>MIN(24,MAX(5,NORMINV(RAND(),$C$9,$D$9)))</f>
        <v/>
      </c>
      <c r="O362" s="5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28">
        <f>MIN(24,MAX(5,NORMINV(RAND(),$C$9,$D$9)))</f>
        <v/>
      </c>
      <c r="O363" s="5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28">
        <f>MIN(24,MAX(5,NORMINV(RAND(),$C$9,$D$9)))</f>
        <v/>
      </c>
      <c r="O364" s="5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28">
        <f>MIN(24,MAX(5,NORMINV(RAND(),$C$9,$D$9)))</f>
        <v/>
      </c>
      <c r="O365" s="5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28">
        <f>MIN(24,MAX(5,NORMINV(RAND(),$C$9,$D$9)))</f>
        <v/>
      </c>
      <c r="O366" s="5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28">
        <f>MIN(24,MAX(5,NORMINV(RAND(),$C$9,$D$9)))</f>
        <v/>
      </c>
      <c r="O367" s="5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28">
        <f>MIN(24,MAX(5,NORMINV(RAND(),$C$9,$D$9)))</f>
        <v/>
      </c>
      <c r="O368" s="5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28">
        <f>MIN(24,MAX(5,NORMINV(RAND(),$C$9,$D$9)))</f>
        <v/>
      </c>
      <c r="O369" s="5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28">
        <f>MIN(24,MAX(5,NORMINV(RAND(),$C$9,$D$9)))</f>
        <v/>
      </c>
      <c r="O370" s="5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28">
        <f>MIN(24,MAX(5,NORMINV(RAND(),$C$9,$D$9)))</f>
        <v/>
      </c>
      <c r="O371" s="5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28">
        <f>MIN(24,MAX(5,NORMINV(RAND(),$C$9,$D$9)))</f>
        <v/>
      </c>
      <c r="O372" s="5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28">
        <f>MIN(24,MAX(5,NORMINV(RAND(),$C$9,$D$9)))</f>
        <v/>
      </c>
      <c r="O373" s="5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28">
        <f>MIN(24,MAX(5,NORMINV(RAND(),$C$9,$D$9)))</f>
        <v/>
      </c>
      <c r="O374" s="5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28">
        <f>MIN(24,MAX(5,NORMINV(RAND(),$C$9,$D$9)))</f>
        <v/>
      </c>
      <c r="O375" s="5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28">
        <f>MIN(24,MAX(5,NORMINV(RAND(),$C$9,$D$9)))</f>
        <v/>
      </c>
      <c r="O376" s="5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28">
        <f>MIN(24,MAX(5,NORMINV(RAND(),$C$9,$D$9)))</f>
        <v/>
      </c>
      <c r="O377" s="5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28">
        <f>MIN(24,MAX(5,NORMINV(RAND(),$C$9,$D$9)))</f>
        <v/>
      </c>
      <c r="O378" s="5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28">
        <f>MIN(24,MAX(5,NORMINV(RAND(),$C$9,$D$9)))</f>
        <v/>
      </c>
      <c r="O379" s="5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28">
        <f>MIN(24,MAX(5,NORMINV(RAND(),$C$9,$D$9)))</f>
        <v/>
      </c>
      <c r="O380" s="5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28">
        <f>MIN(24,MAX(5,NORMINV(RAND(),$C$9,$D$9)))</f>
        <v/>
      </c>
      <c r="O381" s="5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28">
        <f>MIN(24,MAX(5,NORMINV(RAND(),$C$9,$D$9)))</f>
        <v/>
      </c>
      <c r="O382" s="5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28">
        <f>MIN(24,MAX(5,NORMINV(RAND(),$C$9,$D$9)))</f>
        <v/>
      </c>
      <c r="O383" s="5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28">
        <f>MIN(24,MAX(5,NORMINV(RAND(),$C$9,$D$9)))</f>
        <v/>
      </c>
      <c r="O384" s="5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28">
        <f>MIN(24,MAX(5,NORMINV(RAND(),$C$9,$D$9)))</f>
        <v/>
      </c>
      <c r="O385" s="5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28">
        <f>MIN(24,MAX(5,NORMINV(RAND(),$C$9,$D$9)))</f>
        <v/>
      </c>
      <c r="O386" s="5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28">
        <f>MIN(24,MAX(5,NORMINV(RAND(),$C$9,$D$9)))</f>
        <v/>
      </c>
      <c r="O387" s="5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28">
        <f>MIN(24,MAX(5,NORMINV(RAND(),$C$9,$D$9)))</f>
        <v/>
      </c>
      <c r="O388" s="5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28">
        <f>MIN(24,MAX(5,NORMINV(RAND(),$C$9,$D$9)))</f>
        <v/>
      </c>
      <c r="O389" s="5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28">
        <f>MIN(24,MAX(5,NORMINV(RAND(),$C$9,$D$9)))</f>
        <v/>
      </c>
      <c r="O390" s="5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28">
        <f>MIN(24,MAX(5,NORMINV(RAND(),$C$9,$D$9)))</f>
        <v/>
      </c>
      <c r="O391" s="5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28">
        <f>MIN(24,MAX(5,NORMINV(RAND(),$C$9,$D$9)))</f>
        <v/>
      </c>
      <c r="O392" s="5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28">
        <f>MIN(24,MAX(5,NORMINV(RAND(),$C$9,$D$9)))</f>
        <v/>
      </c>
      <c r="O393" s="5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28">
        <f>MIN(24,MAX(5,NORMINV(RAND(),$C$9,$D$9)))</f>
        <v/>
      </c>
      <c r="O394" s="5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28">
        <f>MIN(24,MAX(5,NORMINV(RAND(),$C$9,$D$9)))</f>
        <v/>
      </c>
      <c r="O395" s="5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28">
        <f>MIN(24,MAX(5,NORMINV(RAND(),$C$9,$D$9)))</f>
        <v/>
      </c>
      <c r="O396" s="5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28">
        <f>MIN(24,MAX(5,NORMINV(RAND(),$C$9,$D$9)))</f>
        <v/>
      </c>
      <c r="O397" s="5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28">
        <f>MIN(24,MAX(5,NORMINV(RAND(),$C$9,$D$9)))</f>
        <v/>
      </c>
      <c r="O398" s="5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28">
        <f>MIN(24,MAX(5,NORMINV(RAND(),$C$9,$D$9)))</f>
        <v/>
      </c>
      <c r="O399" s="5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28">
        <f>MIN(24,MAX(5,NORMINV(RAND(),$C$9,$D$9)))</f>
        <v/>
      </c>
      <c r="O400" s="5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28">
        <f>MIN(24,MAX(5,NORMINV(RAND(),$C$9,$D$9)))</f>
        <v/>
      </c>
      <c r="O401" s="5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28">
        <f>MIN(24,MAX(5,NORMINV(RAND(),$C$9,$D$9)))</f>
        <v/>
      </c>
      <c r="O402" s="5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28">
        <f>MIN(24,MAX(5,NORMINV(RAND(),$C$9,$D$9)))</f>
        <v/>
      </c>
      <c r="O403" s="5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28">
        <f>MIN(24,MAX(5,NORMINV(RAND(),$C$9,$D$9)))</f>
        <v/>
      </c>
      <c r="O404" s="5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28">
        <f>MIN(24,MAX(5,NORMINV(RAND(),$C$9,$D$9)))</f>
        <v/>
      </c>
      <c r="O405" s="5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28">
        <f>MIN(24,MAX(5,NORMINV(RAND(),$C$9,$D$9)))</f>
        <v/>
      </c>
      <c r="O406" s="5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28">
        <f>MIN(24,MAX(5,NORMINV(RAND(),$C$9,$D$9)))</f>
        <v/>
      </c>
      <c r="O407" s="5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28">
        <f>MIN(24,MAX(5,NORMINV(RAND(),$C$9,$D$9)))</f>
        <v/>
      </c>
      <c r="O408" s="5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28">
        <f>MIN(24,MAX(5,NORMINV(RAND(),$C$9,$D$9)))</f>
        <v/>
      </c>
      <c r="O409" s="5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28">
        <f>MIN(24,MAX(5,NORMINV(RAND(),$C$9,$D$9)))</f>
        <v/>
      </c>
      <c r="O410" s="5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28">
        <f>MIN(24,MAX(5,NORMINV(RAND(),$C$9,$D$9)))</f>
        <v/>
      </c>
      <c r="O411" s="5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28">
        <f>MIN(24,MAX(5,NORMINV(RAND(),$C$9,$D$9)))</f>
        <v/>
      </c>
      <c r="O412" s="5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28">
        <f>MIN(24,MAX(5,NORMINV(RAND(),$C$9,$D$9)))</f>
        <v/>
      </c>
      <c r="O413" s="5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28">
        <f>MIN(24,MAX(5,NORMINV(RAND(),$C$9,$D$9)))</f>
        <v/>
      </c>
      <c r="O414" s="5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28">
        <f>MIN(24,MAX(5,NORMINV(RAND(),$C$9,$D$9)))</f>
        <v/>
      </c>
      <c r="O415" s="5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28">
        <f>MIN(24,MAX(5,NORMINV(RAND(),$C$9,$D$9)))</f>
        <v/>
      </c>
      <c r="O416" s="5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28">
        <f>MIN(24,MAX(5,NORMINV(RAND(),$C$9,$D$9)))</f>
        <v/>
      </c>
      <c r="O417" s="5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28">
        <f>MIN(24,MAX(5,NORMINV(RAND(),$C$9,$D$9)))</f>
        <v/>
      </c>
      <c r="O418" s="5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28">
        <f>MIN(24,MAX(5,NORMINV(RAND(),$C$9,$D$9)))</f>
        <v/>
      </c>
      <c r="O419" s="5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28">
        <f>MIN(24,MAX(5,NORMINV(RAND(),$C$9,$D$9)))</f>
        <v/>
      </c>
      <c r="O420" s="5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28">
        <f>MIN(24,MAX(5,NORMINV(RAND(),$C$9,$D$9)))</f>
        <v/>
      </c>
      <c r="O421" s="5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28">
        <f>MIN(24,MAX(5,NORMINV(RAND(),$C$9,$D$9)))</f>
        <v/>
      </c>
      <c r="O422" s="5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28">
        <f>MIN(24,MAX(5,NORMINV(RAND(),$C$9,$D$9)))</f>
        <v/>
      </c>
      <c r="O423" s="5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28">
        <f>MIN(24,MAX(5,NORMINV(RAND(),$C$9,$D$9)))</f>
        <v/>
      </c>
      <c r="O424" s="5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28">
        <f>MIN(24,MAX(5,NORMINV(RAND(),$C$9,$D$9)))</f>
        <v/>
      </c>
      <c r="O425" s="5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28">
        <f>MIN(24,MAX(5,NORMINV(RAND(),$C$9,$D$9)))</f>
        <v/>
      </c>
      <c r="O426" s="5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28">
        <f>MIN(24,MAX(5,NORMINV(RAND(),$C$9,$D$9)))</f>
        <v/>
      </c>
      <c r="O427" s="5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28">
        <f>MIN(24,MAX(5,NORMINV(RAND(),$C$9,$D$9)))</f>
        <v/>
      </c>
      <c r="O428" s="5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28">
        <f>MIN(24,MAX(5,NORMINV(RAND(),$C$9,$D$9)))</f>
        <v/>
      </c>
      <c r="O429" s="5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28">
        <f>MIN(24,MAX(5,NORMINV(RAND(),$C$9,$D$9)))</f>
        <v/>
      </c>
      <c r="O430" s="5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28">
        <f>MIN(24,MAX(5,NORMINV(RAND(),$C$9,$D$9)))</f>
        <v/>
      </c>
      <c r="O431" s="5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28">
        <f>MIN(24,MAX(5,NORMINV(RAND(),$C$9,$D$9)))</f>
        <v/>
      </c>
      <c r="O432" s="5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28">
        <f>MIN(24,MAX(5,NORMINV(RAND(),$C$9,$D$9)))</f>
        <v/>
      </c>
      <c r="O433" s="5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28">
        <f>MIN(24,MAX(5,NORMINV(RAND(),$C$9,$D$9)))</f>
        <v/>
      </c>
      <c r="O434" s="5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28">
        <f>MIN(24,MAX(5,NORMINV(RAND(),$C$9,$D$9)))</f>
        <v/>
      </c>
      <c r="O435" s="5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28">
        <f>MIN(24,MAX(5,NORMINV(RAND(),$C$9,$D$9)))</f>
        <v/>
      </c>
      <c r="O436" s="5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28">
        <f>MIN(24,MAX(5,NORMINV(RAND(),$C$9,$D$9)))</f>
        <v/>
      </c>
      <c r="O437" s="5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28">
        <f>MIN(24,MAX(5,NORMINV(RAND(),$C$9,$D$9)))</f>
        <v/>
      </c>
      <c r="O438" s="5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28">
        <f>MIN(24,MAX(5,NORMINV(RAND(),$C$9,$D$9)))</f>
        <v/>
      </c>
      <c r="O439" s="5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28">
        <f>MIN(24,MAX(5,NORMINV(RAND(),$C$9,$D$9)))</f>
        <v/>
      </c>
      <c r="O440" s="5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28">
        <f>MIN(24,MAX(5,NORMINV(RAND(),$C$9,$D$9)))</f>
        <v/>
      </c>
      <c r="O441" s="5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28">
        <f>MIN(24,MAX(5,NORMINV(RAND(),$C$9,$D$9)))</f>
        <v/>
      </c>
      <c r="O442" s="5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28">
        <f>MIN(24,MAX(5,NORMINV(RAND(),$C$9,$D$9)))</f>
        <v/>
      </c>
      <c r="O443" s="5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28">
        <f>MIN(24,MAX(5,NORMINV(RAND(),$C$9,$D$9)))</f>
        <v/>
      </c>
      <c r="O444" s="5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28">
        <f>MIN(24,MAX(5,NORMINV(RAND(),$C$9,$D$9)))</f>
        <v/>
      </c>
      <c r="O445" s="5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28">
        <f>MIN(24,MAX(5,NORMINV(RAND(),$C$9,$D$9)))</f>
        <v/>
      </c>
      <c r="O446" s="5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28">
        <f>MIN(24,MAX(5,NORMINV(RAND(),$C$9,$D$9)))</f>
        <v/>
      </c>
      <c r="O447" s="5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28">
        <f>MIN(24,MAX(5,NORMINV(RAND(),$C$9,$D$9)))</f>
        <v/>
      </c>
      <c r="O448" s="5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28">
        <f>MIN(24,MAX(5,NORMINV(RAND(),$C$9,$D$9)))</f>
        <v/>
      </c>
      <c r="O449" s="5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28">
        <f>MIN(24,MAX(5,NORMINV(RAND(),$C$9,$D$9)))</f>
        <v/>
      </c>
      <c r="O450" s="5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28">
        <f>MIN(24,MAX(5,NORMINV(RAND(),$C$9,$D$9)))</f>
        <v/>
      </c>
      <c r="O451" s="5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28">
        <f>MIN(24,MAX(5,NORMINV(RAND(),$C$9,$D$9)))</f>
        <v/>
      </c>
      <c r="O452" s="5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28">
        <f>MIN(24,MAX(5,NORMINV(RAND(),$C$9,$D$9)))</f>
        <v/>
      </c>
      <c r="O453" s="5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28">
        <f>MIN(24,MAX(5,NORMINV(RAND(),$C$9,$D$9)))</f>
        <v/>
      </c>
      <c r="O454" s="5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28">
        <f>MIN(24,MAX(5,NORMINV(RAND(),$C$9,$D$9)))</f>
        <v/>
      </c>
      <c r="O455" s="5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28">
        <f>MIN(24,MAX(5,NORMINV(RAND(),$C$9,$D$9)))</f>
        <v/>
      </c>
      <c r="O456" s="5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28">
        <f>MIN(24,MAX(5,NORMINV(RAND(),$C$9,$D$9)))</f>
        <v/>
      </c>
      <c r="O457" s="5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28">
        <f>MIN(24,MAX(5,NORMINV(RAND(),$C$9,$D$9)))</f>
        <v/>
      </c>
      <c r="O458" s="5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28">
        <f>MIN(24,MAX(5,NORMINV(RAND(),$C$9,$D$9)))</f>
        <v/>
      </c>
      <c r="O459" s="5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28">
        <f>MIN(24,MAX(5,NORMINV(RAND(),$C$9,$D$9)))</f>
        <v/>
      </c>
      <c r="O460" s="5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28">
        <f>MIN(24,MAX(5,NORMINV(RAND(),$C$9,$D$9)))</f>
        <v/>
      </c>
      <c r="O461" s="5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28">
        <f>MIN(24,MAX(5,NORMINV(RAND(),$C$9,$D$9)))</f>
        <v/>
      </c>
      <c r="O462" s="5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28">
        <f>MIN(24,MAX(5,NORMINV(RAND(),$C$9,$D$9)))</f>
        <v/>
      </c>
      <c r="O463" s="5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28">
        <f>MIN(24,MAX(5,NORMINV(RAND(),$C$9,$D$9)))</f>
        <v/>
      </c>
      <c r="O464" s="5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28">
        <f>MIN(24,MAX(5,NORMINV(RAND(),$C$9,$D$9)))</f>
        <v/>
      </c>
      <c r="O465" s="5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28">
        <f>MIN(24,MAX(5,NORMINV(RAND(),$C$9,$D$9)))</f>
        <v/>
      </c>
      <c r="O466" s="5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28">
        <f>MIN(24,MAX(5,NORMINV(RAND(),$C$9,$D$9)))</f>
        <v/>
      </c>
      <c r="O467" s="5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28">
        <f>MIN(24,MAX(5,NORMINV(RAND(),$C$9,$D$9)))</f>
        <v/>
      </c>
      <c r="O468" s="5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28">
        <f>MIN(24,MAX(5,NORMINV(RAND(),$C$9,$D$9)))</f>
        <v/>
      </c>
      <c r="O469" s="5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28">
        <f>MIN(24,MAX(5,NORMINV(RAND(),$C$9,$D$9)))</f>
        <v/>
      </c>
      <c r="O470" s="5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28">
        <f>MIN(24,MAX(5,NORMINV(RAND(),$C$9,$D$9)))</f>
        <v/>
      </c>
      <c r="O471" s="5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28">
        <f>MIN(24,MAX(5,NORMINV(RAND(),$C$9,$D$9)))</f>
        <v/>
      </c>
      <c r="O472" s="5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28">
        <f>MIN(24,MAX(5,NORMINV(RAND(),$C$9,$D$9)))</f>
        <v/>
      </c>
      <c r="O473" s="5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28">
        <f>MIN(24,MAX(5,NORMINV(RAND(),$C$9,$D$9)))</f>
        <v/>
      </c>
      <c r="O474" s="5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28">
        <f>MIN(24,MAX(5,NORMINV(RAND(),$C$9,$D$9)))</f>
        <v/>
      </c>
      <c r="O475" s="5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28">
        <f>MIN(24,MAX(5,NORMINV(RAND(),$C$9,$D$9)))</f>
        <v/>
      </c>
      <c r="O476" s="5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28">
        <f>MIN(24,MAX(5,NORMINV(RAND(),$C$9,$D$9)))</f>
        <v/>
      </c>
      <c r="O477" s="5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28">
        <f>MIN(24,MAX(5,NORMINV(RAND(),$C$9,$D$9)))</f>
        <v/>
      </c>
      <c r="O478" s="5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28">
        <f>MIN(24,MAX(5,NORMINV(RAND(),$C$9,$D$9)))</f>
        <v/>
      </c>
      <c r="O479" s="5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28">
        <f>MIN(24,MAX(5,NORMINV(RAND(),$C$9,$D$9)))</f>
        <v/>
      </c>
      <c r="O480" s="5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28">
        <f>MIN(24,MAX(5,NORMINV(RAND(),$C$9,$D$9)))</f>
        <v/>
      </c>
      <c r="O481" s="5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28">
        <f>MIN(24,MAX(5,NORMINV(RAND(),$C$9,$D$9)))</f>
        <v/>
      </c>
      <c r="O482" s="5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28">
        <f>MIN(24,MAX(5,NORMINV(RAND(),$C$9,$D$9)))</f>
        <v/>
      </c>
      <c r="O483" s="5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28">
        <f>MIN(24,MAX(5,NORMINV(RAND(),$C$9,$D$9)))</f>
        <v/>
      </c>
      <c r="O484" s="5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28">
        <f>MIN(24,MAX(5,NORMINV(RAND(),$C$9,$D$9)))</f>
        <v/>
      </c>
      <c r="O485" s="5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28">
        <f>MIN(24,MAX(5,NORMINV(RAND(),$C$9,$D$9)))</f>
        <v/>
      </c>
      <c r="O486" s="5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28">
        <f>MIN(24,MAX(5,NORMINV(RAND(),$C$9,$D$9)))</f>
        <v/>
      </c>
      <c r="O487" s="5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28">
        <f>MIN(24,MAX(5,NORMINV(RAND(),$C$9,$D$9)))</f>
        <v/>
      </c>
      <c r="O488" s="5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28">
        <f>MIN(24,MAX(5,NORMINV(RAND(),$C$9,$D$9)))</f>
        <v/>
      </c>
      <c r="O489" s="5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28">
        <f>MIN(24,MAX(5,NORMINV(RAND(),$C$9,$D$9)))</f>
        <v/>
      </c>
      <c r="O490" s="5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28">
        <f>MIN(24,MAX(5,NORMINV(RAND(),$C$9,$D$9)))</f>
        <v/>
      </c>
      <c r="O491" s="5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28">
        <f>MIN(24,MAX(5,NORMINV(RAND(),$C$9,$D$9)))</f>
        <v/>
      </c>
      <c r="O492" s="5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28">
        <f>MIN(24,MAX(5,NORMINV(RAND(),$C$9,$D$9)))</f>
        <v/>
      </c>
      <c r="O493" s="5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28">
        <f>MIN(24,MAX(5,NORMINV(RAND(),$C$9,$D$9)))</f>
        <v/>
      </c>
      <c r="O494" s="5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28">
        <f>MIN(24,MAX(5,NORMINV(RAND(),$C$9,$D$9)))</f>
        <v/>
      </c>
      <c r="O495" s="5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28">
        <f>MIN(24,MAX(5,NORMINV(RAND(),$C$9,$D$9)))</f>
        <v/>
      </c>
      <c r="O496" s="5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28">
        <f>MIN(24,MAX(5,NORMINV(RAND(),$C$9,$D$9)))</f>
        <v/>
      </c>
      <c r="O497" s="5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28">
        <f>MIN(24,MAX(5,NORMINV(RAND(),$C$9,$D$9)))</f>
        <v/>
      </c>
      <c r="O498" s="5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28">
        <f>MIN(24,MAX(5,NORMINV(RAND(),$C$9,$D$9)))</f>
        <v/>
      </c>
      <c r="O499" s="5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28">
        <f>MIN(24,MAX(5,NORMINV(RAND(),$C$9,$D$9)))</f>
        <v/>
      </c>
      <c r="O500" s="5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28">
        <f>MIN(24,MAX(5,NORMINV(RAND(),$C$9,$D$9)))</f>
        <v/>
      </c>
      <c r="O501" s="5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28">
        <f>MIN(24,MAX(5,NORMINV(RAND(),$C$9,$D$9)))</f>
        <v/>
      </c>
      <c r="O502" s="5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28">
        <f>MIN(24,MAX(5,NORMINV(RAND(),$C$9,$D$9)))</f>
        <v/>
      </c>
      <c r="O503" s="5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28">
        <f>MIN(24,MAX(5,NORMINV(RAND(),$C$9,$D$9)))</f>
        <v/>
      </c>
      <c r="O504" s="5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28">
        <f>MIN(24,MAX(5,NORMINV(RAND(),$C$9,$D$9)))</f>
        <v/>
      </c>
      <c r="O505" s="5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28">
        <f>MIN(24,MAX(5,NORMINV(RAND(),$C$9,$D$9)))</f>
        <v/>
      </c>
      <c r="O506" s="5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28">
        <f>MIN(24,MAX(5,NORMINV(RAND(),$C$9,$D$9)))</f>
        <v/>
      </c>
      <c r="O507" s="5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28">
        <f>MIN(24,MAX(5,NORMINV(RAND(),$C$9,$D$9)))</f>
        <v/>
      </c>
      <c r="O508" s="5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28">
        <f>MIN(24,MAX(5,NORMINV(RAND(),$C$9,$D$9)))</f>
        <v/>
      </c>
      <c r="O509" s="5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28">
        <f>MIN(24,MAX(5,NORMINV(RAND(),$C$9,$D$9)))</f>
        <v/>
      </c>
      <c r="O510" s="5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28">
        <f>MIN(24,MAX(5,NORMINV(RAND(),$C$9,$D$9)))</f>
        <v/>
      </c>
      <c r="O511" s="5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28">
        <f>MIN(24,MAX(5,NORMINV(RAND(),$C$9,$D$9)))</f>
        <v/>
      </c>
      <c r="O512" s="5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28">
        <f>MIN(24,MAX(5,NORMINV(RAND(),$C$9,$D$9)))</f>
        <v/>
      </c>
      <c r="O513" s="5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28">
        <f>MIN(24,MAX(5,NORMINV(RAND(),$C$9,$D$9)))</f>
        <v/>
      </c>
      <c r="O514" s="5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28">
        <f>MIN(24,MAX(5,NORMINV(RAND(),$C$9,$D$9)))</f>
        <v/>
      </c>
      <c r="O515" s="5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28">
        <f>MIN(24,MAX(5,NORMINV(RAND(),$C$9,$D$9)))</f>
        <v/>
      </c>
      <c r="O516" s="5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28">
        <f>MIN(24,MAX(5,NORMINV(RAND(),$C$9,$D$9)))</f>
        <v/>
      </c>
      <c r="O517" s="5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28">
        <f>MIN(24,MAX(5,NORMINV(RAND(),$C$9,$D$9)))</f>
        <v/>
      </c>
      <c r="O518" s="5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28">
        <f>MIN(24,MAX(5,NORMINV(RAND(),$C$9,$D$9)))</f>
        <v/>
      </c>
      <c r="O519" s="5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28">
        <f>MIN(24,MAX(5,NORMINV(RAND(),$C$9,$D$9)))</f>
        <v/>
      </c>
      <c r="O520" s="5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28">
        <f>MIN(24,MAX(5,NORMINV(RAND(),$C$9,$D$9)))</f>
        <v/>
      </c>
      <c r="O521" s="5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28">
        <f>MIN(24,MAX(5,NORMINV(RAND(),$C$9,$D$9)))</f>
        <v/>
      </c>
      <c r="O522" s="5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28">
        <f>MIN(24,MAX(5,NORMINV(RAND(),$C$9,$D$9)))</f>
        <v/>
      </c>
      <c r="O523" s="5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28">
        <f>MIN(24,MAX(5,NORMINV(RAND(),$C$9,$D$9)))</f>
        <v/>
      </c>
      <c r="O524" s="5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28">
        <f>MIN(24,MAX(5,NORMINV(RAND(),$C$9,$D$9)))</f>
        <v/>
      </c>
      <c r="O525" s="5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28">
        <f>MIN(24,MAX(5,NORMINV(RAND(),$C$9,$D$9)))</f>
        <v/>
      </c>
      <c r="O526" s="5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28">
        <f>MIN(24,MAX(5,NORMINV(RAND(),$C$9,$D$9)))</f>
        <v/>
      </c>
      <c r="O527" s="5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28">
        <f>MIN(24,MAX(5,NORMINV(RAND(),$C$9,$D$9)))</f>
        <v/>
      </c>
      <c r="O528" s="5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28">
        <f>MIN(24,MAX(5,NORMINV(RAND(),$C$9,$D$9)))</f>
        <v/>
      </c>
      <c r="O529" s="5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28">
        <f>MIN(24,MAX(5,NORMINV(RAND(),$C$9,$D$9)))</f>
        <v/>
      </c>
      <c r="O530" s="5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28">
        <f>MIN(24,MAX(5,NORMINV(RAND(),$C$9,$D$9)))</f>
        <v/>
      </c>
      <c r="O531" s="5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28">
        <f>MIN(24,MAX(5,NORMINV(RAND(),$C$9,$D$9)))</f>
        <v/>
      </c>
      <c r="O532" s="5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28">
        <f>MIN(24,MAX(5,NORMINV(RAND(),$C$9,$D$9)))</f>
        <v/>
      </c>
      <c r="O533" s="5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28">
        <f>MIN(24,MAX(5,NORMINV(RAND(),$C$9,$D$9)))</f>
        <v/>
      </c>
      <c r="O534" s="5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28">
        <f>MIN(24,MAX(5,NORMINV(RAND(),$C$9,$D$9)))</f>
        <v/>
      </c>
      <c r="O535" s="5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28">
        <f>MIN(24,MAX(5,NORMINV(RAND(),$C$9,$D$9)))</f>
        <v/>
      </c>
      <c r="O536" s="5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28">
        <f>MIN(24,MAX(5,NORMINV(RAND(),$C$9,$D$9)))</f>
        <v/>
      </c>
      <c r="O537" s="5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28">
        <f>MIN(24,MAX(5,NORMINV(RAND(),$C$9,$D$9)))</f>
        <v/>
      </c>
      <c r="O538" s="5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28">
        <f>MIN(24,MAX(5,NORMINV(RAND(),$C$9,$D$9)))</f>
        <v/>
      </c>
      <c r="O539" s="5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28">
        <f>MIN(24,MAX(5,NORMINV(RAND(),$C$9,$D$9)))</f>
        <v/>
      </c>
      <c r="O540" s="5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28">
        <f>MIN(24,MAX(5,NORMINV(RAND(),$C$9,$D$9)))</f>
        <v/>
      </c>
      <c r="O541" s="5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28">
        <f>MIN(24,MAX(5,NORMINV(RAND(),$C$9,$D$9)))</f>
        <v/>
      </c>
      <c r="O542" s="5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28">
        <f>MIN(24,MAX(5,NORMINV(RAND(),$C$9,$D$9)))</f>
        <v/>
      </c>
      <c r="O543" s="5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28">
        <f>MIN(24,MAX(5,NORMINV(RAND(),$C$9,$D$9)))</f>
        <v/>
      </c>
      <c r="O544" s="5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28">
        <f>MIN(24,MAX(5,NORMINV(RAND(),$C$9,$D$9)))</f>
        <v/>
      </c>
      <c r="O545" s="5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28">
        <f>MIN(24,MAX(5,NORMINV(RAND(),$C$9,$D$9)))</f>
        <v/>
      </c>
      <c r="O546" s="5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28">
        <f>MIN(24,MAX(5,NORMINV(RAND(),$C$9,$D$9)))</f>
        <v/>
      </c>
      <c r="O547" s="5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28">
        <f>MIN(24,MAX(5,NORMINV(RAND(),$C$9,$D$9)))</f>
        <v/>
      </c>
      <c r="O548" s="5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28">
        <f>MIN(24,MAX(5,NORMINV(RAND(),$C$9,$D$9)))</f>
        <v/>
      </c>
      <c r="O549" s="5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28">
        <f>MIN(24,MAX(5,NORMINV(RAND(),$C$9,$D$9)))</f>
        <v/>
      </c>
      <c r="O550" s="5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28">
        <f>MIN(24,MAX(5,NORMINV(RAND(),$C$9,$D$9)))</f>
        <v/>
      </c>
      <c r="O551" s="5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28">
        <f>MIN(24,MAX(5,NORMINV(RAND(),$C$9,$D$9)))</f>
        <v/>
      </c>
      <c r="O552" s="5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28">
        <f>MIN(24,MAX(5,NORMINV(RAND(),$C$9,$D$9)))</f>
        <v/>
      </c>
      <c r="O553" s="5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28">
        <f>MIN(24,MAX(5,NORMINV(RAND(),$C$9,$D$9)))</f>
        <v/>
      </c>
      <c r="O554" s="5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28">
        <f>MIN(24,MAX(5,NORMINV(RAND(),$C$9,$D$9)))</f>
        <v/>
      </c>
      <c r="O555" s="5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28">
        <f>MIN(24,MAX(5,NORMINV(RAND(),$C$9,$D$9)))</f>
        <v/>
      </c>
      <c r="O556" s="5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28">
        <f>MIN(24,MAX(5,NORMINV(RAND(),$C$9,$D$9)))</f>
        <v/>
      </c>
      <c r="O557" s="5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28">
        <f>MIN(24,MAX(5,NORMINV(RAND(),$C$9,$D$9)))</f>
        <v/>
      </c>
      <c r="O558" s="5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28">
        <f>MIN(24,MAX(5,NORMINV(RAND(),$C$9,$D$9)))</f>
        <v/>
      </c>
      <c r="O559" s="5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28">
        <f>MIN(24,MAX(5,NORMINV(RAND(),$C$9,$D$9)))</f>
        <v/>
      </c>
      <c r="O560" s="5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28">
        <f>MIN(24,MAX(5,NORMINV(RAND(),$C$9,$D$9)))</f>
        <v/>
      </c>
      <c r="O561" s="5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28">
        <f>MIN(24,MAX(5,NORMINV(RAND(),$C$9,$D$9)))</f>
        <v/>
      </c>
      <c r="O562" s="5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28">
        <f>MIN(24,MAX(5,NORMINV(RAND(),$C$9,$D$9)))</f>
        <v/>
      </c>
      <c r="O563" s="5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28">
        <f>MIN(24,MAX(5,NORMINV(RAND(),$C$9,$D$9)))</f>
        <v/>
      </c>
      <c r="O564" s="5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28">
        <f>MIN(24,MAX(5,NORMINV(RAND(),$C$9,$D$9)))</f>
        <v/>
      </c>
      <c r="O565" s="5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28">
        <f>MIN(24,MAX(5,NORMINV(RAND(),$C$9,$D$9)))</f>
        <v/>
      </c>
      <c r="O566" s="5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28">
        <f>MIN(24,MAX(5,NORMINV(RAND(),$C$9,$D$9)))</f>
        <v/>
      </c>
      <c r="O567" s="5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28">
        <f>MIN(24,MAX(5,NORMINV(RAND(),$C$9,$D$9)))</f>
        <v/>
      </c>
      <c r="O568" s="5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28">
        <f>MIN(24,MAX(5,NORMINV(RAND(),$C$9,$D$9)))</f>
        <v/>
      </c>
      <c r="O569" s="5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28">
        <f>MIN(24,MAX(5,NORMINV(RAND(),$C$9,$D$9)))</f>
        <v/>
      </c>
      <c r="O570" s="5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28">
        <f>MIN(24,MAX(5,NORMINV(RAND(),$C$9,$D$9)))</f>
        <v/>
      </c>
      <c r="O571" s="5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28">
        <f>MIN(24,MAX(5,NORMINV(RAND(),$C$9,$D$9)))</f>
        <v/>
      </c>
      <c r="O572" s="5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28">
        <f>MIN(24,MAX(5,NORMINV(RAND(),$C$9,$D$9)))</f>
        <v/>
      </c>
      <c r="O573" s="5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28">
        <f>MIN(24,MAX(5,NORMINV(RAND(),$C$9,$D$9)))</f>
        <v/>
      </c>
      <c r="O574" s="5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28">
        <f>MIN(24,MAX(5,NORMINV(RAND(),$C$9,$D$9)))</f>
        <v/>
      </c>
      <c r="O575" s="5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28">
        <f>MIN(24,MAX(5,NORMINV(RAND(),$C$9,$D$9)))</f>
        <v/>
      </c>
      <c r="O576" s="5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28">
        <f>MIN(24,MAX(5,NORMINV(RAND(),$C$9,$D$9)))</f>
        <v/>
      </c>
      <c r="O577" s="5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28">
        <f>MIN(24,MAX(5,NORMINV(RAND(),$C$9,$D$9)))</f>
        <v/>
      </c>
      <c r="O578" s="5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28">
        <f>MIN(24,MAX(5,NORMINV(RAND(),$C$9,$D$9)))</f>
        <v/>
      </c>
      <c r="O579" s="5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28">
        <f>MIN(24,MAX(5,NORMINV(RAND(),$C$9,$D$9)))</f>
        <v/>
      </c>
      <c r="O580" s="5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28">
        <f>MIN(24,MAX(5,NORMINV(RAND(),$C$9,$D$9)))</f>
        <v/>
      </c>
      <c r="O581" s="5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28">
        <f>MIN(24,MAX(5,NORMINV(RAND(),$C$9,$D$9)))</f>
        <v/>
      </c>
      <c r="O582" s="5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28">
        <f>MIN(24,MAX(5,NORMINV(RAND(),$C$9,$D$9)))</f>
        <v/>
      </c>
      <c r="O583" s="5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28">
        <f>MIN(24,MAX(5,NORMINV(RAND(),$C$9,$D$9)))</f>
        <v/>
      </c>
      <c r="O584" s="5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28">
        <f>MIN(24,MAX(5,NORMINV(RAND(),$C$9,$D$9)))</f>
        <v/>
      </c>
      <c r="O585" s="5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28">
        <f>MIN(24,MAX(5,NORMINV(RAND(),$C$9,$D$9)))</f>
        <v/>
      </c>
      <c r="O586" s="5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28">
        <f>MIN(24,MAX(5,NORMINV(RAND(),$C$9,$D$9)))</f>
        <v/>
      </c>
      <c r="O587" s="5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28">
        <f>MIN(24,MAX(5,NORMINV(RAND(),$C$9,$D$9)))</f>
        <v/>
      </c>
      <c r="O588" s="5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28">
        <f>MIN(24,MAX(5,NORMINV(RAND(),$C$9,$D$9)))</f>
        <v/>
      </c>
      <c r="O589" s="5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28">
        <f>MIN(24,MAX(5,NORMINV(RAND(),$C$9,$D$9)))</f>
        <v/>
      </c>
      <c r="O590" s="5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28">
        <f>MIN(24,MAX(5,NORMINV(RAND(),$C$9,$D$9)))</f>
        <v/>
      </c>
      <c r="O591" s="5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28">
        <f>MIN(24,MAX(5,NORMINV(RAND(),$C$9,$D$9)))</f>
        <v/>
      </c>
      <c r="O592" s="5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28">
        <f>MIN(24,MAX(5,NORMINV(RAND(),$C$9,$D$9)))</f>
        <v/>
      </c>
      <c r="O593" s="5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28">
        <f>MIN(24,MAX(5,NORMINV(RAND(),$C$9,$D$9)))</f>
        <v/>
      </c>
      <c r="O594" s="5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28">
        <f>MIN(24,MAX(5,NORMINV(RAND(),$C$9,$D$9)))</f>
        <v/>
      </c>
      <c r="O595" s="5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28">
        <f>MIN(24,MAX(5,NORMINV(RAND(),$C$9,$D$9)))</f>
        <v/>
      </c>
      <c r="O596" s="5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28">
        <f>MIN(24,MAX(5,NORMINV(RAND(),$C$9,$D$9)))</f>
        <v/>
      </c>
      <c r="O597" s="5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28">
        <f>MIN(24,MAX(5,NORMINV(RAND(),$C$9,$D$9)))</f>
        <v/>
      </c>
      <c r="O598" s="5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28">
        <f>MIN(24,MAX(5,NORMINV(RAND(),$C$9,$D$9)))</f>
        <v/>
      </c>
      <c r="O599" s="5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28">
        <f>MIN(24,MAX(5,NORMINV(RAND(),$C$9,$D$9)))</f>
        <v/>
      </c>
      <c r="O600" s="5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28">
        <f>MIN(24,MAX(5,NORMINV(RAND(),$C$9,$D$9)))</f>
        <v/>
      </c>
      <c r="O601" s="5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28">
        <f>MIN(24,MAX(5,NORMINV(RAND(),$C$9,$D$9)))</f>
        <v/>
      </c>
      <c r="O602" s="5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28">
        <f>MIN(24,MAX(5,NORMINV(RAND(),$C$9,$D$9)))</f>
        <v/>
      </c>
      <c r="O603" s="5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28">
        <f>MIN(24,MAX(5,NORMINV(RAND(),$C$9,$D$9)))</f>
        <v/>
      </c>
      <c r="O604" s="5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28">
        <f>MIN(24,MAX(5,NORMINV(RAND(),$C$9,$D$9)))</f>
        <v/>
      </c>
      <c r="O605" s="5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28">
        <f>MIN(24,MAX(5,NORMINV(RAND(),$C$9,$D$9)))</f>
        <v/>
      </c>
      <c r="O606" s="5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28">
        <f>MIN(24,MAX(5,NORMINV(RAND(),$C$9,$D$9)))</f>
        <v/>
      </c>
      <c r="O607" s="5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28">
        <f>MIN(24,MAX(5,NORMINV(RAND(),$C$9,$D$9)))</f>
        <v/>
      </c>
      <c r="O608" s="5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28">
        <f>MIN(24,MAX(5,NORMINV(RAND(),$C$9,$D$9)))</f>
        <v/>
      </c>
      <c r="O609" s="5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28">
        <f>MIN(24,MAX(5,NORMINV(RAND(),$C$9,$D$9)))</f>
        <v/>
      </c>
      <c r="O610" s="5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28">
        <f>MIN(24,MAX(5,NORMINV(RAND(),$C$9,$D$9)))</f>
        <v/>
      </c>
      <c r="O611" s="5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28">
        <f>MIN(24,MAX(5,NORMINV(RAND(),$C$9,$D$9)))</f>
        <v/>
      </c>
      <c r="O612" s="5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28">
        <f>MIN(24,MAX(5,NORMINV(RAND(),$C$9,$D$9)))</f>
        <v/>
      </c>
      <c r="O613" s="5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28">
        <f>MIN(24,MAX(5,NORMINV(RAND(),$C$9,$D$9)))</f>
        <v/>
      </c>
      <c r="O614" s="5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28">
        <f>MIN(24,MAX(5,NORMINV(RAND(),$C$9,$D$9)))</f>
        <v/>
      </c>
      <c r="O615" s="5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28">
        <f>MIN(24,MAX(5,NORMINV(RAND(),$C$9,$D$9)))</f>
        <v/>
      </c>
      <c r="O616" s="5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28">
        <f>MIN(24,MAX(5,NORMINV(RAND(),$C$9,$D$9)))</f>
        <v/>
      </c>
      <c r="O617" s="5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28">
        <f>MIN(24,MAX(5,NORMINV(RAND(),$C$9,$D$9)))</f>
        <v/>
      </c>
      <c r="O618" s="5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28">
        <f>MIN(24,MAX(5,NORMINV(RAND(),$C$9,$D$9)))</f>
        <v/>
      </c>
      <c r="O619" s="5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28">
        <f>MIN(24,MAX(5,NORMINV(RAND(),$C$9,$D$9)))</f>
        <v/>
      </c>
      <c r="O620" s="5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28">
        <f>MIN(24,MAX(5,NORMINV(RAND(),$C$9,$D$9)))</f>
        <v/>
      </c>
      <c r="O621" s="5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28">
        <f>MIN(24,MAX(5,NORMINV(RAND(),$C$9,$D$9)))</f>
        <v/>
      </c>
      <c r="O622" s="5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28">
        <f>MIN(24,MAX(5,NORMINV(RAND(),$C$9,$D$9)))</f>
        <v/>
      </c>
      <c r="O623" s="5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28">
        <f>MIN(24,MAX(5,NORMINV(RAND(),$C$9,$D$9)))</f>
        <v/>
      </c>
      <c r="O624" s="5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28">
        <f>MIN(24,MAX(5,NORMINV(RAND(),$C$9,$D$9)))</f>
        <v/>
      </c>
      <c r="O625" s="5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28">
        <f>MIN(24,MAX(5,NORMINV(RAND(),$C$9,$D$9)))</f>
        <v/>
      </c>
      <c r="O626" s="5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28">
        <f>MIN(24,MAX(5,NORMINV(RAND(),$C$9,$D$9)))</f>
        <v/>
      </c>
      <c r="O627" s="5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28">
        <f>MIN(24,MAX(5,NORMINV(RAND(),$C$9,$D$9)))</f>
        <v/>
      </c>
      <c r="O628" s="5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28">
        <f>MIN(24,MAX(5,NORMINV(RAND(),$C$9,$D$9)))</f>
        <v/>
      </c>
      <c r="O629" s="5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28">
        <f>MIN(24,MAX(5,NORMINV(RAND(),$C$9,$D$9)))</f>
        <v/>
      </c>
      <c r="O630" s="5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28">
        <f>MIN(24,MAX(5,NORMINV(RAND(),$C$9,$D$9)))</f>
        <v/>
      </c>
      <c r="O631" s="5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28">
        <f>MIN(24,MAX(5,NORMINV(RAND(),$C$9,$D$9)))</f>
        <v/>
      </c>
      <c r="O632" s="5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28">
        <f>MIN(24,MAX(5,NORMINV(RAND(),$C$9,$D$9)))</f>
        <v/>
      </c>
      <c r="O633" s="5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28">
        <f>MIN(24,MAX(5,NORMINV(RAND(),$C$9,$D$9)))</f>
        <v/>
      </c>
      <c r="O634" s="5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28">
        <f>MIN(24,MAX(5,NORMINV(RAND(),$C$9,$D$9)))</f>
        <v/>
      </c>
      <c r="O635" s="5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28">
        <f>MIN(24,MAX(5,NORMINV(RAND(),$C$9,$D$9)))</f>
        <v/>
      </c>
      <c r="O636" s="5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28">
        <f>MIN(24,MAX(5,NORMINV(RAND(),$C$9,$D$9)))</f>
        <v/>
      </c>
      <c r="O637" s="5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28">
        <f>MIN(24,MAX(5,NORMINV(RAND(),$C$9,$D$9)))</f>
        <v/>
      </c>
      <c r="O638" s="5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28">
        <f>MIN(24,MAX(5,NORMINV(RAND(),$C$9,$D$9)))</f>
        <v/>
      </c>
      <c r="O639" s="5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28">
        <f>MIN(24,MAX(5,NORMINV(RAND(),$C$9,$D$9)))</f>
        <v/>
      </c>
      <c r="O640" s="5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28">
        <f>MIN(24,MAX(5,NORMINV(RAND(),$C$9,$D$9)))</f>
        <v/>
      </c>
      <c r="O641" s="5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28">
        <f>MIN(24,MAX(5,NORMINV(RAND(),$C$9,$D$9)))</f>
        <v/>
      </c>
      <c r="O642" s="5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28">
        <f>MIN(24,MAX(5,NORMINV(RAND(),$C$9,$D$9)))</f>
        <v/>
      </c>
      <c r="O643" s="5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28">
        <f>MIN(24,MAX(5,NORMINV(RAND(),$C$9,$D$9)))</f>
        <v/>
      </c>
      <c r="O644" s="5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28">
        <f>MIN(24,MAX(5,NORMINV(RAND(),$C$9,$D$9)))</f>
        <v/>
      </c>
      <c r="O645" s="5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28">
        <f>MIN(24,MAX(5,NORMINV(RAND(),$C$9,$D$9)))</f>
        <v/>
      </c>
      <c r="O646" s="5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28">
        <f>MIN(24,MAX(5,NORMINV(RAND(),$C$9,$D$9)))</f>
        <v/>
      </c>
      <c r="O647" s="5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28">
        <f>MIN(24,MAX(5,NORMINV(RAND(),$C$9,$D$9)))</f>
        <v/>
      </c>
      <c r="O648" s="5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28">
        <f>MIN(24,MAX(5,NORMINV(RAND(),$C$9,$D$9)))</f>
        <v/>
      </c>
      <c r="O649" s="5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28">
        <f>MIN(24,MAX(5,NORMINV(RAND(),$C$9,$D$9)))</f>
        <v/>
      </c>
      <c r="O650" s="5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28">
        <f>MIN(24,MAX(5,NORMINV(RAND(),$C$9,$D$9)))</f>
        <v/>
      </c>
      <c r="O651" s="5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28">
        <f>MIN(24,MAX(5,NORMINV(RAND(),$C$9,$D$9)))</f>
        <v/>
      </c>
      <c r="O652" s="5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28">
        <f>MIN(24,MAX(5,NORMINV(RAND(),$C$9,$D$9)))</f>
        <v/>
      </c>
      <c r="O653" s="5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28">
        <f>MIN(24,MAX(5,NORMINV(RAND(),$C$9,$D$9)))</f>
        <v/>
      </c>
      <c r="O654" s="5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28">
        <f>MIN(24,MAX(5,NORMINV(RAND(),$C$9,$D$9)))</f>
        <v/>
      </c>
      <c r="O655" s="5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28">
        <f>MIN(24,MAX(5,NORMINV(RAND(),$C$9,$D$9)))</f>
        <v/>
      </c>
      <c r="O656" s="5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28">
        <f>MIN(24,MAX(5,NORMINV(RAND(),$C$9,$D$9)))</f>
        <v/>
      </c>
      <c r="O657" s="5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28">
        <f>MIN(24,MAX(5,NORMINV(RAND(),$C$9,$D$9)))</f>
        <v/>
      </c>
      <c r="O658" s="5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28">
        <f>MIN(24,MAX(5,NORMINV(RAND(),$C$9,$D$9)))</f>
        <v/>
      </c>
      <c r="O659" s="5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28">
        <f>MIN(24,MAX(5,NORMINV(RAND(),$C$9,$D$9)))</f>
        <v/>
      </c>
      <c r="O660" s="5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28">
        <f>MIN(24,MAX(5,NORMINV(RAND(),$C$9,$D$9)))</f>
        <v/>
      </c>
      <c r="O661" s="5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28">
        <f>MIN(24,MAX(5,NORMINV(RAND(),$C$9,$D$9)))</f>
        <v/>
      </c>
      <c r="O662" s="5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28">
        <f>MIN(24,MAX(5,NORMINV(RAND(),$C$9,$D$9)))</f>
        <v/>
      </c>
      <c r="O663" s="5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28">
        <f>MIN(24,MAX(5,NORMINV(RAND(),$C$9,$D$9)))</f>
        <v/>
      </c>
      <c r="O664" s="5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28">
        <f>MIN(24,MAX(5,NORMINV(RAND(),$C$9,$D$9)))</f>
        <v/>
      </c>
      <c r="O665" s="5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28">
        <f>MIN(24,MAX(5,NORMINV(RAND(),$C$9,$D$9)))</f>
        <v/>
      </c>
      <c r="O666" s="5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28">
        <f>MIN(24,MAX(5,NORMINV(RAND(),$C$9,$D$9)))</f>
        <v/>
      </c>
      <c r="O667" s="5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28">
        <f>MIN(24,MAX(5,NORMINV(RAND(),$C$9,$D$9)))</f>
        <v/>
      </c>
      <c r="O668" s="5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28">
        <f>MIN(24,MAX(5,NORMINV(RAND(),$C$9,$D$9)))</f>
        <v/>
      </c>
      <c r="O669" s="5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28">
        <f>MIN(24,MAX(5,NORMINV(RAND(),$C$9,$D$9)))</f>
        <v/>
      </c>
      <c r="O670" s="5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28">
        <f>MIN(24,MAX(5,NORMINV(RAND(),$C$9,$D$9)))</f>
        <v/>
      </c>
      <c r="O671" s="5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28">
        <f>MIN(24,MAX(5,NORMINV(RAND(),$C$9,$D$9)))</f>
        <v/>
      </c>
      <c r="O672" s="5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28">
        <f>MIN(24,MAX(5,NORMINV(RAND(),$C$9,$D$9)))</f>
        <v/>
      </c>
      <c r="O673" s="5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28">
        <f>MIN(24,MAX(5,NORMINV(RAND(),$C$9,$D$9)))</f>
        <v/>
      </c>
      <c r="O674" s="5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28">
        <f>MIN(24,MAX(5,NORMINV(RAND(),$C$9,$D$9)))</f>
        <v/>
      </c>
      <c r="O675" s="5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28">
        <f>MIN(24,MAX(5,NORMINV(RAND(),$C$9,$D$9)))</f>
        <v/>
      </c>
      <c r="O676" s="5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28">
        <f>MIN(24,MAX(5,NORMINV(RAND(),$C$9,$D$9)))</f>
        <v/>
      </c>
      <c r="O677" s="5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28">
        <f>MIN(24,MAX(5,NORMINV(RAND(),$C$9,$D$9)))</f>
        <v/>
      </c>
      <c r="O678" s="5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28">
        <f>MIN(24,MAX(5,NORMINV(RAND(),$C$9,$D$9)))</f>
        <v/>
      </c>
      <c r="O679" s="5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28">
        <f>MIN(24,MAX(5,NORMINV(RAND(),$C$9,$D$9)))</f>
        <v/>
      </c>
      <c r="O680" s="5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28">
        <f>MIN(24,MAX(5,NORMINV(RAND(),$C$9,$D$9)))</f>
        <v/>
      </c>
      <c r="O681" s="5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28">
        <f>MIN(24,MAX(5,NORMINV(RAND(),$C$9,$D$9)))</f>
        <v/>
      </c>
      <c r="O682" s="5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28">
        <f>MIN(24,MAX(5,NORMINV(RAND(),$C$9,$D$9)))</f>
        <v/>
      </c>
      <c r="O683" s="5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28">
        <f>MIN(24,MAX(5,NORMINV(RAND(),$C$9,$D$9)))</f>
        <v/>
      </c>
      <c r="O684" s="5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28">
        <f>MIN(24,MAX(5,NORMINV(RAND(),$C$9,$D$9)))</f>
        <v/>
      </c>
      <c r="O685" s="5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28">
        <f>MIN(24,MAX(5,NORMINV(RAND(),$C$9,$D$9)))</f>
        <v/>
      </c>
      <c r="O686" s="5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28">
        <f>MIN(24,MAX(5,NORMINV(RAND(),$C$9,$D$9)))</f>
        <v/>
      </c>
      <c r="O687" s="5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28">
        <f>MIN(24,MAX(5,NORMINV(RAND(),$C$9,$D$9)))</f>
        <v/>
      </c>
      <c r="O688" s="5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28">
        <f>MIN(24,MAX(5,NORMINV(RAND(),$C$9,$D$9)))</f>
        <v/>
      </c>
      <c r="O689" s="5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28">
        <f>MIN(24,MAX(5,NORMINV(RAND(),$C$9,$D$9)))</f>
        <v/>
      </c>
      <c r="O690" s="5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28">
        <f>MIN(24,MAX(5,NORMINV(RAND(),$C$9,$D$9)))</f>
        <v/>
      </c>
      <c r="O691" s="5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28">
        <f>MIN(24,MAX(5,NORMINV(RAND(),$C$9,$D$9)))</f>
        <v/>
      </c>
      <c r="O692" s="5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28">
        <f>MIN(24,MAX(5,NORMINV(RAND(),$C$9,$D$9)))</f>
        <v/>
      </c>
      <c r="O693" s="5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28">
        <f>MIN(24,MAX(5,NORMINV(RAND(),$C$9,$D$9)))</f>
        <v/>
      </c>
      <c r="O694" s="5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28">
        <f>MIN(24,MAX(5,NORMINV(RAND(),$C$9,$D$9)))</f>
        <v/>
      </c>
      <c r="O695" s="5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28">
        <f>MIN(24,MAX(5,NORMINV(RAND(),$C$9,$D$9)))</f>
        <v/>
      </c>
      <c r="O696" s="5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28">
        <f>MIN(24,MAX(5,NORMINV(RAND(),$C$9,$D$9)))</f>
        <v/>
      </c>
      <c r="O697" s="5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28">
        <f>MIN(24,MAX(5,NORMINV(RAND(),$C$9,$D$9)))</f>
        <v/>
      </c>
      <c r="O698" s="5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28">
        <f>MIN(24,MAX(5,NORMINV(RAND(),$C$9,$D$9)))</f>
        <v/>
      </c>
      <c r="O699" s="5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28">
        <f>MIN(24,MAX(5,NORMINV(RAND(),$C$9,$D$9)))</f>
        <v/>
      </c>
      <c r="O700" s="5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28">
        <f>MIN(24,MAX(5,NORMINV(RAND(),$C$9,$D$9)))</f>
        <v/>
      </c>
      <c r="O701" s="5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28">
        <f>MIN(24,MAX(5,NORMINV(RAND(),$C$9,$D$9)))</f>
        <v/>
      </c>
      <c r="O702" s="5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28">
        <f>MIN(24,MAX(5,NORMINV(RAND(),$C$9,$D$9)))</f>
        <v/>
      </c>
      <c r="O703" s="5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28">
        <f>MIN(24,MAX(5,NORMINV(RAND(),$C$9,$D$9)))</f>
        <v/>
      </c>
      <c r="O704" s="5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28">
        <f>MIN(24,MAX(5,NORMINV(RAND(),$C$9,$D$9)))</f>
        <v/>
      </c>
      <c r="O705" s="5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28">
        <f>MIN(24,MAX(5,NORMINV(RAND(),$C$9,$D$9)))</f>
        <v/>
      </c>
      <c r="O706" s="5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28">
        <f>MIN(24,MAX(5,NORMINV(RAND(),$C$9,$D$9)))</f>
        <v/>
      </c>
      <c r="O707" s="5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28">
        <f>MIN(24,MAX(5,NORMINV(RAND(),$C$9,$D$9)))</f>
        <v/>
      </c>
      <c r="O708" s="5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28">
        <f>MIN(24,MAX(5,NORMINV(RAND(),$C$9,$D$9)))</f>
        <v/>
      </c>
      <c r="O709" s="5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28">
        <f>MIN(24,MAX(5,NORMINV(RAND(),$C$9,$D$9)))</f>
        <v/>
      </c>
      <c r="O710" s="5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28">
        <f>MIN(24,MAX(5,NORMINV(RAND(),$C$9,$D$9)))</f>
        <v/>
      </c>
      <c r="O711" s="5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28">
        <f>MIN(24,MAX(5,NORMINV(RAND(),$C$9,$D$9)))</f>
        <v/>
      </c>
      <c r="O712" s="5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28">
        <f>MIN(24,MAX(5,NORMINV(RAND(),$C$9,$D$9)))</f>
        <v/>
      </c>
      <c r="O713" s="5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28">
        <f>MIN(24,MAX(5,NORMINV(RAND(),$C$9,$D$9)))</f>
        <v/>
      </c>
      <c r="O714" s="5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28">
        <f>MIN(24,MAX(5,NORMINV(RAND(),$C$9,$D$9)))</f>
        <v/>
      </c>
      <c r="O715" s="5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28">
        <f>MIN(24,MAX(5,NORMINV(RAND(),$C$9,$D$9)))</f>
        <v/>
      </c>
      <c r="O716" s="5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28">
        <f>MIN(24,MAX(5,NORMINV(RAND(),$C$9,$D$9)))</f>
        <v/>
      </c>
      <c r="O717" s="5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28">
        <f>MIN(24,MAX(5,NORMINV(RAND(),$C$9,$D$9)))</f>
        <v/>
      </c>
      <c r="O718" s="5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28">
        <f>MIN(24,MAX(5,NORMINV(RAND(),$C$9,$D$9)))</f>
        <v/>
      </c>
      <c r="O719" s="5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28">
        <f>MIN(24,MAX(5,NORMINV(RAND(),$C$9,$D$9)))</f>
        <v/>
      </c>
      <c r="O720" s="5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28">
        <f>MIN(24,MAX(5,NORMINV(RAND(),$C$9,$D$9)))</f>
        <v/>
      </c>
      <c r="O721" s="5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28">
        <f>MIN(24,MAX(5,NORMINV(RAND(),$C$9,$D$9)))</f>
        <v/>
      </c>
      <c r="O722" s="5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28">
        <f>MIN(24,MAX(5,NORMINV(RAND(),$C$9,$D$9)))</f>
        <v/>
      </c>
      <c r="O723" s="5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28">
        <f>MIN(24,MAX(5,NORMINV(RAND(),$C$9,$D$9)))</f>
        <v/>
      </c>
      <c r="O724" s="5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28">
        <f>MIN(24,MAX(5,NORMINV(RAND(),$C$9,$D$9)))</f>
        <v/>
      </c>
      <c r="O725" s="5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28">
        <f>MIN(24,MAX(5,NORMINV(RAND(),$C$9,$D$9)))</f>
        <v/>
      </c>
      <c r="O726" s="5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28">
        <f>MIN(24,MAX(5,NORMINV(RAND(),$C$9,$D$9)))</f>
        <v/>
      </c>
      <c r="O727" s="5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28">
        <f>MIN(24,MAX(5,NORMINV(RAND(),$C$9,$D$9)))</f>
        <v/>
      </c>
      <c r="O728" s="5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28">
        <f>MIN(24,MAX(5,NORMINV(RAND(),$C$9,$D$9)))</f>
        <v/>
      </c>
      <c r="O729" s="5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28">
        <f>MIN(24,MAX(5,NORMINV(RAND(),$C$9,$D$9)))</f>
        <v/>
      </c>
      <c r="O730" s="5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28">
        <f>MIN(24,MAX(5,NORMINV(RAND(),$C$9,$D$9)))</f>
        <v/>
      </c>
      <c r="O731" s="5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28">
        <f>MIN(24,MAX(5,NORMINV(RAND(),$C$9,$D$9)))</f>
        <v/>
      </c>
      <c r="O732" s="5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28">
        <f>MIN(24,MAX(5,NORMINV(RAND(),$C$9,$D$9)))</f>
        <v/>
      </c>
      <c r="O733" s="5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28">
        <f>MIN(24,MAX(5,NORMINV(RAND(),$C$9,$D$9)))</f>
        <v/>
      </c>
      <c r="O734" s="5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28">
        <f>MIN(24,MAX(5,NORMINV(RAND(),$C$9,$D$9)))</f>
        <v/>
      </c>
      <c r="O735" s="5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28">
        <f>MIN(24,MAX(5,NORMINV(RAND(),$C$9,$D$9)))</f>
        <v/>
      </c>
      <c r="O736" s="5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28">
        <f>MIN(24,MAX(5,NORMINV(RAND(),$C$9,$D$9)))</f>
        <v/>
      </c>
      <c r="O737" s="5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28">
        <f>MIN(24,MAX(5,NORMINV(RAND(),$C$9,$D$9)))</f>
        <v/>
      </c>
      <c r="O738" s="5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28">
        <f>MIN(24,MAX(5,NORMINV(RAND(),$C$9,$D$9)))</f>
        <v/>
      </c>
      <c r="O739" s="5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28">
        <f>MIN(24,MAX(5,NORMINV(RAND(),$C$9,$D$9)))</f>
        <v/>
      </c>
      <c r="O740" s="5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28">
        <f>MIN(24,MAX(5,NORMINV(RAND(),$C$9,$D$9)))</f>
        <v/>
      </c>
      <c r="O741" s="5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28">
        <f>MIN(24,MAX(5,NORMINV(RAND(),$C$9,$D$9)))</f>
        <v/>
      </c>
      <c r="O742" s="5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28">
        <f>MIN(24,MAX(5,NORMINV(RAND(),$C$9,$D$9)))</f>
        <v/>
      </c>
      <c r="O743" s="5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28">
        <f>MIN(24,MAX(5,NORMINV(RAND(),$C$9,$D$9)))</f>
        <v/>
      </c>
      <c r="O744" s="5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28">
        <f>MIN(24,MAX(5,NORMINV(RAND(),$C$9,$D$9)))</f>
        <v/>
      </c>
      <c r="O745" s="5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28">
        <f>MIN(24,MAX(5,NORMINV(RAND(),$C$9,$D$9)))</f>
        <v/>
      </c>
      <c r="O746" s="5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28">
        <f>MIN(24,MAX(5,NORMINV(RAND(),$C$9,$D$9)))</f>
        <v/>
      </c>
      <c r="O747" s="5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28">
        <f>MIN(24,MAX(5,NORMINV(RAND(),$C$9,$D$9)))</f>
        <v/>
      </c>
      <c r="O748" s="5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28">
        <f>MIN(24,MAX(5,NORMINV(RAND(),$C$9,$D$9)))</f>
        <v/>
      </c>
      <c r="O749" s="5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28">
        <f>MIN(24,MAX(5,NORMINV(RAND(),$C$9,$D$9)))</f>
        <v/>
      </c>
      <c r="O750" s="5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28">
        <f>MIN(24,MAX(5,NORMINV(RAND(),$C$9,$D$9)))</f>
        <v/>
      </c>
      <c r="O751" s="5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28">
        <f>MIN(24,MAX(5,NORMINV(RAND(),$C$9,$D$9)))</f>
        <v/>
      </c>
      <c r="O752" s="5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28">
        <f>MIN(24,MAX(5,NORMINV(RAND(),$C$9,$D$9)))</f>
        <v/>
      </c>
      <c r="O753" s="5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28">
        <f>MIN(24,MAX(5,NORMINV(RAND(),$C$9,$D$9)))</f>
        <v/>
      </c>
      <c r="O754" s="5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28">
        <f>MIN(24,MAX(5,NORMINV(RAND(),$C$9,$D$9)))</f>
        <v/>
      </c>
      <c r="O755" s="5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28">
        <f>MIN(24,MAX(5,NORMINV(RAND(),$C$9,$D$9)))</f>
        <v/>
      </c>
      <c r="O756" s="5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28">
        <f>MIN(24,MAX(5,NORMINV(RAND(),$C$9,$D$9)))</f>
        <v/>
      </c>
      <c r="O757" s="5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28">
        <f>MIN(24,MAX(5,NORMINV(RAND(),$C$9,$D$9)))</f>
        <v/>
      </c>
      <c r="O758" s="5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28">
        <f>MIN(24,MAX(5,NORMINV(RAND(),$C$9,$D$9)))</f>
        <v/>
      </c>
      <c r="O759" s="5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28">
        <f>MIN(24,MAX(5,NORMINV(RAND(),$C$9,$D$9)))</f>
        <v/>
      </c>
      <c r="O760" s="5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28">
        <f>MIN(24,MAX(5,NORMINV(RAND(),$C$9,$D$9)))</f>
        <v/>
      </c>
      <c r="O761" s="5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28">
        <f>MIN(24,MAX(5,NORMINV(RAND(),$C$9,$D$9)))</f>
        <v/>
      </c>
      <c r="O762" s="5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28">
        <f>MIN(24,MAX(5,NORMINV(RAND(),$C$9,$D$9)))</f>
        <v/>
      </c>
      <c r="O763" s="5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28">
        <f>MIN(24,MAX(5,NORMINV(RAND(),$C$9,$D$9)))</f>
        <v/>
      </c>
      <c r="O764" s="5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28">
        <f>MIN(24,MAX(5,NORMINV(RAND(),$C$9,$D$9)))</f>
        <v/>
      </c>
      <c r="O765" s="5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28">
        <f>MIN(24,MAX(5,NORMINV(RAND(),$C$9,$D$9)))</f>
        <v/>
      </c>
      <c r="O766" s="5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28">
        <f>MIN(24,MAX(5,NORMINV(RAND(),$C$9,$D$9)))</f>
        <v/>
      </c>
      <c r="O767" s="5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28">
        <f>MIN(24,MAX(5,NORMINV(RAND(),$C$9,$D$9)))</f>
        <v/>
      </c>
      <c r="O768" s="5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28">
        <f>MIN(24,MAX(5,NORMINV(RAND(),$C$9,$D$9)))</f>
        <v/>
      </c>
      <c r="O769" s="5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28">
        <f>MIN(24,MAX(5,NORMINV(RAND(),$C$9,$D$9)))</f>
        <v/>
      </c>
      <c r="O770" s="5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28">
        <f>MIN(24,MAX(5,NORMINV(RAND(),$C$9,$D$9)))</f>
        <v/>
      </c>
      <c r="O771" s="5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28">
        <f>MIN(24,MAX(5,NORMINV(RAND(),$C$9,$D$9)))</f>
        <v/>
      </c>
      <c r="O772" s="5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28">
        <f>MIN(24,MAX(5,NORMINV(RAND(),$C$9,$D$9)))</f>
        <v/>
      </c>
      <c r="O773" s="5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28">
        <f>MIN(24,MAX(5,NORMINV(RAND(),$C$9,$D$9)))</f>
        <v/>
      </c>
      <c r="O774" s="5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28">
        <f>MIN(24,MAX(5,NORMINV(RAND(),$C$9,$D$9)))</f>
        <v/>
      </c>
      <c r="O775" s="5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28">
        <f>MIN(24,MAX(5,NORMINV(RAND(),$C$9,$D$9)))</f>
        <v/>
      </c>
      <c r="O776" s="5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28">
        <f>MIN(24,MAX(5,NORMINV(RAND(),$C$9,$D$9)))</f>
        <v/>
      </c>
      <c r="O777" s="5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28">
        <f>MIN(24,MAX(5,NORMINV(RAND(),$C$9,$D$9)))</f>
        <v/>
      </c>
      <c r="O778" s="5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28">
        <f>MIN(24,MAX(5,NORMINV(RAND(),$C$9,$D$9)))</f>
        <v/>
      </c>
      <c r="O779" s="5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28">
        <f>MIN(24,MAX(5,NORMINV(RAND(),$C$9,$D$9)))</f>
        <v/>
      </c>
      <c r="O780" s="5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28">
        <f>MIN(24,MAX(5,NORMINV(RAND(),$C$9,$D$9)))</f>
        <v/>
      </c>
      <c r="O781" s="5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28">
        <f>MIN(24,MAX(5,NORMINV(RAND(),$C$9,$D$9)))</f>
        <v/>
      </c>
      <c r="O782" s="5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28">
        <f>MIN(24,MAX(5,NORMINV(RAND(),$C$9,$D$9)))</f>
        <v/>
      </c>
      <c r="O783" s="5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28">
        <f>MIN(24,MAX(5,NORMINV(RAND(),$C$9,$D$9)))</f>
        <v/>
      </c>
      <c r="O784" s="5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28">
        <f>MIN(24,MAX(5,NORMINV(RAND(),$C$9,$D$9)))</f>
        <v/>
      </c>
      <c r="O785" s="5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28">
        <f>MIN(24,MAX(5,NORMINV(RAND(),$C$9,$D$9)))</f>
        <v/>
      </c>
      <c r="O786" s="5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28">
        <f>MIN(24,MAX(5,NORMINV(RAND(),$C$9,$D$9)))</f>
        <v/>
      </c>
      <c r="O787" s="5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28">
        <f>MIN(24,MAX(5,NORMINV(RAND(),$C$9,$D$9)))</f>
        <v/>
      </c>
      <c r="O788" s="5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28">
        <f>MIN(24,MAX(5,NORMINV(RAND(),$C$9,$D$9)))</f>
        <v/>
      </c>
      <c r="O789" s="5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28">
        <f>MIN(24,MAX(5,NORMINV(RAND(),$C$9,$D$9)))</f>
        <v/>
      </c>
      <c r="O790" s="5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28">
        <f>MIN(24,MAX(5,NORMINV(RAND(),$C$9,$D$9)))</f>
        <v/>
      </c>
      <c r="O791" s="5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28">
        <f>MIN(24,MAX(5,NORMINV(RAND(),$C$9,$D$9)))</f>
        <v/>
      </c>
      <c r="O792" s="5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28">
        <f>MIN(24,MAX(5,NORMINV(RAND(),$C$9,$D$9)))</f>
        <v/>
      </c>
      <c r="O793" s="5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28">
        <f>MIN(24,MAX(5,NORMINV(RAND(),$C$9,$D$9)))</f>
        <v/>
      </c>
      <c r="O794" s="5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28">
        <f>MIN(24,MAX(5,NORMINV(RAND(),$C$9,$D$9)))</f>
        <v/>
      </c>
      <c r="O795" s="5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28">
        <f>MIN(24,MAX(5,NORMINV(RAND(),$C$9,$D$9)))</f>
        <v/>
      </c>
      <c r="O796" s="5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28">
        <f>MIN(24,MAX(5,NORMINV(RAND(),$C$9,$D$9)))</f>
        <v/>
      </c>
      <c r="O797" s="5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28">
        <f>MIN(24,MAX(5,NORMINV(RAND(),$C$9,$D$9)))</f>
        <v/>
      </c>
      <c r="O798" s="5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28">
        <f>MIN(24,MAX(5,NORMINV(RAND(),$C$9,$D$9)))</f>
        <v/>
      </c>
      <c r="O799" s="5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28">
        <f>MIN(24,MAX(5,NORMINV(RAND(),$C$9,$D$9)))</f>
        <v/>
      </c>
      <c r="O800" s="5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28">
        <f>MIN(24,MAX(5,NORMINV(RAND(),$C$9,$D$9)))</f>
        <v/>
      </c>
      <c r="O801" s="5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28">
        <f>MIN(24,MAX(5,NORMINV(RAND(),$C$9,$D$9)))</f>
        <v/>
      </c>
      <c r="O802" s="5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28">
        <f>MIN(24,MAX(5,NORMINV(RAND(),$C$9,$D$9)))</f>
        <v/>
      </c>
      <c r="O803" s="5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28">
        <f>MIN(24,MAX(5,NORMINV(RAND(),$C$9,$D$9)))</f>
        <v/>
      </c>
      <c r="O804" s="5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28">
        <f>MIN(24,MAX(5,NORMINV(RAND(),$C$9,$D$9)))</f>
        <v/>
      </c>
      <c r="O805" s="5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28">
        <f>MIN(24,MAX(5,NORMINV(RAND(),$C$9,$D$9)))</f>
        <v/>
      </c>
      <c r="O806" s="5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28">
        <f>MIN(24,MAX(5,NORMINV(RAND(),$C$9,$D$9)))</f>
        <v/>
      </c>
      <c r="O807" s="5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28">
        <f>MIN(24,MAX(5,NORMINV(RAND(),$C$9,$D$9)))</f>
        <v/>
      </c>
      <c r="O808" s="5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28">
        <f>MIN(24,MAX(5,NORMINV(RAND(),$C$9,$D$9)))</f>
        <v/>
      </c>
      <c r="O809" s="5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28">
        <f>MIN(24,MAX(5,NORMINV(RAND(),$C$9,$D$9)))</f>
        <v/>
      </c>
      <c r="O810" s="5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28">
        <f>MIN(24,MAX(5,NORMINV(RAND(),$C$9,$D$9)))</f>
        <v/>
      </c>
      <c r="O811" s="5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28">
        <f>MIN(24,MAX(5,NORMINV(RAND(),$C$9,$D$9)))</f>
        <v/>
      </c>
      <c r="O812" s="5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28">
        <f>MIN(24,MAX(5,NORMINV(RAND(),$C$9,$D$9)))</f>
        <v/>
      </c>
      <c r="O813" s="5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28">
        <f>MIN(24,MAX(5,NORMINV(RAND(),$C$9,$D$9)))</f>
        <v/>
      </c>
      <c r="O814" s="5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28">
        <f>MIN(24,MAX(5,NORMINV(RAND(),$C$9,$D$9)))</f>
        <v/>
      </c>
      <c r="O815" s="5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28">
        <f>MIN(24,MAX(5,NORMINV(RAND(),$C$9,$D$9)))</f>
        <v/>
      </c>
      <c r="O816" s="5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28">
        <f>MIN(24,MAX(5,NORMINV(RAND(),$C$9,$D$9)))</f>
        <v/>
      </c>
      <c r="O817" s="5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28">
        <f>MIN(24,MAX(5,NORMINV(RAND(),$C$9,$D$9)))</f>
        <v/>
      </c>
      <c r="O818" s="5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28">
        <f>MIN(24,MAX(5,NORMINV(RAND(),$C$9,$D$9)))</f>
        <v/>
      </c>
      <c r="O819" s="5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28">
        <f>MIN(24,MAX(5,NORMINV(RAND(),$C$9,$D$9)))</f>
        <v/>
      </c>
      <c r="O820" s="5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28">
        <f>MIN(24,MAX(5,NORMINV(RAND(),$C$9,$D$9)))</f>
        <v/>
      </c>
      <c r="O821" s="5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28">
        <f>MIN(24,MAX(5,NORMINV(RAND(),$C$9,$D$9)))</f>
        <v/>
      </c>
      <c r="O822" s="5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28">
        <f>MIN(24,MAX(5,NORMINV(RAND(),$C$9,$D$9)))</f>
        <v/>
      </c>
      <c r="O823" s="5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28">
        <f>MIN(24,MAX(5,NORMINV(RAND(),$C$9,$D$9)))</f>
        <v/>
      </c>
      <c r="O824" s="5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28">
        <f>MIN(24,MAX(5,NORMINV(RAND(),$C$9,$D$9)))</f>
        <v/>
      </c>
      <c r="O825" s="5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28">
        <f>MIN(24,MAX(5,NORMINV(RAND(),$C$9,$D$9)))</f>
        <v/>
      </c>
      <c r="O826" s="5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28">
        <f>MIN(24,MAX(5,NORMINV(RAND(),$C$9,$D$9)))</f>
        <v/>
      </c>
      <c r="O827" s="5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28">
        <f>MIN(24,MAX(5,NORMINV(RAND(),$C$9,$D$9)))</f>
        <v/>
      </c>
      <c r="O828" s="5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28">
        <f>MIN(24,MAX(5,NORMINV(RAND(),$C$9,$D$9)))</f>
        <v/>
      </c>
      <c r="O829" s="5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28">
        <f>MIN(24,MAX(5,NORMINV(RAND(),$C$9,$D$9)))</f>
        <v/>
      </c>
      <c r="O830" s="5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28">
        <f>MIN(24,MAX(5,NORMINV(RAND(),$C$9,$D$9)))</f>
        <v/>
      </c>
      <c r="O831" s="5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28">
        <f>MIN(24,MAX(5,NORMINV(RAND(),$C$9,$D$9)))</f>
        <v/>
      </c>
      <c r="O832" s="5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28">
        <f>MIN(24,MAX(5,NORMINV(RAND(),$C$9,$D$9)))</f>
        <v/>
      </c>
      <c r="O833" s="5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28">
        <f>MIN(24,MAX(5,NORMINV(RAND(),$C$9,$D$9)))</f>
        <v/>
      </c>
      <c r="O834" s="5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28">
        <f>MIN(24,MAX(5,NORMINV(RAND(),$C$9,$D$9)))</f>
        <v/>
      </c>
      <c r="O835" s="5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28">
        <f>MIN(24,MAX(5,NORMINV(RAND(),$C$9,$D$9)))</f>
        <v/>
      </c>
      <c r="O836" s="5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28">
        <f>MIN(24,MAX(5,NORMINV(RAND(),$C$9,$D$9)))</f>
        <v/>
      </c>
      <c r="O837" s="5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28">
        <f>MIN(24,MAX(5,NORMINV(RAND(),$C$9,$D$9)))</f>
        <v/>
      </c>
      <c r="O838" s="5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28">
        <f>MIN(24,MAX(5,NORMINV(RAND(),$C$9,$D$9)))</f>
        <v/>
      </c>
      <c r="O839" s="5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28">
        <f>MIN(24,MAX(5,NORMINV(RAND(),$C$9,$D$9)))</f>
        <v/>
      </c>
      <c r="O840" s="5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28">
        <f>MIN(24,MAX(5,NORMINV(RAND(),$C$9,$D$9)))</f>
        <v/>
      </c>
      <c r="O841" s="5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28">
        <f>MIN(24,MAX(5,NORMINV(RAND(),$C$9,$D$9)))</f>
        <v/>
      </c>
      <c r="O842" s="5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28">
        <f>MIN(24,MAX(5,NORMINV(RAND(),$C$9,$D$9)))</f>
        <v/>
      </c>
      <c r="O843" s="5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28">
        <f>MIN(24,MAX(5,NORMINV(RAND(),$C$9,$D$9)))</f>
        <v/>
      </c>
      <c r="O844" s="5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28">
        <f>MIN(24,MAX(5,NORMINV(RAND(),$C$9,$D$9)))</f>
        <v/>
      </c>
      <c r="O845" s="5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28">
        <f>MIN(24,MAX(5,NORMINV(RAND(),$C$9,$D$9)))</f>
        <v/>
      </c>
      <c r="O846" s="5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28">
        <f>MIN(24,MAX(5,NORMINV(RAND(),$C$9,$D$9)))</f>
        <v/>
      </c>
      <c r="O847" s="5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28">
        <f>MIN(24,MAX(5,NORMINV(RAND(),$C$9,$D$9)))</f>
        <v/>
      </c>
      <c r="O848" s="5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28">
        <f>MIN(24,MAX(5,NORMINV(RAND(),$C$9,$D$9)))</f>
        <v/>
      </c>
      <c r="O849" s="5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28">
        <f>MIN(24,MAX(5,NORMINV(RAND(),$C$9,$D$9)))</f>
        <v/>
      </c>
      <c r="O850" s="5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28">
        <f>MIN(24,MAX(5,NORMINV(RAND(),$C$9,$D$9)))</f>
        <v/>
      </c>
      <c r="O851" s="5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28">
        <f>MIN(24,MAX(5,NORMINV(RAND(),$C$9,$D$9)))</f>
        <v/>
      </c>
      <c r="O852" s="5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28">
        <f>MIN(24,MAX(5,NORMINV(RAND(),$C$9,$D$9)))</f>
        <v/>
      </c>
      <c r="O853" s="5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28">
        <f>MIN(24,MAX(5,NORMINV(RAND(),$C$9,$D$9)))</f>
        <v/>
      </c>
      <c r="O854" s="5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28">
        <f>MIN(24,MAX(5,NORMINV(RAND(),$C$9,$D$9)))</f>
        <v/>
      </c>
      <c r="O855" s="5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28">
        <f>MIN(24,MAX(5,NORMINV(RAND(),$C$9,$D$9)))</f>
        <v/>
      </c>
      <c r="O856" s="5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28">
        <f>MIN(24,MAX(5,NORMINV(RAND(),$C$9,$D$9)))</f>
        <v/>
      </c>
      <c r="O857" s="5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28">
        <f>MIN(24,MAX(5,NORMINV(RAND(),$C$9,$D$9)))</f>
        <v/>
      </c>
      <c r="O858" s="5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28">
        <f>MIN(24,MAX(5,NORMINV(RAND(),$C$9,$D$9)))</f>
        <v/>
      </c>
      <c r="O859" s="5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28">
        <f>MIN(24,MAX(5,NORMINV(RAND(),$C$9,$D$9)))</f>
        <v/>
      </c>
      <c r="O860" s="5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28">
        <f>MIN(24,MAX(5,NORMINV(RAND(),$C$9,$D$9)))</f>
        <v/>
      </c>
      <c r="O861" s="5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28">
        <f>MIN(24,MAX(5,NORMINV(RAND(),$C$9,$D$9)))</f>
        <v/>
      </c>
      <c r="O862" s="5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28">
        <f>MIN(24,MAX(5,NORMINV(RAND(),$C$9,$D$9)))</f>
        <v/>
      </c>
      <c r="O863" s="5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28">
        <f>MIN(24,MAX(5,NORMINV(RAND(),$C$9,$D$9)))</f>
        <v/>
      </c>
      <c r="O864" s="5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28">
        <f>MIN(24,MAX(5,NORMINV(RAND(),$C$9,$D$9)))</f>
        <v/>
      </c>
      <c r="O865" s="5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28">
        <f>MIN(24,MAX(5,NORMINV(RAND(),$C$9,$D$9)))</f>
        <v/>
      </c>
      <c r="O866" s="5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28">
        <f>MIN(24,MAX(5,NORMINV(RAND(),$C$9,$D$9)))</f>
        <v/>
      </c>
      <c r="O867" s="5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28">
        <f>MIN(24,MAX(5,NORMINV(RAND(),$C$9,$D$9)))</f>
        <v/>
      </c>
      <c r="O868" s="5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28">
        <f>MIN(24,MAX(5,NORMINV(RAND(),$C$9,$D$9)))</f>
        <v/>
      </c>
      <c r="O869" s="5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28">
        <f>MIN(24,MAX(5,NORMINV(RAND(),$C$9,$D$9)))</f>
        <v/>
      </c>
      <c r="O870" s="5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28">
        <f>MIN(24,MAX(5,NORMINV(RAND(),$C$9,$D$9)))</f>
        <v/>
      </c>
      <c r="O871" s="5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28">
        <f>MIN(24,MAX(5,NORMINV(RAND(),$C$9,$D$9)))</f>
        <v/>
      </c>
      <c r="O872" s="5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28">
        <f>MIN(24,MAX(5,NORMINV(RAND(),$C$9,$D$9)))</f>
        <v/>
      </c>
      <c r="O873" s="5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28">
        <f>MIN(24,MAX(5,NORMINV(RAND(),$C$9,$D$9)))</f>
        <v/>
      </c>
      <c r="O874" s="5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28">
        <f>MIN(24,MAX(5,NORMINV(RAND(),$C$9,$D$9)))</f>
        <v/>
      </c>
      <c r="O875" s="5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28">
        <f>MIN(24,MAX(5,NORMINV(RAND(),$C$9,$D$9)))</f>
        <v/>
      </c>
      <c r="O876" s="5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28">
        <f>MIN(24,MAX(5,NORMINV(RAND(),$C$9,$D$9)))</f>
        <v/>
      </c>
      <c r="O877" s="5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28">
        <f>MIN(24,MAX(5,NORMINV(RAND(),$C$9,$D$9)))</f>
        <v/>
      </c>
      <c r="O878" s="5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28">
        <f>MIN(24,MAX(5,NORMINV(RAND(),$C$9,$D$9)))</f>
        <v/>
      </c>
      <c r="O879" s="5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28">
        <f>MIN(24,MAX(5,NORMINV(RAND(),$C$9,$D$9)))</f>
        <v/>
      </c>
      <c r="O880" s="5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28">
        <f>MIN(24,MAX(5,NORMINV(RAND(),$C$9,$D$9)))</f>
        <v/>
      </c>
      <c r="O881" s="5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28">
        <f>MIN(24,MAX(5,NORMINV(RAND(),$C$9,$D$9)))</f>
        <v/>
      </c>
      <c r="O882" s="5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28">
        <f>MIN(24,MAX(5,NORMINV(RAND(),$C$9,$D$9)))</f>
        <v/>
      </c>
      <c r="O883" s="5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28">
        <f>MIN(24,MAX(5,NORMINV(RAND(),$C$9,$D$9)))</f>
        <v/>
      </c>
      <c r="O884" s="5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28">
        <f>MIN(24,MAX(5,NORMINV(RAND(),$C$9,$D$9)))</f>
        <v/>
      </c>
      <c r="O885" s="5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28">
        <f>MIN(24,MAX(5,NORMINV(RAND(),$C$9,$D$9)))</f>
        <v/>
      </c>
      <c r="O886" s="5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28">
        <f>MIN(24,MAX(5,NORMINV(RAND(),$C$9,$D$9)))</f>
        <v/>
      </c>
      <c r="O887" s="5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28">
        <f>MIN(24,MAX(5,NORMINV(RAND(),$C$9,$D$9)))</f>
        <v/>
      </c>
      <c r="O888" s="5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28">
        <f>MIN(24,MAX(5,NORMINV(RAND(),$C$9,$D$9)))</f>
        <v/>
      </c>
      <c r="O889" s="5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28">
        <f>MIN(24,MAX(5,NORMINV(RAND(),$C$9,$D$9)))</f>
        <v/>
      </c>
      <c r="O890" s="5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28">
        <f>MIN(24,MAX(5,NORMINV(RAND(),$C$9,$D$9)))</f>
        <v/>
      </c>
      <c r="O891" s="5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28">
        <f>MIN(24,MAX(5,NORMINV(RAND(),$C$9,$D$9)))</f>
        <v/>
      </c>
      <c r="O892" s="5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28">
        <f>MIN(24,MAX(5,NORMINV(RAND(),$C$9,$D$9)))</f>
        <v/>
      </c>
      <c r="O893" s="5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28">
        <f>MIN(24,MAX(5,NORMINV(RAND(),$C$9,$D$9)))</f>
        <v/>
      </c>
      <c r="O894" s="5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28">
        <f>MIN(24,MAX(5,NORMINV(RAND(),$C$9,$D$9)))</f>
        <v/>
      </c>
      <c r="O895" s="5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28">
        <f>MIN(24,MAX(5,NORMINV(RAND(),$C$9,$D$9)))</f>
        <v/>
      </c>
      <c r="O896" s="5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28">
        <f>MIN(24,MAX(5,NORMINV(RAND(),$C$9,$D$9)))</f>
        <v/>
      </c>
      <c r="O897" s="5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28">
        <f>MIN(24,MAX(5,NORMINV(RAND(),$C$9,$D$9)))</f>
        <v/>
      </c>
      <c r="O898" s="5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28">
        <f>MIN(24,MAX(5,NORMINV(RAND(),$C$9,$D$9)))</f>
        <v/>
      </c>
      <c r="O899" s="5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28">
        <f>MIN(24,MAX(5,NORMINV(RAND(),$C$9,$D$9)))</f>
        <v/>
      </c>
      <c r="O900" s="5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28">
        <f>MIN(24,MAX(5,NORMINV(RAND(),$C$9,$D$9)))</f>
        <v/>
      </c>
      <c r="O901" s="5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28">
        <f>MIN(24,MAX(5,NORMINV(RAND(),$C$9,$D$9)))</f>
        <v/>
      </c>
      <c r="O902" s="5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28">
        <f>MIN(24,MAX(5,NORMINV(RAND(),$C$9,$D$9)))</f>
        <v/>
      </c>
      <c r="O903" s="5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28">
        <f>MIN(24,MAX(5,NORMINV(RAND(),$C$9,$D$9)))</f>
        <v/>
      </c>
      <c r="O904" s="5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28">
        <f>MIN(24,MAX(5,NORMINV(RAND(),$C$9,$D$9)))</f>
        <v/>
      </c>
      <c r="O905" s="5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28">
        <f>MIN(24,MAX(5,NORMINV(RAND(),$C$9,$D$9)))</f>
        <v/>
      </c>
      <c r="O906" s="5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28">
        <f>MIN(24,MAX(5,NORMINV(RAND(),$C$9,$D$9)))</f>
        <v/>
      </c>
      <c r="O907" s="5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28">
        <f>MIN(24,MAX(5,NORMINV(RAND(),$C$9,$D$9)))</f>
        <v/>
      </c>
      <c r="O908" s="5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28">
        <f>MIN(24,MAX(5,NORMINV(RAND(),$C$9,$D$9)))</f>
        <v/>
      </c>
      <c r="O909" s="5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28">
        <f>MIN(24,MAX(5,NORMINV(RAND(),$C$9,$D$9)))</f>
        <v/>
      </c>
      <c r="O910" s="5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28">
        <f>MIN(24,MAX(5,NORMINV(RAND(),$C$9,$D$9)))</f>
        <v/>
      </c>
      <c r="O911" s="5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28">
        <f>MIN(24,MAX(5,NORMINV(RAND(),$C$9,$D$9)))</f>
        <v/>
      </c>
      <c r="O912" s="5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28">
        <f>MIN(24,MAX(5,NORMINV(RAND(),$C$9,$D$9)))</f>
        <v/>
      </c>
      <c r="O913" s="5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28">
        <f>MIN(24,MAX(5,NORMINV(RAND(),$C$9,$D$9)))</f>
        <v/>
      </c>
      <c r="O914" s="5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28">
        <f>MIN(24,MAX(5,NORMINV(RAND(),$C$9,$D$9)))</f>
        <v/>
      </c>
      <c r="O915" s="5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28">
        <f>MIN(24,MAX(5,NORMINV(RAND(),$C$9,$D$9)))</f>
        <v/>
      </c>
      <c r="O916" s="5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28">
        <f>MIN(24,MAX(5,NORMINV(RAND(),$C$9,$D$9)))</f>
        <v/>
      </c>
      <c r="O917" s="5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28">
        <f>MIN(24,MAX(5,NORMINV(RAND(),$C$9,$D$9)))</f>
        <v/>
      </c>
      <c r="O918" s="5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28">
        <f>MIN(24,MAX(5,NORMINV(RAND(),$C$9,$D$9)))</f>
        <v/>
      </c>
      <c r="O919" s="5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28">
        <f>MIN(24,MAX(5,NORMINV(RAND(),$C$9,$D$9)))</f>
        <v/>
      </c>
      <c r="O920" s="5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28">
        <f>MIN(24,MAX(5,NORMINV(RAND(),$C$9,$D$9)))</f>
        <v/>
      </c>
      <c r="O921" s="5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28">
        <f>MIN(24,MAX(5,NORMINV(RAND(),$C$9,$D$9)))</f>
        <v/>
      </c>
      <c r="O922" s="5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28">
        <f>MIN(24,MAX(5,NORMINV(RAND(),$C$9,$D$9)))</f>
        <v/>
      </c>
      <c r="O923" s="5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28">
        <f>MIN(24,MAX(5,NORMINV(RAND(),$C$9,$D$9)))</f>
        <v/>
      </c>
      <c r="O924" s="5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28">
        <f>MIN(24,MAX(5,NORMINV(RAND(),$C$9,$D$9)))</f>
        <v/>
      </c>
      <c r="O925" s="5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28">
        <f>MIN(24,MAX(5,NORMINV(RAND(),$C$9,$D$9)))</f>
        <v/>
      </c>
      <c r="O926" s="5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28">
        <f>MIN(24,MAX(5,NORMINV(RAND(),$C$9,$D$9)))</f>
        <v/>
      </c>
      <c r="O927" s="5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28">
        <f>MIN(24,MAX(5,NORMINV(RAND(),$C$9,$D$9)))</f>
        <v/>
      </c>
      <c r="O928" s="5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28">
        <f>MIN(24,MAX(5,NORMINV(RAND(),$C$9,$D$9)))</f>
        <v/>
      </c>
      <c r="O929" s="5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28">
        <f>MIN(24,MAX(5,NORMINV(RAND(),$C$9,$D$9)))</f>
        <v/>
      </c>
      <c r="O930" s="5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28">
        <f>MIN(24,MAX(5,NORMINV(RAND(),$C$9,$D$9)))</f>
        <v/>
      </c>
      <c r="O931" s="5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28">
        <f>MIN(24,MAX(5,NORMINV(RAND(),$C$9,$D$9)))</f>
        <v/>
      </c>
      <c r="O932" s="5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28">
        <f>MIN(24,MAX(5,NORMINV(RAND(),$C$9,$D$9)))</f>
        <v/>
      </c>
      <c r="O933" s="5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28">
        <f>MIN(24,MAX(5,NORMINV(RAND(),$C$9,$D$9)))</f>
        <v/>
      </c>
      <c r="O934" s="5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28">
        <f>MIN(24,MAX(5,NORMINV(RAND(),$C$9,$D$9)))</f>
        <v/>
      </c>
      <c r="O935" s="5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28">
        <f>MIN(24,MAX(5,NORMINV(RAND(),$C$9,$D$9)))</f>
        <v/>
      </c>
      <c r="O936" s="5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28">
        <f>MIN(24,MAX(5,NORMINV(RAND(),$C$9,$D$9)))</f>
        <v/>
      </c>
      <c r="O937" s="5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28">
        <f>MIN(24,MAX(5,NORMINV(RAND(),$C$9,$D$9)))</f>
        <v/>
      </c>
      <c r="O938" s="5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28">
        <f>MIN(24,MAX(5,NORMINV(RAND(),$C$9,$D$9)))</f>
        <v/>
      </c>
      <c r="O939" s="5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28">
        <f>MIN(24,MAX(5,NORMINV(RAND(),$C$9,$D$9)))</f>
        <v/>
      </c>
      <c r="O940" s="5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28">
        <f>MIN(24,MAX(5,NORMINV(RAND(),$C$9,$D$9)))</f>
        <v/>
      </c>
      <c r="O941" s="5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28">
        <f>MIN(24,MAX(5,NORMINV(RAND(),$C$9,$D$9)))</f>
        <v/>
      </c>
      <c r="O942" s="5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28">
        <f>MIN(24,MAX(5,NORMINV(RAND(),$C$9,$D$9)))</f>
        <v/>
      </c>
      <c r="O943" s="5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28">
        <f>MIN(24,MAX(5,NORMINV(RAND(),$C$9,$D$9)))</f>
        <v/>
      </c>
      <c r="O944" s="5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28">
        <f>MIN(24,MAX(5,NORMINV(RAND(),$C$9,$D$9)))</f>
        <v/>
      </c>
      <c r="O945" s="5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28">
        <f>MIN(24,MAX(5,NORMINV(RAND(),$C$9,$D$9)))</f>
        <v/>
      </c>
      <c r="O946" s="5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28">
        <f>MIN(24,MAX(5,NORMINV(RAND(),$C$9,$D$9)))</f>
        <v/>
      </c>
      <c r="O947" s="5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28">
        <f>MIN(24,MAX(5,NORMINV(RAND(),$C$9,$D$9)))</f>
        <v/>
      </c>
      <c r="O948" s="5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28">
        <f>MIN(24,MAX(5,NORMINV(RAND(),$C$9,$D$9)))</f>
        <v/>
      </c>
      <c r="O949" s="5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28">
        <f>MIN(24,MAX(5,NORMINV(RAND(),$C$9,$D$9)))</f>
        <v/>
      </c>
      <c r="O950" s="5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28">
        <f>MIN(24,MAX(5,NORMINV(RAND(),$C$9,$D$9)))</f>
        <v/>
      </c>
      <c r="O951" s="5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28">
        <f>MIN(24,MAX(5,NORMINV(RAND(),$C$9,$D$9)))</f>
        <v/>
      </c>
      <c r="O952" s="5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28">
        <f>MIN(24,MAX(5,NORMINV(RAND(),$C$9,$D$9)))</f>
        <v/>
      </c>
      <c r="O953" s="5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28">
        <f>MIN(24,MAX(5,NORMINV(RAND(),$C$9,$D$9)))</f>
        <v/>
      </c>
      <c r="O954" s="5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28">
        <f>MIN(24,MAX(5,NORMINV(RAND(),$C$9,$D$9)))</f>
        <v/>
      </c>
      <c r="O955" s="5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28">
        <f>MIN(24,MAX(5,NORMINV(RAND(),$C$9,$D$9)))</f>
        <v/>
      </c>
      <c r="O956" s="5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28">
        <f>MIN(24,MAX(5,NORMINV(RAND(),$C$9,$D$9)))</f>
        <v/>
      </c>
      <c r="O957" s="5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28">
        <f>MIN(24,MAX(5,NORMINV(RAND(),$C$9,$D$9)))</f>
        <v/>
      </c>
      <c r="O958" s="5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28">
        <f>MIN(24,MAX(5,NORMINV(RAND(),$C$9,$D$9)))</f>
        <v/>
      </c>
      <c r="O959" s="5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28">
        <f>MIN(24,MAX(5,NORMINV(RAND(),$C$9,$D$9)))</f>
        <v/>
      </c>
      <c r="O960" s="5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28">
        <f>MIN(24,MAX(5,NORMINV(RAND(),$C$9,$D$9)))</f>
        <v/>
      </c>
      <c r="O961" s="5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28">
        <f>MIN(24,MAX(5,NORMINV(RAND(),$C$9,$D$9)))</f>
        <v/>
      </c>
      <c r="O962" s="5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28">
        <f>MIN(24,MAX(5,NORMINV(RAND(),$C$9,$D$9)))</f>
        <v/>
      </c>
      <c r="O963" s="5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28">
        <f>MIN(24,MAX(5,NORMINV(RAND(),$C$9,$D$9)))</f>
        <v/>
      </c>
      <c r="O964" s="5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28">
        <f>MIN(24,MAX(5,NORMINV(RAND(),$C$9,$D$9)))</f>
        <v/>
      </c>
      <c r="O965" s="5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28">
        <f>MIN(24,MAX(5,NORMINV(RAND(),$C$9,$D$9)))</f>
        <v/>
      </c>
      <c r="O966" s="5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28">
        <f>MIN(24,MAX(5,NORMINV(RAND(),$C$9,$D$9)))</f>
        <v/>
      </c>
      <c r="O967" s="5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28">
        <f>MIN(24,MAX(5,NORMINV(RAND(),$C$9,$D$9)))</f>
        <v/>
      </c>
      <c r="O968" s="5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28">
        <f>MIN(24,MAX(5,NORMINV(RAND(),$C$9,$D$9)))</f>
        <v/>
      </c>
      <c r="O969" s="5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28">
        <f>MIN(24,MAX(5,NORMINV(RAND(),$C$9,$D$9)))</f>
        <v/>
      </c>
      <c r="O970" s="5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28">
        <f>MIN(24,MAX(5,NORMINV(RAND(),$C$9,$D$9)))</f>
        <v/>
      </c>
      <c r="O971" s="5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28">
        <f>MIN(24,MAX(5,NORMINV(RAND(),$C$9,$D$9)))</f>
        <v/>
      </c>
      <c r="O972" s="5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28">
        <f>MIN(24,MAX(5,NORMINV(RAND(),$C$9,$D$9)))</f>
        <v/>
      </c>
      <c r="O973" s="5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28">
        <f>MIN(24,MAX(5,NORMINV(RAND(),$C$9,$D$9)))</f>
        <v/>
      </c>
      <c r="O974" s="5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28">
        <f>MIN(24,MAX(5,NORMINV(RAND(),$C$9,$D$9)))</f>
        <v/>
      </c>
      <c r="O975" s="5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28">
        <f>MIN(24,MAX(5,NORMINV(RAND(),$C$9,$D$9)))</f>
        <v/>
      </c>
      <c r="O976" s="5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28">
        <f>MIN(24,MAX(5,NORMINV(RAND(),$C$9,$D$9)))</f>
        <v/>
      </c>
      <c r="O977" s="5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28">
        <f>MIN(24,MAX(5,NORMINV(RAND(),$C$9,$D$9)))</f>
        <v/>
      </c>
      <c r="O978" s="5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28">
        <f>MIN(24,MAX(5,NORMINV(RAND(),$C$9,$D$9)))</f>
        <v/>
      </c>
      <c r="O979" s="5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28">
        <f>MIN(24,MAX(5,NORMINV(RAND(),$C$9,$D$9)))</f>
        <v/>
      </c>
      <c r="O980" s="5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28">
        <f>MIN(24,MAX(5,NORMINV(RAND(),$C$9,$D$9)))</f>
        <v/>
      </c>
      <c r="O981" s="5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28">
        <f>MIN(24,MAX(5,NORMINV(RAND(),$C$9,$D$9)))</f>
        <v/>
      </c>
      <c r="O982" s="5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28">
        <f>MIN(24,MAX(5,NORMINV(RAND(),$C$9,$D$9)))</f>
        <v/>
      </c>
      <c r="O983" s="5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28">
        <f>MIN(24,MAX(5,NORMINV(RAND(),$C$9,$D$9)))</f>
        <v/>
      </c>
      <c r="O984" s="5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28">
        <f>MIN(24,MAX(5,NORMINV(RAND(),$C$9,$D$9)))</f>
        <v/>
      </c>
      <c r="O985" s="5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28">
        <f>MIN(24,MAX(5,NORMINV(RAND(),$C$9,$D$9)))</f>
        <v/>
      </c>
      <c r="O986" s="5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28">
        <f>MIN(24,MAX(5,NORMINV(RAND(),$C$9,$D$9)))</f>
        <v/>
      </c>
      <c r="O987" s="5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28">
        <f>MIN(24,MAX(5,NORMINV(RAND(),$C$9,$D$9)))</f>
        <v/>
      </c>
      <c r="O988" s="5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28">
        <f>MIN(24,MAX(5,NORMINV(RAND(),$C$9,$D$9)))</f>
        <v/>
      </c>
      <c r="O989" s="5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28">
        <f>MIN(24,MAX(5,NORMINV(RAND(),$C$9,$D$9)))</f>
        <v/>
      </c>
      <c r="O990" s="5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28">
        <f>MIN(24,MAX(5,NORMINV(RAND(),$C$9,$D$9)))</f>
        <v/>
      </c>
      <c r="O991" s="5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28">
        <f>MIN(24,MAX(5,NORMINV(RAND(),$C$9,$D$9)))</f>
        <v/>
      </c>
      <c r="O992" s="5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28">
        <f>MIN(24,MAX(5,NORMINV(RAND(),$C$9,$D$9)))</f>
        <v/>
      </c>
      <c r="O993" s="5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28">
        <f>MIN(24,MAX(5,NORMINV(RAND(),$C$9,$D$9)))</f>
        <v/>
      </c>
      <c r="O994" s="5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28">
        <f>MIN(24,MAX(5,NORMINV(RAND(),$C$9,$D$9)))</f>
        <v/>
      </c>
      <c r="O995" s="5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28">
        <f>MIN(24,MAX(5,NORMINV(RAND(),$C$9,$D$9)))</f>
        <v/>
      </c>
      <c r="O996" s="5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28">
        <f>MIN(24,MAX(5,NORMINV(RAND(),$C$9,$D$9)))</f>
        <v/>
      </c>
      <c r="O997" s="5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28">
        <f>MIN(24,MAX(5,NORMINV(RAND(),$C$9,$D$9)))</f>
        <v/>
      </c>
      <c r="O998" s="5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28">
        <f>MIN(24,MAX(5,NORMINV(RAND(),$C$9,$D$9)))</f>
        <v/>
      </c>
      <c r="O999" s="5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28">
        <f>MIN(24,MAX(5,NORMINV(RAND(),$C$9,$D$9)))</f>
        <v/>
      </c>
      <c r="O1000" s="5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28">
        <f>MIN(24,MAX(5,NORMINV(RAND(),$C$9,$D$9)))</f>
        <v/>
      </c>
      <c r="O1001" s="5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2026-07-06T20:35:13Z</dcterms:created>
  <dcterms:modified xmlns:dcterms="http://purl.org/dc/terms/" xmlns:xsi="http://www.w3.org/2001/XMLSchema-instance" xsi:type="dcterms:W3CDTF">2026-07-06T20:35:13Z</dcterms:modified>
</cp:coreProperties>
</file>