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s" sheetId="1" state="visible" r:id="rId1"/>
    <sheet xmlns:r="http://schemas.openxmlformats.org/officeDocument/2006/relationships" name="Forecast" sheetId="2" state="visible" r:id="rId2"/>
    <sheet xmlns:r="http://schemas.openxmlformats.org/officeDocument/2006/relationships" name="Valu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i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FFF7DC"/>
        <bgColor rgb="00FFF7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2" borderId="0" pivotButton="0" quotePrefix="0" xfId="0"/>
    <xf numFmtId="1" fontId="0" fillId="2" borderId="0" pivotButton="0" quotePrefix="0" xfId="0"/>
    <xf numFmtId="10" fontId="0" fillId="2" borderId="0" pivotButton="0" quotePrefix="0" xfId="0"/>
    <xf numFmtId="2" fontId="0" fillId="2" borderId="0" pivotButton="0" quotePrefix="0" xfId="0"/>
    <xf numFmtId="3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8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A1" s="1" t="inlineStr">
        <is>
          <t>Line Item</t>
        </is>
      </c>
      <c r="B1" s="1" t="inlineStr">
        <is>
          <t>Q2 2021</t>
        </is>
      </c>
      <c r="C1" s="1" t="inlineStr">
        <is>
          <t>Q3 2021</t>
        </is>
      </c>
      <c r="D1" s="1" t="inlineStr">
        <is>
          <t>Q4 2021</t>
        </is>
      </c>
      <c r="E1" s="1" t="inlineStr">
        <is>
          <t>Q1 2022</t>
        </is>
      </c>
      <c r="F1" s="1" t="inlineStr">
        <is>
          <t>Q2 2022</t>
        </is>
      </c>
      <c r="G1" s="1" t="inlineStr">
        <is>
          <t>Q3 2022</t>
        </is>
      </c>
      <c r="H1" s="1" t="inlineStr">
        <is>
          <t>Q4 2022</t>
        </is>
      </c>
      <c r="I1" s="1" t="inlineStr">
        <is>
          <t>Q1 2023</t>
        </is>
      </c>
      <c r="J1" s="1" t="inlineStr">
        <is>
          <t>Q2 2023</t>
        </is>
      </c>
      <c r="K1" s="1" t="inlineStr">
        <is>
          <t>Q3 2023</t>
        </is>
      </c>
      <c r="L1" s="1" t="inlineStr">
        <is>
          <t>Q4 2023</t>
        </is>
      </c>
      <c r="M1" s="1" t="inlineStr">
        <is>
          <t>Q1 2024</t>
        </is>
      </c>
      <c r="N1" s="1" t="inlineStr">
        <is>
          <t>Q2 2024</t>
        </is>
      </c>
      <c r="O1" s="1" t="inlineStr">
        <is>
          <t>Q3 2024</t>
        </is>
      </c>
      <c r="P1" s="1" t="inlineStr">
        <is>
          <t>Q4 2024</t>
        </is>
      </c>
      <c r="Q1" s="1" t="inlineStr">
        <is>
          <t>Q1 2025</t>
        </is>
      </c>
      <c r="R1" s="1" t="inlineStr">
        <is>
          <t>Q2 2025</t>
        </is>
      </c>
      <c r="S1" s="1" t="inlineStr">
        <is>
          <t>Q3 2025</t>
        </is>
      </c>
      <c r="T1" s="1" t="inlineStr">
        <is>
          <t>Q4 2025</t>
        </is>
      </c>
      <c r="U1" s="1" t="inlineStr">
        <is>
          <t>Q1 2026</t>
        </is>
      </c>
    </row>
    <row r="2">
      <c r="A2" s="1" t="inlineStr">
        <is>
          <t>INCOME STATEMENT</t>
        </is>
      </c>
    </row>
    <row r="3">
      <c r="A3" t="inlineStr">
        <is>
          <t>Revenue</t>
        </is>
      </c>
      <c r="B3" t="n">
        <v>741</v>
      </c>
      <c r="C3" t="n">
        <v>857</v>
      </c>
      <c r="D3" t="n">
        <v>857</v>
      </c>
      <c r="E3" t="n">
        <v>839.5</v>
      </c>
      <c r="F3" t="n">
        <v>924</v>
      </c>
      <c r="G3" t="n">
        <v>831</v>
      </c>
      <c r="H3" t="n">
        <v>1117</v>
      </c>
      <c r="I3" t="n">
        <v>1054</v>
      </c>
      <c r="J3" t="n">
        <v>985</v>
      </c>
      <c r="K3" t="n">
        <v>893</v>
      </c>
      <c r="L3" t="n">
        <v>1130</v>
      </c>
      <c r="M3" t="n">
        <v>884</v>
      </c>
      <c r="N3" t="n">
        <v>916</v>
      </c>
      <c r="O3" t="n">
        <v>1117</v>
      </c>
      <c r="P3" t="n">
        <v>1063</v>
      </c>
      <c r="Q3" t="n">
        <v>1081</v>
      </c>
      <c r="R3" t="n">
        <v>1090</v>
      </c>
      <c r="S3" t="n">
        <v>1237.948245</v>
      </c>
      <c r="T3" t="n">
        <v>1415.427552</v>
      </c>
      <c r="U3" t="n">
        <v>1319.466384</v>
      </c>
    </row>
    <row r="4">
      <c r="A4" t="inlineStr">
        <is>
          <t>Cost of Revenue</t>
        </is>
      </c>
      <c r="B4" t="n">
        <v>192</v>
      </c>
      <c r="C4" t="n">
        <v>174.5</v>
      </c>
      <c r="D4" t="n">
        <v>174.5</v>
      </c>
      <c r="E4" t="n">
        <v>151.5</v>
      </c>
      <c r="F4" t="n">
        <v>134</v>
      </c>
      <c r="G4" t="n">
        <v>226</v>
      </c>
      <c r="H4" t="n">
        <v>171</v>
      </c>
      <c r="I4" t="n">
        <v>299</v>
      </c>
      <c r="J4" t="n">
        <v>258</v>
      </c>
      <c r="K4" t="n">
        <v>208</v>
      </c>
      <c r="L4" t="n">
        <v>283</v>
      </c>
      <c r="M4" t="n">
        <v>275</v>
      </c>
      <c r="N4" t="n">
        <v>277</v>
      </c>
      <c r="O4" t="n">
        <v>326</v>
      </c>
      <c r="P4" t="n">
        <v>276</v>
      </c>
      <c r="Q4" t="n">
        <v>259</v>
      </c>
      <c r="R4" t="n">
        <v>404</v>
      </c>
      <c r="S4" t="n">
        <v>11.865318</v>
      </c>
      <c r="T4" t="n">
        <v>68.02987400000001</v>
      </c>
      <c r="U4" t="n">
        <v>233.717139</v>
      </c>
    </row>
    <row r="5">
      <c r="A5" t="inlineStr">
        <is>
          <t>Gross Profit</t>
        </is>
      </c>
      <c r="B5" t="n">
        <v>549</v>
      </c>
      <c r="C5" t="n">
        <v>682.5</v>
      </c>
      <c r="D5" t="n">
        <v>682.5</v>
      </c>
      <c r="E5" t="n">
        <v>688</v>
      </c>
      <c r="F5" t="n">
        <v>790</v>
      </c>
      <c r="G5" t="n">
        <v>605</v>
      </c>
      <c r="H5" t="n">
        <v>946</v>
      </c>
      <c r="I5" t="n">
        <v>755</v>
      </c>
      <c r="J5" t="n">
        <v>727</v>
      </c>
      <c r="K5" t="n">
        <v>685</v>
      </c>
      <c r="L5" t="n">
        <v>847</v>
      </c>
      <c r="M5" t="n">
        <v>609</v>
      </c>
      <c r="N5" t="n">
        <v>639</v>
      </c>
      <c r="O5" t="n">
        <v>791</v>
      </c>
      <c r="P5" t="n">
        <v>787</v>
      </c>
      <c r="Q5" t="n">
        <v>822</v>
      </c>
      <c r="R5" t="n">
        <v>686</v>
      </c>
      <c r="S5" t="n">
        <v>1226.082927</v>
      </c>
      <c r="T5" t="n">
        <v>1347.397678</v>
      </c>
      <c r="U5" t="n">
        <v>1085.749245</v>
      </c>
    </row>
    <row r="6">
      <c r="A6" t="inlineStr">
        <is>
          <t>R&amp;D Expense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SG&amp;A Expense</t>
        </is>
      </c>
      <c r="B7" t="n">
        <v>29</v>
      </c>
      <c r="C7" t="n">
        <v>35.5</v>
      </c>
      <c r="D7" t="n">
        <v>35.5</v>
      </c>
      <c r="E7" t="n">
        <v>37</v>
      </c>
      <c r="F7" t="n">
        <v>34</v>
      </c>
      <c r="G7" t="n">
        <v>35</v>
      </c>
      <c r="H7" t="n">
        <v>28</v>
      </c>
      <c r="I7" t="n">
        <v>7</v>
      </c>
      <c r="J7" t="n">
        <v>12</v>
      </c>
      <c r="K7" t="n">
        <v>18</v>
      </c>
      <c r="L7" t="n">
        <v>19</v>
      </c>
      <c r="M7" t="n">
        <v>9</v>
      </c>
      <c r="N7" t="n">
        <v>13</v>
      </c>
      <c r="O7" t="n">
        <v>20</v>
      </c>
      <c r="P7" t="n">
        <v>22</v>
      </c>
      <c r="Q7" t="n">
        <v>6</v>
      </c>
      <c r="R7" t="n">
        <v>18</v>
      </c>
      <c r="S7" t="n">
        <v>0</v>
      </c>
      <c r="T7" t="n">
        <v>0</v>
      </c>
      <c r="U7" t="n">
        <v>0</v>
      </c>
    </row>
    <row r="8">
      <c r="A8" t="inlineStr">
        <is>
          <t>Operating Expenses</t>
        </is>
      </c>
      <c r="B8" t="n">
        <v>29</v>
      </c>
      <c r="C8" t="n">
        <v>35.5</v>
      </c>
      <c r="D8" t="n">
        <v>35.5</v>
      </c>
      <c r="E8" t="n">
        <v>37</v>
      </c>
      <c r="F8" t="n">
        <v>34</v>
      </c>
      <c r="G8" t="n">
        <v>35</v>
      </c>
      <c r="H8" t="n">
        <v>28</v>
      </c>
      <c r="I8" t="n">
        <v>7</v>
      </c>
      <c r="J8" t="n">
        <v>12</v>
      </c>
      <c r="K8" t="n">
        <v>18</v>
      </c>
      <c r="L8" t="n">
        <v>19</v>
      </c>
      <c r="M8" t="n">
        <v>9</v>
      </c>
      <c r="N8" t="n">
        <v>13</v>
      </c>
      <c r="O8" t="n">
        <v>20</v>
      </c>
      <c r="P8" t="n">
        <v>22</v>
      </c>
      <c r="Q8" t="n">
        <v>6</v>
      </c>
      <c r="R8" t="n">
        <v>18</v>
      </c>
      <c r="S8" t="n">
        <v>451.870885</v>
      </c>
      <c r="T8" t="n">
        <v>429.502049</v>
      </c>
      <c r="U8" t="n">
        <v>442.780574</v>
      </c>
    </row>
    <row r="9">
      <c r="A9" t="inlineStr">
        <is>
          <t>Operating Income</t>
        </is>
      </c>
      <c r="B9" t="n">
        <v>520</v>
      </c>
      <c r="C9" t="n">
        <v>647</v>
      </c>
      <c r="D9" t="n">
        <v>647</v>
      </c>
      <c r="E9" t="n">
        <v>651</v>
      </c>
      <c r="F9" t="n">
        <v>756</v>
      </c>
      <c r="G9" t="n">
        <v>570</v>
      </c>
      <c r="H9" t="n">
        <v>918</v>
      </c>
      <c r="I9" t="n">
        <v>748</v>
      </c>
      <c r="J9" t="n">
        <v>715</v>
      </c>
      <c r="K9" t="n">
        <v>667</v>
      </c>
      <c r="L9" t="n">
        <v>828</v>
      </c>
      <c r="M9" t="n">
        <v>600</v>
      </c>
      <c r="N9" t="n">
        <v>626</v>
      </c>
      <c r="O9" t="n">
        <v>771</v>
      </c>
      <c r="P9" t="n">
        <v>765</v>
      </c>
      <c r="Q9" t="n">
        <v>816</v>
      </c>
      <c r="R9" t="n">
        <v>668</v>
      </c>
      <c r="S9" t="n">
        <v>774.212041</v>
      </c>
      <c r="T9" t="n">
        <v>917.895629</v>
      </c>
      <c r="U9" t="n">
        <v>642.968671</v>
      </c>
    </row>
    <row r="10">
      <c r="A10" t="inlineStr">
        <is>
          <t>Net Income</t>
        </is>
      </c>
      <c r="B10" t="n">
        <v>414</v>
      </c>
      <c r="C10" t="n">
        <v>505</v>
      </c>
      <c r="D10" t="n">
        <v>505</v>
      </c>
      <c r="E10" t="n">
        <v>508</v>
      </c>
      <c r="F10" t="n">
        <v>668</v>
      </c>
      <c r="G10" t="n">
        <v>395</v>
      </c>
      <c r="H10" t="n">
        <v>504</v>
      </c>
      <c r="I10" t="n">
        <v>516</v>
      </c>
      <c r="J10" t="n">
        <v>455</v>
      </c>
      <c r="K10" t="n">
        <v>494</v>
      </c>
      <c r="L10" t="n">
        <v>374</v>
      </c>
      <c r="M10" t="n">
        <v>441</v>
      </c>
      <c r="N10" t="n">
        <v>495</v>
      </c>
      <c r="O10" t="n">
        <v>544</v>
      </c>
      <c r="P10" t="n">
        <v>688</v>
      </c>
      <c r="Q10" t="n">
        <v>581</v>
      </c>
      <c r="R10" t="n">
        <v>620</v>
      </c>
      <c r="S10" t="n">
        <v>715.973671</v>
      </c>
      <c r="T10" t="n">
        <v>568.6079120000001</v>
      </c>
      <c r="U10" t="n">
        <v>608.453482</v>
      </c>
    </row>
    <row r="11">
      <c r="A11" t="inlineStr">
        <is>
          <t>Diluted EPS</t>
        </is>
      </c>
      <c r="B11" t="n">
        <v>0.26</v>
      </c>
      <c r="C11" t="n">
        <v>0.28</v>
      </c>
      <c r="D11" t="n">
        <v>0.36</v>
      </c>
      <c r="E11" t="n">
        <v>0.22</v>
      </c>
      <c r="F11" t="n">
        <v>0.52</v>
      </c>
      <c r="G11" t="n">
        <v>0.25</v>
      </c>
      <c r="H11" t="n">
        <v>1.22450823</v>
      </c>
      <c r="I11" t="n">
        <v>0.31468864</v>
      </c>
      <c r="J11" t="n">
        <v>0.27867536</v>
      </c>
      <c r="K11" t="n">
        <v>0.30430374</v>
      </c>
      <c r="L11" t="n">
        <v>0.2510976</v>
      </c>
      <c r="M11" t="n">
        <v>0.28</v>
      </c>
      <c r="N11" t="n">
        <v>0.31</v>
      </c>
      <c r="O11" t="n">
        <v>0.303971265</v>
      </c>
      <c r="P11" t="n">
        <v>0.4301431</v>
      </c>
      <c r="Q11" t="n">
        <v>0.36</v>
      </c>
      <c r="R11" t="n">
        <v>0.38</v>
      </c>
      <c r="S11" t="n">
        <v>0.44</v>
      </c>
      <c r="T11" t="n">
        <v>0.35</v>
      </c>
      <c r="U11" t="n">
        <v>0.38</v>
      </c>
    </row>
    <row r="12">
      <c r="A12" t="inlineStr">
        <is>
          <t>Diluted Shares (M)</t>
        </is>
      </c>
      <c r="B12" t="n">
        <v>1610.902</v>
      </c>
      <c r="C12" t="n">
        <v>1610.902</v>
      </c>
      <c r="D12" t="n">
        <v>1610.902</v>
      </c>
      <c r="E12" t="n">
        <v>1610.902</v>
      </c>
      <c r="F12" t="n">
        <v>1610.902</v>
      </c>
      <c r="G12" t="n">
        <v>1610.902</v>
      </c>
      <c r="H12" t="n">
        <v>1584.704032</v>
      </c>
      <c r="I12" t="n">
        <v>1612.903224</v>
      </c>
      <c r="J12" t="n">
        <v>1585.2</v>
      </c>
      <c r="K12" t="n">
        <v>1583.2</v>
      </c>
      <c r="L12" t="n">
        <v>1555.018984</v>
      </c>
      <c r="M12" t="n">
        <v>1592.1</v>
      </c>
      <c r="N12" t="n">
        <v>1610.7</v>
      </c>
      <c r="O12" t="n">
        <v>1711.2</v>
      </c>
      <c r="P12" t="n">
        <v>1680.953664</v>
      </c>
      <c r="Q12" t="n">
        <v>1629.8</v>
      </c>
      <c r="R12" t="n">
        <v>1628.3</v>
      </c>
      <c r="S12" t="n">
        <v>1628.3</v>
      </c>
      <c r="T12" t="n">
        <v>1628.3</v>
      </c>
      <c r="U12" t="n">
        <v>1619.3</v>
      </c>
    </row>
    <row r="14">
      <c r="A14" s="1" t="inlineStr">
        <is>
          <t>BALANCE SHEET</t>
        </is>
      </c>
    </row>
    <row r="15">
      <c r="A15" t="inlineStr">
        <is>
          <t>Cash &amp; ST Investments</t>
        </is>
      </c>
      <c r="D15" t="n">
        <v>2494</v>
      </c>
      <c r="E15" t="n">
        <v>2577</v>
      </c>
      <c r="F15" t="n">
        <v>2640</v>
      </c>
      <c r="G15" t="n">
        <v>2601</v>
      </c>
      <c r="H15" t="n">
        <v>1</v>
      </c>
      <c r="I15" t="n">
        <v>12</v>
      </c>
      <c r="J15" t="n">
        <v>12</v>
      </c>
      <c r="K15" t="n">
        <v>12</v>
      </c>
      <c r="L15" t="n">
        <v>9</v>
      </c>
      <c r="M15" t="n">
        <v>9</v>
      </c>
      <c r="N15" t="n">
        <v>10</v>
      </c>
      <c r="O15" t="n">
        <v>16</v>
      </c>
      <c r="P15" t="n">
        <v>12</v>
      </c>
      <c r="Q15" t="n">
        <v>332</v>
      </c>
      <c r="R15" t="n">
        <v>480</v>
      </c>
      <c r="S15" t="n">
        <v>1062</v>
      </c>
      <c r="T15" t="n">
        <v>1580.119</v>
      </c>
      <c r="U15" t="n">
        <v>1045</v>
      </c>
    </row>
    <row r="16">
      <c r="A16" t="inlineStr">
        <is>
          <t>Receivables</t>
        </is>
      </c>
      <c r="D16" t="n">
        <v>7592</v>
      </c>
      <c r="E16" t="n">
        <v>6812</v>
      </c>
      <c r="F16" t="n">
        <v>7030</v>
      </c>
      <c r="G16" t="n">
        <v>554</v>
      </c>
      <c r="H16" t="n">
        <v>782</v>
      </c>
      <c r="I16" t="n">
        <v>875</v>
      </c>
      <c r="J16" t="n">
        <v>810</v>
      </c>
      <c r="K16" t="n">
        <v>823</v>
      </c>
      <c r="L16" t="n">
        <v>886</v>
      </c>
      <c r="M16" t="n">
        <v>805</v>
      </c>
      <c r="N16" t="n">
        <v>769</v>
      </c>
      <c r="O16" t="n">
        <v>923</v>
      </c>
      <c r="P16" t="n">
        <v>968</v>
      </c>
      <c r="Q16" t="n">
        <v>5458</v>
      </c>
      <c r="R16" t="n">
        <v>5481</v>
      </c>
      <c r="S16" t="n">
        <v>5456</v>
      </c>
      <c r="T16" t="n">
        <v>729.67</v>
      </c>
      <c r="U16" t="n">
        <v>873</v>
      </c>
    </row>
    <row r="17">
      <c r="A17" t="inlineStr">
        <is>
          <t>Inventory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Total Current Assets</t>
        </is>
      </c>
      <c r="D18" t="n">
        <v>10126</v>
      </c>
      <c r="E18" t="n">
        <v>9999</v>
      </c>
      <c r="F18" t="n">
        <v>10193</v>
      </c>
      <c r="G18" t="n">
        <v>10825</v>
      </c>
      <c r="H18" t="n">
        <v>783</v>
      </c>
      <c r="I18" t="n">
        <v>887</v>
      </c>
      <c r="J18" t="n">
        <v>822</v>
      </c>
      <c r="K18" t="n">
        <v>835</v>
      </c>
      <c r="L18" t="n">
        <v>895</v>
      </c>
      <c r="M18" t="n">
        <v>814</v>
      </c>
      <c r="N18" t="n">
        <v>779</v>
      </c>
      <c r="O18" t="n">
        <v>939</v>
      </c>
      <c r="P18" t="n">
        <v>980</v>
      </c>
      <c r="Q18" t="n">
        <v>5790</v>
      </c>
      <c r="R18" t="n">
        <v>5961</v>
      </c>
      <c r="S18" t="n">
        <v>6518</v>
      </c>
      <c r="T18" t="n">
        <v>4959.957</v>
      </c>
      <c r="U18" t="n">
        <v>1918</v>
      </c>
    </row>
    <row r="19">
      <c r="A19" t="inlineStr">
        <is>
          <t>PP&amp;E (net)</t>
        </is>
      </c>
      <c r="D19" t="n">
        <v>48</v>
      </c>
      <c r="E19" t="n">
        <v>62</v>
      </c>
      <c r="F19" t="n">
        <v>62</v>
      </c>
      <c r="G19" t="n">
        <v>61</v>
      </c>
      <c r="H19" t="n">
        <v>68</v>
      </c>
      <c r="I19" t="n">
        <v>67</v>
      </c>
      <c r="J19" t="n">
        <v>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>
        <is>
          <t>Goodwill</t>
        </is>
      </c>
      <c r="D20" t="n">
        <v>249</v>
      </c>
      <c r="E20" t="n">
        <v>249</v>
      </c>
      <c r="F20" t="n">
        <v>249</v>
      </c>
      <c r="G20" t="n">
        <v>249</v>
      </c>
      <c r="H20" t="n">
        <v>249</v>
      </c>
      <c r="I20" t="n">
        <v>265</v>
      </c>
      <c r="J20" t="n">
        <v>265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236</v>
      </c>
      <c r="U20" t="n">
        <v>236</v>
      </c>
    </row>
    <row r="21">
      <c r="A21" t="inlineStr">
        <is>
          <t>Total Assets</t>
        </is>
      </c>
      <c r="D21" t="n">
        <v>25643</v>
      </c>
      <c r="E21" t="n">
        <v>27175</v>
      </c>
      <c r="F21" t="n">
        <v>27519</v>
      </c>
      <c r="G21" t="n">
        <v>28179</v>
      </c>
      <c r="H21" t="n">
        <v>3161</v>
      </c>
      <c r="I21" t="n">
        <v>3302</v>
      </c>
      <c r="J21" t="n">
        <v>3168</v>
      </c>
      <c r="K21" t="n">
        <v>3170</v>
      </c>
      <c r="L21" t="n">
        <v>3205</v>
      </c>
      <c r="M21" t="n">
        <v>3205</v>
      </c>
      <c r="N21" t="n">
        <v>4185</v>
      </c>
      <c r="O21" t="n">
        <v>4324</v>
      </c>
      <c r="P21" t="n">
        <v>4386</v>
      </c>
      <c r="Q21" t="n">
        <v>14966</v>
      </c>
      <c r="R21" t="n">
        <v>16143</v>
      </c>
      <c r="S21" t="n">
        <v>16521</v>
      </c>
      <c r="T21" t="n">
        <v>17212.619</v>
      </c>
      <c r="U21" t="n">
        <v>17937</v>
      </c>
    </row>
    <row r="22">
      <c r="A22" t="inlineStr">
        <is>
          <t>Total Current Liabilities</t>
        </is>
      </c>
      <c r="D22" t="n">
        <v>10540</v>
      </c>
      <c r="E22" t="n">
        <v>2361</v>
      </c>
      <c r="F22" t="n">
        <v>3069</v>
      </c>
      <c r="G22" t="n">
        <v>14741</v>
      </c>
      <c r="H22" t="n">
        <v>784</v>
      </c>
      <c r="I22" t="n">
        <v>973</v>
      </c>
      <c r="J22" t="n">
        <v>934</v>
      </c>
      <c r="K22" t="n">
        <v>1003</v>
      </c>
      <c r="L22" t="n">
        <v>1120</v>
      </c>
      <c r="M22" t="n">
        <v>978</v>
      </c>
      <c r="N22" t="n">
        <v>925</v>
      </c>
      <c r="O22" t="n">
        <v>1076</v>
      </c>
      <c r="P22" t="n">
        <v>1108</v>
      </c>
      <c r="Q22" t="n">
        <v>3439</v>
      </c>
      <c r="R22" t="n">
        <v>3854</v>
      </c>
      <c r="S22" t="n">
        <v>2983</v>
      </c>
      <c r="T22" t="n">
        <v>1179.849</v>
      </c>
      <c r="U22" t="n">
        <v>1352.433</v>
      </c>
    </row>
    <row r="23">
      <c r="A23" t="inlineStr">
        <is>
          <t>Long-term Debt</t>
        </is>
      </c>
      <c r="D23" t="n">
        <v>0</v>
      </c>
      <c r="E23" t="n">
        <v>3877</v>
      </c>
      <c r="F23" t="n">
        <v>3884</v>
      </c>
      <c r="G23" t="n">
        <v>683</v>
      </c>
      <c r="H23" t="n">
        <v>0</v>
      </c>
      <c r="I23" t="n">
        <v>0</v>
      </c>
      <c r="J23" t="n">
        <v>195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235</v>
      </c>
      <c r="R23" t="n">
        <v>743</v>
      </c>
      <c r="S23" t="n">
        <v>2350</v>
      </c>
      <c r="T23" t="n">
        <v>2473.49</v>
      </c>
      <c r="U23" t="n">
        <v>2486.15</v>
      </c>
    </row>
    <row r="24">
      <c r="A24" t="inlineStr">
        <is>
          <t>Total Equity</t>
        </is>
      </c>
      <c r="D24" t="n">
        <v>9871</v>
      </c>
      <c r="E24" t="n">
        <v>10725</v>
      </c>
      <c r="F24" t="n">
        <v>7862</v>
      </c>
      <c r="G24" t="n">
        <v>6659</v>
      </c>
      <c r="H24" t="n">
        <v>2377</v>
      </c>
      <c r="I24" t="n">
        <v>2320</v>
      </c>
      <c r="J24" t="n">
        <v>2225</v>
      </c>
      <c r="K24" t="n">
        <v>2158</v>
      </c>
      <c r="L24" t="n">
        <v>2076</v>
      </c>
      <c r="M24" t="n">
        <v>2218</v>
      </c>
      <c r="N24" t="n">
        <v>3229</v>
      </c>
      <c r="O24" t="n">
        <v>3217</v>
      </c>
      <c r="P24" t="n">
        <v>3247</v>
      </c>
      <c r="Q24" t="n">
        <v>8489</v>
      </c>
      <c r="R24" t="n">
        <v>8470</v>
      </c>
      <c r="S24" t="n">
        <v>8461</v>
      </c>
      <c r="T24" t="n">
        <v>8895.781000000001</v>
      </c>
      <c r="U24" t="n">
        <v>7616.969</v>
      </c>
    </row>
    <row r="26">
      <c r="A26" s="1" t="inlineStr">
        <is>
          <t>CASH FLOW</t>
        </is>
      </c>
    </row>
    <row r="27">
      <c r="A27" t="inlineStr">
        <is>
          <t>Net Income (CF)</t>
        </is>
      </c>
      <c r="B27" t="n">
        <v>414</v>
      </c>
      <c r="C27" t="n">
        <v>712</v>
      </c>
      <c r="D27" t="n">
        <v>1037</v>
      </c>
      <c r="E27" t="n">
        <v>723</v>
      </c>
      <c r="F27" t="n">
        <v>834</v>
      </c>
      <c r="G27" t="n">
        <v>695</v>
      </c>
      <c r="H27" t="n">
        <v>504</v>
      </c>
      <c r="I27" t="n">
        <v>516</v>
      </c>
      <c r="J27" t="n">
        <v>455</v>
      </c>
      <c r="K27" t="n">
        <v>510</v>
      </c>
      <c r="L27" t="n">
        <v>374</v>
      </c>
      <c r="M27" t="n">
        <v>373</v>
      </c>
      <c r="N27" t="n">
        <v>518</v>
      </c>
      <c r="O27" t="n">
        <v>537</v>
      </c>
      <c r="P27" t="n">
        <v>688</v>
      </c>
      <c r="Q27" t="n">
        <v>507</v>
      </c>
      <c r="R27" t="n">
        <v>584</v>
      </c>
      <c r="S27" t="n">
        <v>692</v>
      </c>
      <c r="T27" t="n">
        <v>568.6079120000001</v>
      </c>
      <c r="U27" t="n">
        <v>608.453482</v>
      </c>
    </row>
    <row r="28">
      <c r="A28" t="inlineStr">
        <is>
          <t>D&amp;A</t>
        </is>
      </c>
      <c r="B28" t="n">
        <v>2</v>
      </c>
      <c r="C28" t="n">
        <v>2</v>
      </c>
      <c r="D28" t="n">
        <v>5</v>
      </c>
      <c r="E28" t="n">
        <v>3</v>
      </c>
      <c r="F28" t="n">
        <v>2</v>
      </c>
      <c r="G28" t="n">
        <v>4</v>
      </c>
      <c r="H28" t="n">
        <v>4</v>
      </c>
      <c r="I28" t="n">
        <v>4</v>
      </c>
      <c r="J28" t="n">
        <v>3</v>
      </c>
      <c r="K28" t="n">
        <v>3</v>
      </c>
      <c r="L28" t="n">
        <v>4</v>
      </c>
      <c r="M28" t="n">
        <v>4</v>
      </c>
      <c r="N28" t="n">
        <v>3</v>
      </c>
      <c r="O28" t="n">
        <v>4</v>
      </c>
      <c r="P28" t="n">
        <v>3</v>
      </c>
      <c r="Q28" t="n">
        <v>3</v>
      </c>
      <c r="R28" t="n">
        <v>11</v>
      </c>
      <c r="S28" t="n">
        <v>16</v>
      </c>
      <c r="T28" t="n">
        <v>24.36891</v>
      </c>
      <c r="U28" t="n">
        <v>12.819927</v>
      </c>
    </row>
    <row r="29">
      <c r="A29" t="inlineStr">
        <is>
          <t>Stock-based Compensation</t>
        </is>
      </c>
      <c r="B29" t="n">
        <v>-3</v>
      </c>
      <c r="C29" t="n">
        <v>13</v>
      </c>
      <c r="D29" t="n">
        <v>92</v>
      </c>
      <c r="E29" t="n">
        <v>135</v>
      </c>
      <c r="F29" t="n">
        <v>-129</v>
      </c>
      <c r="G29" t="n">
        <v>23</v>
      </c>
      <c r="H29" t="n">
        <v>-77</v>
      </c>
      <c r="I29" t="n">
        <v>20</v>
      </c>
      <c r="J29" t="n">
        <v>24</v>
      </c>
      <c r="K29" t="n">
        <v>9</v>
      </c>
      <c r="L29" t="n">
        <v>120</v>
      </c>
      <c r="M29" t="n">
        <v>20</v>
      </c>
      <c r="N29" t="n">
        <v>19</v>
      </c>
      <c r="O29" t="n">
        <v>42</v>
      </c>
      <c r="P29" t="n">
        <v>166</v>
      </c>
      <c r="Q29" t="n">
        <v>35</v>
      </c>
      <c r="R29" t="n">
        <v>27</v>
      </c>
      <c r="S29" t="n">
        <v>32</v>
      </c>
      <c r="T29" t="n">
        <v>8</v>
      </c>
      <c r="U29" t="n">
        <v>0</v>
      </c>
    </row>
    <row r="30">
      <c r="A30" t="inlineStr">
        <is>
          <t>Change in Working Capital</t>
        </is>
      </c>
      <c r="B30" t="n">
        <v>1655</v>
      </c>
      <c r="C30" t="n">
        <v>-1994</v>
      </c>
      <c r="D30" t="n">
        <v>712</v>
      </c>
      <c r="E30" t="n">
        <v>-409</v>
      </c>
      <c r="F30" t="n">
        <v>1870</v>
      </c>
      <c r="G30" t="n">
        <v>1588</v>
      </c>
      <c r="H30" t="n">
        <v>-6039</v>
      </c>
      <c r="I30" t="n">
        <v>-553</v>
      </c>
      <c r="J30" t="n">
        <v>355</v>
      </c>
      <c r="K30" t="n">
        <v>119</v>
      </c>
      <c r="L30" t="n">
        <v>-334</v>
      </c>
      <c r="M30" t="n">
        <v>-135</v>
      </c>
      <c r="N30" t="n">
        <v>-68</v>
      </c>
      <c r="O30" t="n">
        <v>-79</v>
      </c>
      <c r="P30" t="n">
        <v>3</v>
      </c>
      <c r="Q30" t="n">
        <v>-447</v>
      </c>
      <c r="R30" t="n">
        <v>256</v>
      </c>
      <c r="S30" t="n">
        <v>213.407828</v>
      </c>
      <c r="T30" t="n">
        <v>0</v>
      </c>
      <c r="U30" t="n">
        <v>-185.395874</v>
      </c>
    </row>
    <row r="31">
      <c r="A31" t="inlineStr">
        <is>
          <t>Operating Cash Flow</t>
        </is>
      </c>
      <c r="B31" t="n">
        <v>2040</v>
      </c>
      <c r="C31" t="n">
        <v>-1400</v>
      </c>
      <c r="D31" t="n">
        <v>1435</v>
      </c>
      <c r="E31" t="n">
        <v>-399</v>
      </c>
      <c r="F31" t="n">
        <v>2667</v>
      </c>
      <c r="G31" t="n">
        <v>2077</v>
      </c>
      <c r="H31" t="n">
        <v>-4719</v>
      </c>
      <c r="I31" t="n">
        <v>-41</v>
      </c>
      <c r="J31" t="n">
        <v>526</v>
      </c>
      <c r="K31" t="n">
        <v>599</v>
      </c>
      <c r="L31" t="n">
        <v>345</v>
      </c>
      <c r="M31" t="n">
        <v>516</v>
      </c>
      <c r="N31" t="n">
        <v>393</v>
      </c>
      <c r="O31" t="n">
        <v>567</v>
      </c>
      <c r="P31" t="n">
        <v>387</v>
      </c>
      <c r="Q31" t="n">
        <v>265</v>
      </c>
      <c r="R31" t="n">
        <v>529</v>
      </c>
      <c r="S31" t="n">
        <v>745</v>
      </c>
      <c r="T31" t="n">
        <v>0</v>
      </c>
      <c r="U31" t="n">
        <v>416.154569</v>
      </c>
    </row>
    <row r="32">
      <c r="A32" t="inlineStr">
        <is>
          <t>Capex</t>
        </is>
      </c>
      <c r="B32" t="n">
        <v>0</v>
      </c>
      <c r="C32" t="n">
        <v>-2</v>
      </c>
      <c r="D32" t="n">
        <v>-33</v>
      </c>
      <c r="E32" t="n">
        <v>-17</v>
      </c>
      <c r="F32" t="n">
        <v>-2</v>
      </c>
      <c r="G32" t="n">
        <v>-1</v>
      </c>
      <c r="H32" t="n">
        <v>7</v>
      </c>
      <c r="I32" t="n">
        <v>-1</v>
      </c>
      <c r="J32" t="n">
        <v>-3</v>
      </c>
      <c r="K32" t="n">
        <v>-3</v>
      </c>
      <c r="L32" t="n">
        <v>-4</v>
      </c>
      <c r="M32" t="n">
        <v>0</v>
      </c>
      <c r="N32" t="n">
        <v>0</v>
      </c>
      <c r="O32" t="n">
        <v>0</v>
      </c>
      <c r="P32" t="n">
        <v>-3</v>
      </c>
      <c r="Q32" t="n">
        <v>0</v>
      </c>
      <c r="R32" t="n">
        <v>0</v>
      </c>
      <c r="S32" t="n">
        <v>-4</v>
      </c>
      <c r="T32" t="n">
        <v>0</v>
      </c>
      <c r="U32" t="n">
        <v>0</v>
      </c>
    </row>
    <row r="33">
      <c r="A33" t="inlineStr">
        <is>
          <t>Free Cash Flow</t>
        </is>
      </c>
      <c r="B33" t="n">
        <v>2040</v>
      </c>
      <c r="C33" t="n">
        <v>-1402</v>
      </c>
      <c r="D33" t="n">
        <v>1402</v>
      </c>
      <c r="E33" t="n">
        <v>-416</v>
      </c>
      <c r="F33" t="n">
        <v>2665</v>
      </c>
      <c r="G33" t="n">
        <v>2076</v>
      </c>
      <c r="H33" t="n">
        <v>-4712</v>
      </c>
      <c r="I33" t="n">
        <v>-42</v>
      </c>
      <c r="J33" t="n">
        <v>523</v>
      </c>
      <c r="K33" t="n">
        <v>596</v>
      </c>
      <c r="L33" t="n">
        <v>341</v>
      </c>
      <c r="M33" t="n">
        <v>516</v>
      </c>
      <c r="N33" t="n">
        <v>393</v>
      </c>
      <c r="O33" t="n">
        <v>567</v>
      </c>
      <c r="P33" t="n">
        <v>384</v>
      </c>
      <c r="Q33" t="n">
        <v>265</v>
      </c>
      <c r="R33" t="n">
        <v>529</v>
      </c>
      <c r="S33" t="n">
        <v>741</v>
      </c>
      <c r="T33" t="n">
        <v>0</v>
      </c>
      <c r="U33" t="n">
        <v>416.15457</v>
      </c>
    </row>
    <row r="34">
      <c r="A34" t="inlineStr">
        <is>
          <t>Net Stock Issuance</t>
        </is>
      </c>
      <c r="B34" t="n">
        <v>-1964</v>
      </c>
      <c r="C34" t="n">
        <v>0</v>
      </c>
      <c r="D34" t="n">
        <v>0</v>
      </c>
      <c r="E34" t="n">
        <v>0</v>
      </c>
      <c r="F34" t="n">
        <v>-3050</v>
      </c>
      <c r="G34" t="n">
        <v>-1418</v>
      </c>
      <c r="H34" t="n">
        <v>0</v>
      </c>
      <c r="I34" t="n">
        <v>0</v>
      </c>
      <c r="J34" t="n">
        <v>0</v>
      </c>
      <c r="K34" t="n">
        <v>0</v>
      </c>
      <c r="L34" t="n">
        <v>-2</v>
      </c>
      <c r="M34" t="n">
        <v>0</v>
      </c>
      <c r="N34" t="n">
        <v>0</v>
      </c>
      <c r="O34" t="n">
        <v>0</v>
      </c>
      <c r="P34" t="n">
        <v>0</v>
      </c>
      <c r="Q34" t="n">
        <v>-116</v>
      </c>
      <c r="R34" t="n">
        <v>0</v>
      </c>
      <c r="S34" t="n">
        <v>-69</v>
      </c>
      <c r="T34" t="n">
        <v>0</v>
      </c>
      <c r="U34" t="n">
        <v>-465.461983</v>
      </c>
    </row>
    <row r="35">
      <c r="A35" t="inlineStr">
        <is>
          <t>Dividends Paid</t>
        </is>
      </c>
      <c r="B35" t="n">
        <v>-204</v>
      </c>
      <c r="C35" t="n">
        <v>-156</v>
      </c>
      <c r="D35" t="n">
        <v>-712</v>
      </c>
      <c r="E35" t="n">
        <v>-207</v>
      </c>
      <c r="F35" t="n">
        <v>-179</v>
      </c>
      <c r="G35" t="n">
        <v>-180</v>
      </c>
      <c r="H35" t="n">
        <v>-3158</v>
      </c>
      <c r="I35" t="n">
        <v>-528</v>
      </c>
      <c r="J35" t="n">
        <v>-524</v>
      </c>
      <c r="K35" t="n">
        <v>-524</v>
      </c>
      <c r="L35" t="n">
        <v>-525</v>
      </c>
      <c r="M35" t="n">
        <v>-620</v>
      </c>
      <c r="N35" t="n">
        <v>-619</v>
      </c>
      <c r="O35" t="n">
        <v>-620</v>
      </c>
      <c r="P35" t="n">
        <v>-619</v>
      </c>
      <c r="Q35" t="n">
        <v>-707</v>
      </c>
      <c r="R35" t="n">
        <v>-702</v>
      </c>
      <c r="S35" t="n">
        <v>-706</v>
      </c>
      <c r="T35" t="n">
        <v>0</v>
      </c>
      <c r="U35" t="n">
        <v>0</v>
      </c>
    </row>
    <row r="36">
      <c r="A36" t="inlineStr">
        <is>
          <t>Net Change in Cash</t>
        </is>
      </c>
      <c r="B36" t="n">
        <v>261</v>
      </c>
      <c r="C36" t="n">
        <v>-127</v>
      </c>
      <c r="D36" t="n">
        <v>177</v>
      </c>
      <c r="E36" t="n">
        <v>84</v>
      </c>
      <c r="F36" t="n">
        <v>63</v>
      </c>
      <c r="G36" t="n">
        <v>-39</v>
      </c>
      <c r="H36" t="n">
        <v>944</v>
      </c>
      <c r="I36" t="n">
        <v>-393</v>
      </c>
      <c r="J36" t="n">
        <v>-234</v>
      </c>
      <c r="K36" t="n">
        <v>27</v>
      </c>
      <c r="L36" t="n">
        <v>-278</v>
      </c>
      <c r="M36" t="n">
        <v>-73</v>
      </c>
      <c r="N36" t="n">
        <v>-663</v>
      </c>
      <c r="O36" t="n">
        <v>-1028</v>
      </c>
      <c r="P36" t="n">
        <v>-499</v>
      </c>
      <c r="Q36" t="n">
        <v>-72</v>
      </c>
      <c r="R36" t="n">
        <v>148</v>
      </c>
      <c r="S36" t="n">
        <v>582</v>
      </c>
      <c r="T36" t="n">
        <v>519.154415</v>
      </c>
      <c r="U36" t="n">
        <v>-480.514646</v>
      </c>
    </row>
    <row r="38">
      <c r="A38" s="2" t="inlineStr">
        <is>
          <t>Units: USD millions except per-share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FORECAST INPUTS - edit the yellow cells</t>
        </is>
      </c>
    </row>
    <row r="2">
      <c r="A2" s="3" t="inlineStr">
        <is>
          <t>(yellow = user-editable; one column per forecast year; refresh preserves your edits)</t>
        </is>
      </c>
    </row>
    <row r="3">
      <c r="A3" t="inlineStr">
        <is>
          <t>Base Revenue (TTM, $M)</t>
        </is>
      </c>
      <c r="B3" s="4" t="n">
        <v>5062.84</v>
      </c>
    </row>
    <row r="4">
      <c r="A4" t="inlineStr">
        <is>
          <t>Diluted Shares (M)</t>
        </is>
      </c>
      <c r="B4" s="4" t="n">
        <v>1619.3</v>
      </c>
    </row>
    <row r="5">
      <c r="A5" t="inlineStr">
        <is>
          <t>Terminal FCF Multiple</t>
        </is>
      </c>
      <c r="B5" s="4" t="n">
        <v>15</v>
      </c>
    </row>
    <row r="6">
      <c r="A6" t="inlineStr">
        <is>
          <t>Forecast Years</t>
        </is>
      </c>
      <c r="B6" s="5" t="n">
        <v>5</v>
      </c>
    </row>
    <row r="8">
      <c r="A8" s="1" t="inlineStr">
        <is>
          <t>ASSUMPTIONS (per forecast year)</t>
        </is>
      </c>
      <c r="B8" s="1" t="inlineStr">
        <is>
          <t>TTM</t>
        </is>
      </c>
      <c r="C8" s="1" t="inlineStr">
        <is>
          <t>FY1</t>
        </is>
      </c>
      <c r="D8" s="1" t="inlineStr">
        <is>
          <t>FY2</t>
        </is>
      </c>
      <c r="E8" s="1" t="inlineStr">
        <is>
          <t>FY3</t>
        </is>
      </c>
      <c r="F8" s="1" t="inlineStr">
        <is>
          <t>FY4</t>
        </is>
      </c>
      <c r="G8" s="1" t="inlineStr">
        <is>
          <t>FY5</t>
        </is>
      </c>
    </row>
    <row r="9">
      <c r="A9" t="inlineStr">
        <is>
          <t>Revenue Growth %</t>
        </is>
      </c>
      <c r="C9" s="6" t="n">
        <v>0.2121</v>
      </c>
      <c r="D9" s="6" t="n">
        <v>0.1653</v>
      </c>
      <c r="E9" s="6" t="n">
        <v>0.1185</v>
      </c>
      <c r="F9" s="6" t="n">
        <v>0.0718</v>
      </c>
      <c r="G9" s="6" t="n">
        <v>0.025</v>
      </c>
    </row>
    <row r="10">
      <c r="A10" t="inlineStr">
        <is>
          <t>Gross Margin %</t>
        </is>
      </c>
      <c r="C10" s="6" t="n">
        <v>0.8583</v>
      </c>
      <c r="D10" s="6" t="n">
        <v>0.8583</v>
      </c>
      <c r="E10" s="6" t="n">
        <v>0.8583</v>
      </c>
      <c r="F10" s="6" t="n">
        <v>0.8583</v>
      </c>
      <c r="G10" s="6" t="n">
        <v>0.8583</v>
      </c>
    </row>
    <row r="11">
      <c r="A11" t="inlineStr">
        <is>
          <t>R&amp;D % of Revenue</t>
        </is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</row>
    <row r="12">
      <c r="A12" t="inlineStr">
        <is>
          <t>SG&amp;A % of Revenue</t>
        </is>
      </c>
      <c r="C12" s="6" t="n">
        <v>0.0036</v>
      </c>
      <c r="D12" s="6" t="n">
        <v>0.0036</v>
      </c>
      <c r="E12" s="6" t="n">
        <v>0.0036</v>
      </c>
      <c r="F12" s="6" t="n">
        <v>0.0036</v>
      </c>
      <c r="G12" s="6" t="n">
        <v>0.0036</v>
      </c>
    </row>
    <row r="13">
      <c r="A13" t="inlineStr">
        <is>
          <t>SBC % of Revenue</t>
        </is>
      </c>
      <c r="C13" s="6" t="n">
        <v>0.0132</v>
      </c>
      <c r="D13" s="6" t="n">
        <v>0.0132</v>
      </c>
      <c r="E13" s="6" t="n">
        <v>0.0132</v>
      </c>
      <c r="F13" s="6" t="n">
        <v>0.0132</v>
      </c>
      <c r="G13" s="6" t="n">
        <v>0.0132</v>
      </c>
    </row>
    <row r="14">
      <c r="A14" t="inlineStr">
        <is>
          <t>D&amp;A % of Revenue</t>
        </is>
      </c>
      <c r="C14" s="6" t="n">
        <v>0.0127</v>
      </c>
      <c r="D14" s="6" t="n">
        <v>0.0127</v>
      </c>
      <c r="E14" s="6" t="n">
        <v>0.0127</v>
      </c>
      <c r="F14" s="6" t="n">
        <v>0.0127</v>
      </c>
      <c r="G14" s="6" t="n">
        <v>0.0127</v>
      </c>
    </row>
    <row r="15">
      <c r="A15" t="inlineStr">
        <is>
          <t>Capex / D&amp;A (x)</t>
        </is>
      </c>
      <c r="C15" s="7" t="n">
        <v>0.06</v>
      </c>
      <c r="D15" s="7" t="n">
        <v>0.06</v>
      </c>
      <c r="E15" s="7" t="n">
        <v>0.06</v>
      </c>
      <c r="F15" s="7" t="n">
        <v>0.06</v>
      </c>
      <c r="G15" s="7" t="n">
        <v>0.06</v>
      </c>
    </row>
    <row r="16">
      <c r="A16" t="inlineStr">
        <is>
          <t>DSO (days)</t>
        </is>
      </c>
      <c r="C16" s="5" t="n">
        <v>62.9</v>
      </c>
      <c r="D16" s="5" t="n">
        <v>62.9</v>
      </c>
      <c r="E16" s="5" t="n">
        <v>62.9</v>
      </c>
      <c r="F16" s="5" t="n">
        <v>62.9</v>
      </c>
      <c r="G16" s="5" t="n">
        <v>62.9</v>
      </c>
    </row>
    <row r="17">
      <c r="A17" t="inlineStr">
        <is>
          <t>DPO (days)</t>
        </is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</row>
    <row r="18">
      <c r="A18" t="inlineStr">
        <is>
          <t>Deferred Rev % of Revenue</t>
        </is>
      </c>
      <c r="C18" s="6" t="n">
        <v>0</v>
      </c>
      <c r="D18" s="6" t="n">
        <v>0</v>
      </c>
      <c r="E18" s="6" t="n">
        <v>0</v>
      </c>
      <c r="F18" s="6" t="n">
        <v>0</v>
      </c>
      <c r="G18" s="6" t="n">
        <v>0</v>
      </c>
    </row>
    <row r="19">
      <c r="A19" t="inlineStr">
        <is>
          <t>Tax Rate %</t>
        </is>
      </c>
      <c r="C19" s="6" t="n">
        <v>0.1834</v>
      </c>
      <c r="D19" s="6" t="n">
        <v>0.1834</v>
      </c>
      <c r="E19" s="6" t="n">
        <v>0.1834</v>
      </c>
      <c r="F19" s="6" t="n">
        <v>0.1834</v>
      </c>
      <c r="G19" s="6" t="n">
        <v>0.1834</v>
      </c>
    </row>
    <row r="20">
      <c r="A20" t="inlineStr">
        <is>
          <t>Net Share Change %/yr</t>
        </is>
      </c>
      <c r="C20" s="6" t="n">
        <v>-0.0064</v>
      </c>
      <c r="D20" s="6" t="n">
        <v>-0.0064</v>
      </c>
      <c r="E20" s="6" t="n">
        <v>-0.0064</v>
      </c>
      <c r="F20" s="6" t="n">
        <v>-0.0064</v>
      </c>
      <c r="G20" s="6" t="n">
        <v>-0.0064</v>
      </c>
    </row>
    <row r="22">
      <c r="A22" s="1" t="inlineStr">
        <is>
          <t>PROJECTED - program-owned, recomputed each refresh from the inputs above</t>
        </is>
      </c>
    </row>
    <row r="23">
      <c r="A23" s="1" t="inlineStr">
        <is>
          <t>Year</t>
        </is>
      </c>
      <c r="C23" s="1" t="n">
        <v>2027</v>
      </c>
      <c r="D23" s="1" t="n">
        <v>2028</v>
      </c>
      <c r="E23" s="1" t="n">
        <v>2029</v>
      </c>
      <c r="F23" s="1" t="n">
        <v>2030</v>
      </c>
      <c r="G23" s="1" t="n">
        <v>2031</v>
      </c>
    </row>
    <row r="24">
      <c r="A24" t="inlineStr">
        <is>
          <t>Revenue ($M)</t>
        </is>
      </c>
      <c r="C24" s="8" t="n">
        <v>6136.668364</v>
      </c>
      <c r="D24" s="8" t="n">
        <v>7151.0596445692</v>
      </c>
      <c r="E24" s="8" t="n">
        <v>7998.46021245065</v>
      </c>
      <c r="F24" s="8" t="n">
        <v>8572.749655704607</v>
      </c>
      <c r="G24" s="8" t="n">
        <v>8787.068397097222</v>
      </c>
    </row>
    <row r="25">
      <c r="A25" t="inlineStr">
        <is>
          <t>Gross Profit ($M)</t>
        </is>
      </c>
      <c r="C25" s="8" t="n">
        <v>5267.1024568212</v>
      </c>
      <c r="D25" s="8" t="n">
        <v>6137.754492933744</v>
      </c>
      <c r="E25" s="8" t="n">
        <v>6865.078400346392</v>
      </c>
      <c r="F25" s="8" t="n">
        <v>7357.991029491263</v>
      </c>
      <c r="G25" s="8" t="n">
        <v>7541.940805228545</v>
      </c>
    </row>
    <row r="26">
      <c r="A26" t="inlineStr">
        <is>
          <t>R&amp;D ($M)</t>
        </is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</row>
    <row r="27">
      <c r="A27" t="inlineStr">
        <is>
          <t>SG&amp;A ($M)</t>
        </is>
      </c>
      <c r="C27" s="8" t="n">
        <v>22.0920061104</v>
      </c>
      <c r="D27" s="8" t="n">
        <v>25.74381472044912</v>
      </c>
      <c r="E27" s="8" t="n">
        <v>28.79445676482234</v>
      </c>
      <c r="F27" s="8" t="n">
        <v>30.86189876053658</v>
      </c>
      <c r="G27" s="8" t="n">
        <v>31.63344622955</v>
      </c>
    </row>
    <row r="28">
      <c r="A28" t="inlineStr">
        <is>
          <t>Operating Income ($M)</t>
        </is>
      </c>
      <c r="C28" s="8" t="n">
        <v>5245.0104507108</v>
      </c>
      <c r="D28" s="8" t="n">
        <v>6112.010678213294</v>
      </c>
      <c r="E28" s="8" t="n">
        <v>6836.28394358157</v>
      </c>
      <c r="F28" s="8" t="n">
        <v>7327.129130730727</v>
      </c>
      <c r="G28" s="8" t="n">
        <v>7510.307358998995</v>
      </c>
    </row>
    <row r="29">
      <c r="A29" t="inlineStr">
        <is>
          <t>Operating Margin %</t>
        </is>
      </c>
      <c r="C29" s="9" t="n">
        <v>0.8547</v>
      </c>
      <c r="D29" s="9" t="n">
        <v>0.8546999999999999</v>
      </c>
      <c r="E29" s="9" t="n">
        <v>0.8547</v>
      </c>
      <c r="F29" s="9" t="n">
        <v>0.8546999999999999</v>
      </c>
      <c r="G29" s="9" t="n">
        <v>0.8546999999999999</v>
      </c>
    </row>
    <row r="30">
      <c r="A30" t="inlineStr">
        <is>
          <t>NOPAT ($M)</t>
        </is>
      </c>
      <c r="C30" s="8" t="n">
        <v>4283.075534050439</v>
      </c>
      <c r="D30" s="8" t="n">
        <v>4991.067919828976</v>
      </c>
      <c r="E30" s="8" t="n">
        <v>5582.509468328711</v>
      </c>
      <c r="F30" s="8" t="n">
        <v>5983.333648154711</v>
      </c>
      <c r="G30" s="8" t="n">
        <v>6132.916989358579</v>
      </c>
    </row>
    <row r="31">
      <c r="A31" t="inlineStr">
        <is>
          <t>+ D&amp;A ($M)</t>
        </is>
      </c>
      <c r="C31" s="8" t="n">
        <v>77.9356882228</v>
      </c>
      <c r="D31" s="8" t="n">
        <v>90.81845748602883</v>
      </c>
      <c r="E31" s="8" t="n">
        <v>101.5804446981232</v>
      </c>
      <c r="F31" s="8" t="n">
        <v>108.8739206274485</v>
      </c>
      <c r="G31" s="8" t="n">
        <v>111.5957686431347</v>
      </c>
    </row>
    <row r="32">
      <c r="A32" t="inlineStr">
        <is>
          <t>+ SBC ($M, non-cash)</t>
        </is>
      </c>
      <c r="C32" s="8" t="n">
        <v>81.0040224048</v>
      </c>
      <c r="D32" s="8" t="n">
        <v>94.39398730831344</v>
      </c>
      <c r="E32" s="8" t="n">
        <v>105.5796748043486</v>
      </c>
      <c r="F32" s="8" t="n">
        <v>113.1602954553008</v>
      </c>
      <c r="G32" s="8" t="n">
        <v>115.9893028416833</v>
      </c>
    </row>
    <row r="33">
      <c r="A33" t="inlineStr">
        <is>
          <t>- Chg in NWC ($M)</t>
        </is>
      </c>
      <c r="C33" s="8" t="n">
        <v>185.0515180701369</v>
      </c>
      <c r="D33" s="8" t="n">
        <v>174.8087987611032</v>
      </c>
      <c r="E33" s="8" t="n">
        <v>146.0314951225844</v>
      </c>
      <c r="F33" s="8" t="n">
        <v>98.96659172787349</v>
      </c>
      <c r="G33" s="8" t="n">
        <v>36.9332844756043</v>
      </c>
    </row>
    <row r="34">
      <c r="A34">
        <f> CFO ($M)</f>
        <v/>
      </c>
      <c r="C34" s="8" t="n">
        <v>4256.963726607903</v>
      </c>
      <c r="D34" s="8" t="n">
        <v>5001.471565862215</v>
      </c>
      <c r="E34" s="8" t="n">
        <v>5643.638092708597</v>
      </c>
      <c r="F34" s="8" t="n">
        <v>6106.401272509587</v>
      </c>
      <c r="G34" s="8" t="n">
        <v>6323.568776367793</v>
      </c>
    </row>
    <row r="35">
      <c r="A35" t="inlineStr">
        <is>
          <t>- Capex ($M)</t>
        </is>
      </c>
      <c r="C35" s="8" t="n">
        <v>4.676141293368</v>
      </c>
      <c r="D35" s="8" t="n">
        <v>5.44910744916173</v>
      </c>
      <c r="E35" s="8" t="n">
        <v>6.094826681887395</v>
      </c>
      <c r="F35" s="8" t="n">
        <v>6.53243523764691</v>
      </c>
      <c r="G35" s="8" t="n">
        <v>6.695746118588083</v>
      </c>
    </row>
    <row r="36">
      <c r="A36">
        <f> FCFF ($M)</f>
        <v/>
      </c>
      <c r="C36" s="8" t="n">
        <v>4252.287585314534</v>
      </c>
      <c r="D36" s="8" t="n">
        <v>4996.022458413054</v>
      </c>
      <c r="E36" s="8" t="n">
        <v>5637.54326602671</v>
      </c>
      <c r="F36" s="8" t="n">
        <v>6099.868837271941</v>
      </c>
      <c r="G36" s="8" t="n">
        <v>6316.873030249205</v>
      </c>
    </row>
    <row r="37">
      <c r="A37">
        <f> Valuation FCF ($M, SBC-charged)</f>
        <v/>
      </c>
      <c r="C37" s="8" t="n">
        <v>4171.283562909734</v>
      </c>
      <c r="D37" s="8" t="n">
        <v>4901.62847110474</v>
      </c>
      <c r="E37" s="8" t="n">
        <v>5531.963591222361</v>
      </c>
      <c r="F37" s="8" t="n">
        <v>5986.70854181664</v>
      </c>
      <c r="G37" s="8" t="n">
        <v>6200.883727407521</v>
      </c>
    </row>
    <row r="38">
      <c r="A38" t="inlineStr">
        <is>
          <t>Valuation FCF Margin %</t>
        </is>
      </c>
      <c r="C38" s="9" t="n">
        <v>0.6797309737935407</v>
      </c>
      <c r="D38" s="9" t="n">
        <v>0.6854408597790445</v>
      </c>
      <c r="E38" s="9" t="n">
        <v>0.6916285690352171</v>
      </c>
      <c r="F38" s="9" t="n">
        <v>0.6983416969178465</v>
      </c>
      <c r="G38" s="9" t="n">
        <v>0.7056828793384563</v>
      </c>
    </row>
    <row r="39">
      <c r="A39" t="inlineStr">
        <is>
          <t>Diluted Shares (projected, M)</t>
        </is>
      </c>
      <c r="C39" s="8" t="n">
        <v>1608.93648</v>
      </c>
      <c r="D39" s="8" t="n">
        <v>1598.639286528</v>
      </c>
      <c r="E39" s="8" t="n">
        <v>1588.407995094221</v>
      </c>
      <c r="F39" s="8" t="n">
        <v>1578.242183925618</v>
      </c>
      <c r="G39" s="8" t="n">
        <v>1568.141433948494</v>
      </c>
    </row>
    <row r="40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B1" s="1" t="n">
        <v>2026</v>
      </c>
      <c r="C1" s="1" t="n">
        <v>2027</v>
      </c>
      <c r="D1" s="1" t="n">
        <v>2028</v>
      </c>
      <c r="E1" s="1" t="n">
        <v>2029</v>
      </c>
      <c r="F1" s="1" t="n">
        <v>2030</v>
      </c>
      <c r="G1" s="1" t="n">
        <v>2031</v>
      </c>
    </row>
    <row r="2">
      <c r="A2" s="1" t="inlineStr">
        <is>
          <t>FCF</t>
        </is>
      </c>
      <c r="B2" s="8" t="n">
        <v>1686.15457</v>
      </c>
      <c r="C2" s="8" t="n">
        <v>4171.283562909734</v>
      </c>
      <c r="D2" s="8" t="n">
        <v>4901.62847110474</v>
      </c>
      <c r="E2" s="8" t="n">
        <v>5531.963591222361</v>
      </c>
      <c r="F2" s="8" t="n">
        <v>5986.70854181664</v>
      </c>
      <c r="G2" s="8" t="n">
        <v>6200.883727407521</v>
      </c>
    </row>
    <row r="3">
      <c r="A3" s="1" t="inlineStr">
        <is>
          <t>#diluted shares outstanding</t>
        </is>
      </c>
      <c r="B3" s="8" t="n">
        <v>1619.3</v>
      </c>
      <c r="C3" s="8" t="n">
        <v>1608.93648</v>
      </c>
      <c r="D3" s="8" t="n">
        <v>1598.639286528</v>
      </c>
      <c r="E3" s="8" t="n">
        <v>1588.407995094221</v>
      </c>
      <c r="F3" s="8" t="n">
        <v>1578.242183925618</v>
      </c>
      <c r="G3" s="8" t="n">
        <v>1568.141433948494</v>
      </c>
    </row>
    <row r="5">
      <c r="A5" s="3" t="inlineStr">
        <is>
          <t>Rewritten on every refresh from Forecast sheet inputs. Edit Forecast, not here.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2026-06-04T13:32:01Z</dcterms:created>
  <dcterms:modified xmlns:dcterms="http://purl.org/dc/terms/" xmlns:xsi="http://www.w3.org/2001/XMLSchema-instance" xsi:type="dcterms:W3CDTF">2026-06-04T13:32:01Z</dcterms:modified>
</cp:coreProperties>
</file>