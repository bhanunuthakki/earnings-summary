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als" sheetId="1" state="visible" r:id="rId1"/>
    <sheet xmlns:r="http://schemas.openxmlformats.org/officeDocument/2006/relationships" name="Forecast" sheetId="2" state="visible" r:id="rId2"/>
    <sheet xmlns:r="http://schemas.openxmlformats.org/officeDocument/2006/relationships" name="Valu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F7DC"/>
        <bgColor rgb="00FFF7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2" borderId="0" pivotButton="0" quotePrefix="0" xfId="0"/>
    <xf numFmtId="1" fontId="0" fillId="2" borderId="0" pivotButton="0" quotePrefix="0" xfId="0"/>
    <xf numFmtId="10" fontId="0" fillId="2" borderId="0" pivotButton="0" quotePrefix="0" xfId="0"/>
    <xf numFmtId="2" fontId="0" fillId="2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1" t="inlineStr">
        <is>
          <t>Line Item</t>
        </is>
      </c>
      <c r="B1" s="1" t="inlineStr">
        <is>
          <t>Q2 2021</t>
        </is>
      </c>
      <c r="C1" s="1" t="inlineStr">
        <is>
          <t>Q3 2021</t>
        </is>
      </c>
      <c r="D1" s="1" t="inlineStr">
        <is>
          <t>Q4 2021</t>
        </is>
      </c>
      <c r="E1" s="1" t="inlineStr">
        <is>
          <t>Q1 2022</t>
        </is>
      </c>
      <c r="F1" s="1" t="inlineStr">
        <is>
          <t>Q2 2022</t>
        </is>
      </c>
      <c r="G1" s="1" t="inlineStr">
        <is>
          <t>Q3 2022</t>
        </is>
      </c>
      <c r="H1" s="1" t="inlineStr">
        <is>
          <t>Q4 2022</t>
        </is>
      </c>
      <c r="I1" s="1" t="inlineStr">
        <is>
          <t>Q1 2023</t>
        </is>
      </c>
      <c r="J1" s="1" t="inlineStr">
        <is>
          <t>Q2 2023</t>
        </is>
      </c>
      <c r="K1" s="1" t="inlineStr">
        <is>
          <t>Q3 2023</t>
        </is>
      </c>
      <c r="L1" s="1" t="inlineStr">
        <is>
          <t>Q4 2023</t>
        </is>
      </c>
      <c r="M1" s="1" t="inlineStr">
        <is>
          <t>Q1 2024</t>
        </is>
      </c>
      <c r="N1" s="1" t="inlineStr">
        <is>
          <t>Q2 2024</t>
        </is>
      </c>
      <c r="O1" s="1" t="inlineStr">
        <is>
          <t>Q3 2024</t>
        </is>
      </c>
      <c r="P1" s="1" t="inlineStr">
        <is>
          <t>Q4 2024</t>
        </is>
      </c>
      <c r="Q1" s="1" t="inlineStr">
        <is>
          <t>Q1 2025</t>
        </is>
      </c>
      <c r="R1" s="1" t="inlineStr">
        <is>
          <t>Q2 2025</t>
        </is>
      </c>
      <c r="S1" s="1" t="inlineStr">
        <is>
          <t>Q3 2025</t>
        </is>
      </c>
      <c r="T1" s="1" t="inlineStr">
        <is>
          <t>Q4 2025</t>
        </is>
      </c>
      <c r="U1" s="1" t="inlineStr">
        <is>
          <t>Q1 2026</t>
        </is>
      </c>
    </row>
    <row r="2">
      <c r="A2" s="1" t="inlineStr">
        <is>
          <t>INCOME STATEMENT</t>
        </is>
      </c>
    </row>
    <row r="3">
      <c r="A3" t="inlineStr">
        <is>
          <t>Revenue</t>
        </is>
      </c>
      <c r="B3" t="n">
        <v>412.797584</v>
      </c>
      <c r="C3" t="n">
        <v>411.075312</v>
      </c>
      <c r="D3" t="n">
        <v>412.60596</v>
      </c>
      <c r="E3" t="n">
        <v>466.661866</v>
      </c>
      <c r="F3" t="n">
        <v>474.582133</v>
      </c>
      <c r="G3" t="n">
        <v>428.413831</v>
      </c>
      <c r="H3" t="n">
        <v>492.835068</v>
      </c>
      <c r="I3" t="n">
        <v>497.037795</v>
      </c>
      <c r="J3" t="n">
        <v>545.227852</v>
      </c>
      <c r="K3" t="n">
        <v>543.795359</v>
      </c>
      <c r="L3" t="n">
        <v>942.2378650000001</v>
      </c>
      <c r="M3" t="n">
        <v>897.97077</v>
      </c>
      <c r="N3" t="n">
        <v>907.661762</v>
      </c>
      <c r="O3" t="n">
        <v>919.336168</v>
      </c>
      <c r="P3" t="n">
        <v>917.3595299999999</v>
      </c>
      <c r="Q3" t="n">
        <v>929</v>
      </c>
      <c r="R3" t="n">
        <v>866</v>
      </c>
      <c r="S3" t="n">
        <v>917</v>
      </c>
      <c r="T3" t="n">
        <v>970.694935</v>
      </c>
      <c r="U3" t="n">
        <v>884</v>
      </c>
    </row>
    <row r="4">
      <c r="A4" t="inlineStr">
        <is>
          <t>Cost of Revenue</t>
        </is>
      </c>
      <c r="B4" t="n">
        <v>140.906867</v>
      </c>
      <c r="C4" t="n">
        <v>135.039233</v>
      </c>
      <c r="D4" t="n">
        <v>103.649806</v>
      </c>
      <c r="E4" t="n">
        <v>135.645748</v>
      </c>
      <c r="F4" t="n">
        <v>129.791773</v>
      </c>
      <c r="G4" t="n">
        <v>114.180778</v>
      </c>
      <c r="H4" t="n">
        <v>156.264777</v>
      </c>
      <c r="I4" t="n">
        <v>147.011179</v>
      </c>
      <c r="J4" t="n">
        <v>151.001765</v>
      </c>
      <c r="K4" t="n">
        <v>144.090966</v>
      </c>
      <c r="L4" t="n">
        <v>345.247462</v>
      </c>
      <c r="M4" t="n">
        <v>337.485688</v>
      </c>
      <c r="N4" t="n">
        <v>328.877444</v>
      </c>
      <c r="O4" t="n">
        <v>341.72693</v>
      </c>
      <c r="P4" t="n">
        <v>360.530069</v>
      </c>
      <c r="Q4" t="n">
        <v>355</v>
      </c>
      <c r="R4" t="n">
        <v>303</v>
      </c>
      <c r="S4" t="n">
        <v>336</v>
      </c>
      <c r="T4" t="n">
        <v>345.226232</v>
      </c>
      <c r="U4" t="n">
        <v>345</v>
      </c>
    </row>
    <row r="5">
      <c r="A5" t="inlineStr">
        <is>
          <t>Gross Profit</t>
        </is>
      </c>
      <c r="B5" t="n">
        <v>271.890716</v>
      </c>
      <c r="C5" t="n">
        <v>276.036079</v>
      </c>
      <c r="D5" t="n">
        <v>308.956154</v>
      </c>
      <c r="E5" t="n">
        <v>331.016117</v>
      </c>
      <c r="F5" t="n">
        <v>344.790359</v>
      </c>
      <c r="G5" t="n">
        <v>314.233052</v>
      </c>
      <c r="H5" t="n">
        <v>336.57029</v>
      </c>
      <c r="I5" t="n">
        <v>350.026616</v>
      </c>
      <c r="J5" t="n">
        <v>394.226086</v>
      </c>
      <c r="K5" t="n">
        <v>399.704392</v>
      </c>
      <c r="L5" t="n">
        <v>596.990403</v>
      </c>
      <c r="M5" t="n">
        <v>560.485081</v>
      </c>
      <c r="N5" t="n">
        <v>578.784318</v>
      </c>
      <c r="O5" t="n">
        <v>577.609237</v>
      </c>
      <c r="P5" t="n">
        <v>556.82946</v>
      </c>
      <c r="Q5" t="n">
        <v>574</v>
      </c>
      <c r="R5" t="n">
        <v>563</v>
      </c>
      <c r="S5" t="n">
        <v>581</v>
      </c>
      <c r="T5" t="n">
        <v>625.468703</v>
      </c>
      <c r="U5" t="n">
        <v>539</v>
      </c>
    </row>
    <row r="6">
      <c r="A6" t="inlineStr">
        <is>
          <t>R&amp;D Expense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SG&amp;A Expense</t>
        </is>
      </c>
      <c r="B7" t="n">
        <v>9.923018000000001</v>
      </c>
      <c r="C7" t="n">
        <v>11.915226</v>
      </c>
      <c r="D7" t="n">
        <v>16.942756</v>
      </c>
      <c r="E7" t="n">
        <v>20.245634</v>
      </c>
      <c r="F7" t="n">
        <v>16.843207</v>
      </c>
      <c r="G7" t="n">
        <v>16.041927</v>
      </c>
      <c r="H7" t="n">
        <v>15.025459</v>
      </c>
      <c r="I7" t="n">
        <v>16.001216</v>
      </c>
      <c r="J7" t="n">
        <v>17.228389</v>
      </c>
      <c r="K7" t="n">
        <v>15.79079</v>
      </c>
      <c r="L7" t="n">
        <v>18.495399</v>
      </c>
      <c r="M7" t="n">
        <v>17.919594</v>
      </c>
      <c r="N7" t="n">
        <v>16.993667</v>
      </c>
      <c r="O7" t="n">
        <v>21.168924</v>
      </c>
      <c r="P7" t="n">
        <v>18.463804</v>
      </c>
      <c r="Q7" t="n">
        <v>19</v>
      </c>
      <c r="R7" t="n">
        <v>20</v>
      </c>
      <c r="S7" t="n">
        <v>20</v>
      </c>
      <c r="T7" t="n">
        <v>21</v>
      </c>
      <c r="U7" t="n">
        <v>21</v>
      </c>
    </row>
    <row r="8">
      <c r="A8" t="inlineStr">
        <is>
          <t>Operating Expenses</t>
        </is>
      </c>
      <c r="B8" t="n">
        <v>9.923018000000001</v>
      </c>
      <c r="C8" t="n">
        <v>11.915226</v>
      </c>
      <c r="D8" t="n">
        <v>16.942756</v>
      </c>
      <c r="E8" t="n">
        <v>20.245634</v>
      </c>
      <c r="F8" t="n">
        <v>16.843207</v>
      </c>
      <c r="G8" t="n">
        <v>16.041927</v>
      </c>
      <c r="H8" t="n">
        <v>15.025459</v>
      </c>
      <c r="I8" t="n">
        <v>16.001216</v>
      </c>
      <c r="J8" t="n">
        <v>17.228389</v>
      </c>
      <c r="K8" t="n">
        <v>15.79079</v>
      </c>
      <c r="L8" t="n">
        <v>18.495399</v>
      </c>
      <c r="M8" t="n">
        <v>17.919594</v>
      </c>
      <c r="N8" t="n">
        <v>16.993667</v>
      </c>
      <c r="O8" t="n">
        <v>21.168924</v>
      </c>
      <c r="P8" t="n">
        <v>18.463804</v>
      </c>
      <c r="Q8" t="n">
        <v>19</v>
      </c>
      <c r="R8" t="n">
        <v>20</v>
      </c>
      <c r="S8" t="n">
        <v>20</v>
      </c>
      <c r="T8" t="n">
        <v>21.322796</v>
      </c>
      <c r="U8" t="n">
        <v>21</v>
      </c>
    </row>
    <row r="9">
      <c r="A9" t="inlineStr">
        <is>
          <t>Operating Income</t>
        </is>
      </c>
      <c r="B9" t="n">
        <v>261.967697</v>
      </c>
      <c r="C9" t="n">
        <v>264.120853</v>
      </c>
      <c r="D9" t="n">
        <v>292.013397</v>
      </c>
      <c r="E9" t="n">
        <v>310.770483</v>
      </c>
      <c r="F9" t="n">
        <v>327.947152</v>
      </c>
      <c r="G9" t="n">
        <v>298.191125</v>
      </c>
      <c r="H9" t="n">
        <v>321.544831</v>
      </c>
      <c r="I9" t="n">
        <v>334.025399</v>
      </c>
      <c r="J9" t="n">
        <v>376.997697</v>
      </c>
      <c r="K9" t="n">
        <v>383.913602</v>
      </c>
      <c r="L9" t="n">
        <v>578.495003</v>
      </c>
      <c r="M9" t="n">
        <v>542.565487</v>
      </c>
      <c r="N9" t="n">
        <v>561.79065</v>
      </c>
      <c r="O9" t="n">
        <v>556.4403119999999</v>
      </c>
      <c r="P9" t="n">
        <v>538.3656559999999</v>
      </c>
      <c r="Q9" t="n">
        <v>555</v>
      </c>
      <c r="R9" t="n">
        <v>543</v>
      </c>
      <c r="S9" t="n">
        <v>561</v>
      </c>
      <c r="T9" t="n">
        <v>604.145906</v>
      </c>
      <c r="U9" t="n">
        <v>518</v>
      </c>
    </row>
    <row r="10">
      <c r="A10" t="inlineStr">
        <is>
          <t>Net Income</t>
        </is>
      </c>
      <c r="B10" t="n">
        <v>-42.668981</v>
      </c>
      <c r="C10" t="n">
        <v>121.138135</v>
      </c>
      <c r="D10" t="n">
        <v>-268.094211</v>
      </c>
      <c r="E10" t="n">
        <v>-377.581075</v>
      </c>
      <c r="F10" t="n">
        <v>666.792851</v>
      </c>
      <c r="G10" t="n">
        <v>216.094201</v>
      </c>
      <c r="H10" t="n">
        <v>565.958971</v>
      </c>
      <c r="I10" t="n">
        <v>-301.02289</v>
      </c>
      <c r="J10" t="n">
        <v>-277.681099</v>
      </c>
      <c r="K10" t="n">
        <v>901.062</v>
      </c>
      <c r="L10" t="n">
        <v>-233.247541</v>
      </c>
      <c r="M10" t="n">
        <v>27.874924</v>
      </c>
      <c r="N10" t="n">
        <v>490.817098</v>
      </c>
      <c r="O10" t="n">
        <v>-984.859031</v>
      </c>
      <c r="P10" t="n">
        <v>-145.766874</v>
      </c>
      <c r="Q10" t="n">
        <v>389</v>
      </c>
      <c r="R10" t="n">
        <v>-477</v>
      </c>
      <c r="S10" t="n">
        <v>82</v>
      </c>
      <c r="T10" t="n">
        <v>-238.612248</v>
      </c>
      <c r="U10" t="n">
        <v>-112</v>
      </c>
    </row>
    <row r="11">
      <c r="A11" t="inlineStr">
        <is>
          <t>Diluted EPS</t>
        </is>
      </c>
      <c r="B11" t="n">
        <v>-0.64</v>
      </c>
      <c r="C11" t="n">
        <v>1.29</v>
      </c>
      <c r="D11" t="n">
        <v>-2.44</v>
      </c>
      <c r="E11" t="n">
        <v>-1.96</v>
      </c>
      <c r="F11" t="n">
        <v>6.09</v>
      </c>
      <c r="G11" t="n">
        <v>3</v>
      </c>
      <c r="H11" t="n">
        <v>5.02</v>
      </c>
      <c r="I11" t="n">
        <v>-1.73</v>
      </c>
      <c r="J11" t="n">
        <v>-2.43</v>
      </c>
      <c r="K11" t="n">
        <v>6.31</v>
      </c>
      <c r="L11" t="n">
        <v>-1.63</v>
      </c>
      <c r="M11" t="n">
        <v>0.21</v>
      </c>
      <c r="N11" t="n">
        <v>3.43</v>
      </c>
      <c r="O11" t="n">
        <v>-6.83</v>
      </c>
      <c r="P11" t="n">
        <v>-1.26</v>
      </c>
      <c r="Q11" t="n">
        <v>3.27</v>
      </c>
      <c r="R11" t="n">
        <v>-4.01</v>
      </c>
      <c r="S11" t="n">
        <v>0.6899999999999999</v>
      </c>
      <c r="T11" t="n">
        <v>-2</v>
      </c>
      <c r="U11" t="n">
        <v>-0.83</v>
      </c>
    </row>
    <row r="12">
      <c r="A12" t="inlineStr">
        <is>
          <t>Diluted Shares (M)</t>
        </is>
      </c>
      <c r="B12" t="n">
        <v>67.423558</v>
      </c>
      <c r="C12" t="n">
        <v>94.602115</v>
      </c>
      <c r="D12" t="n">
        <v>110.156269</v>
      </c>
      <c r="E12" t="n">
        <v>110.340523</v>
      </c>
      <c r="F12" t="n">
        <v>110.468803</v>
      </c>
      <c r="G12" t="n">
        <v>110.513085</v>
      </c>
      <c r="H12" t="n">
        <v>112.67135</v>
      </c>
      <c r="I12" t="n">
        <v>112.708079</v>
      </c>
      <c r="J12" t="n">
        <v>112.787509</v>
      </c>
      <c r="K12" t="n">
        <v>142.917349</v>
      </c>
      <c r="L12" t="n">
        <v>142.989728</v>
      </c>
      <c r="M12" t="n">
        <v>131.872066</v>
      </c>
      <c r="N12" t="n">
        <v>143.108774</v>
      </c>
      <c r="O12" t="n">
        <v>143.121262</v>
      </c>
      <c r="P12" t="n">
        <v>119.071029</v>
      </c>
      <c r="Q12" t="n">
        <v>119.071029</v>
      </c>
      <c r="R12" t="n">
        <v>119.051449</v>
      </c>
      <c r="S12" t="n">
        <v>119.067426</v>
      </c>
      <c r="T12" t="n">
        <v>119.067426</v>
      </c>
      <c r="U12" t="n">
        <v>133.026897</v>
      </c>
    </row>
    <row r="14">
      <c r="A14" s="1" t="inlineStr">
        <is>
          <t>BALANCE SHEET</t>
        </is>
      </c>
    </row>
    <row r="15">
      <c r="A15" t="inlineStr">
        <is>
          <t>Cash &amp; ST Investments</t>
        </is>
      </c>
      <c r="B15" t="n">
        <v>370</v>
      </c>
      <c r="C15" t="n">
        <v>406</v>
      </c>
      <c r="D15" t="n">
        <v>469</v>
      </c>
      <c r="E15" t="n">
        <v>1219</v>
      </c>
      <c r="F15" t="n">
        <v>567</v>
      </c>
      <c r="G15" t="n">
        <v>342</v>
      </c>
      <c r="H15" t="n">
        <v>186.309</v>
      </c>
      <c r="I15" t="n">
        <v>309</v>
      </c>
      <c r="J15" t="n">
        <v>-5083</v>
      </c>
      <c r="K15" t="n">
        <v>340</v>
      </c>
      <c r="L15" t="n">
        <v>574.047894</v>
      </c>
      <c r="M15" t="n">
        <v>355</v>
      </c>
      <c r="N15" t="n">
        <v>509</v>
      </c>
      <c r="O15" t="n">
        <v>278</v>
      </c>
      <c r="P15" t="n">
        <v>742</v>
      </c>
      <c r="Q15" t="n">
        <v>274</v>
      </c>
      <c r="R15" t="n">
        <v>1277</v>
      </c>
      <c r="S15" t="n">
        <v>438</v>
      </c>
      <c r="T15" t="n">
        <v>444</v>
      </c>
      <c r="U15" t="n">
        <v>589</v>
      </c>
    </row>
    <row r="16">
      <c r="A16" t="inlineStr">
        <is>
          <t>Receivables</t>
        </is>
      </c>
      <c r="B16" t="n">
        <v>531</v>
      </c>
      <c r="C16" t="n">
        <v>1107</v>
      </c>
      <c r="D16" t="n">
        <v>1492.976353</v>
      </c>
      <c r="E16" t="n">
        <v>1034</v>
      </c>
      <c r="F16" t="n">
        <v>1043</v>
      </c>
      <c r="G16" t="n">
        <v>1008</v>
      </c>
      <c r="H16" t="n">
        <v>1006.543441</v>
      </c>
      <c r="I16" t="n">
        <v>1281</v>
      </c>
      <c r="J16" t="n">
        <v>1374</v>
      </c>
      <c r="K16" t="n">
        <v>2567</v>
      </c>
      <c r="L16" t="n">
        <v>888</v>
      </c>
      <c r="M16" t="n">
        <v>1826</v>
      </c>
      <c r="N16" t="n">
        <v>2556</v>
      </c>
      <c r="O16" t="n">
        <v>2622</v>
      </c>
      <c r="P16" t="n">
        <v>2032.790136</v>
      </c>
      <c r="Q16" t="n">
        <v>2562</v>
      </c>
      <c r="R16" t="n">
        <v>2343</v>
      </c>
      <c r="S16" t="n">
        <v>2524</v>
      </c>
      <c r="T16" t="n">
        <v>2457</v>
      </c>
      <c r="U16" t="n">
        <v>1691</v>
      </c>
    </row>
    <row r="17">
      <c r="A17" t="inlineStr">
        <is>
          <t>Inventory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-57</v>
      </c>
      <c r="I17" t="n">
        <v>-53</v>
      </c>
      <c r="J17" t="n">
        <v>-2194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Total Current Assets</t>
        </is>
      </c>
      <c r="B18" t="n">
        <v>901</v>
      </c>
      <c r="C18" t="n">
        <v>1513</v>
      </c>
      <c r="D18" t="n">
        <v>2010</v>
      </c>
      <c r="E18" t="n">
        <v>2253</v>
      </c>
      <c r="F18" t="n">
        <v>1610</v>
      </c>
      <c r="G18" t="n">
        <v>1350</v>
      </c>
      <c r="H18" t="n">
        <v>1011</v>
      </c>
      <c r="I18" t="n">
        <v>1070</v>
      </c>
      <c r="J18" t="n">
        <v>-5083</v>
      </c>
      <c r="K18" t="n">
        <v>2907</v>
      </c>
      <c r="L18" t="n">
        <v>2789.653894</v>
      </c>
      <c r="M18" t="n">
        <v>2181</v>
      </c>
      <c r="N18" t="n">
        <v>3065</v>
      </c>
      <c r="O18" t="n">
        <v>2900</v>
      </c>
      <c r="P18" t="n">
        <v>4764</v>
      </c>
      <c r="Q18" t="n">
        <v>2865</v>
      </c>
      <c r="R18" t="n">
        <v>3620</v>
      </c>
      <c r="S18" t="n">
        <v>2962</v>
      </c>
      <c r="T18" t="n">
        <v>2001.351</v>
      </c>
      <c r="U18" t="n">
        <v>2280</v>
      </c>
    </row>
    <row r="19">
      <c r="A19" t="inlineStr">
        <is>
          <t>PP&amp;E (net)</t>
        </is>
      </c>
      <c r="B19" t="n">
        <v>4634</v>
      </c>
      <c r="C19" t="n">
        <v>4581</v>
      </c>
      <c r="D19" t="n">
        <v>4803</v>
      </c>
      <c r="E19" t="n">
        <v>4738</v>
      </c>
      <c r="F19" t="n">
        <v>4467</v>
      </c>
      <c r="G19" t="n">
        <v>4177</v>
      </c>
      <c r="H19" t="n">
        <v>4718</v>
      </c>
      <c r="I19" t="n">
        <v>4908</v>
      </c>
      <c r="J19" t="n">
        <v>5149</v>
      </c>
      <c r="K19" t="n">
        <v>13780</v>
      </c>
      <c r="L19" t="n">
        <v>14078.599238</v>
      </c>
      <c r="M19" t="n">
        <v>14033</v>
      </c>
      <c r="N19" t="n">
        <v>14001</v>
      </c>
      <c r="O19" t="n">
        <v>14643</v>
      </c>
      <c r="P19" t="n">
        <v>12572</v>
      </c>
      <c r="Q19" t="n">
        <v>12718</v>
      </c>
      <c r="R19" t="n">
        <v>13218</v>
      </c>
      <c r="S19" t="n">
        <v>13990</v>
      </c>
      <c r="T19" t="n">
        <v>14172.162</v>
      </c>
      <c r="U19" t="n">
        <v>14110</v>
      </c>
    </row>
    <row r="20">
      <c r="A20" t="inlineStr">
        <is>
          <t>Goodwill</t>
        </is>
      </c>
      <c r="B20" t="n">
        <v>542</v>
      </c>
      <c r="C20" t="n">
        <v>500</v>
      </c>
      <c r="D20" t="n">
        <v>489</v>
      </c>
      <c r="E20" t="n">
        <v>570</v>
      </c>
      <c r="F20" t="n">
        <v>516</v>
      </c>
      <c r="G20" t="n">
        <v>498</v>
      </c>
      <c r="H20" t="n">
        <v>518</v>
      </c>
      <c r="I20" t="n">
        <v>538</v>
      </c>
      <c r="J20" t="n">
        <v>566</v>
      </c>
      <c r="K20" t="n">
        <v>1737</v>
      </c>
      <c r="L20" t="n">
        <v>1717.169266</v>
      </c>
      <c r="M20" t="n">
        <v>1710</v>
      </c>
      <c r="N20" t="n">
        <v>1658</v>
      </c>
      <c r="O20" t="n">
        <v>1670</v>
      </c>
      <c r="P20" t="n">
        <v>1609</v>
      </c>
      <c r="Q20" t="n">
        <v>1644</v>
      </c>
      <c r="R20" t="n">
        <v>1670</v>
      </c>
      <c r="S20" t="n">
        <v>1704</v>
      </c>
      <c r="T20" t="n">
        <v>1680</v>
      </c>
      <c r="U20" t="n">
        <v>1704</v>
      </c>
    </row>
    <row r="21">
      <c r="A21" t="inlineStr">
        <is>
          <t>Total Assets</t>
        </is>
      </c>
      <c r="B21" t="n">
        <v>9176</v>
      </c>
      <c r="C21" t="n">
        <v>9437</v>
      </c>
      <c r="D21" t="n">
        <v>10086</v>
      </c>
      <c r="E21" t="n">
        <v>11363</v>
      </c>
      <c r="F21" t="n">
        <v>10034</v>
      </c>
      <c r="G21" t="n">
        <v>9239</v>
      </c>
      <c r="H21" t="n">
        <v>10178</v>
      </c>
      <c r="I21" t="n">
        <v>10460</v>
      </c>
      <c r="J21" t="n">
        <v>10973</v>
      </c>
      <c r="K21" t="n">
        <v>23614</v>
      </c>
      <c r="L21" t="n">
        <v>23786.674383</v>
      </c>
      <c r="M21" t="n">
        <v>23904</v>
      </c>
      <c r="N21" t="n">
        <v>23657</v>
      </c>
      <c r="O21" t="n">
        <v>24131</v>
      </c>
      <c r="P21" t="n">
        <v>23587</v>
      </c>
      <c r="Q21" t="n">
        <v>22570</v>
      </c>
      <c r="R21" t="n">
        <v>23910</v>
      </c>
      <c r="S21" t="n">
        <v>23994</v>
      </c>
      <c r="T21" t="n">
        <v>23981.278</v>
      </c>
      <c r="U21" t="n">
        <v>24213</v>
      </c>
    </row>
    <row r="22">
      <c r="A22" t="inlineStr">
        <is>
          <t>Total Current Liabilities</t>
        </is>
      </c>
      <c r="B22" t="n">
        <v>3988</v>
      </c>
      <c r="C22" t="n">
        <v>5336</v>
      </c>
      <c r="D22" t="n">
        <v>5071</v>
      </c>
      <c r="E22" t="n">
        <v>6686</v>
      </c>
      <c r="F22" t="n">
        <v>6308</v>
      </c>
      <c r="G22" t="n">
        <v>5645</v>
      </c>
      <c r="H22" t="n">
        <v>4233</v>
      </c>
      <c r="I22" t="n">
        <v>4388</v>
      </c>
      <c r="J22" t="n">
        <v>5140</v>
      </c>
      <c r="K22" t="n">
        <v>6590</v>
      </c>
      <c r="L22" t="n">
        <v>6326.465448</v>
      </c>
      <c r="M22" t="n">
        <v>5031</v>
      </c>
      <c r="N22" t="n">
        <v>5200</v>
      </c>
      <c r="O22" t="n">
        <v>6738</v>
      </c>
      <c r="P22" t="n">
        <v>7648</v>
      </c>
      <c r="Q22" t="n">
        <v>5948</v>
      </c>
      <c r="R22" t="n">
        <v>7313</v>
      </c>
      <c r="S22" t="n">
        <v>7151</v>
      </c>
      <c r="T22" t="n">
        <v>7668</v>
      </c>
      <c r="U22" t="n">
        <v>14500</v>
      </c>
    </row>
    <row r="23">
      <c r="A23" t="inlineStr">
        <is>
          <t>Long-term Debt</t>
        </is>
      </c>
      <c r="B23" t="n">
        <v>4553</v>
      </c>
      <c r="C23" t="n">
        <v>3577</v>
      </c>
      <c r="D23" t="n">
        <v>3687</v>
      </c>
      <c r="E23" t="n">
        <v>4335</v>
      </c>
      <c r="F23" t="n">
        <v>3158</v>
      </c>
      <c r="G23" t="n">
        <v>3240</v>
      </c>
      <c r="H23" t="n">
        <v>4577</v>
      </c>
      <c r="I23" t="n">
        <v>4965</v>
      </c>
      <c r="J23" t="n">
        <v>4810</v>
      </c>
      <c r="K23" t="n">
        <v>10709</v>
      </c>
      <c r="L23" t="n">
        <v>11022</v>
      </c>
      <c r="M23" t="n">
        <v>13498</v>
      </c>
      <c r="N23" t="n">
        <v>12621</v>
      </c>
      <c r="O23" t="n">
        <v>12542</v>
      </c>
      <c r="P23" t="n">
        <v>11504.153026</v>
      </c>
      <c r="Q23" t="n">
        <v>11554</v>
      </c>
      <c r="R23" t="n">
        <v>12049</v>
      </c>
      <c r="S23" t="n">
        <v>12296</v>
      </c>
      <c r="T23" t="n">
        <v>11955</v>
      </c>
      <c r="U23" t="n">
        <v>0</v>
      </c>
    </row>
    <row r="24">
      <c r="A24" t="inlineStr">
        <is>
          <t>Total Equity</t>
        </is>
      </c>
      <c r="B24" t="n">
        <v>-1983</v>
      </c>
      <c r="C24" t="n">
        <v>-1932</v>
      </c>
      <c r="D24" t="n">
        <v>-2127</v>
      </c>
      <c r="E24" t="n">
        <v>-2470</v>
      </c>
      <c r="F24" t="n">
        <v>-1963</v>
      </c>
      <c r="G24" t="n">
        <v>-1867</v>
      </c>
      <c r="H24" t="n">
        <v>-1119</v>
      </c>
      <c r="I24" t="n">
        <v>-1411</v>
      </c>
      <c r="J24" t="n">
        <v>-1630</v>
      </c>
      <c r="K24" t="n">
        <v>-315</v>
      </c>
      <c r="L24" t="n">
        <v>-396.958596</v>
      </c>
      <c r="M24" t="n">
        <v>-379</v>
      </c>
      <c r="N24" t="n">
        <v>149</v>
      </c>
      <c r="O24" t="n">
        <v>-764</v>
      </c>
      <c r="P24" t="n">
        <v>-1253</v>
      </c>
      <c r="Q24" t="n">
        <v>-840</v>
      </c>
      <c r="R24" t="n">
        <v>-1238</v>
      </c>
      <c r="S24" t="n">
        <v>-1200</v>
      </c>
      <c r="T24" t="n">
        <v>-1296.636</v>
      </c>
      <c r="U24" t="n">
        <v>-1460</v>
      </c>
    </row>
    <row r="26">
      <c r="A26" s="1" t="inlineStr">
        <is>
          <t>CASH FLOW</t>
        </is>
      </c>
    </row>
    <row r="27">
      <c r="A27" t="inlineStr">
        <is>
          <t>Net Income (CF)</t>
        </is>
      </c>
      <c r="B27" t="n">
        <v>65</v>
      </c>
      <c r="C27" t="n">
        <v>213</v>
      </c>
      <c r="D27" t="n">
        <v>-165</v>
      </c>
      <c r="E27" t="n">
        <v>-216</v>
      </c>
      <c r="F27" t="n">
        <v>842</v>
      </c>
      <c r="G27" t="n">
        <v>331</v>
      </c>
      <c r="H27" t="n">
        <v>662</v>
      </c>
      <c r="I27" t="n">
        <v>-195</v>
      </c>
      <c r="J27" t="n">
        <v>-154</v>
      </c>
      <c r="K27" t="n">
        <v>1009</v>
      </c>
      <c r="L27" t="n">
        <v>-233.273923</v>
      </c>
      <c r="M27" t="n">
        <v>27.874924</v>
      </c>
      <c r="N27" t="n">
        <v>490.898738</v>
      </c>
      <c r="O27" t="n">
        <v>-808</v>
      </c>
      <c r="P27" t="n">
        <v>-150</v>
      </c>
      <c r="Q27" t="n">
        <v>387.824632</v>
      </c>
      <c r="R27" t="n">
        <v>-309</v>
      </c>
      <c r="S27" t="n">
        <v>320</v>
      </c>
      <c r="T27" t="n">
        <v>-238.612248</v>
      </c>
      <c r="U27" t="n">
        <v>-110.448606</v>
      </c>
    </row>
    <row r="28">
      <c r="A28" t="inlineStr">
        <is>
          <t>D&amp;A</t>
        </is>
      </c>
      <c r="B28" t="n">
        <v>70</v>
      </c>
      <c r="C28" t="n">
        <v>65</v>
      </c>
      <c r="D28" t="n">
        <v>26</v>
      </c>
      <c r="E28" t="n">
        <v>54</v>
      </c>
      <c r="F28" t="n">
        <v>54</v>
      </c>
      <c r="G28" t="n">
        <v>51</v>
      </c>
      <c r="H28" t="n">
        <v>52</v>
      </c>
      <c r="I28" t="n">
        <v>55</v>
      </c>
      <c r="J28" t="n">
        <v>57</v>
      </c>
      <c r="K28" t="n">
        <v>59</v>
      </c>
      <c r="L28" t="n">
        <v>199.361855</v>
      </c>
      <c r="M28" t="n">
        <v>194.128935</v>
      </c>
      <c r="N28" t="n">
        <v>190.960609</v>
      </c>
      <c r="O28" t="n">
        <v>194</v>
      </c>
      <c r="P28" t="n">
        <v>195</v>
      </c>
      <c r="Q28" t="n">
        <v>194.410805</v>
      </c>
      <c r="R28" t="n">
        <v>153</v>
      </c>
      <c r="S28" t="n">
        <v>167</v>
      </c>
      <c r="T28" t="n">
        <v>155.351804</v>
      </c>
      <c r="U28" t="n">
        <v>156.797574</v>
      </c>
    </row>
    <row r="29">
      <c r="A29" t="inlineStr">
        <is>
          <t>Stock-based Compensation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Change in Working Capital</t>
        </is>
      </c>
      <c r="B30" t="n">
        <v>16</v>
      </c>
      <c r="C30" t="n">
        <v>52</v>
      </c>
      <c r="D30" t="n">
        <v>44</v>
      </c>
      <c r="E30" t="n">
        <v>-65</v>
      </c>
      <c r="F30" t="n">
        <v>60</v>
      </c>
      <c r="G30" t="n">
        <v>19</v>
      </c>
      <c r="H30" t="n">
        <v>159</v>
      </c>
      <c r="I30" t="n">
        <v>-181</v>
      </c>
      <c r="J30" t="n">
        <v>65</v>
      </c>
      <c r="K30" t="n">
        <v>-20</v>
      </c>
      <c r="L30" t="n">
        <v>144.318183</v>
      </c>
      <c r="M30" t="n">
        <v>-119.46396</v>
      </c>
      <c r="N30" t="n">
        <v>134.13372</v>
      </c>
      <c r="O30" t="n">
        <v>56.231373</v>
      </c>
      <c r="P30" t="n">
        <v>34</v>
      </c>
      <c r="Q30" t="n">
        <v>-125.619289</v>
      </c>
      <c r="R30" t="n">
        <v>134</v>
      </c>
      <c r="S30" t="n">
        <v>46</v>
      </c>
      <c r="T30" t="n">
        <v>102.736881</v>
      </c>
      <c r="U30" t="n">
        <v>-159.756019</v>
      </c>
    </row>
    <row r="31">
      <c r="A31" t="inlineStr">
        <is>
          <t>Operating Cash Flow</t>
        </is>
      </c>
      <c r="B31" t="n">
        <v>235</v>
      </c>
      <c r="C31" t="n">
        <v>260</v>
      </c>
      <c r="D31" t="n">
        <v>220</v>
      </c>
      <c r="E31" t="n">
        <v>123</v>
      </c>
      <c r="F31" t="n">
        <v>232</v>
      </c>
      <c r="G31" t="n">
        <v>214</v>
      </c>
      <c r="H31" t="n">
        <v>324</v>
      </c>
      <c r="I31" t="n">
        <v>-10</v>
      </c>
      <c r="J31" t="n">
        <v>-89</v>
      </c>
      <c r="K31" t="n">
        <v>194</v>
      </c>
      <c r="L31" t="n">
        <v>622.13066</v>
      </c>
      <c r="M31" t="n">
        <v>276.758175</v>
      </c>
      <c r="N31" t="n">
        <v>509.308509</v>
      </c>
      <c r="O31" t="n">
        <v>464</v>
      </c>
      <c r="P31" t="n">
        <v>490</v>
      </c>
      <c r="Q31" t="n">
        <v>242.265773</v>
      </c>
      <c r="R31" t="n">
        <v>478</v>
      </c>
      <c r="S31" t="n">
        <v>389</v>
      </c>
      <c r="T31" t="n">
        <v>506.07688</v>
      </c>
      <c r="U31" t="n">
        <v>180.465133</v>
      </c>
    </row>
    <row r="32">
      <c r="A32" t="inlineStr">
        <is>
          <t>Capex</t>
        </is>
      </c>
      <c r="B32" t="n">
        <v>-101</v>
      </c>
      <c r="C32" t="n">
        <v>-109</v>
      </c>
      <c r="D32" t="n">
        <v>-110</v>
      </c>
      <c r="E32" t="n">
        <v>-113</v>
      </c>
      <c r="F32" t="n">
        <v>-140</v>
      </c>
      <c r="G32" t="n">
        <v>-122</v>
      </c>
      <c r="H32" t="n">
        <v>-146</v>
      </c>
      <c r="I32" t="n">
        <v>-125</v>
      </c>
      <c r="J32" t="n">
        <v>-134</v>
      </c>
      <c r="K32" t="n">
        <v>-122</v>
      </c>
      <c r="L32" t="n">
        <v>-217.707186</v>
      </c>
      <c r="M32" t="n">
        <v>-96.56670099999999</v>
      </c>
      <c r="N32" t="n">
        <v>-401.328424</v>
      </c>
      <c r="O32" t="n">
        <v>-425</v>
      </c>
      <c r="P32" t="n">
        <v>-87</v>
      </c>
      <c r="Q32" t="n">
        <v>-134.592096</v>
      </c>
      <c r="R32" t="n">
        <v>-209</v>
      </c>
      <c r="S32" t="n">
        <v>-1055.485703</v>
      </c>
      <c r="T32" t="n">
        <v>5.89468</v>
      </c>
      <c r="U32" t="n">
        <v>-131.157718</v>
      </c>
    </row>
    <row r="33">
      <c r="A33" t="inlineStr">
        <is>
          <t>Free Cash Flow</t>
        </is>
      </c>
      <c r="B33" t="n">
        <v>134</v>
      </c>
      <c r="C33" t="n">
        <v>151</v>
      </c>
      <c r="D33" t="n">
        <v>110</v>
      </c>
      <c r="E33" t="n">
        <v>10</v>
      </c>
      <c r="F33" t="n">
        <v>92</v>
      </c>
      <c r="G33" t="n">
        <v>92</v>
      </c>
      <c r="H33" t="n">
        <v>178</v>
      </c>
      <c r="I33" t="n">
        <v>-135</v>
      </c>
      <c r="J33" t="n">
        <v>-223</v>
      </c>
      <c r="K33" t="n">
        <v>72</v>
      </c>
      <c r="L33" t="n">
        <v>404.423474</v>
      </c>
      <c r="M33" t="n">
        <v>180.191474</v>
      </c>
      <c r="N33" t="n">
        <v>107.980085</v>
      </c>
      <c r="O33" t="n">
        <v>39</v>
      </c>
      <c r="P33" t="n">
        <v>403</v>
      </c>
      <c r="Q33" t="n">
        <v>107.673677</v>
      </c>
      <c r="R33" t="n">
        <v>269</v>
      </c>
      <c r="S33" t="n">
        <v>-666.4857029999999</v>
      </c>
      <c r="T33" t="n">
        <v>511.971561</v>
      </c>
      <c r="U33" t="n">
        <v>49.307415</v>
      </c>
    </row>
    <row r="34">
      <c r="A34" t="inlineStr">
        <is>
          <t>Net Stock Issuance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6</v>
      </c>
      <c r="J34" t="n">
        <v>0</v>
      </c>
      <c r="K34" t="n">
        <v>0</v>
      </c>
      <c r="L34" t="n">
        <v>0</v>
      </c>
      <c r="M34" t="n">
        <v>3</v>
      </c>
      <c r="N34" t="n">
        <v>0</v>
      </c>
      <c r="O34" t="n">
        <v>0</v>
      </c>
      <c r="P34" t="n">
        <v>0.951986</v>
      </c>
      <c r="Q34" t="n">
        <v>0</v>
      </c>
      <c r="R34" t="n">
        <v>0</v>
      </c>
      <c r="S34" t="n">
        <v>3</v>
      </c>
      <c r="T34" t="n">
        <v>0</v>
      </c>
      <c r="U34" t="n">
        <v>137.074609</v>
      </c>
    </row>
    <row r="35">
      <c r="A35" t="inlineStr">
        <is>
          <t>Dividends Paid</t>
        </is>
      </c>
      <c r="B35" t="n">
        <v>0</v>
      </c>
      <c r="C35" t="n">
        <v>0</v>
      </c>
      <c r="D35" t="n">
        <v>0</v>
      </c>
      <c r="E35" t="n">
        <v>-357</v>
      </c>
      <c r="F35" t="n">
        <v>0</v>
      </c>
      <c r="G35" t="n">
        <v>0</v>
      </c>
      <c r="H35" t="n">
        <v>0</v>
      </c>
      <c r="I35" t="n">
        <v>-376</v>
      </c>
      <c r="J35" t="n">
        <v>0</v>
      </c>
      <c r="K35" t="n">
        <v>0</v>
      </c>
      <c r="L35" t="n">
        <v>0</v>
      </c>
      <c r="M35" t="n">
        <v>-411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-435</v>
      </c>
      <c r="T35" t="n">
        <v>0</v>
      </c>
      <c r="U35" t="n">
        <v>0</v>
      </c>
    </row>
    <row r="36">
      <c r="A36" t="inlineStr">
        <is>
          <t>Net Change in Cash</t>
        </is>
      </c>
      <c r="B36" t="n">
        <v>246</v>
      </c>
      <c r="C36" t="n">
        <v>36</v>
      </c>
      <c r="D36" t="n">
        <v>63</v>
      </c>
      <c r="E36" t="n">
        <v>750</v>
      </c>
      <c r="F36" t="n">
        <v>-707</v>
      </c>
      <c r="G36" t="n">
        <v>-247</v>
      </c>
      <c r="H36" t="n">
        <v>180</v>
      </c>
      <c r="I36" t="n">
        <v>-136</v>
      </c>
      <c r="J36" t="n">
        <v>-699</v>
      </c>
      <c r="K36" t="n">
        <v>-115</v>
      </c>
      <c r="L36" t="n">
        <v>296.397379</v>
      </c>
      <c r="M36" t="n">
        <v>-181.608266</v>
      </c>
      <c r="N36" t="n">
        <v>111.29761</v>
      </c>
      <c r="O36" t="n">
        <v>-221.318857</v>
      </c>
      <c r="P36" t="n">
        <v>429</v>
      </c>
      <c r="Q36" t="n">
        <v>-399.585811</v>
      </c>
      <c r="R36" t="n">
        <v>943</v>
      </c>
      <c r="S36" t="n">
        <v>-837</v>
      </c>
      <c r="T36" t="n">
        <v>50.586068</v>
      </c>
      <c r="U36" t="n">
        <v>160.721462</v>
      </c>
    </row>
    <row r="38">
      <c r="A38" s="2" t="inlineStr">
        <is>
          <t>Units: USD millions except per-share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FORECAST INPUTS - edit the yellow cells</t>
        </is>
      </c>
    </row>
    <row r="2">
      <c r="A2" s="3" t="inlineStr">
        <is>
          <t>(yellow = user-editable; one column per forecast year; refresh preserves your edits)</t>
        </is>
      </c>
    </row>
    <row r="3">
      <c r="A3" t="inlineStr">
        <is>
          <t>Base Revenue (TTM, $M)</t>
        </is>
      </c>
      <c r="B3" s="4" t="n">
        <v>3637.69</v>
      </c>
    </row>
    <row r="4">
      <c r="A4" t="inlineStr">
        <is>
          <t>Diluted Shares (M)</t>
        </is>
      </c>
      <c r="B4" s="4" t="n">
        <v>133.03</v>
      </c>
    </row>
    <row r="5">
      <c r="A5" t="inlineStr">
        <is>
          <t>Terminal FCF Multiple</t>
        </is>
      </c>
      <c r="B5" s="4" t="n">
        <v>15</v>
      </c>
    </row>
    <row r="6">
      <c r="A6" t="inlineStr">
        <is>
          <t>Forecast Years</t>
        </is>
      </c>
      <c r="B6" s="5" t="n">
        <v>5</v>
      </c>
    </row>
    <row r="8">
      <c r="A8" s="1" t="inlineStr">
        <is>
          <t>ASSUMPTIONS (per forecast year)</t>
        </is>
      </c>
      <c r="B8" s="1" t="inlineStr">
        <is>
          <t>TTM</t>
        </is>
      </c>
      <c r="C8" s="1" t="inlineStr">
        <is>
          <t>FY1</t>
        </is>
      </c>
      <c r="D8" s="1" t="inlineStr">
        <is>
          <t>FY2</t>
        </is>
      </c>
      <c r="E8" s="1" t="inlineStr">
        <is>
          <t>FY3</t>
        </is>
      </c>
      <c r="F8" s="1" t="inlineStr">
        <is>
          <t>FY4</t>
        </is>
      </c>
      <c r="G8" s="1" t="inlineStr">
        <is>
          <t>FY5</t>
        </is>
      </c>
    </row>
    <row r="9">
      <c r="A9" t="inlineStr">
        <is>
          <t>Revenue Growth %</t>
        </is>
      </c>
      <c r="C9" s="6" t="n">
        <v>-0.0097</v>
      </c>
      <c r="D9" s="6" t="n">
        <v>-0.001</v>
      </c>
      <c r="E9" s="6" t="n">
        <v>0.0076</v>
      </c>
      <c r="F9" s="6" t="n">
        <v>0.0163</v>
      </c>
      <c r="G9" s="6" t="n">
        <v>0.025</v>
      </c>
    </row>
    <row r="10">
      <c r="A10" t="inlineStr">
        <is>
          <t>Gross Margin %</t>
        </is>
      </c>
      <c r="C10" s="6" t="n">
        <v>0.6346000000000001</v>
      </c>
      <c r="D10" s="6" t="n">
        <v>0.6346000000000001</v>
      </c>
      <c r="E10" s="6" t="n">
        <v>0.6346000000000001</v>
      </c>
      <c r="F10" s="6" t="n">
        <v>0.6346000000000001</v>
      </c>
      <c r="G10" s="6" t="n">
        <v>0.6346000000000001</v>
      </c>
    </row>
    <row r="11">
      <c r="A11" t="inlineStr">
        <is>
          <t>R&amp;D % of Revenue</t>
        </is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</row>
    <row r="12">
      <c r="A12" t="inlineStr">
        <is>
          <t>SG&amp;A % of Revenue</t>
        </is>
      </c>
      <c r="C12" s="6" t="n">
        <v>0.0225</v>
      </c>
      <c r="D12" s="6" t="n">
        <v>0.0225</v>
      </c>
      <c r="E12" s="6" t="n">
        <v>0.0225</v>
      </c>
      <c r="F12" s="6" t="n">
        <v>0.0225</v>
      </c>
      <c r="G12" s="6" t="n">
        <v>0.0225</v>
      </c>
    </row>
    <row r="13">
      <c r="A13" t="inlineStr">
        <is>
          <t>SBC % of Revenue</t>
        </is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</row>
    <row r="14">
      <c r="A14" t="inlineStr">
        <is>
          <t>D&amp;A % of Revenue</t>
        </is>
      </c>
      <c r="C14" s="6" t="n">
        <v>0.1738</v>
      </c>
      <c r="D14" s="6" t="n">
        <v>0.1738</v>
      </c>
      <c r="E14" s="6" t="n">
        <v>0.1738</v>
      </c>
      <c r="F14" s="6" t="n">
        <v>0.1738</v>
      </c>
      <c r="G14" s="6" t="n">
        <v>0.1738</v>
      </c>
    </row>
    <row r="15">
      <c r="A15" t="inlineStr">
        <is>
          <t>Capex / D&amp;A (x)</t>
        </is>
      </c>
      <c r="C15" s="7" t="n">
        <v>2.2</v>
      </c>
      <c r="D15" s="7" t="n">
        <v>2.2</v>
      </c>
      <c r="E15" s="7" t="n">
        <v>2.2</v>
      </c>
      <c r="F15" s="7" t="n">
        <v>2.2</v>
      </c>
      <c r="G15" s="7" t="n">
        <v>2.2</v>
      </c>
    </row>
    <row r="16">
      <c r="A16" t="inlineStr">
        <is>
          <t>DSO (days)</t>
        </is>
      </c>
      <c r="C16" s="5" t="n">
        <v>169.7</v>
      </c>
      <c r="D16" s="5" t="n">
        <v>169.7</v>
      </c>
      <c r="E16" s="5" t="n">
        <v>169.7</v>
      </c>
      <c r="F16" s="5" t="n">
        <v>169.7</v>
      </c>
      <c r="G16" s="5" t="n">
        <v>169.7</v>
      </c>
    </row>
    <row r="17">
      <c r="A17" t="inlineStr">
        <is>
          <t>DPO (days)</t>
        </is>
      </c>
      <c r="C17" s="5" t="n">
        <v>290.5</v>
      </c>
      <c r="D17" s="5" t="n">
        <v>290.5</v>
      </c>
      <c r="E17" s="5" t="n">
        <v>290.5</v>
      </c>
      <c r="F17" s="5" t="n">
        <v>290.5</v>
      </c>
      <c r="G17" s="5" t="n">
        <v>290.5</v>
      </c>
    </row>
    <row r="18">
      <c r="A18" t="inlineStr">
        <is>
          <t>Deferred Rev % of Revenue</t>
        </is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</row>
    <row r="19">
      <c r="A19" t="inlineStr">
        <is>
          <t>Tax Rate %</t>
        </is>
      </c>
      <c r="C19" s="6" t="n">
        <v>0.35</v>
      </c>
      <c r="D19" s="6" t="n">
        <v>0.35</v>
      </c>
      <c r="E19" s="6" t="n">
        <v>0.35</v>
      </c>
      <c r="F19" s="6" t="n">
        <v>0.35</v>
      </c>
      <c r="G19" s="6" t="n">
        <v>0.35</v>
      </c>
    </row>
    <row r="20">
      <c r="A20" t="inlineStr">
        <is>
          <t>Net Share Change %/yr</t>
        </is>
      </c>
      <c r="C20" s="6" t="n">
        <v>0.1172</v>
      </c>
      <c r="D20" s="6" t="n">
        <v>0.1172</v>
      </c>
      <c r="E20" s="6" t="n">
        <v>0.1172</v>
      </c>
      <c r="F20" s="6" t="n">
        <v>0.1172</v>
      </c>
      <c r="G20" s="6" t="n">
        <v>0.1172</v>
      </c>
    </row>
    <row r="22">
      <c r="A22" s="1" t="inlineStr">
        <is>
          <t>PROJECTED - program-owned, recomputed each refresh from the inputs above</t>
        </is>
      </c>
    </row>
    <row r="23">
      <c r="A23" s="1" t="inlineStr">
        <is>
          <t>Year</t>
        </is>
      </c>
      <c r="C23" s="1" t="n">
        <v>2027</v>
      </c>
      <c r="D23" s="1" t="n">
        <v>2028</v>
      </c>
      <c r="E23" s="1" t="n">
        <v>2029</v>
      </c>
      <c r="F23" s="1" t="n">
        <v>2030</v>
      </c>
      <c r="G23" s="1" t="n">
        <v>2031</v>
      </c>
    </row>
    <row r="24">
      <c r="A24" t="inlineStr">
        <is>
          <t>Revenue ($M)</t>
        </is>
      </c>
      <c r="C24" s="8" t="n">
        <v>3602.404407</v>
      </c>
      <c r="D24" s="8" t="n">
        <v>3598.802002593</v>
      </c>
      <c r="E24" s="8" t="n">
        <v>3626.152897812707</v>
      </c>
      <c r="F24" s="8" t="n">
        <v>3685.259190047054</v>
      </c>
      <c r="G24" s="8" t="n">
        <v>3777.39066979823</v>
      </c>
    </row>
    <row r="25">
      <c r="A25" t="inlineStr">
        <is>
          <t>Gross Profit ($M)</t>
        </is>
      </c>
      <c r="C25" s="8" t="n">
        <v>2286.0858366822</v>
      </c>
      <c r="D25" s="8" t="n">
        <v>2283.799750845518</v>
      </c>
      <c r="E25" s="8" t="n">
        <v>2301.156628951944</v>
      </c>
      <c r="F25" s="8" t="n">
        <v>2338.665482003861</v>
      </c>
      <c r="G25" s="8" t="n">
        <v>2397.132119053957</v>
      </c>
    </row>
    <row r="26">
      <c r="A26" t="inlineStr">
        <is>
          <t>R&amp;D ($M)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</row>
    <row r="27">
      <c r="A27" t="inlineStr">
        <is>
          <t>SG&amp;A ($M)</t>
        </is>
      </c>
      <c r="C27" s="8" t="n">
        <v>81.05409915749999</v>
      </c>
      <c r="D27" s="8" t="n">
        <v>80.97304505834249</v>
      </c>
      <c r="E27" s="8" t="n">
        <v>81.58844020078591</v>
      </c>
      <c r="F27" s="8" t="n">
        <v>82.91833177605872</v>
      </c>
      <c r="G27" s="8" t="n">
        <v>84.99129007046018</v>
      </c>
    </row>
    <row r="28">
      <c r="A28" t="inlineStr">
        <is>
          <t>Operating Income ($M)</t>
        </is>
      </c>
      <c r="C28" s="8" t="n">
        <v>2205.0317375247</v>
      </c>
      <c r="D28" s="8" t="n">
        <v>2202.826705787175</v>
      </c>
      <c r="E28" s="8" t="n">
        <v>2219.568188751158</v>
      </c>
      <c r="F28" s="8" t="n">
        <v>2255.747150227802</v>
      </c>
      <c r="G28" s="8" t="n">
        <v>2312.140828983497</v>
      </c>
    </row>
    <row r="29">
      <c r="A29" t="inlineStr">
        <is>
          <t>Operating Margin %</t>
        </is>
      </c>
      <c r="C29" s="9" t="n">
        <v>0.6121000000000001</v>
      </c>
      <c r="D29" s="9" t="n">
        <v>0.6121</v>
      </c>
      <c r="E29" s="9" t="n">
        <v>0.6121000000000001</v>
      </c>
      <c r="F29" s="9" t="n">
        <v>0.6121000000000001</v>
      </c>
      <c r="G29" s="9" t="n">
        <v>0.6121</v>
      </c>
    </row>
    <row r="30">
      <c r="A30" t="inlineStr">
        <is>
          <t>NOPAT ($M)</t>
        </is>
      </c>
      <c r="C30" s="8" t="n">
        <v>1433.270629391055</v>
      </c>
      <c r="D30" s="8" t="n">
        <v>1431.837358761664</v>
      </c>
      <c r="E30" s="8" t="n">
        <v>1442.719322688253</v>
      </c>
      <c r="F30" s="8" t="n">
        <v>1466.235647648072</v>
      </c>
      <c r="G30" s="8" t="n">
        <v>1502.891538839273</v>
      </c>
    </row>
    <row r="31">
      <c r="A31" t="inlineStr">
        <is>
          <t>+ D&amp;A ($M)</t>
        </is>
      </c>
      <c r="C31" s="8" t="n">
        <v>626.0978859366001</v>
      </c>
      <c r="D31" s="8" t="n">
        <v>625.4717880506635</v>
      </c>
      <c r="E31" s="8" t="n">
        <v>630.2253736398485</v>
      </c>
      <c r="F31" s="8" t="n">
        <v>640.498047230178</v>
      </c>
      <c r="G31" s="8" t="n">
        <v>656.5104984109324</v>
      </c>
    </row>
    <row r="32">
      <c r="A32" t="inlineStr">
        <is>
          <t>+ SBC ($M, non-cash)</t>
        </is>
      </c>
      <c r="C32" s="8" t="n">
        <v>0</v>
      </c>
      <c r="D32" s="8" t="n">
        <v>0</v>
      </c>
      <c r="E32" s="8" t="n">
        <v>0</v>
      </c>
      <c r="F32" s="8" t="n">
        <v>0</v>
      </c>
      <c r="G32" s="8" t="n">
        <v>0</v>
      </c>
    </row>
    <row r="33">
      <c r="A33" t="inlineStr">
        <is>
          <t>- Chg in NWC ($M)</t>
        </is>
      </c>
      <c r="C33" s="8" t="n">
        <v>-6.14368577101618</v>
      </c>
      <c r="D33" s="8" t="n">
        <v>-0.6272259813440542</v>
      </c>
      <c r="E33" s="8" t="n">
        <v>4.762150540756465</v>
      </c>
      <c r="F33" s="8" t="n">
        <v>10.29118276622671</v>
      </c>
      <c r="G33" s="8" t="n">
        <v>16.04130221674222</v>
      </c>
    </row>
    <row r="34">
      <c r="A34">
        <f> CFO ($M)</f>
        <v/>
      </c>
      <c r="C34" s="8" t="n">
        <v>2065.512201098672</v>
      </c>
      <c r="D34" s="8" t="n">
        <v>2057.936372793672</v>
      </c>
      <c r="E34" s="8" t="n">
        <v>2068.182545787345</v>
      </c>
      <c r="F34" s="8" t="n">
        <v>2096.442512112023</v>
      </c>
      <c r="G34" s="8" t="n">
        <v>2143.360735033463</v>
      </c>
    </row>
    <row r="35">
      <c r="A35" t="inlineStr">
        <is>
          <t>- Capex ($M)</t>
        </is>
      </c>
      <c r="C35" s="8" t="n">
        <v>1377.41534906052</v>
      </c>
      <c r="D35" s="8" t="n">
        <v>1376.03793371146</v>
      </c>
      <c r="E35" s="8" t="n">
        <v>1386.495822007667</v>
      </c>
      <c r="F35" s="8" t="n">
        <v>1409.095703906392</v>
      </c>
      <c r="G35" s="8" t="n">
        <v>1444.323096504051</v>
      </c>
    </row>
    <row r="36">
      <c r="A36">
        <f> FCFF ($M)</f>
        <v/>
      </c>
      <c r="C36" s="8" t="n">
        <v>688.0968520381514</v>
      </c>
      <c r="D36" s="8" t="n">
        <v>681.8984390822118</v>
      </c>
      <c r="E36" s="8" t="n">
        <v>681.6867237796782</v>
      </c>
      <c r="F36" s="8" t="n">
        <v>687.3468082056313</v>
      </c>
      <c r="G36" s="8" t="n">
        <v>699.0376385294119</v>
      </c>
    </row>
    <row r="37">
      <c r="A37">
        <f> Valuation FCF ($M, SBC-charged)</f>
        <v/>
      </c>
      <c r="C37" s="8" t="n">
        <v>688.0968520381514</v>
      </c>
      <c r="D37" s="8" t="n">
        <v>681.8984390822118</v>
      </c>
      <c r="E37" s="8" t="n">
        <v>681.6867237796782</v>
      </c>
      <c r="F37" s="8" t="n">
        <v>687.3468082056313</v>
      </c>
      <c r="G37" s="8" t="n">
        <v>699.0376385294119</v>
      </c>
    </row>
    <row r="38">
      <c r="A38" t="inlineStr">
        <is>
          <t>Valuation FCF Margin %</t>
        </is>
      </c>
      <c r="C38" s="9" t="n">
        <v>0.1910104403328728</v>
      </c>
      <c r="D38" s="9" t="n">
        <v>0.189479287438123</v>
      </c>
      <c r="E38" s="9" t="n">
        <v>0.1879917209753817</v>
      </c>
      <c r="F38" s="9" t="n">
        <v>0.1865124738205605</v>
      </c>
      <c r="G38" s="9" t="n">
        <v>0.1850583377881725</v>
      </c>
    </row>
    <row r="39">
      <c r="A39" t="inlineStr">
        <is>
          <t>Diluted Shares (projected, M)</t>
        </is>
      </c>
      <c r="C39" s="8" t="n">
        <v>148.621116</v>
      </c>
      <c r="D39" s="8" t="n">
        <v>166.0395107952</v>
      </c>
      <c r="E39" s="8" t="n">
        <v>185.4993414603974</v>
      </c>
      <c r="F39" s="8" t="n">
        <v>207.239864279556</v>
      </c>
      <c r="G39" s="8" t="n">
        <v>231.52837637312</v>
      </c>
    </row>
    <row r="4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n">
        <v>2026</v>
      </c>
      <c r="C1" s="1" t="n">
        <v>2027</v>
      </c>
      <c r="D1" s="1" t="n">
        <v>2028</v>
      </c>
      <c r="E1" s="1" t="n">
        <v>2029</v>
      </c>
      <c r="F1" s="1" t="n">
        <v>2030</v>
      </c>
      <c r="G1" s="1" t="n">
        <v>2031</v>
      </c>
    </row>
    <row r="2">
      <c r="A2" s="1" t="inlineStr">
        <is>
          <t>FCF</t>
        </is>
      </c>
      <c r="B2" s="8" t="n">
        <v>163.793273</v>
      </c>
      <c r="C2" s="8" t="n">
        <v>688.0968520381514</v>
      </c>
      <c r="D2" s="8" t="n">
        <v>681.8984390822118</v>
      </c>
      <c r="E2" s="8" t="n">
        <v>681.6867237796782</v>
      </c>
      <c r="F2" s="8" t="n">
        <v>687.3468082056313</v>
      </c>
      <c r="G2" s="8" t="n">
        <v>699.0376385294119</v>
      </c>
    </row>
    <row r="3">
      <c r="A3" s="1" t="inlineStr">
        <is>
          <t>#diluted shares outstanding</t>
        </is>
      </c>
      <c r="B3" s="8" t="n">
        <v>133.03</v>
      </c>
      <c r="C3" s="8" t="n">
        <v>148.621116</v>
      </c>
      <c r="D3" s="8" t="n">
        <v>166.0395107952</v>
      </c>
      <c r="E3" s="8" t="n">
        <v>185.4993414603974</v>
      </c>
      <c r="F3" s="8" t="n">
        <v>207.239864279556</v>
      </c>
      <c r="G3" s="8" t="n">
        <v>231.52837637312</v>
      </c>
    </row>
    <row r="5">
      <c r="A5" s="3" t="inlineStr">
        <is>
          <t>Rewritten on every refresh from Forecast sheet inputs. Edit Forecast, not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2026-06-04T13:32:18Z</dcterms:created>
  <dcterms:modified xmlns:dcterms="http://purl.org/dc/terms/" xmlns:xsi="http://www.w3.org/2001/XMLSchema-instance" xsi:type="dcterms:W3CDTF">2026-06-04T13:32:18Z</dcterms:modified>
</cp:coreProperties>
</file>