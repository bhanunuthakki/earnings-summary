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Brookfield Infrastructure Corporation (BIPC)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Brookfield Infrastructure Corporation (BIPC)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0.8080918764365155</v>
      </c>
      <c r="C20" s="15" t="n">
        <v>0.04999999999999982</v>
      </c>
      <c r="D20" s="16" t="n">
        <v>0.8080918764365155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-0.02545113901011858</v>
      </c>
      <c r="D29" s="16" t="n">
        <v>-0.02545113901011858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-0.09104163744752074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1532.5014309</v>
      </c>
      <c r="D34" s="18" t="n">
        <v>1532.5014309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1.27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0.01471559633027523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39.2400016784668</v>
      </c>
    </row>
    <row r="49">
      <c r="A49" s="4" t="inlineStr">
        <is>
          <t>Growth fade curvature</t>
        </is>
      </c>
      <c r="B49" s="20" t="n">
        <v>4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9.473143024686458</v>
      </c>
      <c r="C58" s="28" t="n">
        <v>56.08802317859592</v>
      </c>
      <c r="D58" s="28" t="n">
        <v>-24.32618536545381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BIPC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builder default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0.3636538610005718</v>
      </c>
      <c r="H11" s="15" t="n">
        <v>0.3636538610005718</v>
      </c>
      <c r="I11" s="15" t="n">
        <v>0.3636538610005718</v>
      </c>
      <c r="J11" s="15" t="n">
        <v>0.3636538610005718</v>
      </c>
      <c r="K11" s="15" t="n">
        <v>0.3636538610005718</v>
      </c>
      <c r="L11" s="15" t="n">
        <v>0.3636538610005718</v>
      </c>
      <c r="M11" s="15" t="n">
        <v>0.3636538610005718</v>
      </c>
      <c r="N11" s="15" t="n">
        <v>0.3636538610005718</v>
      </c>
      <c r="O11" s="15" t="n">
        <v>0.3636538610005718</v>
      </c>
      <c r="P11" s="15" t="n">
        <v>0.3636538610005718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0.02172322210012217</v>
      </c>
      <c r="H15" s="15" t="n">
        <v>0.02172322210012217</v>
      </c>
      <c r="I15" s="15" t="n">
        <v>0.02172322210012217</v>
      </c>
      <c r="J15" s="15" t="n">
        <v>0.02172322210012217</v>
      </c>
      <c r="K15" s="15" t="n">
        <v>0.02172322210012217</v>
      </c>
      <c r="L15" s="15" t="n">
        <v>0.02172322210012217</v>
      </c>
      <c r="M15" s="15" t="n">
        <v>0.02172322210012217</v>
      </c>
      <c r="N15" s="15" t="n">
        <v>0.02172322210012217</v>
      </c>
      <c r="O15" s="15" t="n">
        <v>0.02172322210012217</v>
      </c>
      <c r="P15" s="15" t="n">
        <v>0.02172322210012217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G6*(1-(Dashboard!$B$29+(Dashboard!$B$30-Dashboard!$B$29)*MIN(1,0/3)))-(G10+G12+G14)</f>
        <v/>
      </c>
      <c r="H16" s="33">
        <f>H6*(1-(Dashboard!$B$29+(Dashboard!$B$30-Dashboard!$B$29)*MIN(1,1/3)))-(H10+H12+H14)</f>
        <v/>
      </c>
      <c r="I16" s="33">
        <f>I6*(1-(Dashboard!$B$29+(Dashboard!$B$30-Dashboard!$B$29)*MIN(1,2/3)))-(I10+I12+I14)</f>
        <v/>
      </c>
      <c r="J16" s="33">
        <f>J6*(1-(Dashboard!$B$29+(Dashboard!$B$30-Dashboard!$B$29)*MIN(1,3/3)))-(J10+J12+J14)</f>
        <v/>
      </c>
      <c r="K16" s="33">
        <f>K6*(1-(Dashboard!$B$29+(Dashboard!$B$30-Dashboard!$B$29)*MIN(1,4/3)))-(K10+K12+K14)</f>
        <v/>
      </c>
      <c r="L16" s="33">
        <f>L6*(1-(Dashboard!$B$29+(Dashboard!$B$30-Dashboard!$B$29)*MIN(1,5/3)))-(L10+L12+L14)</f>
        <v/>
      </c>
      <c r="M16" s="33">
        <f>M6*(1-(Dashboard!$B$29+(Dashboard!$B$30-Dashboard!$B$29)*MIN(1,6/3)))-(M10+M12+M14)</f>
        <v/>
      </c>
      <c r="N16" s="33">
        <f>N6*(1-(Dashboard!$B$29+(Dashboard!$B$30-Dashboard!$B$29)*MIN(1,7/3)))-(N10+N12+N14)</f>
        <v/>
      </c>
      <c r="O16" s="33">
        <f>O6*(1-(Dashboard!$B$29+(Dashboard!$B$30-Dashboard!$B$29)*MIN(1,8/3)))-(O10+O12+O14)</f>
        <v/>
      </c>
      <c r="P16" s="33">
        <f>P6*(1-(Dashboard!$B$29+(Dashboard!$B$30-Dashboard!$B$29)*MIN(1,9/3)))-(P10+P12+P14)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SUM(Financials!I27:L27)</f>
        <v/>
      </c>
      <c r="C24" s="33">
        <f>SUM(Financials!M27:P27)</f>
        <v/>
      </c>
      <c r="D24" s="33">
        <f>SUM(Financials!Q27:T27)</f>
        <v/>
      </c>
      <c r="E24" s="33">
        <f>SUM(Financials!U27:X27)</f>
        <v/>
      </c>
      <c r="F24" s="33">
        <f>SUM(Financials!Y27:AB27)</f>
        <v/>
      </c>
      <c r="G24" s="41">
        <f>G6*0.1819</f>
        <v/>
      </c>
      <c r="H24" s="41">
        <f>H6*0.1819</f>
        <v/>
      </c>
      <c r="I24" s="41">
        <f>I6*0.1819</f>
        <v/>
      </c>
      <c r="J24" s="41">
        <f>J6*0.1819</f>
        <v/>
      </c>
      <c r="K24" s="41">
        <f>K6*0.1819</f>
        <v/>
      </c>
      <c r="L24" s="41">
        <f>L6*0.1819</f>
        <v/>
      </c>
      <c r="M24" s="41">
        <f>M6*0.1819</f>
        <v/>
      </c>
      <c r="N24" s="41">
        <f>N6*0.1819</f>
        <v/>
      </c>
      <c r="O24" s="41">
        <f>O6*0.1819</f>
        <v/>
      </c>
      <c r="P24" s="41">
        <f>P6*0.1819</f>
        <v/>
      </c>
    </row>
    <row r="25">
      <c r="A25" s="4" t="inlineStr">
        <is>
          <t>+ SBC (non-cash)</t>
        </is>
      </c>
      <c r="B25" s="33">
        <f>SUM(Financials!I28:L28)</f>
        <v/>
      </c>
      <c r="C25" s="33">
        <f>SUM(Financials!M28:P28)</f>
        <v/>
      </c>
      <c r="D25" s="33">
        <f>SUM(Financials!Q28:T28)</f>
        <v/>
      </c>
      <c r="E25" s="33">
        <f>SUM(Financials!U28:X28)</f>
        <v/>
      </c>
      <c r="F25" s="33">
        <f>SUM(Financials!Y28:AB28)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-SUM(Financials!I31:L31)</f>
        <v/>
      </c>
      <c r="C27" s="33">
        <f>-SUM(Financials!M31:P31)</f>
        <v/>
      </c>
      <c r="D27" s="33">
        <f>-SUM(Financials!Q31:T31)</f>
        <v/>
      </c>
      <c r="E27" s="33">
        <f>-SUM(Financials!U31:X31)</f>
        <v/>
      </c>
      <c r="F27" s="33">
        <f>-SUM(Financials!Y31:AB31)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Financials!L25+Financials!L24-Financials!L19</f>
        <v/>
      </c>
      <c r="C34" s="33">
        <f>Financials!P25+Financials!P24-Financials!P19</f>
        <v/>
      </c>
      <c r="D34" s="33">
        <f>Financials!T25+Financials!T24-Financials!T19</f>
        <v/>
      </c>
      <c r="E34" s="33">
        <f>Financials!X25+Financials!X24-Financials!X19</f>
        <v/>
      </c>
      <c r="F34" s="33">
        <f>Financials!AB25+Financials!AB24-Financials!AB19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Financials!L25</f>
        <v/>
      </c>
      <c r="C35" s="33">
        <f>Financials!P25</f>
        <v/>
      </c>
      <c r="D35" s="33">
        <f>Financials!T25</f>
        <v/>
      </c>
      <c r="E35" s="33">
        <f>Financials!X25</f>
        <v/>
      </c>
      <c r="F35" s="33">
        <f>Financials!AB25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404</v>
      </c>
      <c r="C3" s="18" t="n">
        <v>406</v>
      </c>
      <c r="D3" s="18" t="n">
        <v>406</v>
      </c>
      <c r="E3" s="18" t="n">
        <v>362.874486</v>
      </c>
      <c r="F3" s="18" t="n">
        <v>327.788635</v>
      </c>
      <c r="G3" s="18" t="n">
        <v>348.2733</v>
      </c>
      <c r="H3" s="18" t="n">
        <v>383.554446</v>
      </c>
      <c r="I3" s="18" t="n">
        <v>401.980599</v>
      </c>
      <c r="J3" s="18" t="n">
        <v>412.797584</v>
      </c>
      <c r="K3" s="18" t="n">
        <v>411.075312</v>
      </c>
      <c r="L3" s="18" t="n">
        <v>412.60596</v>
      </c>
      <c r="M3" s="18" t="n">
        <v>466.661866</v>
      </c>
      <c r="N3" s="18" t="n">
        <v>474.582133</v>
      </c>
      <c r="O3" s="18" t="n">
        <v>428.413831</v>
      </c>
      <c r="P3" s="18" t="n">
        <v>492.835068</v>
      </c>
      <c r="Q3" s="18" t="n">
        <v>497.037795</v>
      </c>
      <c r="R3" s="18" t="n">
        <v>545.227852</v>
      </c>
      <c r="S3" s="18" t="n">
        <v>543.795359</v>
      </c>
      <c r="T3" s="18" t="n">
        <v>942.2378650000001</v>
      </c>
      <c r="U3" s="18" t="n">
        <v>897.97077</v>
      </c>
      <c r="V3" s="18" t="n">
        <v>907.661762</v>
      </c>
      <c r="W3" s="18" t="n">
        <v>919.336168</v>
      </c>
      <c r="X3" s="18" t="n">
        <v>917.3595299999999</v>
      </c>
      <c r="Y3" s="18" t="n">
        <v>929</v>
      </c>
      <c r="Z3" s="18" t="n">
        <v>866</v>
      </c>
      <c r="AA3" s="18" t="n">
        <v>917</v>
      </c>
      <c r="AB3" s="18" t="n">
        <v>970.694935</v>
      </c>
      <c r="AC3" s="18" t="n">
        <v>884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58</v>
      </c>
      <c r="C5" s="18" t="n">
        <v>61</v>
      </c>
      <c r="D5" s="18" t="n">
        <v>67</v>
      </c>
      <c r="E5" s="18" t="n">
        <v>130.408018</v>
      </c>
      <c r="F5" s="18" t="n">
        <v>123.175232</v>
      </c>
      <c r="G5" s="18" t="n">
        <v>128.731391</v>
      </c>
      <c r="H5" s="18" t="n">
        <v>142.170848</v>
      </c>
      <c r="I5" s="18" t="n">
        <v>145.075705</v>
      </c>
      <c r="J5" s="18" t="n">
        <v>140.906867</v>
      </c>
      <c r="K5" s="18" t="n">
        <v>135.039233</v>
      </c>
      <c r="L5" s="18" t="n">
        <v>103.649806</v>
      </c>
      <c r="M5" s="18" t="n">
        <v>135.645748</v>
      </c>
      <c r="N5" s="18" t="n">
        <v>129.791773</v>
      </c>
      <c r="O5" s="18" t="n">
        <v>114.180778</v>
      </c>
      <c r="P5" s="18" t="n">
        <v>156.264777</v>
      </c>
      <c r="Q5" s="18" t="n">
        <v>147.011179</v>
      </c>
      <c r="R5" s="18" t="n">
        <v>151.001765</v>
      </c>
      <c r="S5" s="18" t="n">
        <v>144.090966</v>
      </c>
      <c r="T5" s="18" t="n">
        <v>345.247462</v>
      </c>
      <c r="U5" s="18" t="n">
        <v>337.485688</v>
      </c>
      <c r="V5" s="18" t="n">
        <v>328.877444</v>
      </c>
      <c r="W5" s="18" t="n">
        <v>341.72693</v>
      </c>
      <c r="X5" s="18" t="n">
        <v>360.530069</v>
      </c>
      <c r="Y5" s="18" t="n">
        <v>355</v>
      </c>
      <c r="Z5" s="18" t="n">
        <v>303</v>
      </c>
      <c r="AA5" s="18" t="n">
        <v>336</v>
      </c>
      <c r="AB5" s="18" t="n">
        <v>345.226232</v>
      </c>
      <c r="AC5" s="18" t="n">
        <v>345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7</v>
      </c>
      <c r="C9" s="18" t="n">
        <v>8</v>
      </c>
      <c r="D9" s="18" t="n">
        <v>9</v>
      </c>
      <c r="E9" s="18" t="n">
        <v>5.669913</v>
      </c>
      <c r="F9" s="18" t="n">
        <v>8.143817</v>
      </c>
      <c r="G9" s="18" t="n">
        <v>8.981259</v>
      </c>
      <c r="H9" s="18" t="n">
        <v>10.228118</v>
      </c>
      <c r="I9" s="18" t="n">
        <v>10.074701</v>
      </c>
      <c r="J9" s="18" t="n">
        <v>9.923018000000001</v>
      </c>
      <c r="K9" s="18" t="n">
        <v>11.915226</v>
      </c>
      <c r="L9" s="18" t="n">
        <v>16.942756</v>
      </c>
      <c r="M9" s="18" t="n">
        <v>20.245634</v>
      </c>
      <c r="N9" s="18" t="n">
        <v>16.843207</v>
      </c>
      <c r="O9" s="18" t="n">
        <v>16.041927</v>
      </c>
      <c r="P9" s="18" t="n">
        <v>15.025459</v>
      </c>
      <c r="Q9" s="18" t="n">
        <v>16.001216</v>
      </c>
      <c r="R9" s="18" t="n">
        <v>17.228389</v>
      </c>
      <c r="S9" s="18" t="n">
        <v>15.79079</v>
      </c>
      <c r="T9" s="18" t="n">
        <v>18.495399</v>
      </c>
      <c r="U9" s="18" t="n">
        <v>17.919594</v>
      </c>
      <c r="V9" s="18" t="n">
        <v>16.993667</v>
      </c>
      <c r="W9" s="18" t="n">
        <v>21.168924</v>
      </c>
      <c r="X9" s="18" t="n">
        <v>18.463804</v>
      </c>
      <c r="Y9" s="18" t="n">
        <v>19</v>
      </c>
      <c r="Z9" s="18" t="n">
        <v>20</v>
      </c>
      <c r="AA9" s="18" t="n">
        <v>20</v>
      </c>
      <c r="AB9" s="18" t="n">
        <v>21</v>
      </c>
      <c r="AC9" s="18" t="n">
        <v>21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346</v>
      </c>
      <c r="C11" s="18" t="n">
        <v>345</v>
      </c>
      <c r="D11" s="18" t="n">
        <v>339</v>
      </c>
      <c r="E11" s="18" t="n">
        <v>232.466467</v>
      </c>
      <c r="F11" s="18" t="n">
        <v>204.613402</v>
      </c>
      <c r="G11" s="18" t="n">
        <v>219.541908</v>
      </c>
      <c r="H11" s="18" t="n">
        <v>241.383598</v>
      </c>
      <c r="I11" s="18" t="n">
        <v>256.904894</v>
      </c>
      <c r="J11" s="18" t="n">
        <v>271.890716</v>
      </c>
      <c r="K11" s="18" t="n">
        <v>276.036079</v>
      </c>
      <c r="L11" s="18" t="n">
        <v>308.956154</v>
      </c>
      <c r="M11" s="18" t="n">
        <v>331.016117</v>
      </c>
      <c r="N11" s="18" t="n">
        <v>344.790359</v>
      </c>
      <c r="O11" s="18" t="n">
        <v>314.233052</v>
      </c>
      <c r="P11" s="18" t="n">
        <v>336.57029</v>
      </c>
      <c r="Q11" s="18" t="n">
        <v>350.026616</v>
      </c>
      <c r="R11" s="18" t="n">
        <v>394.226086</v>
      </c>
      <c r="S11" s="18" t="n">
        <v>399.704392</v>
      </c>
      <c r="T11" s="18" t="n">
        <v>596.990403</v>
      </c>
      <c r="U11" s="18" t="n">
        <v>560.485081</v>
      </c>
      <c r="V11" s="18" t="n">
        <v>578.784318</v>
      </c>
      <c r="W11" s="18" t="n">
        <v>577.609237</v>
      </c>
      <c r="X11" s="18" t="n">
        <v>556.82946</v>
      </c>
      <c r="Y11" s="18" t="n">
        <v>574</v>
      </c>
      <c r="Z11" s="18" t="n">
        <v>563</v>
      </c>
      <c r="AA11" s="18" t="n">
        <v>581</v>
      </c>
      <c r="AB11" s="18" t="n">
        <v>625.468703</v>
      </c>
      <c r="AC11" s="18" t="n">
        <v>539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155</v>
      </c>
      <c r="C13" s="18" t="n">
        <v>157</v>
      </c>
      <c r="D13" s="18" t="n">
        <v>156</v>
      </c>
      <c r="E13" s="18" t="n">
        <v>226.796553</v>
      </c>
      <c r="F13" s="18" t="n">
        <v>196.469585</v>
      </c>
      <c r="G13" s="18" t="n">
        <v>210.560648</v>
      </c>
      <c r="H13" s="18" t="n">
        <v>231.15548</v>
      </c>
      <c r="I13" s="18" t="n">
        <v>246.830192</v>
      </c>
      <c r="J13" s="18" t="n">
        <v>261.967697</v>
      </c>
      <c r="K13" s="18" t="n">
        <v>264.120853</v>
      </c>
      <c r="L13" s="18" t="n">
        <v>292.013397</v>
      </c>
      <c r="M13" s="18" t="n">
        <v>310.770483</v>
      </c>
      <c r="N13" s="18" t="n">
        <v>327.947152</v>
      </c>
      <c r="O13" s="18" t="n">
        <v>298.191125</v>
      </c>
      <c r="P13" s="18" t="n">
        <v>321.544831</v>
      </c>
      <c r="Q13" s="18" t="n">
        <v>334.025399</v>
      </c>
      <c r="R13" s="18" t="n">
        <v>376.997697</v>
      </c>
      <c r="S13" s="18" t="n">
        <v>383.913602</v>
      </c>
      <c r="T13" s="18" t="n">
        <v>578.495003</v>
      </c>
      <c r="U13" s="18" t="n">
        <v>542.565487</v>
      </c>
      <c r="V13" s="18" t="n">
        <v>561.79065</v>
      </c>
      <c r="W13" s="18" t="n">
        <v>556.4403119999999</v>
      </c>
      <c r="X13" s="18" t="n">
        <v>538.3656559999999</v>
      </c>
      <c r="Y13" s="18" t="n">
        <v>555</v>
      </c>
      <c r="Z13" s="18" t="n">
        <v>543</v>
      </c>
      <c r="AA13" s="18" t="n">
        <v>561</v>
      </c>
      <c r="AB13" s="18" t="n">
        <v>604.145906</v>
      </c>
      <c r="AC13" s="18" t="n">
        <v>518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48</v>
      </c>
      <c r="C15" s="18" t="n">
        <v>50</v>
      </c>
      <c r="D15" s="18" t="n">
        <v>51</v>
      </c>
      <c r="E15" s="18" t="n">
        <v>110.56332</v>
      </c>
      <c r="F15" s="18" t="n">
        <v>-270.781916</v>
      </c>
      <c r="G15" s="18" t="n">
        <v>-300.373247</v>
      </c>
      <c r="H15" s="18" t="n">
        <v>-104.326809</v>
      </c>
      <c r="I15" s="18" t="n">
        <v>-179.329691</v>
      </c>
      <c r="J15" s="18" t="n">
        <v>-42.668981</v>
      </c>
      <c r="K15" s="18" t="n">
        <v>121.138135</v>
      </c>
      <c r="L15" s="18" t="n">
        <v>-268.094211</v>
      </c>
      <c r="M15" s="18" t="n">
        <v>-377.581075</v>
      </c>
      <c r="N15" s="18" t="n">
        <v>666.792851</v>
      </c>
      <c r="O15" s="18" t="n">
        <v>216.094201</v>
      </c>
      <c r="P15" s="18" t="n">
        <v>565.958971</v>
      </c>
      <c r="Q15" s="18" t="n">
        <v>-301.02289</v>
      </c>
      <c r="R15" s="18" t="n">
        <v>-277.681099</v>
      </c>
      <c r="S15" s="18" t="n">
        <v>901.062</v>
      </c>
      <c r="T15" s="18" t="n">
        <v>-233.247541</v>
      </c>
      <c r="U15" s="18" t="n">
        <v>27.874924</v>
      </c>
      <c r="V15" s="18" t="n">
        <v>490.817098</v>
      </c>
      <c r="W15" s="18" t="n">
        <v>-984.859031</v>
      </c>
      <c r="X15" s="18" t="n">
        <v>-145.766874</v>
      </c>
      <c r="Y15" s="18" t="n">
        <v>389</v>
      </c>
      <c r="Z15" s="18" t="n">
        <v>-477</v>
      </c>
      <c r="AA15" s="18" t="n">
        <v>82</v>
      </c>
      <c r="AB15" s="18" t="n">
        <v>-238.612248</v>
      </c>
      <c r="AC15" s="18" t="n">
        <v>-112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69.75</v>
      </c>
      <c r="C17" s="18" t="n">
        <v>69.75</v>
      </c>
      <c r="D17" s="18" t="n">
        <v>69.523985</v>
      </c>
      <c r="E17" s="18" t="n">
        <v>69.523984</v>
      </c>
      <c r="F17" s="18" t="n">
        <v>67.53466299999999</v>
      </c>
      <c r="G17" s="18" t="n">
        <v>67.48002700000001</v>
      </c>
      <c r="H17" s="18" t="n">
        <v>67.440673</v>
      </c>
      <c r="I17" s="18" t="n">
        <v>67.42986999999999</v>
      </c>
      <c r="J17" s="18" t="n">
        <v>67.423558</v>
      </c>
      <c r="K17" s="18" t="n">
        <v>94.602115</v>
      </c>
      <c r="L17" s="18" t="n">
        <v>110.156269</v>
      </c>
      <c r="M17" s="18" t="n">
        <v>110.340523</v>
      </c>
      <c r="N17" s="18" t="n">
        <v>110.468803</v>
      </c>
      <c r="O17" s="18" t="n">
        <v>110.513085</v>
      </c>
      <c r="P17" s="18" t="n">
        <v>112.67135</v>
      </c>
      <c r="Q17" s="18" t="n">
        <v>112.708079</v>
      </c>
      <c r="R17" s="18" t="n">
        <v>112.787509</v>
      </c>
      <c r="S17" s="18" t="n">
        <v>142.917349</v>
      </c>
      <c r="T17" s="18" t="n">
        <v>142.989728</v>
      </c>
      <c r="U17" s="18" t="n">
        <v>131.872066</v>
      </c>
      <c r="V17" s="18" t="n">
        <v>143.108774</v>
      </c>
      <c r="W17" s="18" t="n">
        <v>143.121262</v>
      </c>
      <c r="X17" s="18" t="n">
        <v>119.071029</v>
      </c>
      <c r="Y17" s="18" t="n">
        <v>119.071029</v>
      </c>
      <c r="Z17" s="18" t="n">
        <v>119.051449</v>
      </c>
      <c r="AA17" s="18" t="n">
        <v>119.067426</v>
      </c>
      <c r="AB17" s="18" t="n">
        <v>119.067426</v>
      </c>
      <c r="AC17" s="18" t="n">
        <v>133.026897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212</v>
      </c>
      <c r="D19" s="18" t="n">
        <v>204</v>
      </c>
      <c r="E19" s="18" t="n">
        <v>143</v>
      </c>
      <c r="F19" s="18" t="n">
        <v>161</v>
      </c>
      <c r="G19" s="18" t="n">
        <v>250</v>
      </c>
      <c r="H19" s="18" t="n">
        <v>192</v>
      </c>
      <c r="I19" s="18" t="n">
        <v>124</v>
      </c>
      <c r="J19" s="18" t="n">
        <v>370</v>
      </c>
      <c r="K19" s="18" t="n">
        <v>406</v>
      </c>
      <c r="L19" s="18" t="n">
        <v>469</v>
      </c>
      <c r="M19" s="18" t="n">
        <v>1219</v>
      </c>
      <c r="N19" s="18" t="n">
        <v>567</v>
      </c>
      <c r="O19" s="18" t="n">
        <v>342</v>
      </c>
      <c r="P19" s="18" t="n">
        <v>186.309</v>
      </c>
      <c r="Q19" s="18" t="n">
        <v>309</v>
      </c>
      <c r="R19" s="18" t="n">
        <v>-5083</v>
      </c>
      <c r="S19" s="18" t="n">
        <v>340</v>
      </c>
      <c r="T19" s="18" t="n">
        <v>574.047894</v>
      </c>
      <c r="U19" s="18" t="n">
        <v>355</v>
      </c>
      <c r="V19" s="18" t="n">
        <v>509</v>
      </c>
      <c r="W19" s="18" t="n">
        <v>278</v>
      </c>
      <c r="X19" s="18" t="n">
        <v>742</v>
      </c>
      <c r="Y19" s="18" t="n">
        <v>274</v>
      </c>
      <c r="Z19" s="18" t="n">
        <v>1277</v>
      </c>
      <c r="AA19" s="18" t="n">
        <v>438</v>
      </c>
      <c r="AB19" s="18" t="n">
        <v>444</v>
      </c>
      <c r="AC19" s="18" t="n">
        <v>589</v>
      </c>
    </row>
    <row r="20">
      <c r="A20" s="4" t="inlineStr">
        <is>
          <t>Total Current Assets</t>
        </is>
      </c>
      <c r="B20" s="18" t="n">
        <v>600</v>
      </c>
      <c r="D20" s="18" t="n">
        <v>594</v>
      </c>
      <c r="E20" s="18" t="n">
        <v>493</v>
      </c>
      <c r="F20" s="18" t="n">
        <v>512</v>
      </c>
      <c r="G20" s="18" t="n">
        <v>589</v>
      </c>
      <c r="H20" s="18" t="n">
        <v>586</v>
      </c>
      <c r="I20" s="18" t="n">
        <v>539</v>
      </c>
      <c r="J20" s="18" t="n">
        <v>901</v>
      </c>
      <c r="K20" s="18" t="n">
        <v>1513</v>
      </c>
      <c r="L20" s="18" t="n">
        <v>2010</v>
      </c>
      <c r="M20" s="18" t="n">
        <v>2253</v>
      </c>
      <c r="N20" s="18" t="n">
        <v>1610</v>
      </c>
      <c r="O20" s="18" t="n">
        <v>1350</v>
      </c>
      <c r="P20" s="18" t="n">
        <v>1011</v>
      </c>
      <c r="Q20" s="18" t="n">
        <v>1070</v>
      </c>
      <c r="R20" s="18" t="n">
        <v>-5083</v>
      </c>
      <c r="S20" s="18" t="n">
        <v>2907</v>
      </c>
      <c r="T20" s="18" t="n">
        <v>2789.653894</v>
      </c>
      <c r="U20" s="18" t="n">
        <v>2181</v>
      </c>
      <c r="V20" s="18" t="n">
        <v>3065</v>
      </c>
      <c r="W20" s="18" t="n">
        <v>2900</v>
      </c>
      <c r="X20" s="18" t="n">
        <v>4764</v>
      </c>
      <c r="Y20" s="18" t="n">
        <v>2865</v>
      </c>
      <c r="Z20" s="18" t="n">
        <v>3620</v>
      </c>
      <c r="AA20" s="18" t="n">
        <v>2962</v>
      </c>
      <c r="AB20" s="18" t="n">
        <v>2001.351</v>
      </c>
      <c r="AC20" s="18" t="n">
        <v>2280</v>
      </c>
    </row>
    <row r="21">
      <c r="A21" s="4" t="inlineStr">
        <is>
          <t>PP&amp;E (net)</t>
        </is>
      </c>
      <c r="B21" s="18" t="n">
        <v>3793</v>
      </c>
      <c r="D21" s="18" t="n">
        <v>4497</v>
      </c>
      <c r="E21" s="18" t="n">
        <v>4290</v>
      </c>
      <c r="F21" s="18" t="n">
        <v>4309</v>
      </c>
      <c r="G21" s="18" t="n">
        <v>4558</v>
      </c>
      <c r="H21" s="18" t="n">
        <v>5111</v>
      </c>
      <c r="I21" s="18" t="n">
        <v>5208</v>
      </c>
      <c r="J21" s="18" t="n">
        <v>4634</v>
      </c>
      <c r="K21" s="18" t="n">
        <v>4581</v>
      </c>
      <c r="L21" s="18" t="n">
        <v>4803</v>
      </c>
      <c r="M21" s="18" t="n">
        <v>4738</v>
      </c>
      <c r="N21" s="18" t="n">
        <v>4467</v>
      </c>
      <c r="O21" s="18" t="n">
        <v>4177</v>
      </c>
      <c r="P21" s="18" t="n">
        <v>4718</v>
      </c>
      <c r="Q21" s="18" t="n">
        <v>4908</v>
      </c>
      <c r="R21" s="18" t="n">
        <v>5149</v>
      </c>
      <c r="S21" s="18" t="n">
        <v>13780</v>
      </c>
      <c r="T21" s="18" t="n">
        <v>14078.599238</v>
      </c>
      <c r="U21" s="18" t="n">
        <v>14033</v>
      </c>
      <c r="V21" s="18" t="n">
        <v>14001</v>
      </c>
      <c r="W21" s="18" t="n">
        <v>14643</v>
      </c>
      <c r="X21" s="18" t="n">
        <v>12572</v>
      </c>
      <c r="Y21" s="18" t="n">
        <v>12718</v>
      </c>
      <c r="Z21" s="18" t="n">
        <v>13218</v>
      </c>
      <c r="AA21" s="18" t="n">
        <v>13990</v>
      </c>
      <c r="AB21" s="18" t="n">
        <v>14172.162</v>
      </c>
      <c r="AC21" s="18" t="n">
        <v>14110</v>
      </c>
    </row>
    <row r="22">
      <c r="A22" s="4" t="inlineStr">
        <is>
          <t>Total Assets</t>
        </is>
      </c>
      <c r="B22" s="18" t="n">
        <v>9480</v>
      </c>
      <c r="D22" s="18" t="n">
        <v>9853</v>
      </c>
      <c r="E22" s="18" t="n">
        <v>8525</v>
      </c>
      <c r="F22" s="18" t="n">
        <v>8354</v>
      </c>
      <c r="G22" s="18" t="n">
        <v>8559</v>
      </c>
      <c r="H22" s="18" t="n">
        <v>9344</v>
      </c>
      <c r="I22" s="18" t="n">
        <v>9062</v>
      </c>
      <c r="J22" s="18" t="n">
        <v>9176</v>
      </c>
      <c r="K22" s="18" t="n">
        <v>9437</v>
      </c>
      <c r="L22" s="18" t="n">
        <v>10086</v>
      </c>
      <c r="M22" s="18" t="n">
        <v>11363</v>
      </c>
      <c r="N22" s="18" t="n">
        <v>10034</v>
      </c>
      <c r="O22" s="18" t="n">
        <v>9239</v>
      </c>
      <c r="P22" s="18" t="n">
        <v>10178</v>
      </c>
      <c r="Q22" s="18" t="n">
        <v>10460</v>
      </c>
      <c r="R22" s="18" t="n">
        <v>10973</v>
      </c>
      <c r="S22" s="18" t="n">
        <v>23614</v>
      </c>
      <c r="T22" s="18" t="n">
        <v>23786.674383</v>
      </c>
      <c r="U22" s="18" t="n">
        <v>23904</v>
      </c>
      <c r="V22" s="18" t="n">
        <v>23657</v>
      </c>
      <c r="W22" s="18" t="n">
        <v>24131</v>
      </c>
      <c r="X22" s="18" t="n">
        <v>23587</v>
      </c>
      <c r="Y22" s="18" t="n">
        <v>22570</v>
      </c>
      <c r="Z22" s="18" t="n">
        <v>23910</v>
      </c>
      <c r="AA22" s="18" t="n">
        <v>23994</v>
      </c>
      <c r="AB22" s="18" t="n">
        <v>23981.278</v>
      </c>
      <c r="AC22" s="18" t="n">
        <v>24213</v>
      </c>
    </row>
    <row r="23">
      <c r="A23" s="4" t="inlineStr">
        <is>
          <t>Total Current Liabilities</t>
        </is>
      </c>
      <c r="B23" s="18" t="n">
        <v>418</v>
      </c>
      <c r="D23" s="18" t="n">
        <v>493</v>
      </c>
      <c r="E23" s="18" t="n">
        <v>2072</v>
      </c>
      <c r="F23" s="18" t="n">
        <v>2276</v>
      </c>
      <c r="G23" s="18" t="n">
        <v>2637</v>
      </c>
      <c r="H23" s="18" t="n">
        <v>2760</v>
      </c>
      <c r="I23" s="18" t="n">
        <v>2861</v>
      </c>
      <c r="J23" s="18" t="n">
        <v>3988</v>
      </c>
      <c r="K23" s="18" t="n">
        <v>5336</v>
      </c>
      <c r="L23" s="18" t="n">
        <v>5071</v>
      </c>
      <c r="M23" s="18" t="n">
        <v>6686</v>
      </c>
      <c r="N23" s="18" t="n">
        <v>6308</v>
      </c>
      <c r="O23" s="18" t="n">
        <v>5645</v>
      </c>
      <c r="P23" s="18" t="n">
        <v>4233</v>
      </c>
      <c r="Q23" s="18" t="n">
        <v>4388</v>
      </c>
      <c r="R23" s="18" t="n">
        <v>5140</v>
      </c>
      <c r="S23" s="18" t="n">
        <v>6590</v>
      </c>
      <c r="T23" s="18" t="n">
        <v>6326.465448</v>
      </c>
      <c r="U23" s="18" t="n">
        <v>5031</v>
      </c>
      <c r="V23" s="18" t="n">
        <v>5200</v>
      </c>
      <c r="W23" s="18" t="n">
        <v>6738</v>
      </c>
      <c r="X23" s="18" t="n">
        <v>7648</v>
      </c>
      <c r="Y23" s="18" t="n">
        <v>5948</v>
      </c>
      <c r="Z23" s="18" t="n">
        <v>7313</v>
      </c>
      <c r="AA23" s="18" t="n">
        <v>7151</v>
      </c>
      <c r="AB23" s="18" t="n">
        <v>7668</v>
      </c>
      <c r="AC23" s="18" t="n">
        <v>14500</v>
      </c>
    </row>
    <row r="24">
      <c r="A24" s="4" t="inlineStr">
        <is>
          <t>Long-term Debt</t>
        </is>
      </c>
      <c r="B24" s="18" t="n">
        <v>3318</v>
      </c>
      <c r="D24" s="18" t="n">
        <v>3526</v>
      </c>
      <c r="E24" s="18" t="n">
        <v>4214</v>
      </c>
      <c r="F24" s="18" t="n">
        <v>4234</v>
      </c>
      <c r="G24" s="18" t="n">
        <v>4334</v>
      </c>
      <c r="H24" s="18" t="n">
        <v>4609</v>
      </c>
      <c r="I24" s="18" t="n">
        <v>4577</v>
      </c>
      <c r="J24" s="18" t="n">
        <v>4553</v>
      </c>
      <c r="K24" s="18" t="n">
        <v>3577</v>
      </c>
      <c r="L24" s="18" t="n">
        <v>3687</v>
      </c>
      <c r="M24" s="18" t="n">
        <v>4335</v>
      </c>
      <c r="N24" s="18" t="n">
        <v>3158</v>
      </c>
      <c r="O24" s="18" t="n">
        <v>3240</v>
      </c>
      <c r="P24" s="18" t="n">
        <v>4577</v>
      </c>
      <c r="Q24" s="18" t="n">
        <v>4965</v>
      </c>
      <c r="R24" s="18" t="n">
        <v>4810</v>
      </c>
      <c r="S24" s="18" t="n">
        <v>10709</v>
      </c>
      <c r="T24" s="18" t="n">
        <v>11022</v>
      </c>
      <c r="U24" s="18" t="n">
        <v>13498</v>
      </c>
      <c r="V24" s="18" t="n">
        <v>12621</v>
      </c>
      <c r="W24" s="18" t="n">
        <v>12542</v>
      </c>
      <c r="X24" s="18" t="n">
        <v>11504.153026</v>
      </c>
      <c r="Y24" s="18" t="n">
        <v>11554</v>
      </c>
      <c r="Z24" s="18" t="n">
        <v>12049</v>
      </c>
      <c r="AA24" s="18" t="n">
        <v>12296</v>
      </c>
      <c r="AB24" s="18" t="n">
        <v>11955</v>
      </c>
      <c r="AC24" s="18" t="n">
        <v>0</v>
      </c>
    </row>
    <row r="25">
      <c r="A25" s="4" t="inlineStr">
        <is>
          <t>Total Equity</t>
        </is>
      </c>
      <c r="B25" s="18" t="n">
        <v>1490</v>
      </c>
      <c r="D25" s="18" t="n">
        <v>1654</v>
      </c>
      <c r="E25" s="18" t="n">
        <v>-1319</v>
      </c>
      <c r="F25" s="18" t="n">
        <v>-1611</v>
      </c>
      <c r="G25" s="18" t="n">
        <v>-1879</v>
      </c>
      <c r="H25" s="18" t="n">
        <v>-1722</v>
      </c>
      <c r="I25" s="18" t="n">
        <v>-1932</v>
      </c>
      <c r="J25" s="18" t="n">
        <v>-1983</v>
      </c>
      <c r="K25" s="18" t="n">
        <v>-1932</v>
      </c>
      <c r="L25" s="18" t="n">
        <v>-2127</v>
      </c>
      <c r="M25" s="18" t="n">
        <v>-2470</v>
      </c>
      <c r="N25" s="18" t="n">
        <v>-1963</v>
      </c>
      <c r="O25" s="18" t="n">
        <v>-1867</v>
      </c>
      <c r="P25" s="18" t="n">
        <v>-1119</v>
      </c>
      <c r="Q25" s="18" t="n">
        <v>-1411</v>
      </c>
      <c r="R25" s="18" t="n">
        <v>-1630</v>
      </c>
      <c r="S25" s="18" t="n">
        <v>-315</v>
      </c>
      <c r="T25" s="18" t="n">
        <v>-396.958596</v>
      </c>
      <c r="U25" s="18" t="n">
        <v>-379</v>
      </c>
      <c r="V25" s="18" t="n">
        <v>149</v>
      </c>
      <c r="W25" s="18" t="n">
        <v>-764</v>
      </c>
      <c r="X25" s="18" t="n">
        <v>-1253</v>
      </c>
      <c r="Y25" s="18" t="n">
        <v>-840</v>
      </c>
      <c r="Z25" s="18" t="n">
        <v>-1238</v>
      </c>
      <c r="AA25" s="18" t="n">
        <v>-1200</v>
      </c>
      <c r="AB25" s="18" t="n">
        <v>-1296.636</v>
      </c>
      <c r="AC25" s="18" t="n">
        <v>-1460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77</v>
      </c>
      <c r="C27" s="18" t="n">
        <v>75</v>
      </c>
      <c r="D27" s="18" t="n">
        <v>77</v>
      </c>
      <c r="E27" s="18" t="n">
        <v>76</v>
      </c>
      <c r="F27" s="18" t="n">
        <v>67</v>
      </c>
      <c r="G27" s="18" t="n">
        <v>69</v>
      </c>
      <c r="H27" s="18" t="n">
        <v>71</v>
      </c>
      <c r="I27" s="18" t="n">
        <v>75</v>
      </c>
      <c r="J27" s="18" t="n">
        <v>70</v>
      </c>
      <c r="K27" s="18" t="n">
        <v>65</v>
      </c>
      <c r="L27" s="18" t="n">
        <v>26</v>
      </c>
      <c r="M27" s="18" t="n">
        <v>54</v>
      </c>
      <c r="N27" s="18" t="n">
        <v>54</v>
      </c>
      <c r="O27" s="18" t="n">
        <v>51</v>
      </c>
      <c r="P27" s="18" t="n">
        <v>52</v>
      </c>
      <c r="Q27" s="18" t="n">
        <v>55</v>
      </c>
      <c r="R27" s="18" t="n">
        <v>57</v>
      </c>
      <c r="S27" s="18" t="n">
        <v>59</v>
      </c>
      <c r="T27" s="18" t="n">
        <v>199.361855</v>
      </c>
      <c r="U27" s="18" t="n">
        <v>194.128935</v>
      </c>
      <c r="V27" s="18" t="n">
        <v>190.960609</v>
      </c>
      <c r="W27" s="18" t="n">
        <v>194</v>
      </c>
      <c r="X27" s="18" t="n">
        <v>195</v>
      </c>
      <c r="Y27" s="18" t="n">
        <v>194.410805</v>
      </c>
      <c r="Z27" s="18" t="n">
        <v>153</v>
      </c>
      <c r="AA27" s="18" t="n">
        <v>167</v>
      </c>
      <c r="AB27" s="18" t="n">
        <v>155.351804</v>
      </c>
      <c r="AC27" s="18" t="n">
        <v>156.797574</v>
      </c>
    </row>
    <row r="28">
      <c r="A28" s="4" t="inlineStr">
        <is>
          <t>Stock-based Compensation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0</v>
      </c>
      <c r="AA28" s="18" t="n">
        <v>0</v>
      </c>
      <c r="AB28" s="18" t="n">
        <v>0</v>
      </c>
      <c r="AC28" s="18" t="n">
        <v>0</v>
      </c>
    </row>
    <row r="29">
      <c r="A29" s="4" t="inlineStr">
        <is>
          <t>Change in Working Capital</t>
        </is>
      </c>
      <c r="B29" s="18" t="n">
        <v>-7</v>
      </c>
      <c r="C29" s="18" t="n">
        <v>91</v>
      </c>
      <c r="D29" s="18" t="n">
        <v>-22</v>
      </c>
      <c r="E29" s="18" t="n">
        <v>-61</v>
      </c>
      <c r="F29" s="18" t="n">
        <v>5</v>
      </c>
      <c r="G29" s="18" t="n">
        <v>56</v>
      </c>
      <c r="H29" s="18" t="n">
        <v>-44</v>
      </c>
      <c r="I29" s="18" t="n">
        <v>-77</v>
      </c>
      <c r="J29" s="18" t="n">
        <v>16</v>
      </c>
      <c r="K29" s="18" t="n">
        <v>52</v>
      </c>
      <c r="L29" s="18" t="n">
        <v>44</v>
      </c>
      <c r="M29" s="18" t="n">
        <v>-65</v>
      </c>
      <c r="N29" s="18" t="n">
        <v>60</v>
      </c>
      <c r="O29" s="18" t="n">
        <v>19</v>
      </c>
      <c r="P29" s="18" t="n">
        <v>159</v>
      </c>
      <c r="Q29" s="18" t="n">
        <v>-181</v>
      </c>
      <c r="R29" s="18" t="n">
        <v>65</v>
      </c>
      <c r="S29" s="18" t="n">
        <v>-20</v>
      </c>
      <c r="T29" s="18" t="n">
        <v>144.318183</v>
      </c>
      <c r="U29" s="18" t="n">
        <v>-119.46396</v>
      </c>
      <c r="V29" s="18" t="n">
        <v>134.13372</v>
      </c>
      <c r="W29" s="18" t="n">
        <v>56.231373</v>
      </c>
      <c r="X29" s="18" t="n">
        <v>34</v>
      </c>
      <c r="Y29" s="18" t="n">
        <v>-125.619289</v>
      </c>
      <c r="Z29" s="18" t="n">
        <v>134</v>
      </c>
      <c r="AA29" s="18" t="n">
        <v>46</v>
      </c>
      <c r="AB29" s="18" t="n">
        <v>102.736881</v>
      </c>
      <c r="AC29" s="18" t="n">
        <v>-159.756019</v>
      </c>
    </row>
    <row r="30">
      <c r="A30" s="4" t="inlineStr">
        <is>
          <t>Operating Cash Flow</t>
        </is>
      </c>
      <c r="B30" s="18" t="n">
        <v>255</v>
      </c>
      <c r="C30" s="18" t="n">
        <v>338</v>
      </c>
      <c r="D30" s="18" t="n">
        <v>226</v>
      </c>
      <c r="E30" s="18" t="n">
        <v>180</v>
      </c>
      <c r="F30" s="18" t="n">
        <v>168</v>
      </c>
      <c r="G30" s="18" t="n">
        <v>237</v>
      </c>
      <c r="H30" s="18" t="n">
        <v>145</v>
      </c>
      <c r="I30" s="18" t="n">
        <v>124</v>
      </c>
      <c r="J30" s="18" t="n">
        <v>235</v>
      </c>
      <c r="K30" s="18" t="n">
        <v>260</v>
      </c>
      <c r="L30" s="18" t="n">
        <v>220</v>
      </c>
      <c r="M30" s="18" t="n">
        <v>123</v>
      </c>
      <c r="N30" s="18" t="n">
        <v>232</v>
      </c>
      <c r="O30" s="18" t="n">
        <v>214</v>
      </c>
      <c r="P30" s="18" t="n">
        <v>324</v>
      </c>
      <c r="Q30" s="18" t="n">
        <v>-10</v>
      </c>
      <c r="R30" s="18" t="n">
        <v>-89</v>
      </c>
      <c r="S30" s="18" t="n">
        <v>194</v>
      </c>
      <c r="T30" s="18" t="n">
        <v>622.13066</v>
      </c>
      <c r="U30" s="18" t="n">
        <v>276.758175</v>
      </c>
      <c r="V30" s="18" t="n">
        <v>509.308509</v>
      </c>
      <c r="W30" s="18" t="n">
        <v>464</v>
      </c>
      <c r="X30" s="18" t="n">
        <v>490</v>
      </c>
      <c r="Y30" s="18" t="n">
        <v>242.265773</v>
      </c>
      <c r="Z30" s="18" t="n">
        <v>478</v>
      </c>
      <c r="AA30" s="18" t="n">
        <v>389</v>
      </c>
      <c r="AB30" s="18" t="n">
        <v>506.07688</v>
      </c>
      <c r="AC30" s="18" t="n">
        <v>180.465133</v>
      </c>
    </row>
    <row r="31">
      <c r="A31" s="4" t="inlineStr">
        <is>
          <t>Capex</t>
        </is>
      </c>
      <c r="B31" s="18" t="n">
        <v>-103</v>
      </c>
      <c r="C31" s="18" t="n">
        <v>-110</v>
      </c>
      <c r="D31" s="18" t="n">
        <v>-147</v>
      </c>
      <c r="E31" s="18" t="n">
        <v>-121</v>
      </c>
      <c r="F31" s="18" t="n">
        <v>-63</v>
      </c>
      <c r="G31" s="18" t="n">
        <v>-107</v>
      </c>
      <c r="H31" s="18" t="n">
        <v>-108</v>
      </c>
      <c r="I31" s="18" t="n">
        <v>-95</v>
      </c>
      <c r="J31" s="18" t="n">
        <v>-101</v>
      </c>
      <c r="K31" s="18" t="n">
        <v>-109</v>
      </c>
      <c r="L31" s="18" t="n">
        <v>-110</v>
      </c>
      <c r="M31" s="18" t="n">
        <v>-113</v>
      </c>
      <c r="N31" s="18" t="n">
        <v>-140</v>
      </c>
      <c r="O31" s="18" t="n">
        <v>-122</v>
      </c>
      <c r="P31" s="18" t="n">
        <v>-146</v>
      </c>
      <c r="Q31" s="18" t="n">
        <v>-125</v>
      </c>
      <c r="R31" s="18" t="n">
        <v>-134</v>
      </c>
      <c r="S31" s="18" t="n">
        <v>-122</v>
      </c>
      <c r="T31" s="18" t="n">
        <v>-217.707186</v>
      </c>
      <c r="U31" s="18" t="n">
        <v>-96.56670099999999</v>
      </c>
      <c r="V31" s="18" t="n">
        <v>-401.328424</v>
      </c>
      <c r="W31" s="18" t="n">
        <v>-425</v>
      </c>
      <c r="X31" s="18" t="n">
        <v>-87</v>
      </c>
      <c r="Y31" s="18" t="n">
        <v>-134.592096</v>
      </c>
      <c r="Z31" s="18" t="n">
        <v>-209</v>
      </c>
      <c r="AA31" s="18" t="n">
        <v>-1055.485703</v>
      </c>
      <c r="AB31" s="18" t="n">
        <v>5.89468</v>
      </c>
      <c r="AC31" s="18" t="n">
        <v>-131.157718</v>
      </c>
    </row>
    <row r="32">
      <c r="A32" s="4" t="inlineStr">
        <is>
          <t>Free Cash Flow</t>
        </is>
      </c>
      <c r="B32" s="18" t="n">
        <v>152</v>
      </c>
      <c r="C32" s="18" t="n">
        <v>228</v>
      </c>
      <c r="D32" s="18" t="n">
        <v>79</v>
      </c>
      <c r="E32" s="18" t="n">
        <v>59</v>
      </c>
      <c r="F32" s="18" t="n">
        <v>105</v>
      </c>
      <c r="G32" s="18" t="n">
        <v>130</v>
      </c>
      <c r="H32" s="18" t="n">
        <v>37</v>
      </c>
      <c r="I32" s="18" t="n">
        <v>29</v>
      </c>
      <c r="J32" s="18" t="n">
        <v>134</v>
      </c>
      <c r="K32" s="18" t="n">
        <v>151</v>
      </c>
      <c r="L32" s="18" t="n">
        <v>110</v>
      </c>
      <c r="M32" s="18" t="n">
        <v>10</v>
      </c>
      <c r="N32" s="18" t="n">
        <v>92</v>
      </c>
      <c r="O32" s="18" t="n">
        <v>92</v>
      </c>
      <c r="P32" s="18" t="n">
        <v>178</v>
      </c>
      <c r="Q32" s="18" t="n">
        <v>-135</v>
      </c>
      <c r="R32" s="18" t="n">
        <v>-223</v>
      </c>
      <c r="S32" s="18" t="n">
        <v>72</v>
      </c>
      <c r="T32" s="18" t="n">
        <v>404.423474</v>
      </c>
      <c r="U32" s="18" t="n">
        <v>180.191474</v>
      </c>
      <c r="V32" s="18" t="n">
        <v>107.980085</v>
      </c>
      <c r="W32" s="18" t="n">
        <v>39</v>
      </c>
      <c r="X32" s="18" t="n">
        <v>403</v>
      </c>
      <c r="Y32" s="18" t="n">
        <v>107.673677</v>
      </c>
      <c r="Z32" s="18" t="n">
        <v>269</v>
      </c>
      <c r="AA32" s="18" t="n">
        <v>-666.4857029999999</v>
      </c>
      <c r="AB32" s="18" t="n">
        <v>511.971561</v>
      </c>
      <c r="AC32" s="18" t="n">
        <v>49.307415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3878.043738</v>
      </c>
      <c r="C4" s="18" t="n">
        <v>4108.875124</v>
      </c>
      <c r="D4" s="18" t="n">
        <v>4353.713405</v>
      </c>
      <c r="E4" s="18" t="n">
        <v>17677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</row>
    <row r="8">
      <c r="A8" s="3" t="inlineStr">
        <is>
          <t>EBITDA* — consensus</t>
        </is>
      </c>
      <c r="B8" s="18" t="n">
        <v>2958.193825</v>
      </c>
      <c r="C8" s="18" t="n">
        <v>3134.27332</v>
      </c>
      <c r="D8" s="18" t="n">
        <v>3321.037353</v>
      </c>
      <c r="E8" s="18" t="n">
        <v>13484.116165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</row>
    <row r="12">
      <c r="A12" s="3" t="inlineStr">
        <is>
          <t>EBIT* — consensus</t>
        </is>
      </c>
      <c r="B12" s="18" t="n">
        <v>2428.466732</v>
      </c>
      <c r="C12" s="18" t="n">
        <v>2573.015474</v>
      </c>
      <c r="D12" s="18" t="n">
        <v>2726.335462</v>
      </c>
      <c r="E12" s="18" t="n">
        <v>11069.500328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</row>
    <row r="16">
      <c r="A16" s="3" t="inlineStr">
        <is>
          <t>SG&amp;A — consensus</t>
        </is>
      </c>
      <c r="B16" s="18" t="n">
        <v>104.761489</v>
      </c>
      <c r="C16" s="18" t="n">
        <v>110.997169</v>
      </c>
      <c r="D16" s="18" t="n">
        <v>117.611232</v>
      </c>
      <c r="E16" s="18" t="n">
        <v>477.526552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</row>
    <row r="20">
      <c r="A20" s="3" t="inlineStr">
        <is>
          <t>Net income (NOPAT) — consensus</t>
        </is>
      </c>
      <c r="B20" s="18" t="n">
        <v>-75.012479</v>
      </c>
      <c r="C20" s="18" t="n">
        <v>-183.363837</v>
      </c>
      <c r="D20" s="18" t="n">
        <v>-301.24059</v>
      </c>
      <c r="E20" s="18" t="n">
        <v>0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</row>
    <row r="24">
      <c r="A24" s="3" t="inlineStr">
        <is>
          <t>EPS — consensus</t>
        </is>
      </c>
      <c r="B24" s="47" t="n">
        <v>-0.63</v>
      </c>
      <c r="C24" s="47" t="n">
        <v>-1.54</v>
      </c>
      <c r="D24" s="47" t="n">
        <v>-2.53</v>
      </c>
      <c r="E24" s="47" t="n">
        <v>0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Brookfield Infrastructure Corporation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Financials!AC19</f>
        <v/>
      </c>
    </row>
    <row r="33">
      <c r="A33" s="4" t="inlineStr">
        <is>
          <t>- Long-term debt</t>
        </is>
      </c>
      <c r="B33" s="33">
        <f>-Financials!AC24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0.09986559633027522</v>
      </c>
      <c r="C4" s="51" t="n">
        <v>0.1048655963302752</v>
      </c>
      <c r="D4" s="51" t="n">
        <v>0.1098655963302752</v>
      </c>
      <c r="E4" s="51" t="n">
        <v>0.1148655963302752</v>
      </c>
      <c r="F4" s="51" t="n">
        <v>0.1198655963302752</v>
      </c>
      <c r="G4" s="51" t="n">
        <v>0.1248655963302752</v>
      </c>
      <c r="H4" s="51" t="n">
        <v>0.1298655963302752</v>
      </c>
    </row>
    <row r="5">
      <c r="A5" s="52" t="n">
        <v>9</v>
      </c>
      <c r="B5" s="53" t="n">
        <v>-4.747764566662015</v>
      </c>
      <c r="C5" s="53" t="n">
        <v>-5.605265995861935</v>
      </c>
      <c r="D5" s="53" t="n">
        <v>-6.397905657518083</v>
      </c>
      <c r="E5" s="53" t="n">
        <v>-7.129734198969516</v>
      </c>
      <c r="F5" s="53" t="n">
        <v>-7.804550346105366</v>
      </c>
      <c r="G5" s="53" t="n">
        <v>-8.425917135704298</v>
      </c>
      <c r="H5" s="53" t="n">
        <v>-8.997177051754973</v>
      </c>
    </row>
    <row r="6">
      <c r="A6" s="52" t="n">
        <v>10</v>
      </c>
      <c r="B6" s="53" t="n">
        <v>1.589342774138507</v>
      </c>
      <c r="C6" s="53" t="n">
        <v>0.4508297607657502</v>
      </c>
      <c r="D6" s="53" t="n">
        <v>-0.6091749576641328</v>
      </c>
      <c r="E6" s="53" t="n">
        <v>-1.595441791084187</v>
      </c>
      <c r="F6" s="53" t="n">
        <v>-2.512448282343109</v>
      </c>
      <c r="G6" s="53" t="n">
        <v>-3.364397837059689</v>
      </c>
      <c r="H6" s="53" t="n">
        <v>-4.155237194949426</v>
      </c>
    </row>
    <row r="7">
      <c r="A7" s="52" t="n">
        <v>11</v>
      </c>
      <c r="B7" s="53" t="n">
        <v>7.926450114939016</v>
      </c>
      <c r="C7" s="53" t="n">
        <v>6.506925517393415</v>
      </c>
      <c r="D7" s="53" t="n">
        <v>5.179555742189804</v>
      </c>
      <c r="E7" s="53" t="n">
        <v>3.938850616801135</v>
      </c>
      <c r="F7" s="53" t="n">
        <v>2.779653781419147</v>
      </c>
      <c r="G7" s="53" t="n">
        <v>1.697121461584912</v>
      </c>
      <c r="H7" s="53" t="n">
        <v>0.6867026618561083</v>
      </c>
    </row>
    <row r="8">
      <c r="A8" s="52" t="n">
        <v>12</v>
      </c>
      <c r="B8" s="53" t="n">
        <v>14.26355745573952</v>
      </c>
      <c r="C8" s="53" t="n">
        <v>12.56302127402109</v>
      </c>
      <c r="D8" s="53" t="n">
        <v>10.96828644204375</v>
      </c>
      <c r="E8" s="54" t="n">
        <v>9.473143024686458</v>
      </c>
      <c r="F8" s="53" t="n">
        <v>8.071755845181396</v>
      </c>
      <c r="G8" s="53" t="n">
        <v>6.758640760229514</v>
      </c>
      <c r="H8" s="53" t="n">
        <v>5.528642518661649</v>
      </c>
    </row>
    <row r="9">
      <c r="A9" s="52" t="n">
        <v>13</v>
      </c>
      <c r="B9" s="53" t="n">
        <v>20.60066479654003</v>
      </c>
      <c r="C9" s="53" t="n">
        <v>18.61911703064877</v>
      </c>
      <c r="D9" s="53" t="n">
        <v>16.75701714189769</v>
      </c>
      <c r="E9" s="53" t="n">
        <v>15.00743543257178</v>
      </c>
      <c r="F9" s="53" t="n">
        <v>13.36385790894367</v>
      </c>
      <c r="G9" s="53" t="n">
        <v>11.82016005887412</v>
      </c>
      <c r="H9" s="53" t="n">
        <v>10.3705823754672</v>
      </c>
    </row>
    <row r="10">
      <c r="A10" s="52" t="n">
        <v>14</v>
      </c>
      <c r="B10" s="53" t="n">
        <v>26.93777213734054</v>
      </c>
      <c r="C10" s="53" t="n">
        <v>24.67521278727645</v>
      </c>
      <c r="D10" s="53" t="n">
        <v>22.54574784175164</v>
      </c>
      <c r="E10" s="53" t="n">
        <v>20.5417278404571</v>
      </c>
      <c r="F10" s="53" t="n">
        <v>18.65595997270592</v>
      </c>
      <c r="G10" s="53" t="n">
        <v>16.88167935751872</v>
      </c>
      <c r="H10" s="53" t="n">
        <v>15.21252223227274</v>
      </c>
    </row>
    <row r="11">
      <c r="A11" s="52" t="n">
        <v>15</v>
      </c>
      <c r="B11" s="53" t="n">
        <v>33.27487947814107</v>
      </c>
      <c r="C11" s="53" t="n">
        <v>30.73130854390412</v>
      </c>
      <c r="D11" s="53" t="n">
        <v>28.33447854160558</v>
      </c>
      <c r="E11" s="53" t="n">
        <v>26.07602024834243</v>
      </c>
      <c r="F11" s="53" t="n">
        <v>23.94806203646818</v>
      </c>
      <c r="G11" s="53" t="n">
        <v>21.94319865616334</v>
      </c>
      <c r="H11" s="53" t="n">
        <v>20.05446208907829</v>
      </c>
    </row>
    <row r="13">
      <c r="A13" s="3" t="inlineStr">
        <is>
          <t>Current price</t>
        </is>
      </c>
      <c r="B13" s="53" t="n">
        <v>39.2400016784668</v>
      </c>
    </row>
    <row r="14">
      <c r="A14" s="3" t="inlineStr">
        <is>
          <t>Base WACC / multiple</t>
        </is>
      </c>
      <c r="B14" s="55" t="n">
        <v>0.1148655963302752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0.1818675238708036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2.1728664379912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0.0275853597060596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-0.4935726684076571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2026-07-08T07:03:21Z</dcterms:created>
  <dcterms:modified xmlns:dcterms="http://purl.org/dc/terms/" xmlns:xsi="http://www.w3.org/2001/XMLSchema-instance" xsi:type="dcterms:W3CDTF">2026-07-08T07:03:21Z</dcterms:modified>
</cp:coreProperties>
</file>