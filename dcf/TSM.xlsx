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7" fillId="3" borderId="0" pivotButton="0" quotePrefix="0" xfId="0"/>
    <xf numFmtId="169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Taiwan Semiconductor Manufacturing Company Limited (TSM)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Taiwan Semiconductor Manufacturing Company Limited (TSM)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0.2103281118907646</v>
      </c>
      <c r="C20" s="15" t="n">
        <v>0.05</v>
      </c>
      <c r="D20" s="16" t="n">
        <v>0.2103281118907646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0.6498319752207689</v>
      </c>
      <c r="D29" s="16" t="n">
        <v>0.6498319752207689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0.5740610241761873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1398539.9736</v>
      </c>
      <c r="D34" s="18" t="n">
        <v>1398539.9736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1.264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0.0009645188096875986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436.6549987792969</v>
      </c>
    </row>
    <row r="49">
      <c r="A49" s="4" t="inlineStr">
        <is>
          <t>Growth fade curvature</t>
        </is>
      </c>
      <c r="B49" s="20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11584.31195364042</v>
      </c>
      <c r="C58" s="28" t="n">
        <v>15165.56985099866</v>
      </c>
      <c r="D58" s="28" t="n">
        <v>8754.522610062009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0.0001617783742056646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9.706702452339877e-05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TSM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builder default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SUM(Financials!I3:L3)</f>
        <v/>
      </c>
      <c r="C4" s="33">
        <f>SUM(Financials!M3:P3)</f>
        <v/>
      </c>
      <c r="D4" s="33">
        <f>SUM(Financials!Q3:T3)</f>
        <v/>
      </c>
      <c r="E4" s="33">
        <f>SUM(Financials!U3:X3)</f>
        <v/>
      </c>
      <c r="F4" s="33">
        <f>SUM(Financials!Y3:AB3)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SUM(Financials!I5:L5)</f>
        <v/>
      </c>
      <c r="C10" s="33">
        <f>SUM(Financials!M5:P5)</f>
        <v/>
      </c>
      <c r="D10" s="33">
        <f>SUM(Financials!Q5:T5)</f>
        <v/>
      </c>
      <c r="E10" s="33">
        <f>SUM(Financials!U5:X5)</f>
        <v/>
      </c>
      <c r="F10" s="33">
        <f>SUM(Financials!Y5:AB5)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0.4010234326790029</v>
      </c>
      <c r="H11" s="15" t="n">
        <v>0.4010234326790029</v>
      </c>
      <c r="I11" s="15" t="n">
        <v>0.4010234326790029</v>
      </c>
      <c r="J11" s="15" t="n">
        <v>0.4010234326790029</v>
      </c>
      <c r="K11" s="15" t="n">
        <v>0.4010234326790029</v>
      </c>
      <c r="L11" s="15" t="n">
        <v>0.4010234326790029</v>
      </c>
      <c r="M11" s="15" t="n">
        <v>0.4010234326790029</v>
      </c>
      <c r="N11" s="15" t="n">
        <v>0.4010234326790029</v>
      </c>
      <c r="O11" s="15" t="n">
        <v>0.4010234326790029</v>
      </c>
      <c r="P11" s="15" t="n">
        <v>0.4010234326790029</v>
      </c>
    </row>
    <row r="12">
      <c r="A12" s="4" t="inlineStr">
        <is>
          <t>R&amp;D / Technology</t>
        </is>
      </c>
      <c r="B12" s="33">
        <f>SUM(Financials!I7:L7)</f>
        <v/>
      </c>
      <c r="C12" s="33">
        <f>SUM(Financials!M7:P7)</f>
        <v/>
      </c>
      <c r="D12" s="33">
        <f>SUM(Financials!Q7:T7)</f>
        <v/>
      </c>
      <c r="E12" s="33">
        <f>SUM(Financials!U7:X7)</f>
        <v/>
      </c>
      <c r="F12" s="33">
        <f>SUM(Financials!Y7:AB7)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0.04864188158301727</v>
      </c>
      <c r="H13" s="15" t="n">
        <v>0.04864188158301727</v>
      </c>
      <c r="I13" s="15" t="n">
        <v>0.04864188158301727</v>
      </c>
      <c r="J13" s="15" t="n">
        <v>0.04864188158301727</v>
      </c>
      <c r="K13" s="15" t="n">
        <v>0.04864188158301727</v>
      </c>
      <c r="L13" s="15" t="n">
        <v>0.04864188158301727</v>
      </c>
      <c r="M13" s="15" t="n">
        <v>0.04864188158301727</v>
      </c>
      <c r="N13" s="15" t="n">
        <v>0.04864188158301727</v>
      </c>
      <c r="O13" s="15" t="n">
        <v>0.04864188158301727</v>
      </c>
      <c r="P13" s="15" t="n">
        <v>0.04864188158301727</v>
      </c>
    </row>
    <row r="14">
      <c r="A14" s="4" t="inlineStr">
        <is>
          <t>SG&amp;A</t>
        </is>
      </c>
      <c r="B14" s="33">
        <f>SUM(Financials!I9:L9)</f>
        <v/>
      </c>
      <c r="C14" s="33">
        <f>SUM(Financials!M9:P9)</f>
        <v/>
      </c>
      <c r="D14" s="33">
        <f>SUM(Financials!Q9:T9)</f>
        <v/>
      </c>
      <c r="E14" s="33">
        <f>SUM(Financials!U9:X9)</f>
        <v/>
      </c>
      <c r="F14" s="33">
        <f>SUM(Financials!Y9:AB9)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0.02603934275237328</v>
      </c>
      <c r="H15" s="15" t="n">
        <v>0.02603934275237328</v>
      </c>
      <c r="I15" s="15" t="n">
        <v>0.02603934275237328</v>
      </c>
      <c r="J15" s="15" t="n">
        <v>0.02603934275237328</v>
      </c>
      <c r="K15" s="15" t="n">
        <v>0.02603934275237328</v>
      </c>
      <c r="L15" s="15" t="n">
        <v>0.02603934275237328</v>
      </c>
      <c r="M15" s="15" t="n">
        <v>0.02603934275237328</v>
      </c>
      <c r="N15" s="15" t="n">
        <v>0.02603934275237328</v>
      </c>
      <c r="O15" s="15" t="n">
        <v>0.02603934275237328</v>
      </c>
      <c r="P15" s="15" t="n">
        <v>0.02603934275237328</v>
      </c>
    </row>
    <row r="16">
      <c r="A16" s="4" t="inlineStr">
        <is>
          <t>Other opex (fulfilment, etc.)</t>
        </is>
      </c>
      <c r="B16" s="33">
        <f>B6-(B10+B12+B14)-SUM(Financials!I13:L13)</f>
        <v/>
      </c>
      <c r="C16" s="33">
        <f>C6-(C10+C12+C14)-SUM(Financials!M13:P13)</f>
        <v/>
      </c>
      <c r="D16" s="33">
        <f>D6-(D10+D12+D14)-SUM(Financials!Q13:T13)</f>
        <v/>
      </c>
      <c r="E16" s="33">
        <f>E6-(E10+E12+E14)-SUM(Financials!U13:X13)</f>
        <v/>
      </c>
      <c r="F16" s="33">
        <f>F6-(F10+F12+F14)-SUM(Financials!Y13:AB13)</f>
        <v/>
      </c>
      <c r="G16" s="33">
        <f>G6*(1-(Dashboard!$B$29+(Dashboard!$B$30-Dashboard!$B$29)*MIN(1,0/3)))-(G10+G12+G14)</f>
        <v/>
      </c>
      <c r="H16" s="33">
        <f>H6*(1-(Dashboard!$B$29+(Dashboard!$B$30-Dashboard!$B$29)*MIN(1,1/3)))-(H10+H12+H14)</f>
        <v/>
      </c>
      <c r="I16" s="33">
        <f>I6*(1-(Dashboard!$B$29+(Dashboard!$B$30-Dashboard!$B$29)*MIN(1,2/3)))-(I10+I12+I14)</f>
        <v/>
      </c>
      <c r="J16" s="33">
        <f>J6*(1-(Dashboard!$B$29+(Dashboard!$B$30-Dashboard!$B$29)*MIN(1,3/3)))-(J10+J12+J14)</f>
        <v/>
      </c>
      <c r="K16" s="33">
        <f>K6*(1-(Dashboard!$B$29+(Dashboard!$B$30-Dashboard!$B$29)*MIN(1,4/3)))-(K10+K12+K14)</f>
        <v/>
      </c>
      <c r="L16" s="33">
        <f>L6*(1-(Dashboard!$B$29+(Dashboard!$B$30-Dashboard!$B$29)*MIN(1,5/3)))-(L10+L12+L14)</f>
        <v/>
      </c>
      <c r="M16" s="33">
        <f>M6*(1-(Dashboard!$B$29+(Dashboard!$B$30-Dashboard!$B$29)*MIN(1,6/3)))-(M10+M12+M14)</f>
        <v/>
      </c>
      <c r="N16" s="33">
        <f>N6*(1-(Dashboard!$B$29+(Dashboard!$B$30-Dashboard!$B$29)*MIN(1,7/3)))-(N10+N12+N14)</f>
        <v/>
      </c>
      <c r="O16" s="33">
        <f>O6*(1-(Dashboard!$B$29+(Dashboard!$B$30-Dashboard!$B$29)*MIN(1,8/3)))-(O10+O12+O14)</f>
        <v/>
      </c>
      <c r="P16" s="33">
        <f>P6*(1-(Dashboard!$B$29+(Dashboard!$B$30-Dashboard!$B$29)*MIN(1,9/3)))-(P10+P12+P14)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SUM(Financials!I27:L27)</f>
        <v/>
      </c>
      <c r="C24" s="33">
        <f>SUM(Financials!M27:P27)</f>
        <v/>
      </c>
      <c r="D24" s="33">
        <f>SUM(Financials!Q27:T27)</f>
        <v/>
      </c>
      <c r="E24" s="33">
        <f>SUM(Financials!U27:X27)</f>
        <v/>
      </c>
      <c r="F24" s="33">
        <f>SUM(Financials!Y27:AB27)</f>
        <v/>
      </c>
      <c r="G24" s="41">
        <f>G6*0.1347</f>
        <v/>
      </c>
      <c r="H24" s="41">
        <f>H6*0.1347</f>
        <v/>
      </c>
      <c r="I24" s="41">
        <f>I6*0.1347</f>
        <v/>
      </c>
      <c r="J24" s="41">
        <f>J6*0.1347</f>
        <v/>
      </c>
      <c r="K24" s="41">
        <f>K6*0.1347</f>
        <v/>
      </c>
      <c r="L24" s="41">
        <f>L6*0.1347</f>
        <v/>
      </c>
      <c r="M24" s="41">
        <f>M6*0.1347</f>
        <v/>
      </c>
      <c r="N24" s="41">
        <f>N6*0.1347</f>
        <v/>
      </c>
      <c r="O24" s="41">
        <f>O6*0.1347</f>
        <v/>
      </c>
      <c r="P24" s="41">
        <f>P6*0.1347</f>
        <v/>
      </c>
    </row>
    <row r="25">
      <c r="A25" s="4" t="inlineStr">
        <is>
          <t>+ SBC (non-cash)</t>
        </is>
      </c>
      <c r="B25" s="33">
        <f>SUM(Financials!I28:L28)</f>
        <v/>
      </c>
      <c r="C25" s="33">
        <f>SUM(Financials!M28:P28)</f>
        <v/>
      </c>
      <c r="D25" s="33">
        <f>SUM(Financials!Q28:T28)</f>
        <v/>
      </c>
      <c r="E25" s="33">
        <f>SUM(Financials!U28:X28)</f>
        <v/>
      </c>
      <c r="F25" s="33">
        <f>SUM(Financials!Y28:AB28)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-SUM(Financials!I31:L31)</f>
        <v/>
      </c>
      <c r="C27" s="33">
        <f>-SUM(Financials!M31:P31)</f>
        <v/>
      </c>
      <c r="D27" s="33">
        <f>-SUM(Financials!Q31:T31)</f>
        <v/>
      </c>
      <c r="E27" s="33">
        <f>-SUM(Financials!U31:X31)</f>
        <v/>
      </c>
      <c r="F27" s="33">
        <f>-SUM(Financials!Y31:AB31)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Financials!L25+Financials!L24-Financials!L19</f>
        <v/>
      </c>
      <c r="C34" s="33">
        <f>Financials!P25+Financials!P24-Financials!P19</f>
        <v/>
      </c>
      <c r="D34" s="33">
        <f>Financials!T25+Financials!T24-Financials!T19</f>
        <v/>
      </c>
      <c r="E34" s="33">
        <f>Financials!X25+Financials!X24-Financials!X19</f>
        <v/>
      </c>
      <c r="F34" s="33">
        <f>Financials!AB25+Financials!AB24-Financials!AB19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Financials!L25</f>
        <v/>
      </c>
      <c r="C35" s="33">
        <f>Financials!P25</f>
        <v/>
      </c>
      <c r="D35" s="33">
        <f>Financials!T25</f>
        <v/>
      </c>
      <c r="E35" s="33">
        <f>Financials!X25</f>
        <v/>
      </c>
      <c r="F35" s="33">
        <f>Financials!AB25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241055.305</v>
      </c>
      <c r="C3" s="18" t="n">
        <v>293025.712</v>
      </c>
      <c r="D3" s="18" t="n">
        <v>317237</v>
      </c>
      <c r="E3" s="18" t="n">
        <v>310589.51</v>
      </c>
      <c r="F3" s="18" t="n">
        <v>310629.333</v>
      </c>
      <c r="G3" s="18" t="n">
        <v>356439.03</v>
      </c>
      <c r="H3" s="18" t="n">
        <v>361580.627</v>
      </c>
      <c r="I3" s="18" t="n">
        <v>362410.23</v>
      </c>
      <c r="J3" s="18" t="n">
        <v>372145.122</v>
      </c>
      <c r="K3" s="18" t="n">
        <v>414670.379</v>
      </c>
      <c r="L3" s="18" t="n">
        <v>438264.864</v>
      </c>
      <c r="M3" s="18" t="n">
        <v>491075.873</v>
      </c>
      <c r="N3" s="18" t="n">
        <v>534140.808</v>
      </c>
      <c r="O3" s="18" t="n">
        <v>613142.743</v>
      </c>
      <c r="P3" s="18" t="n">
        <v>625531.876</v>
      </c>
      <c r="Q3" s="18" t="n">
        <v>508632.973</v>
      </c>
      <c r="R3" s="18" t="n">
        <v>480841.254</v>
      </c>
      <c r="S3" s="18" t="n">
        <v>546733</v>
      </c>
      <c r="T3" s="18" t="n">
        <v>625529</v>
      </c>
      <c r="U3" s="18" t="n">
        <v>592644.201</v>
      </c>
      <c r="V3" s="18" t="n">
        <v>673510.177</v>
      </c>
      <c r="W3" s="18" t="n">
        <v>759692.143</v>
      </c>
      <c r="X3" s="18" t="n">
        <v>868461</v>
      </c>
      <c r="Y3" s="18" t="n">
        <v>839254</v>
      </c>
      <c r="Z3" s="18" t="n">
        <v>933792</v>
      </c>
      <c r="AA3" s="18" t="n">
        <v>989918</v>
      </c>
      <c r="AB3" s="18" t="n">
        <v>1055976.591</v>
      </c>
      <c r="AC3" s="18" t="n">
        <v>1134103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137325.245</v>
      </c>
      <c r="C5" s="18" t="n">
        <v>153613.278</v>
      </c>
      <c r="D5" s="18" t="n">
        <v>158035</v>
      </c>
      <c r="E5" s="18" t="n">
        <v>149813.002</v>
      </c>
      <c r="F5" s="18" t="n">
        <v>146005.542</v>
      </c>
      <c r="G5" s="18" t="n">
        <v>165945.534</v>
      </c>
      <c r="H5" s="18" t="n">
        <v>166344.322</v>
      </c>
      <c r="I5" s="18" t="n">
        <v>172570.8</v>
      </c>
      <c r="J5" s="18" t="n">
        <v>185948.304</v>
      </c>
      <c r="K5" s="18" t="n">
        <v>201924.184</v>
      </c>
      <c r="L5" s="18" t="n">
        <v>207510.007</v>
      </c>
      <c r="M5" s="18" t="n">
        <v>217872.707</v>
      </c>
      <c r="N5" s="18" t="n">
        <v>218672.814</v>
      </c>
      <c r="O5" s="18" t="n">
        <v>242644.026</v>
      </c>
      <c r="P5" s="18" t="n">
        <v>236346.953</v>
      </c>
      <c r="Q5" s="18" t="n">
        <v>222132.581</v>
      </c>
      <c r="R5" s="18" t="n">
        <v>220641.407</v>
      </c>
      <c r="S5" s="18" t="n">
        <v>250090.294</v>
      </c>
      <c r="T5" s="18" t="n">
        <v>293761</v>
      </c>
      <c r="U5" s="18" t="n">
        <v>278138.932</v>
      </c>
      <c r="V5" s="18" t="n">
        <v>315385.699</v>
      </c>
      <c r="W5" s="18" t="n">
        <v>320346.477</v>
      </c>
      <c r="X5" s="18" t="n">
        <v>356082</v>
      </c>
      <c r="Y5" s="18" t="n">
        <v>345859</v>
      </c>
      <c r="Z5" s="18" t="n">
        <v>386423</v>
      </c>
      <c r="AA5" s="18" t="n">
        <v>401375</v>
      </c>
      <c r="AB5" s="18" t="n">
        <v>397827.665</v>
      </c>
      <c r="AC5" s="18" t="n">
        <v>382808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21393.728</v>
      </c>
      <c r="C7" s="18" t="n">
        <v>23972.076</v>
      </c>
      <c r="D7" s="18" t="n">
        <v>25636</v>
      </c>
      <c r="E7" s="18" t="n">
        <v>24968.883</v>
      </c>
      <c r="F7" s="18" t="n">
        <v>24893.043</v>
      </c>
      <c r="G7" s="18" t="n">
        <v>29683.751</v>
      </c>
      <c r="H7" s="18" t="n">
        <v>29940.323</v>
      </c>
      <c r="I7" s="18" t="n">
        <v>30756.358</v>
      </c>
      <c r="J7" s="18" t="n">
        <v>30873.376</v>
      </c>
      <c r="K7" s="18" t="n">
        <v>30866.634</v>
      </c>
      <c r="L7" s="18" t="n">
        <v>32238.432</v>
      </c>
      <c r="M7" s="18" t="n">
        <v>36048.54</v>
      </c>
      <c r="N7" s="18" t="n">
        <v>39649.13</v>
      </c>
      <c r="O7" s="18" t="n">
        <v>42977.507</v>
      </c>
      <c r="P7" s="18" t="n">
        <v>44587.023</v>
      </c>
      <c r="Q7" s="18" t="n">
        <v>39157.036</v>
      </c>
      <c r="R7" s="18" t="n">
        <v>41665.278</v>
      </c>
      <c r="S7" s="18" t="n">
        <v>51137.762</v>
      </c>
      <c r="T7" s="18" t="n">
        <v>50410</v>
      </c>
      <c r="U7" s="18" t="n">
        <v>46108.936</v>
      </c>
      <c r="V7" s="18" t="n">
        <v>48057.704</v>
      </c>
      <c r="W7" s="18" t="n">
        <v>52783.826</v>
      </c>
      <c r="X7" s="18" t="n">
        <v>57232</v>
      </c>
      <c r="Y7" s="18" t="n">
        <v>56547.493</v>
      </c>
      <c r="Z7" s="18" t="n">
        <v>0</v>
      </c>
      <c r="AA7" s="18" t="n">
        <v>63743</v>
      </c>
      <c r="AB7" s="18" t="n">
        <v>65469.963</v>
      </c>
      <c r="AC7" s="18" t="n">
        <v>67757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5771.267</v>
      </c>
      <c r="C9" s="18" t="n">
        <v>7406.877</v>
      </c>
      <c r="D9" s="18" t="n">
        <v>9307</v>
      </c>
      <c r="E9" s="18" t="n">
        <v>7354.163</v>
      </c>
      <c r="F9" s="18" t="n">
        <v>8627.665999999999</v>
      </c>
      <c r="G9" s="18" t="n">
        <v>11207.604</v>
      </c>
      <c r="H9" s="18" t="n">
        <v>8380.967000000001</v>
      </c>
      <c r="I9" s="18" t="n">
        <v>8355.475</v>
      </c>
      <c r="J9" s="18" t="n">
        <v>9710.047</v>
      </c>
      <c r="K9" s="18" t="n">
        <v>10783.282</v>
      </c>
      <c r="L9" s="18" t="n">
        <v>15639.396</v>
      </c>
      <c r="M9" s="18" t="n">
        <v>12562.65</v>
      </c>
      <c r="N9" s="18" t="n">
        <v>13725.388</v>
      </c>
      <c r="O9" s="18" t="n">
        <v>17208.955</v>
      </c>
      <c r="P9" s="18" t="n">
        <v>19948.307</v>
      </c>
      <c r="Q9" s="18" t="n">
        <v>16152.308</v>
      </c>
      <c r="R9" s="18" t="n">
        <v>16529.282</v>
      </c>
      <c r="S9" s="18" t="n">
        <v>17571.029</v>
      </c>
      <c r="T9" s="18" t="n">
        <v>21211</v>
      </c>
      <c r="U9" s="18" t="n">
        <v>19248.345</v>
      </c>
      <c r="V9" s="18" t="n">
        <v>22237.606</v>
      </c>
      <c r="W9" s="18" t="n">
        <v>26295.078</v>
      </c>
      <c r="X9" s="18" t="n">
        <v>29108</v>
      </c>
      <c r="Y9" s="18" t="n">
        <v>28638.563</v>
      </c>
      <c r="Z9" s="18" t="n">
        <v>23228.62</v>
      </c>
      <c r="AA9" s="18" t="n">
        <v>24022</v>
      </c>
      <c r="AB9" s="18" t="n">
        <v>23553.52</v>
      </c>
      <c r="AC9" s="18" t="n">
        <v>26249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103730.06</v>
      </c>
      <c r="C11" s="18" t="n">
        <v>139412.434</v>
      </c>
      <c r="D11" s="18" t="n">
        <v>159202</v>
      </c>
      <c r="E11" s="18" t="n">
        <v>160776.508</v>
      </c>
      <c r="F11" s="18" t="n">
        <v>164623.791</v>
      </c>
      <c r="G11" s="18" t="n">
        <v>190493.496</v>
      </c>
      <c r="H11" s="18" t="n">
        <v>195236.305</v>
      </c>
      <c r="I11" s="18" t="n">
        <v>189839.43</v>
      </c>
      <c r="J11" s="18" t="n">
        <v>186196.818</v>
      </c>
      <c r="K11" s="18" t="n">
        <v>212746.195</v>
      </c>
      <c r="L11" s="18" t="n">
        <v>230754.857</v>
      </c>
      <c r="M11" s="18" t="n">
        <v>273203.166</v>
      </c>
      <c r="N11" s="18" t="n">
        <v>315467.994</v>
      </c>
      <c r="O11" s="18" t="n">
        <v>370498.717</v>
      </c>
      <c r="P11" s="18" t="n">
        <v>389184.923</v>
      </c>
      <c r="Q11" s="18" t="n">
        <v>286500.392</v>
      </c>
      <c r="R11" s="18" t="n">
        <v>260199.847</v>
      </c>
      <c r="S11" s="18" t="n">
        <v>296643</v>
      </c>
      <c r="T11" s="18" t="n">
        <v>331768</v>
      </c>
      <c r="U11" s="18" t="n">
        <v>314505.269</v>
      </c>
      <c r="V11" s="18" t="n">
        <v>358124.478</v>
      </c>
      <c r="W11" s="18" t="n">
        <v>439345.666</v>
      </c>
      <c r="X11" s="18" t="n">
        <v>512379</v>
      </c>
      <c r="Y11" s="18" t="n">
        <v>493395</v>
      </c>
      <c r="Z11" s="18" t="n">
        <v>547369</v>
      </c>
      <c r="AA11" s="18" t="n">
        <v>588543</v>
      </c>
      <c r="AB11" s="18" t="n">
        <v>658148.926</v>
      </c>
      <c r="AC11" s="18" t="n">
        <v>751295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76304.053</v>
      </c>
      <c r="C13" s="18" t="n">
        <v>107887.292</v>
      </c>
      <c r="D13" s="18" t="n">
        <v>124548.511</v>
      </c>
      <c r="E13" s="18" t="n">
        <v>128521.637</v>
      </c>
      <c r="F13" s="18" t="n">
        <v>131094.538</v>
      </c>
      <c r="G13" s="18" t="n">
        <v>150047.349</v>
      </c>
      <c r="H13" s="18" t="n">
        <v>157120.176</v>
      </c>
      <c r="I13" s="18" t="n">
        <v>150538.19</v>
      </c>
      <c r="J13" s="18" t="n">
        <v>145667.205</v>
      </c>
      <c r="K13" s="18" t="n">
        <v>171003.548</v>
      </c>
      <c r="L13" s="18" t="n">
        <v>182771.957</v>
      </c>
      <c r="M13" s="18" t="n">
        <v>223790.118</v>
      </c>
      <c r="N13" s="18" t="n">
        <v>262123.749</v>
      </c>
      <c r="O13" s="18" t="n">
        <v>310324.214</v>
      </c>
      <c r="P13" s="18" t="n">
        <v>325040.819</v>
      </c>
      <c r="Q13" s="18" t="n">
        <v>231238.157</v>
      </c>
      <c r="R13" s="18" t="n">
        <v>201958.043</v>
      </c>
      <c r="S13" s="18" t="n">
        <v>228065</v>
      </c>
      <c r="T13" s="18" t="n">
        <v>260205</v>
      </c>
      <c r="U13" s="18" t="n">
        <v>249018.306</v>
      </c>
      <c r="V13" s="18" t="n">
        <v>286555.542</v>
      </c>
      <c r="W13" s="18" t="n">
        <v>360766.289</v>
      </c>
      <c r="X13" s="18" t="n">
        <v>425713</v>
      </c>
      <c r="Y13" s="18" t="n">
        <v>407081</v>
      </c>
      <c r="Z13" s="18" t="n">
        <v>463423</v>
      </c>
      <c r="AA13" s="18" t="n">
        <v>500685</v>
      </c>
      <c r="AB13" s="18" t="n">
        <v>569125.442</v>
      </c>
      <c r="AC13" s="18" t="n">
        <v>657289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66764.85000000001</v>
      </c>
      <c r="C15" s="18" t="n">
        <v>101069.886</v>
      </c>
      <c r="D15" s="18" t="n">
        <v>116035</v>
      </c>
      <c r="E15" s="18" t="n">
        <v>116986.72</v>
      </c>
      <c r="F15" s="18" t="n">
        <v>120822.193</v>
      </c>
      <c r="G15" s="18" t="n">
        <v>137310.04</v>
      </c>
      <c r="H15" s="18" t="n">
        <v>135625.047</v>
      </c>
      <c r="I15" s="18" t="n">
        <v>139690.493</v>
      </c>
      <c r="J15" s="18" t="n">
        <v>134358.942</v>
      </c>
      <c r="K15" s="18" t="n">
        <v>156258.287</v>
      </c>
      <c r="L15" s="18" t="n">
        <v>162051.478</v>
      </c>
      <c r="M15" s="18" t="n">
        <v>202732.975</v>
      </c>
      <c r="N15" s="18" t="n">
        <v>237027.317</v>
      </c>
      <c r="O15" s="18" t="n">
        <v>280865.78</v>
      </c>
      <c r="P15" s="18" t="n">
        <v>272297.328</v>
      </c>
      <c r="Q15" s="18" t="n">
        <v>206986.561</v>
      </c>
      <c r="R15" s="18" t="n">
        <v>181799.021</v>
      </c>
      <c r="S15" s="18" t="n">
        <v>211000</v>
      </c>
      <c r="T15" s="18" t="n">
        <v>238712</v>
      </c>
      <c r="U15" s="18" t="n">
        <v>225484.877</v>
      </c>
      <c r="V15" s="18" t="n">
        <v>247845.528</v>
      </c>
      <c r="W15" s="18" t="n">
        <v>325257.571</v>
      </c>
      <c r="X15" s="18" t="n">
        <v>359792.224</v>
      </c>
      <c r="Y15" s="18" t="n">
        <v>361564.128</v>
      </c>
      <c r="Z15" s="18" t="n">
        <v>398273</v>
      </c>
      <c r="AA15" s="18" t="n">
        <v>452302</v>
      </c>
      <c r="AB15" s="18" t="n">
        <v>510523.784</v>
      </c>
      <c r="AC15" s="18" t="n">
        <v>572480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5186.076</v>
      </c>
      <c r="C17" s="18" t="n">
        <v>5186.076</v>
      </c>
      <c r="D17" s="18" t="n">
        <v>5186.076</v>
      </c>
      <c r="E17" s="18" t="n">
        <v>5186.076</v>
      </c>
      <c r="F17" s="18" t="n">
        <v>5186.076</v>
      </c>
      <c r="G17" s="18" t="n">
        <v>5186.076</v>
      </c>
      <c r="H17" s="18" t="n">
        <v>5186.076</v>
      </c>
      <c r="I17" s="18" t="n">
        <v>5186.076</v>
      </c>
      <c r="J17" s="18" t="n">
        <v>5186.076</v>
      </c>
      <c r="K17" s="18" t="n">
        <v>5186.076</v>
      </c>
      <c r="L17" s="18" t="n">
        <v>5186.076</v>
      </c>
      <c r="M17" s="18" t="n">
        <v>5185.9668</v>
      </c>
      <c r="N17" s="18" t="n">
        <v>5185.8334</v>
      </c>
      <c r="O17" s="18" t="n">
        <v>5185.833</v>
      </c>
      <c r="P17" s="18" t="n">
        <v>5186.076</v>
      </c>
      <c r="Q17" s="18" t="n">
        <v>5185.8752</v>
      </c>
      <c r="R17" s="18" t="n">
        <v>5185.883</v>
      </c>
      <c r="S17" s="18" t="n">
        <v>5185.8716</v>
      </c>
      <c r="T17" s="18" t="n">
        <v>5186.4142</v>
      </c>
      <c r="U17" s="18" t="n">
        <v>5186</v>
      </c>
      <c r="V17" s="18" t="n">
        <v>5186.1624</v>
      </c>
      <c r="W17" s="18" t="n">
        <v>5185.6</v>
      </c>
      <c r="X17" s="18" t="n">
        <v>5185.5112</v>
      </c>
      <c r="Y17" s="18" t="n">
        <v>5185.8</v>
      </c>
      <c r="Z17" s="18" t="n">
        <v>5185.8</v>
      </c>
      <c r="AA17" s="18" t="n">
        <v>5186</v>
      </c>
      <c r="AB17" s="18" t="n">
        <v>5186.2</v>
      </c>
      <c r="AC17" s="18" t="n">
        <v>5186.2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779548.781</v>
      </c>
      <c r="C19" s="18" t="n">
        <v>602600.487</v>
      </c>
      <c r="D19" s="18" t="n">
        <v>594301.6</v>
      </c>
      <c r="E19" s="18" t="n">
        <v>572250.045</v>
      </c>
      <c r="F19" s="18" t="n">
        <v>615452.3320000001</v>
      </c>
      <c r="G19" s="18" t="n">
        <v>752067.627</v>
      </c>
      <c r="H19" s="18" t="n">
        <v>799893.2</v>
      </c>
      <c r="I19" s="18" t="n">
        <v>811788.948</v>
      </c>
      <c r="J19" s="18" t="n">
        <v>883285</v>
      </c>
      <c r="K19" s="18" t="n">
        <v>989789.612</v>
      </c>
      <c r="L19" s="18" t="n">
        <v>1204913.7</v>
      </c>
      <c r="M19" s="18" t="n">
        <v>1297254.453</v>
      </c>
      <c r="N19" s="18" t="n">
        <v>1450240.838</v>
      </c>
      <c r="O19" s="18" t="n">
        <v>1518935.673</v>
      </c>
      <c r="P19" s="18" t="n">
        <v>1586500.1</v>
      </c>
      <c r="Q19" s="18" t="n">
        <v>1614331.143</v>
      </c>
      <c r="R19" s="18" t="n">
        <v>1514650.174</v>
      </c>
      <c r="S19" s="18" t="n">
        <v>1578075.276</v>
      </c>
      <c r="T19" s="18" t="n">
        <v>1714803.2</v>
      </c>
      <c r="U19" s="18" t="n">
        <v>1955367.289</v>
      </c>
      <c r="V19" s="18" t="n">
        <v>2084258.693</v>
      </c>
      <c r="W19" s="18" t="n">
        <v>2162828.736</v>
      </c>
      <c r="X19" s="18" t="n">
        <v>2485147</v>
      </c>
      <c r="Y19" s="18" t="n">
        <v>2762568.552</v>
      </c>
      <c r="Z19" s="18" t="n">
        <v>2683632.204</v>
      </c>
      <c r="AA19" s="18" t="n">
        <v>2751035.713</v>
      </c>
      <c r="AB19" s="18" t="n">
        <v>3128297.7</v>
      </c>
      <c r="AC19" s="18" t="n">
        <v>3382860.143</v>
      </c>
    </row>
    <row r="20">
      <c r="A20" s="4" t="inlineStr">
        <is>
          <t>Total Current Assets</t>
        </is>
      </c>
      <c r="B20" s="18" t="n">
        <v>1010179.338</v>
      </c>
      <c r="C20" s="18" t="n">
        <v>849427.436</v>
      </c>
      <c r="D20" s="18" t="n">
        <v>822613.9</v>
      </c>
      <c r="E20" s="18" t="n">
        <v>802470.04</v>
      </c>
      <c r="F20" s="18" t="n">
        <v>860031.58</v>
      </c>
      <c r="G20" s="18" t="n">
        <v>1029673.918</v>
      </c>
      <c r="H20" s="18" t="n">
        <v>1092185.3</v>
      </c>
      <c r="I20" s="18" t="n">
        <v>1139786.823</v>
      </c>
      <c r="J20" s="18" t="n">
        <v>1241104</v>
      </c>
      <c r="K20" s="18" t="n">
        <v>1370639.169</v>
      </c>
      <c r="L20" s="18" t="n">
        <v>1607072.9</v>
      </c>
      <c r="M20" s="18" t="n">
        <v>1722237.632</v>
      </c>
      <c r="N20" s="18" t="n">
        <v>1905866.396</v>
      </c>
      <c r="O20" s="18" t="n">
        <v>2014232.358</v>
      </c>
      <c r="P20" s="18" t="n">
        <v>2052896.7</v>
      </c>
      <c r="Q20" s="18" t="n">
        <v>1995727.521</v>
      </c>
      <c r="R20" s="18" t="n">
        <v>1959964.207</v>
      </c>
      <c r="S20" s="18" t="n">
        <v>2082477.636</v>
      </c>
      <c r="T20" s="18" t="n">
        <v>2194032.9</v>
      </c>
      <c r="U20" s="18" t="n">
        <v>2452767.394</v>
      </c>
      <c r="V20" s="18" t="n">
        <v>2591658.093</v>
      </c>
      <c r="W20" s="18" t="n">
        <v>2773913.863</v>
      </c>
      <c r="X20" s="18" t="n">
        <v>3088352.1</v>
      </c>
      <c r="Y20" s="18" t="n">
        <v>3345663.882</v>
      </c>
      <c r="Z20" s="18" t="n">
        <v>3264917.475</v>
      </c>
      <c r="AA20" s="18" t="n">
        <v>3436015.312</v>
      </c>
      <c r="AB20" s="18" t="n">
        <v>3817130.8</v>
      </c>
      <c r="AC20" s="18" t="n">
        <v>4264578.044</v>
      </c>
    </row>
    <row r="21">
      <c r="A21" s="4" t="inlineStr">
        <is>
          <t>PP&amp;E (net)</t>
        </is>
      </c>
      <c r="B21" s="18" t="n">
        <v>1160913.492</v>
      </c>
      <c r="C21" s="18" t="n">
        <v>1215462.124</v>
      </c>
      <c r="D21" s="18" t="n">
        <v>1369609.8</v>
      </c>
      <c r="E21" s="18" t="n">
        <v>1459935.933</v>
      </c>
      <c r="F21" s="18" t="n">
        <v>1514597.844</v>
      </c>
      <c r="G21" s="18" t="n">
        <v>1525262.2</v>
      </c>
      <c r="H21" s="18" t="n">
        <v>1583317.6</v>
      </c>
      <c r="I21" s="18" t="n">
        <v>1690833.602</v>
      </c>
      <c r="J21" s="18" t="n">
        <v>1755298.4</v>
      </c>
      <c r="K21" s="18" t="n">
        <v>1861855.662</v>
      </c>
      <c r="L21" s="18" t="n">
        <v>2007853.1</v>
      </c>
      <c r="M21" s="18" t="n">
        <v>2137252.8</v>
      </c>
      <c r="N21" s="18" t="n">
        <v>2282612.319</v>
      </c>
      <c r="O21" s="18" t="n">
        <v>2453839.994</v>
      </c>
      <c r="P21" s="18" t="n">
        <v>2735751</v>
      </c>
      <c r="Q21" s="18" t="n">
        <v>2875415.548</v>
      </c>
      <c r="R21" s="18" t="n">
        <v>2988828.403</v>
      </c>
      <c r="S21" s="18" t="n">
        <v>3173919.078</v>
      </c>
      <c r="T21" s="18" t="n">
        <v>3104899.7</v>
      </c>
      <c r="U21" s="18" t="n">
        <v>3091984.853</v>
      </c>
      <c r="V21" s="18" t="n">
        <v>3145373.006</v>
      </c>
      <c r="W21" s="18" t="n">
        <v>3071600</v>
      </c>
      <c r="X21" s="18" t="n">
        <v>3275108.5</v>
      </c>
      <c r="Y21" s="18" t="n">
        <v>3442109.57</v>
      </c>
      <c r="Z21" s="18" t="n">
        <v>3430064.27</v>
      </c>
      <c r="AA21" s="18" t="n">
        <v>3542609.617</v>
      </c>
      <c r="AB21" s="18" t="n">
        <v>3735759.8</v>
      </c>
      <c r="AC21" s="18" t="n">
        <v>3953813.102</v>
      </c>
    </row>
    <row r="22">
      <c r="A22" s="4" t="inlineStr">
        <is>
          <t>Total Assets</t>
        </is>
      </c>
      <c r="B22" s="18" t="n">
        <v>2239343.671</v>
      </c>
      <c r="C22" s="18" t="n">
        <v>2134234.45</v>
      </c>
      <c r="D22" s="18" t="n">
        <v>2264725</v>
      </c>
      <c r="E22" s="18" t="n">
        <v>2343295.696</v>
      </c>
      <c r="F22" s="18" t="n">
        <v>2448664.522</v>
      </c>
      <c r="G22" s="18" t="n">
        <v>2635572.214</v>
      </c>
      <c r="H22" s="18" t="n">
        <v>2760600.5</v>
      </c>
      <c r="I22" s="18" t="n">
        <v>2919131.461</v>
      </c>
      <c r="J22" s="18" t="n">
        <v>3092688.8</v>
      </c>
      <c r="K22" s="18" t="n">
        <v>3332311.884</v>
      </c>
      <c r="L22" s="18" t="n">
        <v>3725302.2</v>
      </c>
      <c r="M22" s="18" t="n">
        <v>3992676.667</v>
      </c>
      <c r="N22" s="18" t="n">
        <v>4345941.335</v>
      </c>
      <c r="O22" s="18" t="n">
        <v>4643301.766</v>
      </c>
      <c r="P22" s="18" t="n">
        <v>4964459.1</v>
      </c>
      <c r="Q22" s="18" t="n">
        <v>5045844.348</v>
      </c>
      <c r="R22" s="18" t="n">
        <v>5149465.045</v>
      </c>
      <c r="S22" s="18" t="n">
        <v>5484556.381</v>
      </c>
      <c r="T22" s="18" t="n">
        <v>5532196.6</v>
      </c>
      <c r="U22" s="18" t="n">
        <v>5787891.082</v>
      </c>
      <c r="V22" s="18" t="n">
        <v>5982364.014</v>
      </c>
      <c r="W22" s="18" t="n">
        <v>6165658.176</v>
      </c>
      <c r="X22" s="18" t="n">
        <v>6691764.7</v>
      </c>
      <c r="Y22" s="18" t="n">
        <v>7133287.42</v>
      </c>
      <c r="Z22" s="18" t="n">
        <v>7006349.549</v>
      </c>
      <c r="AA22" s="18" t="n">
        <v>7354107.076</v>
      </c>
      <c r="AB22" s="18" t="n">
        <v>7932842.5</v>
      </c>
      <c r="AC22" s="18" t="n">
        <v>8659053.639</v>
      </c>
    </row>
    <row r="23">
      <c r="A23" s="4" t="inlineStr">
        <is>
          <t>Total Current Liabilities</t>
        </is>
      </c>
      <c r="B23" s="18" t="n">
        <v>622256.378</v>
      </c>
      <c r="C23" s="18" t="n">
        <v>494781.125</v>
      </c>
      <c r="D23" s="18" t="n">
        <v>598363.8</v>
      </c>
      <c r="E23" s="18" t="n">
        <v>589468.059</v>
      </c>
      <c r="F23" s="18" t="n">
        <v>614795.728</v>
      </c>
      <c r="G23" s="18" t="n">
        <v>588241.723</v>
      </c>
      <c r="H23" s="18" t="n">
        <v>631898.4</v>
      </c>
      <c r="I23" s="18" t="n">
        <v>661648.612</v>
      </c>
      <c r="J23" s="18" t="n">
        <v>659558.3</v>
      </c>
      <c r="K23" s="18" t="n">
        <v>655621.45</v>
      </c>
      <c r="L23" s="18" t="n">
        <v>758352.8</v>
      </c>
      <c r="M23" s="18" t="n">
        <v>822867.7070000001</v>
      </c>
      <c r="N23" s="18" t="n">
        <v>845240.981</v>
      </c>
      <c r="O23" s="18" t="n">
        <v>807431.287</v>
      </c>
      <c r="P23" s="18" t="n">
        <v>986563.6</v>
      </c>
      <c r="Q23" s="18" t="n">
        <v>873089.921</v>
      </c>
      <c r="R23" s="18" t="n">
        <v>810829.007</v>
      </c>
      <c r="S23" s="18" t="n">
        <v>970034.816</v>
      </c>
      <c r="T23" s="18" t="n">
        <v>942805.1</v>
      </c>
      <c r="U23" s="18" t="n">
        <v>1026180.079</v>
      </c>
      <c r="V23" s="18" t="n">
        <v>1048915.68</v>
      </c>
      <c r="W23" s="18" t="n">
        <v>1080399.099</v>
      </c>
      <c r="X23" s="18" t="n">
        <v>1308655.9</v>
      </c>
      <c r="Y23" s="18" t="n">
        <v>1399802.998</v>
      </c>
      <c r="Z23" s="18" t="n">
        <v>1377314.334</v>
      </c>
      <c r="AA23" s="18" t="n">
        <v>1275906.624</v>
      </c>
      <c r="AB23" s="18" t="n">
        <v>1522414</v>
      </c>
      <c r="AC23" s="18" t="n">
        <v>1713878.655</v>
      </c>
    </row>
    <row r="24">
      <c r="A24" s="4" t="inlineStr">
        <is>
          <t>Long-term Debt</t>
        </is>
      </c>
      <c r="B24" s="18" t="n">
        <v>35300</v>
      </c>
      <c r="C24" s="18" t="n">
        <v>25100</v>
      </c>
      <c r="D24" s="18" t="n">
        <v>25100</v>
      </c>
      <c r="E24" s="18" t="n">
        <v>46475.148</v>
      </c>
      <c r="F24" s="18" t="n">
        <v>82439.681</v>
      </c>
      <c r="G24" s="18" t="n">
        <v>228027.883</v>
      </c>
      <c r="H24" s="18" t="n">
        <v>256072.7</v>
      </c>
      <c r="I24" s="18" t="n">
        <v>279462.127</v>
      </c>
      <c r="J24" s="18" t="n">
        <v>413636.2</v>
      </c>
      <c r="K24" s="18" t="n">
        <v>463205.638</v>
      </c>
      <c r="L24" s="18" t="n">
        <v>613379.7</v>
      </c>
      <c r="M24" s="18" t="n">
        <v>632737.9350000001</v>
      </c>
      <c r="N24" s="18" t="n">
        <v>757208.596</v>
      </c>
      <c r="O24" s="18" t="n">
        <v>845441.649</v>
      </c>
      <c r="P24" s="18" t="n">
        <v>839096.4</v>
      </c>
      <c r="Q24" s="18" t="n">
        <v>854785.149</v>
      </c>
      <c r="R24" s="18" t="n">
        <v>907321.437</v>
      </c>
      <c r="S24" s="18" t="n">
        <v>937492.473</v>
      </c>
      <c r="T24" s="18" t="n">
        <v>918282.8</v>
      </c>
      <c r="U24" s="18" t="n">
        <v>965560.274</v>
      </c>
      <c r="V24" s="18" t="n">
        <v>974343.6629999999</v>
      </c>
      <c r="W24" s="18" t="n">
        <v>934048.16</v>
      </c>
      <c r="X24" s="18" t="n">
        <v>958428.9</v>
      </c>
      <c r="Y24" s="18" t="n">
        <v>986983.899</v>
      </c>
      <c r="Z24" s="18" t="n">
        <v>883671.102</v>
      </c>
      <c r="AA24" s="18" t="n">
        <v>918228.2560000001</v>
      </c>
      <c r="AB24" s="18" t="n">
        <v>896062</v>
      </c>
      <c r="AC24" s="18" t="n">
        <v>859837.693</v>
      </c>
    </row>
    <row r="25">
      <c r="A25" s="4" t="inlineStr">
        <is>
          <t>Total Equity</t>
        </is>
      </c>
      <c r="B25" s="18" t="n">
        <v>1553814.579</v>
      </c>
      <c r="C25" s="18" t="n">
        <v>1586856.066</v>
      </c>
      <c r="D25" s="18" t="n">
        <v>1613705.6</v>
      </c>
      <c r="E25" s="18" t="n">
        <v>1676266</v>
      </c>
      <c r="F25" s="18" t="n">
        <v>1720377.981</v>
      </c>
      <c r="G25" s="18" t="n">
        <v>1787361.029</v>
      </c>
      <c r="H25" s="18" t="n">
        <v>1834811.3</v>
      </c>
      <c r="I25" s="18" t="n">
        <v>1938936.396</v>
      </c>
      <c r="J25" s="18" t="n">
        <v>1979870.9</v>
      </c>
      <c r="K25" s="18" t="n">
        <v>2076020.062</v>
      </c>
      <c r="L25" s="18" t="n">
        <v>2149259.8</v>
      </c>
      <c r="M25" s="18" t="n">
        <v>2314430.096</v>
      </c>
      <c r="N25" s="18" t="n">
        <v>2496353.192</v>
      </c>
      <c r="O25" s="18" t="n">
        <v>2737974.306</v>
      </c>
      <c r="P25" s="18" t="n">
        <v>2903019.7</v>
      </c>
      <c r="Q25" s="18" t="n">
        <v>3078233.958</v>
      </c>
      <c r="R25" s="18" t="n">
        <v>3188750.455</v>
      </c>
      <c r="S25" s="18" t="n">
        <v>3348349.657</v>
      </c>
      <c r="T25" s="18" t="n">
        <v>3429522.4</v>
      </c>
      <c r="U25" s="18" t="n">
        <v>3635731.93</v>
      </c>
      <c r="V25" s="18" t="n">
        <v>3791402.874</v>
      </c>
      <c r="W25" s="18" t="n">
        <v>3990019.153</v>
      </c>
      <c r="X25" s="18" t="n">
        <v>4244266.5</v>
      </c>
      <c r="Y25" s="18" t="n">
        <v>4564162.58</v>
      </c>
      <c r="Z25" s="18" t="n">
        <v>4581073.975</v>
      </c>
      <c r="AA25" s="18" t="n">
        <v>4998306.972</v>
      </c>
      <c r="AB25" s="18" t="n">
        <v>5355038.7</v>
      </c>
      <c r="AC25" s="18" t="n">
        <v>5889670.143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75048.35000000001</v>
      </c>
      <c r="C27" s="18" t="n">
        <v>66756</v>
      </c>
      <c r="D27" s="18" t="n">
        <v>67532</v>
      </c>
      <c r="E27" s="18" t="n">
        <v>68554.477</v>
      </c>
      <c r="F27" s="18" t="n">
        <v>70875.25199999999</v>
      </c>
      <c r="G27" s="18" t="n">
        <v>94733.076</v>
      </c>
      <c r="H27" s="18" t="n">
        <v>97561.886</v>
      </c>
      <c r="I27" s="18" t="n">
        <v>100900.318</v>
      </c>
      <c r="J27" s="18" t="n">
        <v>103805.182</v>
      </c>
      <c r="K27" s="18" t="n">
        <v>107027</v>
      </c>
      <c r="L27" s="18" t="n">
        <v>110663</v>
      </c>
      <c r="M27" s="18" t="n">
        <v>111102.063</v>
      </c>
      <c r="N27" s="18" t="n">
        <v>113224.647</v>
      </c>
      <c r="O27" s="18" t="n">
        <v>105345.666</v>
      </c>
      <c r="P27" s="18" t="n">
        <v>107581.924</v>
      </c>
      <c r="Q27" s="18" t="n">
        <v>110322.641</v>
      </c>
      <c r="R27" s="18" t="n">
        <v>122634.831</v>
      </c>
      <c r="S27" s="18" t="n">
        <v>147280.162</v>
      </c>
      <c r="T27" s="18" t="n">
        <v>150648.43</v>
      </c>
      <c r="U27" s="18" t="n">
        <v>159023.162</v>
      </c>
      <c r="V27" s="18" t="n">
        <v>165166.594</v>
      </c>
      <c r="W27" s="18" t="n">
        <v>168229</v>
      </c>
      <c r="X27" s="18" t="n">
        <v>170378</v>
      </c>
      <c r="Y27" s="18" t="n">
        <v>0</v>
      </c>
      <c r="Z27" s="18" t="n">
        <v>188057.912</v>
      </c>
      <c r="AA27" s="18" t="n">
        <v>162787.271</v>
      </c>
      <c r="AB27" s="18" t="n">
        <v>163644.12</v>
      </c>
      <c r="AC27" s="18" t="n">
        <v>167159.893</v>
      </c>
    </row>
    <row r="28">
      <c r="A28" s="4" t="inlineStr">
        <is>
          <t>Stock-based Compensation</t>
        </is>
      </c>
      <c r="B28" s="18" t="n">
        <v>0</v>
      </c>
      <c r="C28" s="18" t="n">
        <v>0</v>
      </c>
      <c r="D28" s="18" t="n">
        <v>1.394</v>
      </c>
      <c r="E28" s="18" t="n">
        <v>1.41</v>
      </c>
      <c r="F28" s="18" t="n">
        <v>1.59</v>
      </c>
      <c r="G28" s="18" t="n">
        <v>1.873</v>
      </c>
      <c r="H28" s="18" t="n">
        <v>1.727</v>
      </c>
      <c r="I28" s="18" t="n">
        <v>1.704</v>
      </c>
      <c r="J28" s="18" t="n">
        <v>1.75</v>
      </c>
      <c r="K28" s="18" t="n">
        <v>2.607</v>
      </c>
      <c r="L28" s="18" t="n">
        <v>1.793</v>
      </c>
      <c r="M28" s="18" t="n">
        <v>27.453</v>
      </c>
      <c r="N28" s="18" t="n">
        <v>114.348</v>
      </c>
      <c r="O28" s="18" t="n">
        <v>80.29000000000001</v>
      </c>
      <c r="P28" s="18" t="n">
        <v>80.309</v>
      </c>
      <c r="Q28" s="18" t="n">
        <v>100.772</v>
      </c>
      <c r="R28" s="18" t="n">
        <v>127.58</v>
      </c>
      <c r="S28" s="18" t="n">
        <v>127.349</v>
      </c>
      <c r="T28" s="18" t="n">
        <v>127.299</v>
      </c>
      <c r="U28" s="18" t="n">
        <v>181.831</v>
      </c>
      <c r="V28" s="18" t="n">
        <v>230.956</v>
      </c>
      <c r="W28" s="18" t="n">
        <v>322.961</v>
      </c>
      <c r="X28" s="18" t="n">
        <v>396.699</v>
      </c>
      <c r="Y28" s="18" t="n">
        <v>0</v>
      </c>
      <c r="Z28" s="18" t="n">
        <v>344.406</v>
      </c>
      <c r="AA28" s="18" t="n">
        <v>273.416</v>
      </c>
      <c r="AB28" s="18" t="n">
        <v>0</v>
      </c>
      <c r="AC28" s="18" t="n">
        <v>0</v>
      </c>
    </row>
    <row r="29">
      <c r="A29" s="4" t="inlineStr">
        <is>
          <t>Change in Working Capital</t>
        </is>
      </c>
      <c r="B29" s="18" t="n">
        <v>2063.675</v>
      </c>
      <c r="C29" s="18" t="n">
        <v>-36281</v>
      </c>
      <c r="D29" s="18" t="n">
        <v>25592.424</v>
      </c>
      <c r="E29" s="18" t="n">
        <v>6398.159</v>
      </c>
      <c r="F29" s="18" t="n">
        <v>1574.792</v>
      </c>
      <c r="G29" s="18" t="n">
        <v>-40489.179</v>
      </c>
      <c r="H29" s="18" t="n">
        <v>4179.574</v>
      </c>
      <c r="I29" s="18" t="n">
        <v>-20918.695</v>
      </c>
      <c r="J29" s="18" t="n">
        <v>-7363.705</v>
      </c>
      <c r="K29" s="18" t="n">
        <v>72086.34</v>
      </c>
      <c r="L29" s="18" t="n">
        <v>83958.50900000001</v>
      </c>
      <c r="M29" s="18" t="n">
        <v>31014.766</v>
      </c>
      <c r="N29" s="18" t="n">
        <v>22303.142</v>
      </c>
      <c r="O29" s="18" t="n">
        <v>11411.806</v>
      </c>
      <c r="P29" s="18" t="n">
        <v>55492.398</v>
      </c>
      <c r="Q29" s="18" t="n">
        <v>43998.868</v>
      </c>
      <c r="R29" s="18" t="n">
        <v>-60714.099</v>
      </c>
      <c r="S29" s="18" t="n">
        <v>-83024.951</v>
      </c>
      <c r="T29" s="18" t="n">
        <v>24144.888</v>
      </c>
      <c r="U29" s="18" t="n">
        <v>24112.111</v>
      </c>
      <c r="V29" s="18" t="n">
        <v>10557.179</v>
      </c>
      <c r="W29" s="18" t="n">
        <v>-49537.146</v>
      </c>
      <c r="X29" s="18" t="n">
        <v>16913.622</v>
      </c>
      <c r="Y29" s="18" t="n">
        <v>33224.793</v>
      </c>
      <c r="Z29" s="18" t="n">
        <v>-13112.531</v>
      </c>
      <c r="AA29" s="18" t="n">
        <v>-108609.052</v>
      </c>
      <c r="AB29" s="18" t="n">
        <v>-25135.712</v>
      </c>
      <c r="AC29" s="18" t="n">
        <v>-152649.465</v>
      </c>
    </row>
    <row r="30">
      <c r="A30" s="4" t="inlineStr">
        <is>
          <t>Operating Cash Flow</t>
        </is>
      </c>
      <c r="B30" s="18" t="n">
        <v>117761.028</v>
      </c>
      <c r="C30" s="18" t="n">
        <v>141753</v>
      </c>
      <c r="D30" s="18" t="n">
        <v>202955</v>
      </c>
      <c r="E30" s="18" t="n">
        <v>203029.442</v>
      </c>
      <c r="F30" s="18" t="n">
        <v>170334.959</v>
      </c>
      <c r="G30" s="18" t="n">
        <v>190171.227</v>
      </c>
      <c r="H30" s="18" t="n">
        <v>259130.584</v>
      </c>
      <c r="I30" s="18" t="n">
        <v>227815.706</v>
      </c>
      <c r="J30" s="18" t="n">
        <v>187439.494</v>
      </c>
      <c r="K30" s="18" t="n">
        <v>318706</v>
      </c>
      <c r="L30" s="18" t="n">
        <v>378200</v>
      </c>
      <c r="M30" s="18" t="n">
        <v>372169.688</v>
      </c>
      <c r="N30" s="18" t="n">
        <v>338849.429</v>
      </c>
      <c r="O30" s="18" t="n">
        <v>412698.167</v>
      </c>
      <c r="P30" s="18" t="n">
        <v>486880</v>
      </c>
      <c r="Q30" s="18" t="n">
        <v>385244.745</v>
      </c>
      <c r="R30" s="18" t="n">
        <v>167247.979</v>
      </c>
      <c r="S30" s="18" t="n">
        <v>294645.276</v>
      </c>
      <c r="T30" s="18" t="n">
        <v>404331.237</v>
      </c>
      <c r="U30" s="18" t="n">
        <v>436311.108</v>
      </c>
      <c r="V30" s="18" t="n">
        <v>377668.21</v>
      </c>
      <c r="W30" s="18" t="n">
        <v>391992.467</v>
      </c>
      <c r="X30" s="18" t="n">
        <v>620205</v>
      </c>
      <c r="Y30" s="18" t="n">
        <v>625570</v>
      </c>
      <c r="Z30" s="18" t="n">
        <v>497064.085</v>
      </c>
      <c r="AA30" s="18" t="n">
        <v>426829</v>
      </c>
      <c r="AB30" s="18" t="n">
        <v>741728.4620000001</v>
      </c>
      <c r="AC30" s="18" t="n">
        <v>731498.564</v>
      </c>
    </row>
    <row r="31">
      <c r="A31" s="4" t="inlineStr">
        <is>
          <t>Capex</t>
        </is>
      </c>
      <c r="B31" s="18" t="n">
        <v>-116933.823</v>
      </c>
      <c r="C31" s="18" t="n">
        <v>-98118</v>
      </c>
      <c r="D31" s="18" t="n">
        <v>-170009</v>
      </c>
      <c r="E31" s="18" t="n">
        <v>-193405.71</v>
      </c>
      <c r="F31" s="18" t="n">
        <v>-134339.955</v>
      </c>
      <c r="G31" s="18" t="n">
        <v>-101720.285</v>
      </c>
      <c r="H31" s="18" t="n">
        <v>-89513.159</v>
      </c>
      <c r="I31" s="18" t="n">
        <v>-249809.419</v>
      </c>
      <c r="J31" s="18" t="n">
        <v>-170513.981</v>
      </c>
      <c r="K31" s="18" t="n">
        <v>-188640</v>
      </c>
      <c r="L31" s="18" t="n">
        <v>-235556</v>
      </c>
      <c r="M31" s="18" t="n">
        <v>-262717.722</v>
      </c>
      <c r="N31" s="18" t="n">
        <v>-220945.293</v>
      </c>
      <c r="O31" s="18" t="n">
        <v>-267635.828</v>
      </c>
      <c r="P31" s="18" t="n">
        <v>-336800</v>
      </c>
      <c r="Q31" s="18" t="n">
        <v>-302804.977</v>
      </c>
      <c r="R31" s="18" t="n">
        <v>-250534.217</v>
      </c>
      <c r="S31" s="18" t="n">
        <v>-227807.092</v>
      </c>
      <c r="T31" s="18" t="n">
        <v>-124759.287</v>
      </c>
      <c r="U31" s="18" t="n">
        <v>-181304.802</v>
      </c>
      <c r="V31" s="18" t="n">
        <v>-205674.684</v>
      </c>
      <c r="W31" s="18" t="n">
        <v>-207903.818</v>
      </c>
      <c r="X31" s="18" t="n">
        <v>-361949</v>
      </c>
      <c r="Y31" s="18" t="n">
        <v>-330830</v>
      </c>
      <c r="Z31" s="18" t="n">
        <v>-299562.606</v>
      </c>
      <c r="AA31" s="18" t="n">
        <v>-287452</v>
      </c>
      <c r="AB31" s="18" t="n">
        <v>-353555.37</v>
      </c>
      <c r="AC31" s="18" t="n">
        <v>-354388.067</v>
      </c>
    </row>
    <row r="32">
      <c r="A32" s="4" t="inlineStr">
        <is>
          <t>Free Cash Flow</t>
        </is>
      </c>
      <c r="B32" s="18" t="n">
        <v>827.205</v>
      </c>
      <c r="C32" s="18" t="n">
        <v>43635</v>
      </c>
      <c r="D32" s="18" t="n">
        <v>32946</v>
      </c>
      <c r="E32" s="18" t="n">
        <v>9623.732</v>
      </c>
      <c r="F32" s="18" t="n">
        <v>35995.004</v>
      </c>
      <c r="G32" s="18" t="n">
        <v>88450.942</v>
      </c>
      <c r="H32" s="18" t="n">
        <v>169617.425</v>
      </c>
      <c r="I32" s="18" t="n">
        <v>-21993.713</v>
      </c>
      <c r="J32" s="18" t="n">
        <v>16925.513</v>
      </c>
      <c r="K32" s="18" t="n">
        <v>130066</v>
      </c>
      <c r="L32" s="18" t="n">
        <v>142644</v>
      </c>
      <c r="M32" s="18" t="n">
        <v>109451.966</v>
      </c>
      <c r="N32" s="18" t="n">
        <v>117904.136</v>
      </c>
      <c r="O32" s="18" t="n">
        <v>145062.339</v>
      </c>
      <c r="P32" s="18" t="n">
        <v>150080</v>
      </c>
      <c r="Q32" s="18" t="n">
        <v>82439.768</v>
      </c>
      <c r="R32" s="18" t="n">
        <v>-83286.238</v>
      </c>
      <c r="S32" s="18" t="n">
        <v>66838.18399999999</v>
      </c>
      <c r="T32" s="18" t="n">
        <v>279571.95</v>
      </c>
      <c r="U32" s="18" t="n">
        <v>255006.306</v>
      </c>
      <c r="V32" s="18" t="n">
        <v>171993.526</v>
      </c>
      <c r="W32" s="18" t="n">
        <v>184088.649</v>
      </c>
      <c r="X32" s="18" t="n">
        <v>258256</v>
      </c>
      <c r="Y32" s="18" t="n">
        <v>294740</v>
      </c>
      <c r="Z32" s="18" t="n">
        <v>197501.479</v>
      </c>
      <c r="AA32" s="18" t="n">
        <v>139377</v>
      </c>
      <c r="AB32" s="18" t="n">
        <v>388173.091</v>
      </c>
      <c r="AC32" s="18" t="n">
        <v>377110.497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</row>
    <row r="4">
      <c r="A4" s="3" t="inlineStr">
        <is>
          <t>Revenue — consensus</t>
        </is>
      </c>
      <c r="B4" s="18" t="n">
        <v>5258970.162515</v>
      </c>
      <c r="C4" s="18" t="n">
        <v>6680999.032255</v>
      </c>
      <c r="D4" s="18" t="n">
        <v>8212028.207891</v>
      </c>
      <c r="E4" s="18" t="n">
        <v>7921933.661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</row>
    <row r="8">
      <c r="A8" s="3" t="inlineStr">
        <is>
          <t>EBITDA* — consensus</t>
        </is>
      </c>
      <c r="B8" s="18" t="n">
        <v>3677721.191587</v>
      </c>
      <c r="C8" s="18" t="n">
        <v>4672179.335992</v>
      </c>
      <c r="D8" s="18" t="n">
        <v>5742863.951073</v>
      </c>
      <c r="E8" s="18" t="n">
        <v>5539994.029835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</row>
    <row r="12">
      <c r="A12" s="3" t="inlineStr">
        <is>
          <t>EBIT* — consensus</t>
        </is>
      </c>
      <c r="B12" s="18" t="n">
        <v>2504900.70963</v>
      </c>
      <c r="C12" s="18" t="n">
        <v>3182227.45134</v>
      </c>
      <c r="D12" s="18" t="n">
        <v>3911472.141841</v>
      </c>
      <c r="E12" s="18" t="n">
        <v>3773297.173375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</row>
    <row r="16">
      <c r="A16" s="3" t="inlineStr">
        <is>
          <t>SG&amp;A — consensus</t>
        </is>
      </c>
      <c r="B16" s="18" t="n">
        <v>156332.101482</v>
      </c>
      <c r="C16" s="18" t="n">
        <v>198604.400945</v>
      </c>
      <c r="D16" s="18" t="n">
        <v>244116.925462</v>
      </c>
      <c r="E16" s="18" t="n">
        <v>235493.356828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</row>
    <row r="20">
      <c r="A20" s="3" t="inlineStr">
        <is>
          <t>Net income (NOPAT) — consensus</t>
        </is>
      </c>
      <c r="B20" s="18" t="n">
        <v>2597259.695934</v>
      </c>
      <c r="C20" s="18" t="n">
        <v>3256867.684025</v>
      </c>
      <c r="D20" s="18" t="n">
        <v>3981836.728385</v>
      </c>
      <c r="E20" s="18" t="n">
        <v>3456231.746676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</row>
    <row r="24">
      <c r="A24" s="3" t="inlineStr">
        <is>
          <t>EPS — consensus</t>
        </is>
      </c>
      <c r="B24" s="47" t="n">
        <v>500.80207</v>
      </c>
      <c r="C24" s="47" t="n">
        <v>627.98729</v>
      </c>
      <c r="D24" s="47" t="n">
        <v>767.77539</v>
      </c>
      <c r="E24" s="47" t="n">
        <v>666.42855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Taiwan Semiconductor Manufacturing Company Limited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Financials!AC19</f>
        <v/>
      </c>
    </row>
    <row r="33">
      <c r="A33" s="4" t="inlineStr">
        <is>
          <t>- Long-term debt</t>
        </is>
      </c>
      <c r="B33" s="33">
        <f>-Financials!AC24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0.06750399199853613</v>
      </c>
      <c r="C4" s="51" t="n">
        <v>0.07250399199853613</v>
      </c>
      <c r="D4" s="51" t="n">
        <v>0.07750399199853612</v>
      </c>
      <c r="E4" s="51" t="n">
        <v>0.08250399199853613</v>
      </c>
      <c r="F4" s="51" t="n">
        <v>0.08750399199853613</v>
      </c>
      <c r="G4" s="51" t="n">
        <v>0.09250399199853612</v>
      </c>
      <c r="H4" s="51" t="n">
        <v>0.09750399199853613</v>
      </c>
    </row>
    <row r="5">
      <c r="A5" s="52" t="n">
        <v>9</v>
      </c>
      <c r="B5" s="8" t="n">
        <v>10814.49631945107</v>
      </c>
      <c r="C5" s="8" t="n">
        <v>10410.51367631718</v>
      </c>
      <c r="D5" s="8" t="n">
        <v>10025.49563582003</v>
      </c>
      <c r="E5" s="8" t="n">
        <v>9658.447763018801</v>
      </c>
      <c r="F5" s="8" t="n">
        <v>9308.432570307359</v>
      </c>
      <c r="G5" s="8" t="n">
        <v>8974.565997488891</v>
      </c>
      <c r="H5" s="8" t="n">
        <v>8656.014124859075</v>
      </c>
    </row>
    <row r="6">
      <c r="A6" s="52" t="n">
        <v>10</v>
      </c>
      <c r="B6" s="8" t="n">
        <v>11552.57794120111</v>
      </c>
      <c r="C6" s="8" t="n">
        <v>11114.89899521381</v>
      </c>
      <c r="D6" s="8" t="n">
        <v>10697.86913963723</v>
      </c>
      <c r="E6" s="8" t="n">
        <v>10300.40249322601</v>
      </c>
      <c r="F6" s="8" t="n">
        <v>9921.47547583891</v>
      </c>
      <c r="G6" s="8" t="n">
        <v>9560.122952482114</v>
      </c>
      <c r="H6" s="8" t="n">
        <v>9215.434632857419</v>
      </c>
    </row>
    <row r="7">
      <c r="A7" s="52" t="n">
        <v>11</v>
      </c>
      <c r="B7" s="8" t="n">
        <v>12290.65956295115</v>
      </c>
      <c r="C7" s="8" t="n">
        <v>11819.28431411043</v>
      </c>
      <c r="D7" s="8" t="n">
        <v>11370.24264345443</v>
      </c>
      <c r="E7" s="8" t="n">
        <v>10942.35722343322</v>
      </c>
      <c r="F7" s="8" t="n">
        <v>10534.51838137046</v>
      </c>
      <c r="G7" s="8" t="n">
        <v>10145.67990747534</v>
      </c>
      <c r="H7" s="8" t="n">
        <v>9774.85514085576</v>
      </c>
    </row>
    <row r="8">
      <c r="A8" s="52" t="n">
        <v>12</v>
      </c>
      <c r="B8" s="8" t="n">
        <v>13028.74118470119</v>
      </c>
      <c r="C8" s="8" t="n">
        <v>12523.66963300705</v>
      </c>
      <c r="D8" s="8" t="n">
        <v>12042.61614727163</v>
      </c>
      <c r="E8" s="53" t="n">
        <v>11584.31195364042</v>
      </c>
      <c r="F8" s="8" t="n">
        <v>11147.56128690201</v>
      </c>
      <c r="G8" s="8" t="n">
        <v>10731.23686246856</v>
      </c>
      <c r="H8" s="8" t="n">
        <v>10334.2756488541</v>
      </c>
    </row>
    <row r="9">
      <c r="A9" s="52" t="n">
        <v>13</v>
      </c>
      <c r="B9" s="8" t="n">
        <v>13766.82280645123</v>
      </c>
      <c r="C9" s="8" t="n">
        <v>13228.05495190368</v>
      </c>
      <c r="D9" s="8" t="n">
        <v>12714.98965108883</v>
      </c>
      <c r="E9" s="8" t="n">
        <v>12226.26668384763</v>
      </c>
      <c r="F9" s="8" t="n">
        <v>11760.60419243357</v>
      </c>
      <c r="G9" s="8" t="n">
        <v>11316.79381746178</v>
      </c>
      <c r="H9" s="8" t="n">
        <v>10893.69615685245</v>
      </c>
    </row>
    <row r="10">
      <c r="A10" s="52" t="n">
        <v>14</v>
      </c>
      <c r="B10" s="8" t="n">
        <v>14504.90442820127</v>
      </c>
      <c r="C10" s="8" t="n">
        <v>13932.4402708003</v>
      </c>
      <c r="D10" s="8" t="n">
        <v>13387.36315490603</v>
      </c>
      <c r="E10" s="8" t="n">
        <v>12868.22141405483</v>
      </c>
      <c r="F10" s="8" t="n">
        <v>12373.64709796512</v>
      </c>
      <c r="G10" s="8" t="n">
        <v>11902.35077245501</v>
      </c>
      <c r="H10" s="8" t="n">
        <v>11453.11666485079</v>
      </c>
    </row>
    <row r="11">
      <c r="A11" s="52" t="n">
        <v>15</v>
      </c>
      <c r="B11" s="8" t="n">
        <v>15242.98604995131</v>
      </c>
      <c r="C11" s="8" t="n">
        <v>14636.82558969692</v>
      </c>
      <c r="D11" s="8" t="n">
        <v>14059.73665872323</v>
      </c>
      <c r="E11" s="8" t="n">
        <v>13510.17614426204</v>
      </c>
      <c r="F11" s="8" t="n">
        <v>12986.69000349667</v>
      </c>
      <c r="G11" s="8" t="n">
        <v>12487.90772744823</v>
      </c>
      <c r="H11" s="8" t="n">
        <v>12012.53717284913</v>
      </c>
    </row>
    <row r="13">
      <c r="A13" s="3" t="inlineStr">
        <is>
          <t>Current price</t>
        </is>
      </c>
      <c r="B13" s="54" t="n">
        <v>436.6549987792969</v>
      </c>
    </row>
    <row r="14">
      <c r="A14" s="3" t="inlineStr">
        <is>
          <t>Base WACC / multiple</t>
        </is>
      </c>
      <c r="B14" s="55" t="n">
        <v>0.08250399199853613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0.134720425924531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1.973970827237174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1.05774180167132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2026-07-08T07:04:21Z</dcterms:created>
  <dcterms:modified xmlns:dcterms="http://purl.org/dc/terms/" xmlns:xsi="http://www.w3.org/2001/XMLSchema-instance" xsi:type="dcterms:W3CDTF">2026-07-08T07:04:21Z</dcterms:modified>
</cp:coreProperties>
</file>