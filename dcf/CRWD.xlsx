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0" fontId="10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19.1%</t>
      </text>
    </comment>
    <comment ref="C20" authorId="0" shapeId="0">
      <text>
        <t>Opus: 5.0%</t>
      </text>
    </comment>
    <comment ref="B29" authorId="0" shapeId="0">
      <text>
        <t>Opus: 28.1%</t>
      </text>
    </comment>
    <comment ref="B30" authorId="0" shapeId="0">
      <text>
        <t>Opus: 29.2%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1.060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User-edited — overridden from Opus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CrowdStrike Holdings, Inc. (CRWD)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CrowdStrike Holdings, Inc. (CRWD)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0.1912091335084651</v>
      </c>
      <c r="C20" s="15" t="n">
        <v>0.05</v>
      </c>
      <c r="D20" s="16" t="n">
        <v>0.1912091335084651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0.2812295704452277</v>
      </c>
      <c r="D29" s="16" t="n">
        <v>0.2812295704452277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0.2920630578933654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409.8644000000001</v>
      </c>
      <c r="D34" s="18" t="n">
        <v>409.8644000000001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16.6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193.9799957275391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124.490708467695</v>
      </c>
      <c r="C58" s="28" t="n">
        <v>171.4808382326526</v>
      </c>
      <c r="D58" s="28" t="n">
        <v>89.73454767548134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0.2279047922851286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0.1367428753710771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CRWD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19.1%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Opus</t>
        </is>
      </c>
      <c r="E10" t="inlineStr">
        <is>
          <t>28.1%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Opus</t>
        </is>
      </c>
      <c r="E11" t="inlineStr">
        <is>
          <t>29.2%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Opus</t>
        </is>
      </c>
      <c r="E12" t="inlineStr">
        <is>
          <t>24.0%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Opus</t>
        </is>
      </c>
      <c r="E13" t="inlineStr">
        <is>
          <t>1.1x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Opus</t>
        </is>
      </c>
      <c r="E16" t="inlineStr">
        <is>
          <t>1.060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Opus</t>
        </is>
      </c>
      <c r="E17" t="inlineStr">
        <is>
          <t>4.5%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Opus</t>
        </is>
      </c>
      <c r="E18" t="inlineStr">
        <is>
          <t>Exit multiple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Opus</t>
        </is>
      </c>
      <c r="E19" t="inlineStr">
        <is>
          <t>EV/EBITDA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s="33" t="inlineStr">
        <is>
          <t>user-edited</t>
        </is>
      </c>
      <c r="E20" t="inlineStr">
        <is>
          <t>12.0x</t>
        </is>
      </c>
      <c r="F20" s="31" t="inlineStr">
        <is>
          <t>overridden from Opus 12.0x</t>
        </is>
      </c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Opus</t>
        </is>
      </c>
      <c r="E21" t="inlineStr">
        <is>
          <t>4.5%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4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5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5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5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5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5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5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5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5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6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6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5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5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Financials!AC37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FY2022A</t>
        </is>
      </c>
      <c r="C1" s="40" t="inlineStr">
        <is>
          <t>FY2023A</t>
        </is>
      </c>
      <c r="D1" s="40" t="inlineStr">
        <is>
          <t>FY2024A</t>
        </is>
      </c>
      <c r="E1" s="40" t="inlineStr">
        <is>
          <t>FY2025A</t>
        </is>
      </c>
      <c r="F1" s="40" t="inlineStr">
        <is>
          <t>FY2026A</t>
        </is>
      </c>
      <c r="G1" s="41" t="inlineStr">
        <is>
          <t>FY2027E</t>
        </is>
      </c>
      <c r="H1" s="41" t="inlineStr">
        <is>
          <t>FY2028E</t>
        </is>
      </c>
      <c r="I1" s="41" t="inlineStr">
        <is>
          <t>FY2029E</t>
        </is>
      </c>
      <c r="J1" s="41" t="inlineStr">
        <is>
          <t>FY2030E</t>
        </is>
      </c>
      <c r="K1" s="41" t="inlineStr">
        <is>
          <t>FY2031E</t>
        </is>
      </c>
      <c r="L1" s="41" t="inlineStr">
        <is>
          <t>FY2032E</t>
        </is>
      </c>
      <c r="M1" s="41" t="inlineStr">
        <is>
          <t>FY2033E</t>
        </is>
      </c>
      <c r="N1" s="41" t="inlineStr">
        <is>
          <t>FY2034E</t>
        </is>
      </c>
      <c r="O1" s="41" t="inlineStr">
        <is>
          <t>FY2035E</t>
        </is>
      </c>
      <c r="P1" s="4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SUM(Financials!J3:M3)</f>
        <v/>
      </c>
      <c r="C4" s="34">
        <f>SUM(Financials!N3:Q3)</f>
        <v/>
      </c>
      <c r="D4" s="34">
        <f>SUM(Financials!R3:U3)</f>
        <v/>
      </c>
      <c r="E4" s="34">
        <f>SUM(Financials!V3:Y3)</f>
        <v/>
      </c>
      <c r="F4" s="34">
        <f>SUM(Financials!Z3:AC3)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SUM(Financials!J5:M5)</f>
        <v/>
      </c>
      <c r="C10" s="34">
        <f>SUM(Financials!N5:Q5)</f>
        <v/>
      </c>
      <c r="D10" s="34">
        <f>SUM(Financials!R5:U5)</f>
        <v/>
      </c>
      <c r="E10" s="34">
        <f>SUM(Financials!V5:Y5)</f>
        <v/>
      </c>
      <c r="F10" s="34">
        <f>SUM(Financials!Z5:AC5)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0.2513684004900244</v>
      </c>
      <c r="H11" s="15" t="n">
        <v>0.2513684004900244</v>
      </c>
      <c r="I11" s="15" t="n">
        <v>0.2513684004900244</v>
      </c>
      <c r="J11" s="15" t="n">
        <v>0.2513684004900244</v>
      </c>
      <c r="K11" s="15" t="n">
        <v>0.2513684004900244</v>
      </c>
      <c r="L11" s="15" t="n">
        <v>0.2513684004900244</v>
      </c>
      <c r="M11" s="15" t="n">
        <v>0.2513684004900244</v>
      </c>
      <c r="N11" s="15" t="n">
        <v>0.2513684004900244</v>
      </c>
      <c r="O11" s="15" t="n">
        <v>0.2513684004900244</v>
      </c>
      <c r="P11" s="15" t="n">
        <v>0.2513684004900244</v>
      </c>
    </row>
    <row r="12">
      <c r="A12" s="4" t="inlineStr">
        <is>
          <t>R&amp;D / Technology</t>
        </is>
      </c>
      <c r="B12" s="34">
        <f>SUM(Financials!J7:M7)</f>
        <v/>
      </c>
      <c r="C12" s="34">
        <f>SUM(Financials!N7:Q7)</f>
        <v/>
      </c>
      <c r="D12" s="34">
        <f>SUM(Financials!R7:U7)</f>
        <v/>
      </c>
      <c r="E12" s="34">
        <f>SUM(Financials!V7:Y7)</f>
        <v/>
      </c>
      <c r="F12" s="34">
        <f>SUM(Financials!Z7:AC7)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0.2894751771870561</v>
      </c>
      <c r="H13" s="15" t="n">
        <v>0.2894751771870561</v>
      </c>
      <c r="I13" s="15" t="n">
        <v>0.2894751771870561</v>
      </c>
      <c r="J13" s="15" t="n">
        <v>0.2894751771870561</v>
      </c>
      <c r="K13" s="15" t="n">
        <v>0.2894751771870561</v>
      </c>
      <c r="L13" s="15" t="n">
        <v>0.2894751771870561</v>
      </c>
      <c r="M13" s="15" t="n">
        <v>0.2894751771870561</v>
      </c>
      <c r="N13" s="15" t="n">
        <v>0.2894751771870561</v>
      </c>
      <c r="O13" s="15" t="n">
        <v>0.2894751771870561</v>
      </c>
      <c r="P13" s="15" t="n">
        <v>0.2894751771870561</v>
      </c>
    </row>
    <row r="14">
      <c r="A14" s="4" t="inlineStr">
        <is>
          <t>SG&amp;A</t>
        </is>
      </c>
      <c r="B14" s="34">
        <f>SUM(Financials!J9:M9)</f>
        <v/>
      </c>
      <c r="C14" s="34">
        <f>SUM(Financials!N9:Q9)</f>
        <v/>
      </c>
      <c r="D14" s="34">
        <f>SUM(Financials!R9:U9)</f>
        <v/>
      </c>
      <c r="E14" s="34">
        <f>SUM(Financials!V9:Y9)</f>
        <v/>
      </c>
      <c r="F14" s="34">
        <f>SUM(Financials!Z9:AC9)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0.5097444828091409</v>
      </c>
      <c r="H15" s="15" t="n">
        <v>0.5097444828091409</v>
      </c>
      <c r="I15" s="15" t="n">
        <v>0.5097444828091409</v>
      </c>
      <c r="J15" s="15" t="n">
        <v>0.5097444828091409</v>
      </c>
      <c r="K15" s="15" t="n">
        <v>0.5097444828091409</v>
      </c>
      <c r="L15" s="15" t="n">
        <v>0.5097444828091409</v>
      </c>
      <c r="M15" s="15" t="n">
        <v>0.5097444828091409</v>
      </c>
      <c r="N15" s="15" t="n">
        <v>0.5097444828091409</v>
      </c>
      <c r="O15" s="15" t="n">
        <v>0.5097444828091409</v>
      </c>
      <c r="P15" s="15" t="n">
        <v>0.5097444828091409</v>
      </c>
    </row>
    <row r="16">
      <c r="A16" s="4" t="inlineStr">
        <is>
          <t>Other opex (fulfilment, etc.)</t>
        </is>
      </c>
      <c r="B16" s="34">
        <f>B6-(B10+B12+B14)-SUM(Financials!J13:M13)</f>
        <v/>
      </c>
      <c r="C16" s="34">
        <f>C6-(C10+C12+C14)-SUM(Financials!N13:Q13)</f>
        <v/>
      </c>
      <c r="D16" s="34">
        <f>D6-(D10+D12+D14)-SUM(Financials!R13:U13)</f>
        <v/>
      </c>
      <c r="E16" s="34">
        <f>E6-(E10+E12+E14)-SUM(Financials!V13:Y13)</f>
        <v/>
      </c>
      <c r="F16" s="34">
        <f>F6-(F10+F12+F14)-SUM(Financials!Z13:AC13)</f>
        <v/>
      </c>
      <c r="G16" s="34">
        <f>G6*(1-(Dashboard!$B$29+(Dashboard!$B$30-Dashboard!$B$29)*MIN(1,0/4)))-(G10+G12+G14)</f>
        <v/>
      </c>
      <c r="H16" s="34">
        <f>H6*(1-(Dashboard!$B$29+(Dashboard!$B$30-Dashboard!$B$29)*MIN(1,1/4)))-(H10+H12+H14)</f>
        <v/>
      </c>
      <c r="I16" s="34">
        <f>I6*(1-(Dashboard!$B$29+(Dashboard!$B$30-Dashboard!$B$29)*MIN(1,2/4)))-(I10+I12+I14)</f>
        <v/>
      </c>
      <c r="J16" s="34">
        <f>J6*(1-(Dashboard!$B$29+(Dashboard!$B$30-Dashboard!$B$29)*MIN(1,3/4)))-(J10+J12+J14)</f>
        <v/>
      </c>
      <c r="K16" s="34">
        <f>K6*(1-(Dashboard!$B$29+(Dashboard!$B$30-Dashboard!$B$29)*MIN(1,4/4)))-(K10+K12+K14)</f>
        <v/>
      </c>
      <c r="L16" s="34">
        <f>L6*(1-(Dashboard!$B$29+(Dashboard!$B$30-Dashboard!$B$29)*MIN(1,5/4)))-(L10+L12+L14)</f>
        <v/>
      </c>
      <c r="M16" s="34">
        <f>M6*(1-(Dashboard!$B$29+(Dashboard!$B$30-Dashboard!$B$29)*MIN(1,6/4)))-(M10+M12+M14)</f>
        <v/>
      </c>
      <c r="N16" s="34">
        <f>N6*(1-(Dashboard!$B$29+(Dashboard!$B$30-Dashboard!$B$29)*MIN(1,7/4)))-(N10+N12+N14)</f>
        <v/>
      </c>
      <c r="O16" s="34">
        <f>O6*(1-(Dashboard!$B$29+(Dashboard!$B$30-Dashboard!$B$29)*MIN(1,8/4)))-(O10+O12+O14)</f>
        <v/>
      </c>
      <c r="P16" s="34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SUM(Financials!J40:M40)</f>
        <v/>
      </c>
      <c r="C24" s="34">
        <f>SUM(Financials!N40:Q40)</f>
        <v/>
      </c>
      <c r="D24" s="34">
        <f>SUM(Financials!R40:U40)</f>
        <v/>
      </c>
      <c r="E24" s="34">
        <f>SUM(Financials!V40:Y40)</f>
        <v/>
      </c>
      <c r="F24" s="34">
        <f>SUM(Financials!Z40:AC40)</f>
        <v/>
      </c>
      <c r="G24" s="42">
        <f>G6*0.0633</f>
        <v/>
      </c>
      <c r="H24" s="42">
        <f>H6*0.0633</f>
        <v/>
      </c>
      <c r="I24" s="42">
        <f>I6*0.0633</f>
        <v/>
      </c>
      <c r="J24" s="42">
        <f>J6*0.0633</f>
        <v/>
      </c>
      <c r="K24" s="42">
        <f>K6*0.0633</f>
        <v/>
      </c>
      <c r="L24" s="42">
        <f>L6*0.0633</f>
        <v/>
      </c>
      <c r="M24" s="42">
        <f>M6*0.0633</f>
        <v/>
      </c>
      <c r="N24" s="42">
        <f>N6*0.0633</f>
        <v/>
      </c>
      <c r="O24" s="42">
        <f>O6*0.0633</f>
        <v/>
      </c>
      <c r="P24" s="42">
        <f>P6*0.0633</f>
        <v/>
      </c>
    </row>
    <row r="25">
      <c r="A25" s="4" t="inlineStr">
        <is>
          <t>+ SBC (non-cash)</t>
        </is>
      </c>
      <c r="B25" s="34">
        <f>SUM(Financials!J41:M41)</f>
        <v/>
      </c>
      <c r="C25" s="34">
        <f>SUM(Financials!N41:Q41)</f>
        <v/>
      </c>
      <c r="D25" s="34">
        <f>SUM(Financials!R41:U41)</f>
        <v/>
      </c>
      <c r="E25" s="34">
        <f>SUM(Financials!V41:Y41)</f>
        <v/>
      </c>
      <c r="F25" s="34">
        <f>SUM(Financials!Z41:AC41)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-SUM(Financials!J44:M44)</f>
        <v/>
      </c>
      <c r="C27" s="34">
        <f>-SUM(Financials!N44:Q44)</f>
        <v/>
      </c>
      <c r="D27" s="34">
        <f>-SUM(Financials!R44:U44)</f>
        <v/>
      </c>
      <c r="E27" s="34">
        <f>-SUM(Financials!V44:Y44)</f>
        <v/>
      </c>
      <c r="F27" s="34">
        <f>-SUM(Financials!Z44:AC44)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Financials!M38+Financials!M37-Financials!M32</f>
        <v/>
      </c>
      <c r="C34" s="34">
        <f>Financials!Q38+Financials!Q37-Financials!Q32</f>
        <v/>
      </c>
      <c r="D34" s="34">
        <f>Financials!U38+Financials!U37-Financials!U32</f>
        <v/>
      </c>
      <c r="E34" s="34">
        <f>Financials!Y38+Financials!Y37-Financials!Y32</f>
        <v/>
      </c>
      <c r="F34" s="34">
        <f>Financials!AC38+Financials!AC37-Financials!AC32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Financials!M38</f>
        <v/>
      </c>
      <c r="C35" s="34">
        <f>Financials!Q38</f>
        <v/>
      </c>
      <c r="D35" s="34">
        <f>Financials!U38</f>
        <v/>
      </c>
      <c r="E35" s="34">
        <f>Financials!Y38</f>
        <v/>
      </c>
      <c r="F35" s="34">
        <f>Financials!AC38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IFERROR(SUM(Financials!N15:Q15)/B35,"")</f>
        <v/>
      </c>
      <c r="D37" s="11">
        <f>IFERROR(SUM(Financials!R15:U15)/C35,"")</f>
        <v/>
      </c>
      <c r="E37" s="11">
        <f>IFERROR(SUM(Financials!V15:Y15)/D35,"")</f>
        <v/>
      </c>
      <c r="F37" s="11">
        <f>IFERROR(SUM(Financials!Z15:AC15)/E35,"")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Q1 2020</t>
        </is>
      </c>
      <c r="C1" s="46" t="inlineStr">
        <is>
          <t>Q2 2020</t>
        </is>
      </c>
      <c r="D1" s="46" t="inlineStr">
        <is>
          <t>Q3 2020</t>
        </is>
      </c>
      <c r="E1" s="46" t="inlineStr">
        <is>
          <t>Q4 2020</t>
        </is>
      </c>
      <c r="F1" s="46" t="inlineStr">
        <is>
          <t>Q1 2021</t>
        </is>
      </c>
      <c r="G1" s="46" t="inlineStr">
        <is>
          <t>Q2 2021</t>
        </is>
      </c>
      <c r="H1" s="46" t="inlineStr">
        <is>
          <t>Q3 2021</t>
        </is>
      </c>
      <c r="I1" s="46" t="inlineStr">
        <is>
          <t>Q4 2021</t>
        </is>
      </c>
      <c r="J1" s="46" t="inlineStr">
        <is>
          <t>Q1 2022</t>
        </is>
      </c>
      <c r="K1" s="46" t="inlineStr">
        <is>
          <t>Q2 2022</t>
        </is>
      </c>
      <c r="L1" s="46" t="inlineStr">
        <is>
          <t>Q3 2022</t>
        </is>
      </c>
      <c r="M1" s="46" t="inlineStr">
        <is>
          <t>Q4 2022</t>
        </is>
      </c>
      <c r="N1" s="46" t="inlineStr">
        <is>
          <t>Q1 2023</t>
        </is>
      </c>
      <c r="O1" s="46" t="inlineStr">
        <is>
          <t>Q2 2023</t>
        </is>
      </c>
      <c r="P1" s="46" t="inlineStr">
        <is>
          <t>Q3 2023</t>
        </is>
      </c>
      <c r="Q1" s="46" t="inlineStr">
        <is>
          <t>Q4 2023</t>
        </is>
      </c>
      <c r="R1" s="46" t="inlineStr">
        <is>
          <t>Q1 2024</t>
        </is>
      </c>
      <c r="S1" s="46" t="inlineStr">
        <is>
          <t>Q2 2024</t>
        </is>
      </c>
      <c r="T1" s="46" t="inlineStr">
        <is>
          <t>Q3 2024</t>
        </is>
      </c>
      <c r="U1" s="46" t="inlineStr">
        <is>
          <t>Q4 2024</t>
        </is>
      </c>
      <c r="V1" s="46" t="inlineStr">
        <is>
          <t>Q1 2025</t>
        </is>
      </c>
      <c r="W1" s="46" t="inlineStr">
        <is>
          <t>Q2 2025</t>
        </is>
      </c>
      <c r="X1" s="46" t="inlineStr">
        <is>
          <t>Q3 2025</t>
        </is>
      </c>
      <c r="Y1" s="46" t="inlineStr">
        <is>
          <t>Q4 2025</t>
        </is>
      </c>
      <c r="Z1" s="46" t="inlineStr">
        <is>
          <t>Q1 2026</t>
        </is>
      </c>
      <c r="AA1" s="46" t="inlineStr">
        <is>
          <t>Q2 2026</t>
        </is>
      </c>
      <c r="AB1" s="46" t="inlineStr">
        <is>
          <t>Q3 2026</t>
        </is>
      </c>
      <c r="AC1" s="4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96.077</v>
      </c>
      <c r="C3" s="18" t="n">
        <v>108.108</v>
      </c>
      <c r="D3" s="18" t="n">
        <v>125.119</v>
      </c>
      <c r="E3" s="18" t="n">
        <v>152.109</v>
      </c>
      <c r="F3" s="18" t="n">
        <v>178.078</v>
      </c>
      <c r="G3" s="18" t="n">
        <v>198.971</v>
      </c>
      <c r="H3" s="18" t="n">
        <v>232.46</v>
      </c>
      <c r="I3" s="18" t="n">
        <v>264.929</v>
      </c>
      <c r="J3" s="18" t="n">
        <v>302.843</v>
      </c>
      <c r="K3" s="18" t="n">
        <v>337.69</v>
      </c>
      <c r="L3" s="18" t="n">
        <v>380.051</v>
      </c>
      <c r="M3" s="18" t="n">
        <v>431.01</v>
      </c>
      <c r="N3" s="18" t="n">
        <v>487.834</v>
      </c>
      <c r="O3" s="18" t="n">
        <v>535.153</v>
      </c>
      <c r="P3" s="18" t="n">
        <v>580.8819999999999</v>
      </c>
      <c r="Q3" s="18" t="n">
        <v>637.367</v>
      </c>
      <c r="R3" s="18" t="n">
        <v>692.58</v>
      </c>
      <c r="S3" s="18" t="n">
        <v>731.626</v>
      </c>
      <c r="T3" s="18" t="n">
        <v>786.014</v>
      </c>
      <c r="U3" s="18" t="n">
        <v>845.335</v>
      </c>
      <c r="V3" s="18" t="n">
        <v>921.0359999999999</v>
      </c>
      <c r="W3" s="18" t="n">
        <v>963.872</v>
      </c>
      <c r="X3" s="18" t="n">
        <v>1010.178</v>
      </c>
      <c r="Y3" s="18" t="n">
        <v>1058.538</v>
      </c>
      <c r="Z3" s="18" t="n">
        <v>1103.434</v>
      </c>
      <c r="AA3" s="18" t="n">
        <v>1168.952</v>
      </c>
      <c r="AB3" s="18" t="n">
        <v>1234.244</v>
      </c>
      <c r="AC3" s="18" t="n">
        <v>1305.375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29.273</v>
      </c>
      <c r="C5" s="18" t="n">
        <v>31.582</v>
      </c>
      <c r="D5" s="18" t="n">
        <v>37.355</v>
      </c>
      <c r="E5" s="18" t="n">
        <v>43.417</v>
      </c>
      <c r="F5" s="18" t="n">
        <v>46.895</v>
      </c>
      <c r="G5" s="18" t="n">
        <v>54.391</v>
      </c>
      <c r="H5" s="18" t="n">
        <v>61.527</v>
      </c>
      <c r="I5" s="18" t="n">
        <v>66.732</v>
      </c>
      <c r="J5" s="18" t="n">
        <v>78.505</v>
      </c>
      <c r="K5" s="18" t="n">
        <v>90.432</v>
      </c>
      <c r="L5" s="18" t="n">
        <v>101.664</v>
      </c>
      <c r="M5" s="18" t="n">
        <v>112.62</v>
      </c>
      <c r="N5" s="18" t="n">
        <v>126.832</v>
      </c>
      <c r="O5" s="18" t="n">
        <v>140.567</v>
      </c>
      <c r="P5" s="18" t="n">
        <v>158.228</v>
      </c>
      <c r="Q5" s="18" t="n">
        <v>175.604</v>
      </c>
      <c r="R5" s="18" t="n">
        <v>169.23</v>
      </c>
      <c r="S5" s="18" t="n">
        <v>182.917</v>
      </c>
      <c r="T5" s="18" t="n">
        <v>195.004</v>
      </c>
      <c r="U5" s="18" t="n">
        <v>208.572</v>
      </c>
      <c r="V5" s="18" t="n">
        <v>225.003</v>
      </c>
      <c r="W5" s="18" t="n">
        <v>237.401</v>
      </c>
      <c r="X5" s="18" t="n">
        <v>255.087</v>
      </c>
      <c r="Y5" s="18" t="n">
        <v>273.99</v>
      </c>
      <c r="Z5" s="18" t="n">
        <v>289.143</v>
      </c>
      <c r="AA5" s="18" t="n">
        <v>310.283</v>
      </c>
      <c r="AB5" s="18" t="n">
        <v>301.245</v>
      </c>
      <c r="AC5" s="18" t="n">
        <v>308.915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23.875</v>
      </c>
      <c r="C7" s="18" t="n">
        <v>31.63</v>
      </c>
      <c r="D7" s="18" t="n">
        <v>35.992</v>
      </c>
      <c r="E7" s="18" t="n">
        <v>38.691</v>
      </c>
      <c r="F7" s="18" t="n">
        <v>40.578</v>
      </c>
      <c r="G7" s="18" t="n">
        <v>50.483</v>
      </c>
      <c r="H7" s="18" t="n">
        <v>57.539</v>
      </c>
      <c r="I7" s="18" t="n">
        <v>66.06999999999999</v>
      </c>
      <c r="J7" s="18" t="n">
        <v>78.18000000000001</v>
      </c>
      <c r="K7" s="18" t="n">
        <v>90.455</v>
      </c>
      <c r="L7" s="18" t="n">
        <v>97.63</v>
      </c>
      <c r="M7" s="18" t="n">
        <v>105.018</v>
      </c>
      <c r="N7" s="18" t="n">
        <v>123.399</v>
      </c>
      <c r="O7" s="18" t="n">
        <v>137.864</v>
      </c>
      <c r="P7" s="18" t="n">
        <v>155.256</v>
      </c>
      <c r="Q7" s="18" t="n">
        <v>191.845</v>
      </c>
      <c r="R7" s="18" t="n">
        <v>179.065</v>
      </c>
      <c r="S7" s="18" t="n">
        <v>179.362</v>
      </c>
      <c r="T7" s="18" t="n">
        <v>196.072</v>
      </c>
      <c r="U7" s="18" t="n">
        <v>213.998</v>
      </c>
      <c r="V7" s="18" t="n">
        <v>235.249</v>
      </c>
      <c r="W7" s="18" t="n">
        <v>250.908</v>
      </c>
      <c r="X7" s="18" t="n">
        <v>275.602</v>
      </c>
      <c r="Y7" s="18" t="n">
        <v>315.142</v>
      </c>
      <c r="Z7" s="18" t="n">
        <v>334.129</v>
      </c>
      <c r="AA7" s="18" t="n">
        <v>346.668</v>
      </c>
      <c r="AB7" s="18" t="n">
        <v>345.153</v>
      </c>
      <c r="AC7" s="18" t="n">
        <v>367.006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68.70399999999999</v>
      </c>
      <c r="C9" s="18" t="n">
        <v>95.535</v>
      </c>
      <c r="D9" s="18" t="n">
        <v>90.29000000000001</v>
      </c>
      <c r="E9" s="18" t="n">
        <v>101.134</v>
      </c>
      <c r="F9" s="18" t="n">
        <v>113.181</v>
      </c>
      <c r="G9" s="18" t="n">
        <v>124.088</v>
      </c>
      <c r="H9" s="18" t="n">
        <v>137.553</v>
      </c>
      <c r="I9" s="18" t="n">
        <v>147.93</v>
      </c>
      <c r="J9" s="18" t="n">
        <v>177.505</v>
      </c>
      <c r="K9" s="18" t="n">
        <v>204.206</v>
      </c>
      <c r="L9" s="18" t="n">
        <v>221.021</v>
      </c>
      <c r="M9" s="18" t="n">
        <v>236.906</v>
      </c>
      <c r="N9" s="18" t="n">
        <v>261.486</v>
      </c>
      <c r="O9" s="18" t="n">
        <v>305.029</v>
      </c>
      <c r="P9" s="18" t="n">
        <v>323.82</v>
      </c>
      <c r="Q9" s="18" t="n">
        <v>331.418</v>
      </c>
      <c r="R9" s="18" t="n">
        <v>363.741</v>
      </c>
      <c r="S9" s="18" t="n">
        <v>384.72</v>
      </c>
      <c r="T9" s="18" t="n">
        <v>391.775</v>
      </c>
      <c r="U9" s="18" t="n">
        <v>393.094</v>
      </c>
      <c r="V9" s="18" t="n">
        <v>453.848</v>
      </c>
      <c r="W9" s="18" t="n">
        <v>461.905</v>
      </c>
      <c r="X9" s="18" t="n">
        <v>535.212</v>
      </c>
      <c r="Y9" s="18" t="n">
        <v>554.707</v>
      </c>
      <c r="Z9" s="18" t="n">
        <v>604.818</v>
      </c>
      <c r="AA9" s="18" t="n">
        <v>624.98</v>
      </c>
      <c r="AB9" s="18" t="n">
        <v>617.673</v>
      </c>
      <c r="AC9" s="18" t="n">
        <v>605.422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66.804</v>
      </c>
      <c r="C11" s="18" t="n">
        <v>76.526</v>
      </c>
      <c r="D11" s="18" t="n">
        <v>87.764</v>
      </c>
      <c r="E11" s="18" t="n">
        <v>108.692</v>
      </c>
      <c r="F11" s="18" t="n">
        <v>131.183</v>
      </c>
      <c r="G11" s="18" t="n">
        <v>144.58</v>
      </c>
      <c r="H11" s="18" t="n">
        <v>170.933</v>
      </c>
      <c r="I11" s="18" t="n">
        <v>198.197</v>
      </c>
      <c r="J11" s="18" t="n">
        <v>224.338</v>
      </c>
      <c r="K11" s="18" t="n">
        <v>247.258</v>
      </c>
      <c r="L11" s="18" t="n">
        <v>278.387</v>
      </c>
      <c r="M11" s="18" t="n">
        <v>318.39</v>
      </c>
      <c r="N11" s="18" t="n">
        <v>361.002</v>
      </c>
      <c r="O11" s="18" t="n">
        <v>394.586</v>
      </c>
      <c r="P11" s="18" t="n">
        <v>422.654</v>
      </c>
      <c r="Q11" s="18" t="n">
        <v>461.763</v>
      </c>
      <c r="R11" s="18" t="n">
        <v>523.35</v>
      </c>
      <c r="S11" s="18" t="n">
        <v>548.7089999999999</v>
      </c>
      <c r="T11" s="18" t="n">
        <v>591.01</v>
      </c>
      <c r="U11" s="18" t="n">
        <v>636.763</v>
      </c>
      <c r="V11" s="18" t="n">
        <v>696.033</v>
      </c>
      <c r="W11" s="18" t="n">
        <v>726.471</v>
      </c>
      <c r="X11" s="18" t="n">
        <v>755.091</v>
      </c>
      <c r="Y11" s="18" t="n">
        <v>784.548</v>
      </c>
      <c r="Z11" s="18" t="n">
        <v>814.2910000000001</v>
      </c>
      <c r="AA11" s="18" t="n">
        <v>858.669</v>
      </c>
      <c r="AB11" s="18" t="n">
        <v>932.999</v>
      </c>
      <c r="AC11" s="18" t="n">
        <v>996.46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-25.775</v>
      </c>
      <c r="C13" s="18" t="n">
        <v>-50.639</v>
      </c>
      <c r="D13" s="18" t="n">
        <v>-38.518</v>
      </c>
      <c r="E13" s="18" t="n">
        <v>-31.133</v>
      </c>
      <c r="F13" s="18" t="n">
        <v>-22.576</v>
      </c>
      <c r="G13" s="18" t="n">
        <v>-29.991</v>
      </c>
      <c r="H13" s="18" t="n">
        <v>-24.159</v>
      </c>
      <c r="I13" s="18" t="n">
        <v>-15.803</v>
      </c>
      <c r="J13" s="18" t="n">
        <v>-31.347</v>
      </c>
      <c r="K13" s="18" t="n">
        <v>-47.403</v>
      </c>
      <c r="L13" s="18" t="n">
        <v>-40.264</v>
      </c>
      <c r="M13" s="18" t="n">
        <v>-23.534</v>
      </c>
      <c r="N13" s="18" t="n">
        <v>-23.883</v>
      </c>
      <c r="O13" s="18" t="n">
        <v>-48.307</v>
      </c>
      <c r="P13" s="18" t="n">
        <v>-56.422</v>
      </c>
      <c r="Q13" s="18" t="n">
        <v>-61.5</v>
      </c>
      <c r="R13" s="18" t="n">
        <v>-19.456</v>
      </c>
      <c r="S13" s="18" t="n">
        <v>-15.373</v>
      </c>
      <c r="T13" s="18" t="n">
        <v>3.163</v>
      </c>
      <c r="U13" s="18" t="n">
        <v>29.671</v>
      </c>
      <c r="V13" s="18" t="n">
        <v>6.936</v>
      </c>
      <c r="W13" s="18" t="n">
        <v>13.658</v>
      </c>
      <c r="X13" s="18" t="n">
        <v>-55.723</v>
      </c>
      <c r="Y13" s="18" t="n">
        <v>-85.301</v>
      </c>
      <c r="Z13" s="18" t="n">
        <v>-124.656</v>
      </c>
      <c r="AA13" s="18" t="n">
        <v>-112.979</v>
      </c>
      <c r="AB13" s="18" t="n">
        <v>-37.627</v>
      </c>
      <c r="AC13" s="18" t="n">
        <v>15.86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-25.977</v>
      </c>
      <c r="C15" s="18" t="n">
        <v>-51.889</v>
      </c>
      <c r="D15" s="18" t="n">
        <v>-35.505</v>
      </c>
      <c r="E15" s="18" t="n">
        <v>-28.408</v>
      </c>
      <c r="F15" s="18" t="n">
        <v>-19.222</v>
      </c>
      <c r="G15" s="18" t="n">
        <v>-29.874</v>
      </c>
      <c r="H15" s="18" t="n">
        <v>-24.531</v>
      </c>
      <c r="I15" s="18" t="n">
        <v>-19.002</v>
      </c>
      <c r="J15" s="18" t="n">
        <v>-85.04900000000001</v>
      </c>
      <c r="K15" s="18" t="n">
        <v>-57.318</v>
      </c>
      <c r="L15" s="18" t="n">
        <v>-50.455</v>
      </c>
      <c r="M15" s="18" t="n">
        <v>-41.98</v>
      </c>
      <c r="N15" s="18" t="n">
        <v>-31.523</v>
      </c>
      <c r="O15" s="18" t="n">
        <v>-49.285</v>
      </c>
      <c r="P15" s="18" t="n">
        <v>-54.956</v>
      </c>
      <c r="Q15" s="18" t="n">
        <v>-47.481</v>
      </c>
      <c r="R15" s="18" t="n">
        <v>0.491</v>
      </c>
      <c r="S15" s="18" t="n">
        <v>8.472</v>
      </c>
      <c r="T15" s="18" t="n">
        <v>26.665</v>
      </c>
      <c r="U15" s="18" t="n">
        <v>53.699</v>
      </c>
      <c r="V15" s="18" t="n">
        <v>42.82</v>
      </c>
      <c r="W15" s="18" t="n">
        <v>47.013</v>
      </c>
      <c r="X15" s="18" t="n">
        <v>-16.822</v>
      </c>
      <c r="Y15" s="18" t="n">
        <v>-92.282</v>
      </c>
      <c r="Z15" s="18" t="n">
        <v>-110.207</v>
      </c>
      <c r="AA15" s="18" t="n">
        <v>-77.675</v>
      </c>
      <c r="AB15" s="18" t="n">
        <v>-33.997</v>
      </c>
      <c r="AC15" s="18" t="n">
        <v>38.691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196.688971</v>
      </c>
      <c r="C17" s="18" t="n">
        <v>200.392486</v>
      </c>
      <c r="D17" s="18" t="n">
        <v>204.096</v>
      </c>
      <c r="E17" s="18" t="n">
        <v>207.565</v>
      </c>
      <c r="F17" s="18" t="n">
        <v>213.129</v>
      </c>
      <c r="G17" s="18" t="n">
        <v>216.695</v>
      </c>
      <c r="H17" s="18" t="n">
        <v>219.401</v>
      </c>
      <c r="I17" s="18" t="n">
        <v>221.7</v>
      </c>
      <c r="J17" s="18" t="n">
        <v>224.153</v>
      </c>
      <c r="K17" s="18" t="n">
        <v>226.362</v>
      </c>
      <c r="L17" s="18" t="n">
        <v>228.293</v>
      </c>
      <c r="M17" s="18" t="n">
        <v>229.662</v>
      </c>
      <c r="N17" s="18" t="n">
        <v>231.179</v>
      </c>
      <c r="O17" s="18" t="n">
        <v>232.554</v>
      </c>
      <c r="P17" s="18" t="n">
        <v>233.785</v>
      </c>
      <c r="Q17" s="18" t="n">
        <v>235.027</v>
      </c>
      <c r="R17" s="18" t="n">
        <v>240.598</v>
      </c>
      <c r="S17" s="18" t="n">
        <v>242.144</v>
      </c>
      <c r="T17" s="18" t="n">
        <v>243.799</v>
      </c>
      <c r="U17" s="18" t="n">
        <v>247.936</v>
      </c>
      <c r="V17" s="18" t="n">
        <v>250.164</v>
      </c>
      <c r="W17" s="18" t="n">
        <v>251.265</v>
      </c>
      <c r="X17" s="18" t="n">
        <v>245.536</v>
      </c>
      <c r="Y17" s="18" t="n">
        <v>246.933</v>
      </c>
      <c r="Z17" s="18" t="n">
        <v>248.432</v>
      </c>
      <c r="AA17" s="18" t="n">
        <v>249.909</v>
      </c>
      <c r="AB17" s="18" t="n">
        <v>251.326</v>
      </c>
      <c r="AC17" s="18" t="n">
        <v>258.133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UNITED STATES</t>
        </is>
      </c>
      <c r="B19" s="18" t="n">
        <v>72.307</v>
      </c>
      <c r="C19" s="18" t="n">
        <v>80.146</v>
      </c>
      <c r="D19" s="18" t="n">
        <v>92.602</v>
      </c>
      <c r="E19" s="18" t="n">
        <v>111.458</v>
      </c>
      <c r="F19" s="18" t="n">
        <v>129.481</v>
      </c>
      <c r="G19" s="18" t="n">
        <v>141.733</v>
      </c>
      <c r="H19" s="18" t="n">
        <v>167.741</v>
      </c>
      <c r="I19" s="18" t="n">
        <v>188.447</v>
      </c>
      <c r="J19" s="18" t="n">
        <v>219.802</v>
      </c>
      <c r="K19" s="18" t="n">
        <v>244.668</v>
      </c>
      <c r="L19" s="18" t="n">
        <v>276.698</v>
      </c>
      <c r="M19" s="18" t="n">
        <v>305.306</v>
      </c>
      <c r="N19" s="18" t="n">
        <v>345.593</v>
      </c>
      <c r="O19" s="18" t="n">
        <v>374.258</v>
      </c>
      <c r="P19" s="18" t="n">
        <v>403.302</v>
      </c>
      <c r="Q19" s="18" t="n">
        <v>440.414</v>
      </c>
      <c r="R19" s="18" t="n">
        <v>474.825</v>
      </c>
      <c r="S19" s="18" t="n">
        <v>500.864</v>
      </c>
      <c r="T19" s="18" t="n">
        <v>537.88</v>
      </c>
      <c r="U19" s="18" t="n">
        <v>574.485</v>
      </c>
      <c r="V19" s="18" t="n">
        <v>630.026</v>
      </c>
      <c r="W19" s="18" t="n">
        <v>655.001</v>
      </c>
      <c r="X19" s="18" t="n">
        <v>683.476</v>
      </c>
      <c r="Y19" s="18" t="n">
        <v>714.439</v>
      </c>
      <c r="Z19" s="18" t="n">
        <v>741.852</v>
      </c>
      <c r="AB19" s="18" t="n">
        <v>826.653</v>
      </c>
      <c r="AC19" s="18" t="n">
        <v>1648.149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EMEA</t>
        </is>
      </c>
      <c r="B22" s="18" t="n">
        <v>13.414</v>
      </c>
      <c r="C22" s="18" t="n">
        <v>15.006</v>
      </c>
      <c r="D22" s="18" t="n">
        <v>17.609</v>
      </c>
      <c r="E22" s="18" t="n">
        <v>21.399</v>
      </c>
      <c r="F22" s="18" t="n">
        <v>25.042</v>
      </c>
      <c r="G22" s="18" t="n">
        <v>28.552</v>
      </c>
      <c r="H22" s="18" t="n">
        <v>33.192</v>
      </c>
      <c r="I22" s="18" t="n">
        <v>37.114</v>
      </c>
      <c r="J22" s="18" t="n">
        <v>41.649</v>
      </c>
      <c r="K22" s="18" t="n">
        <v>46.55</v>
      </c>
      <c r="L22" s="18" t="n">
        <v>50.721</v>
      </c>
      <c r="M22" s="18" t="n">
        <v>61.278</v>
      </c>
      <c r="N22" s="18" t="n">
        <v>70.625</v>
      </c>
      <c r="O22" s="18" t="n">
        <v>77.096</v>
      </c>
      <c r="P22" s="18" t="n">
        <v>85.66500000000001</v>
      </c>
      <c r="Q22" s="18" t="n">
        <v>94.54300000000001</v>
      </c>
      <c r="R22" s="18" t="n">
        <v>104.552</v>
      </c>
      <c r="S22" s="18" t="n">
        <v>111.909</v>
      </c>
      <c r="T22" s="18" t="n">
        <v>119.158</v>
      </c>
      <c r="U22" s="18" t="n">
        <v>132.309</v>
      </c>
      <c r="V22" s="18" t="n">
        <v>141.612</v>
      </c>
      <c r="W22" s="18" t="n">
        <v>148.851</v>
      </c>
      <c r="X22" s="18" t="n">
        <v>160.574</v>
      </c>
      <c r="Y22" s="18" t="n">
        <v>168.446</v>
      </c>
      <c r="Z22" s="18" t="n">
        <v>176.442</v>
      </c>
      <c r="AB22" s="18" t="n">
        <v>198.42</v>
      </c>
      <c r="AC22" s="18" t="n">
        <v>407.804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Asia Pacific</t>
        </is>
      </c>
      <c r="B25" s="18" t="n">
        <v>6.23</v>
      </c>
      <c r="C25" s="18" t="n">
        <v>8.613</v>
      </c>
      <c r="D25" s="18" t="n">
        <v>9.984999999999999</v>
      </c>
      <c r="E25" s="18" t="n">
        <v>12.844</v>
      </c>
      <c r="F25" s="18" t="n">
        <v>14.901</v>
      </c>
      <c r="G25" s="18" t="n">
        <v>17.733</v>
      </c>
      <c r="H25" s="18" t="n">
        <v>20.551</v>
      </c>
      <c r="I25" s="18" t="n">
        <v>27</v>
      </c>
      <c r="J25" s="18" t="n">
        <v>29</v>
      </c>
      <c r="K25" s="18" t="n">
        <v>32.998</v>
      </c>
      <c r="L25" s="18" t="n">
        <v>37.265</v>
      </c>
      <c r="M25" s="18" t="n">
        <v>43.423</v>
      </c>
      <c r="N25" s="18" t="n">
        <v>48.079</v>
      </c>
      <c r="O25" s="18" t="n">
        <v>54.623</v>
      </c>
      <c r="P25" s="18" t="n">
        <v>60.011</v>
      </c>
      <c r="Q25" s="18" t="n">
        <v>65.411</v>
      </c>
      <c r="R25" s="18" t="n">
        <v>72.21899999999999</v>
      </c>
      <c r="S25" s="18" t="n">
        <v>75.19799999999999</v>
      </c>
      <c r="T25" s="18" t="n">
        <v>81.459</v>
      </c>
      <c r="U25" s="18" t="n">
        <v>86.648</v>
      </c>
      <c r="V25" s="18" t="n">
        <v>93.462</v>
      </c>
      <c r="W25" s="18" t="n">
        <v>98.274</v>
      </c>
      <c r="X25" s="18" t="n">
        <v>102.837</v>
      </c>
      <c r="Y25" s="18" t="n">
        <v>107.88</v>
      </c>
      <c r="Z25" s="18" t="n">
        <v>112.827</v>
      </c>
      <c r="AB25" s="18" t="n">
        <v>127.591</v>
      </c>
      <c r="AC25" s="18" t="n">
        <v>255.283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Other Countries</t>
        </is>
      </c>
      <c r="B28" s="18" t="n">
        <v>4.126</v>
      </c>
      <c r="C28" s="18" t="n">
        <v>4.343</v>
      </c>
      <c r="D28" s="18" t="n">
        <v>4.923</v>
      </c>
      <c r="E28" s="18" t="n">
        <v>6.408</v>
      </c>
      <c r="F28" s="18" t="n">
        <v>8.654</v>
      </c>
      <c r="G28" s="18" t="n">
        <v>10.953</v>
      </c>
      <c r="H28" s="18" t="n">
        <v>10.976</v>
      </c>
      <c r="I28" s="18" t="n">
        <v>12.368</v>
      </c>
      <c r="J28" s="18" t="n">
        <v>12.392</v>
      </c>
      <c r="K28" s="18" t="n">
        <v>13.474</v>
      </c>
      <c r="L28" s="18" t="n">
        <v>15.367</v>
      </c>
      <c r="M28" s="18" t="n">
        <v>21.003</v>
      </c>
      <c r="N28" s="18" t="n">
        <v>23.537</v>
      </c>
      <c r="O28" s="18" t="n">
        <v>29.176</v>
      </c>
      <c r="P28" s="18" t="n">
        <v>31.904</v>
      </c>
      <c r="Q28" s="18" t="n">
        <v>36.999</v>
      </c>
      <c r="R28" s="18" t="n">
        <v>40.984</v>
      </c>
      <c r="S28" s="18" t="n">
        <v>43.655</v>
      </c>
      <c r="T28" s="18" t="n">
        <v>47.517</v>
      </c>
      <c r="U28" s="18" t="n">
        <v>51.893</v>
      </c>
      <c r="V28" s="18" t="n">
        <v>55.936</v>
      </c>
      <c r="W28" s="18" t="n">
        <v>61.746</v>
      </c>
      <c r="X28" s="18" t="n">
        <v>63.291</v>
      </c>
      <c r="Y28" s="18" t="n">
        <v>67.773</v>
      </c>
      <c r="Z28" s="18" t="n">
        <v>72.313</v>
      </c>
      <c r="AB28" s="18" t="n">
        <v>81.58</v>
      </c>
      <c r="AC28" s="18" t="n">
        <v>163.091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5" t="inlineStr">
        <is>
          <t xml:space="preserve">  BALANCE SHEET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4" t="inlineStr">
        <is>
          <t>Cash &amp; ST Investments</t>
        </is>
      </c>
      <c r="B32" s="18" t="n">
        <v>175.059</v>
      </c>
      <c r="C32" s="18" t="n">
        <v>826.811</v>
      </c>
      <c r="D32" s="18" t="n">
        <v>833.688</v>
      </c>
      <c r="E32" s="18" t="n">
        <v>912.064</v>
      </c>
      <c r="F32" s="18" t="n">
        <v>1004.991</v>
      </c>
      <c r="G32" s="18" t="n">
        <v>1064.733999</v>
      </c>
      <c r="H32" s="18" t="n">
        <v>1059.925999</v>
      </c>
      <c r="I32" s="18" t="n">
        <v>1918.608</v>
      </c>
      <c r="J32" s="18" t="n">
        <v>1684.997</v>
      </c>
      <c r="K32" s="18" t="n">
        <v>1787.051</v>
      </c>
      <c r="L32" s="18" t="n">
        <v>1907.508</v>
      </c>
      <c r="M32" s="18" t="n">
        <v>1996.633</v>
      </c>
      <c r="N32" s="18" t="n">
        <v>2152.736</v>
      </c>
      <c r="O32" s="18" t="n">
        <v>2318.858</v>
      </c>
      <c r="P32" s="18" t="n">
        <v>2466.551</v>
      </c>
      <c r="Q32" s="18" t="n">
        <v>2705.369</v>
      </c>
      <c r="R32" s="18" t="n">
        <v>2929.677</v>
      </c>
      <c r="S32" s="18" t="n">
        <v>3167.215</v>
      </c>
      <c r="T32" s="18" t="n">
        <v>3166.394</v>
      </c>
      <c r="U32" s="18" t="n">
        <v>3474.66</v>
      </c>
      <c r="V32" s="18" t="n">
        <v>3702.437</v>
      </c>
      <c r="W32" s="18" t="n">
        <v>4038.536</v>
      </c>
      <c r="X32" s="18" t="n">
        <v>4262.214</v>
      </c>
      <c r="Y32" s="18" t="n">
        <v>4323.295</v>
      </c>
      <c r="Z32" s="18" t="n">
        <v>4614.153</v>
      </c>
      <c r="AA32" s="18" t="n">
        <v>4972.436</v>
      </c>
      <c r="AB32" s="18" t="n">
        <v>4801.083</v>
      </c>
      <c r="AC32" s="18" t="n">
        <v>5230.125</v>
      </c>
    </row>
    <row r="33">
      <c r="A33" s="4" t="inlineStr">
        <is>
          <t>Total Current Assets</t>
        </is>
      </c>
      <c r="B33" s="18" t="n">
        <v>285.058</v>
      </c>
      <c r="C33" s="18" t="n">
        <v>971.415</v>
      </c>
      <c r="D33" s="18" t="n">
        <v>1017.296</v>
      </c>
      <c r="E33" s="18" t="n">
        <v>1128.665</v>
      </c>
      <c r="F33" s="18" t="n">
        <v>1195.052</v>
      </c>
      <c r="G33" s="18" t="n">
        <v>1262.144</v>
      </c>
      <c r="H33" s="18" t="n">
        <v>1278.374</v>
      </c>
      <c r="I33" s="18" t="n">
        <v>2211.424</v>
      </c>
      <c r="J33" s="18" t="n">
        <v>1952.615</v>
      </c>
      <c r="K33" s="18" t="n">
        <v>2156.555</v>
      </c>
      <c r="L33" s="18" t="n">
        <v>2251.45</v>
      </c>
      <c r="M33" s="18" t="n">
        <v>2444.13</v>
      </c>
      <c r="N33" s="18" t="n">
        <v>2597.377</v>
      </c>
      <c r="O33" s="18" t="n">
        <v>2827.855</v>
      </c>
      <c r="P33" s="18" t="n">
        <v>3041.353</v>
      </c>
      <c r="Q33" s="18" t="n">
        <v>3453.412</v>
      </c>
      <c r="R33" s="18" t="n">
        <v>3521.869</v>
      </c>
      <c r="S33" s="18" t="n">
        <v>3853.275</v>
      </c>
      <c r="T33" s="18" t="n">
        <v>3869.917</v>
      </c>
      <c r="U33" s="18" t="n">
        <v>4510.937</v>
      </c>
      <c r="V33" s="18" t="n">
        <v>4596.971</v>
      </c>
      <c r="W33" s="18" t="n">
        <v>4930.402</v>
      </c>
      <c r="X33" s="18" t="n">
        <v>5278.098</v>
      </c>
      <c r="Y33" s="18" t="n">
        <v>5766.303</v>
      </c>
      <c r="Z33" s="18" t="n">
        <v>5718.993</v>
      </c>
      <c r="AA33" s="18" t="n">
        <v>6534.354</v>
      </c>
      <c r="AB33" s="18" t="n">
        <v>6519.282</v>
      </c>
      <c r="AC33" s="18" t="n">
        <v>7419.119</v>
      </c>
    </row>
    <row r="34">
      <c r="A34" s="4" t="inlineStr">
        <is>
          <t>PP&amp;E (net)</t>
        </is>
      </c>
      <c r="B34" s="18" t="n">
        <v>86.349</v>
      </c>
      <c r="C34" s="18" t="n">
        <v>107.989</v>
      </c>
      <c r="D34" s="18" t="n">
        <v>129.503999</v>
      </c>
      <c r="E34" s="18" t="n">
        <v>136.078</v>
      </c>
      <c r="F34" s="18" t="n">
        <v>174.834</v>
      </c>
      <c r="G34" s="18" t="n">
        <v>193.757</v>
      </c>
      <c r="H34" s="18" t="n">
        <v>200.747</v>
      </c>
      <c r="I34" s="18" t="n">
        <v>203.498</v>
      </c>
      <c r="J34" s="18" t="n">
        <v>227.993</v>
      </c>
      <c r="K34" s="18" t="n">
        <v>250.686</v>
      </c>
      <c r="L34" s="18" t="n">
        <v>276.117</v>
      </c>
      <c r="M34" s="18" t="n">
        <v>292.312</v>
      </c>
      <c r="N34" s="18" t="n">
        <v>345.01</v>
      </c>
      <c r="O34" s="18" t="n">
        <v>411.475</v>
      </c>
      <c r="P34" s="18" t="n">
        <v>455.651</v>
      </c>
      <c r="Q34" s="18" t="n">
        <v>532.270999</v>
      </c>
      <c r="R34" s="18" t="n">
        <v>574.1799999999999</v>
      </c>
      <c r="S34" s="18" t="n">
        <v>607.766</v>
      </c>
      <c r="T34" s="18" t="n">
        <v>631.978</v>
      </c>
      <c r="U34" s="18" t="n">
        <v>668.383</v>
      </c>
      <c r="V34" s="18" t="n">
        <v>675.979</v>
      </c>
      <c r="W34" s="18" t="n">
        <v>694.371</v>
      </c>
      <c r="X34" s="18" t="n">
        <v>792.856</v>
      </c>
      <c r="Y34" s="18" t="n">
        <v>831.403</v>
      </c>
      <c r="Z34" s="18" t="n">
        <v>865.259</v>
      </c>
      <c r="AA34" s="18" t="n">
        <v>932.639</v>
      </c>
      <c r="AB34" s="18" t="n">
        <v>994.322</v>
      </c>
      <c r="AC34" s="18" t="n">
        <v>1046.191</v>
      </c>
    </row>
    <row r="35">
      <c r="A35" s="4" t="inlineStr">
        <is>
          <t>Total Assets</t>
        </is>
      </c>
      <c r="B35" s="18" t="n">
        <v>457.361</v>
      </c>
      <c r="C35" s="18" t="n">
        <v>1171.586</v>
      </c>
      <c r="D35" s="18" t="n">
        <v>1256.054</v>
      </c>
      <c r="E35" s="18" t="n">
        <v>1404.906</v>
      </c>
      <c r="F35" s="18" t="n">
        <v>1519.396</v>
      </c>
      <c r="G35" s="18" t="n">
        <v>1616.952</v>
      </c>
      <c r="H35" s="18" t="n">
        <v>1749.509</v>
      </c>
      <c r="I35" s="18" t="n">
        <v>2732.533</v>
      </c>
      <c r="J35" s="18" t="n">
        <v>2881.171</v>
      </c>
      <c r="K35" s="18" t="n">
        <v>3136.045</v>
      </c>
      <c r="L35" s="18" t="n">
        <v>3299.617</v>
      </c>
      <c r="M35" s="18" t="n">
        <v>3618.381</v>
      </c>
      <c r="N35" s="18" t="n">
        <v>3835.835</v>
      </c>
      <c r="O35" s="18" t="n">
        <v>4154.236</v>
      </c>
      <c r="P35" s="18" t="n">
        <v>4469.443</v>
      </c>
      <c r="Q35" s="18" t="n">
        <v>5026.54</v>
      </c>
      <c r="R35" s="18" t="n">
        <v>5137.858</v>
      </c>
      <c r="S35" s="18" t="n">
        <v>5520.458</v>
      </c>
      <c r="T35" s="18" t="n">
        <v>5831.056</v>
      </c>
      <c r="U35" s="18" t="n">
        <v>6646.52</v>
      </c>
      <c r="V35" s="18" t="n">
        <v>6841.985</v>
      </c>
      <c r="W35" s="18" t="n">
        <v>7202.474</v>
      </c>
      <c r="X35" s="18" t="n">
        <v>7782.958</v>
      </c>
      <c r="Y35" s="18" t="n">
        <v>8701.578</v>
      </c>
      <c r="Z35" s="18" t="n">
        <v>8720.361999999999</v>
      </c>
      <c r="AA35" s="18" t="n">
        <v>9288.859</v>
      </c>
      <c r="AB35" s="18" t="n">
        <v>9965.347</v>
      </c>
      <c r="AC35" s="18" t="n">
        <v>11086.684</v>
      </c>
    </row>
    <row r="36">
      <c r="A36" s="4" t="inlineStr">
        <is>
          <t>Total Current Liabilities</t>
        </is>
      </c>
      <c r="B36" s="18" t="n">
        <v>302.721</v>
      </c>
      <c r="C36" s="18" t="n">
        <v>341.781</v>
      </c>
      <c r="D36" s="18" t="n">
        <v>415.604</v>
      </c>
      <c r="E36" s="18" t="n">
        <v>493.096</v>
      </c>
      <c r="F36" s="18" t="n">
        <v>555.644</v>
      </c>
      <c r="G36" s="18" t="n">
        <v>603.292</v>
      </c>
      <c r="H36" s="18" t="n">
        <v>702.039</v>
      </c>
      <c r="I36" s="18" t="n">
        <v>863.553</v>
      </c>
      <c r="J36" s="18" t="n">
        <v>982.765</v>
      </c>
      <c r="K36" s="18" t="n">
        <v>1136.828</v>
      </c>
      <c r="L36" s="18" t="n">
        <v>1241.547</v>
      </c>
      <c r="M36" s="18" t="n">
        <v>1406.83</v>
      </c>
      <c r="N36" s="18" t="n">
        <v>1497.103</v>
      </c>
      <c r="O36" s="18" t="n">
        <v>1649.25</v>
      </c>
      <c r="P36" s="18" t="n">
        <v>1817.053</v>
      </c>
      <c r="Q36" s="18" t="n">
        <v>2109.072</v>
      </c>
      <c r="R36" s="18" t="n">
        <v>2080.064</v>
      </c>
      <c r="S36" s="18" t="n">
        <v>2229.463</v>
      </c>
      <c r="T36" s="18" t="n">
        <v>2350.417</v>
      </c>
      <c r="U36" s="18" t="n">
        <v>2697.279</v>
      </c>
      <c r="V36" s="18" t="n">
        <v>2683.686</v>
      </c>
      <c r="W36" s="18" t="n">
        <v>2728.319</v>
      </c>
      <c r="X36" s="18" t="n">
        <v>3000.38</v>
      </c>
      <c r="Y36" s="18" t="n">
        <v>3461.05</v>
      </c>
      <c r="Z36" s="18" t="n">
        <v>3282.534</v>
      </c>
      <c r="AA36" s="18" t="n">
        <v>3475.938</v>
      </c>
      <c r="AB36" s="18" t="n">
        <v>3599.895</v>
      </c>
      <c r="AC36" s="18" t="n">
        <v>4184.192</v>
      </c>
    </row>
    <row r="37">
      <c r="A37" s="4" t="inlineStr">
        <is>
          <t>Long-term Debt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738.029</v>
      </c>
      <c r="J37" s="18" t="n">
        <v>738.4</v>
      </c>
      <c r="K37" s="18" t="n">
        <v>738.772</v>
      </c>
      <c r="L37" s="18" t="n">
        <v>739.145</v>
      </c>
      <c r="M37" s="18" t="n">
        <v>739.5170000000001</v>
      </c>
      <c r="N37" s="18" t="n">
        <v>739.889</v>
      </c>
      <c r="O37" s="18" t="n">
        <v>740.261</v>
      </c>
      <c r="P37" s="18" t="n">
        <v>740.633</v>
      </c>
      <c r="Q37" s="18" t="n">
        <v>741.005</v>
      </c>
      <c r="R37" s="18" t="n">
        <v>741.377</v>
      </c>
      <c r="S37" s="18" t="n">
        <v>741.75</v>
      </c>
      <c r="T37" s="18" t="n">
        <v>742.122</v>
      </c>
      <c r="U37" s="18" t="n">
        <v>742.494</v>
      </c>
      <c r="V37" s="18" t="n">
        <v>742.866</v>
      </c>
      <c r="W37" s="18" t="n">
        <v>743.2380000000001</v>
      </c>
      <c r="X37" s="18" t="n">
        <v>743.61</v>
      </c>
      <c r="Y37" s="18" t="n">
        <v>743.9829999999999</v>
      </c>
      <c r="Z37" s="18" t="n">
        <v>744.355</v>
      </c>
      <c r="AA37" s="18" t="n">
        <v>744.727</v>
      </c>
      <c r="AB37" s="18" t="n">
        <v>745.099</v>
      </c>
      <c r="AC37" s="18" t="n">
        <v>801.845</v>
      </c>
    </row>
    <row r="38">
      <c r="A38" s="4" t="inlineStr">
        <is>
          <t>Total Equity</t>
        </is>
      </c>
      <c r="B38" s="18" t="n">
        <v>72.735</v>
      </c>
      <c r="C38" s="18" t="n">
        <v>728.097</v>
      </c>
      <c r="D38" s="18" t="n">
        <v>717.042</v>
      </c>
      <c r="E38" s="18" t="n">
        <v>742.107</v>
      </c>
      <c r="F38" s="18" t="n">
        <v>752.153</v>
      </c>
      <c r="G38" s="18" t="n">
        <v>790.965</v>
      </c>
      <c r="H38" s="18" t="n">
        <v>813.485</v>
      </c>
      <c r="I38" s="18" t="n">
        <v>870.574</v>
      </c>
      <c r="J38" s="18" t="n">
        <v>849.264</v>
      </c>
      <c r="K38" s="18" t="n">
        <v>904.268</v>
      </c>
      <c r="L38" s="18" t="n">
        <v>948.182</v>
      </c>
      <c r="M38" s="18" t="n">
        <v>1025.763999</v>
      </c>
      <c r="N38" s="18" t="n">
        <v>1102.541</v>
      </c>
      <c r="O38" s="18" t="n">
        <v>1225.419</v>
      </c>
      <c r="P38" s="18" t="n">
        <v>1314.289</v>
      </c>
      <c r="Q38" s="18" t="n">
        <v>1463.641</v>
      </c>
      <c r="R38" s="18" t="n">
        <v>1605.301</v>
      </c>
      <c r="S38" s="18" t="n">
        <v>1838.207</v>
      </c>
      <c r="T38" s="18" t="n">
        <v>2028.95</v>
      </c>
      <c r="U38" s="18" t="n">
        <v>2303.95</v>
      </c>
      <c r="V38" s="18" t="n">
        <v>2535.54</v>
      </c>
      <c r="W38" s="18" t="n">
        <v>2852.915</v>
      </c>
      <c r="X38" s="18" t="n">
        <v>3057.933</v>
      </c>
      <c r="Y38" s="18" t="n">
        <v>3279.494</v>
      </c>
      <c r="Z38" s="18" t="n">
        <v>3450.877</v>
      </c>
      <c r="AA38" s="18" t="n">
        <v>3756.68</v>
      </c>
      <c r="AB38" s="18" t="n">
        <v>4016.497</v>
      </c>
      <c r="AC38" s="18" t="n">
        <v>4428.39</v>
      </c>
    </row>
    <row r="39">
      <c r="A39" s="5" t="inlineStr">
        <is>
          <t xml:space="preserve">  CASH FLOW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4" t="inlineStr">
        <is>
          <t>D&amp;A</t>
        </is>
      </c>
      <c r="B40" s="18" t="n">
        <v>5.019</v>
      </c>
      <c r="C40" s="18" t="n">
        <v>5.459</v>
      </c>
      <c r="D40" s="18" t="n">
        <v>5.93</v>
      </c>
      <c r="E40" s="18" t="n">
        <v>7.105</v>
      </c>
      <c r="F40" s="18" t="n">
        <v>8.305</v>
      </c>
      <c r="G40" s="18" t="n">
        <v>9.523</v>
      </c>
      <c r="H40" s="18" t="n">
        <v>10.479</v>
      </c>
      <c r="I40" s="18" t="n">
        <v>11.836</v>
      </c>
      <c r="J40" s="18" t="n">
        <v>14.372</v>
      </c>
      <c r="K40" s="18" t="n">
        <v>16.088</v>
      </c>
      <c r="L40" s="18" t="n">
        <v>17.859</v>
      </c>
      <c r="M40" s="18" t="n">
        <v>20.491</v>
      </c>
      <c r="N40" s="18" t="n">
        <v>20.429</v>
      </c>
      <c r="O40" s="18" t="n">
        <v>21.909</v>
      </c>
      <c r="P40" s="18" t="n">
        <v>23.622</v>
      </c>
      <c r="Q40" s="18" t="n">
        <v>27.85</v>
      </c>
      <c r="R40" s="18" t="n">
        <v>30.583</v>
      </c>
      <c r="S40" s="18" t="n">
        <v>33.877</v>
      </c>
      <c r="T40" s="18" t="n">
        <v>38.425</v>
      </c>
      <c r="U40" s="18" t="n">
        <v>42.369</v>
      </c>
      <c r="V40" s="18" t="n">
        <v>48.684</v>
      </c>
      <c r="W40" s="18" t="n">
        <v>52.584</v>
      </c>
      <c r="X40" s="18" t="n">
        <v>55.248</v>
      </c>
      <c r="Y40" s="18" t="n">
        <v>57.44</v>
      </c>
      <c r="Z40" s="18" t="n">
        <v>64.057</v>
      </c>
      <c r="AA40" s="18" t="n">
        <v>68.038</v>
      </c>
      <c r="AB40" s="18" t="n">
        <v>71.849</v>
      </c>
      <c r="AC40" s="18" t="n">
        <v>100.568</v>
      </c>
    </row>
    <row r="41">
      <c r="A41" s="4" t="inlineStr">
        <is>
          <t>Stock-based Compensation</t>
        </is>
      </c>
      <c r="B41" s="18" t="n">
        <v>3.752</v>
      </c>
      <c r="C41" s="18" t="n">
        <v>29.859</v>
      </c>
      <c r="D41" s="18" t="n">
        <v>21.966</v>
      </c>
      <c r="E41" s="18" t="n">
        <v>24.363</v>
      </c>
      <c r="F41" s="18" t="n">
        <v>23.638</v>
      </c>
      <c r="G41" s="18" t="n">
        <v>37.713</v>
      </c>
      <c r="H41" s="18" t="n">
        <v>40.61</v>
      </c>
      <c r="I41" s="18" t="n">
        <v>47.714</v>
      </c>
      <c r="J41" s="18" t="n">
        <v>54.362</v>
      </c>
      <c r="K41" s="18" t="n">
        <v>76.28700000000001</v>
      </c>
      <c r="L41" s="18" t="n">
        <v>86.666</v>
      </c>
      <c r="M41" s="18" t="n">
        <v>92.637</v>
      </c>
      <c r="N41" s="18" t="n">
        <v>102.494</v>
      </c>
      <c r="O41" s="18" t="n">
        <v>131.55</v>
      </c>
      <c r="P41" s="18" t="n">
        <v>140.113</v>
      </c>
      <c r="Q41" s="18" t="n">
        <v>152.347</v>
      </c>
      <c r="R41" s="18" t="n">
        <v>130.856</v>
      </c>
      <c r="S41" s="18" t="n">
        <v>164.777</v>
      </c>
      <c r="T41" s="18" t="n">
        <v>159.614</v>
      </c>
      <c r="U41" s="18" t="n">
        <v>176.272</v>
      </c>
      <c r="V41" s="18" t="n">
        <v>183.125</v>
      </c>
      <c r="W41" s="18" t="n">
        <v>200.877</v>
      </c>
      <c r="X41" s="18" t="n">
        <v>208.888</v>
      </c>
      <c r="Y41" s="18" t="n">
        <v>272.531</v>
      </c>
      <c r="Z41" s="18" t="n">
        <v>253.604</v>
      </c>
      <c r="AA41" s="18" t="n">
        <v>287.153</v>
      </c>
      <c r="AB41" s="18" t="n">
        <v>281.971</v>
      </c>
      <c r="AC41" s="18" t="n">
        <v>273.951</v>
      </c>
    </row>
    <row r="42">
      <c r="A42" s="4" t="inlineStr">
        <is>
          <t>Change in Working Capital</t>
        </is>
      </c>
      <c r="B42" s="18" t="n">
        <v>11.3</v>
      </c>
      <c r="C42" s="18" t="n">
        <v>-2.645</v>
      </c>
      <c r="D42" s="18" t="n">
        <v>37.027</v>
      </c>
      <c r="E42" s="18" t="n">
        <v>51.789</v>
      </c>
      <c r="F42" s="18" t="n">
        <v>70.59099999999999</v>
      </c>
      <c r="G42" s="18" t="n">
        <v>20.536</v>
      </c>
      <c r="H42" s="18" t="n">
        <v>42.44</v>
      </c>
      <c r="I42" s="18" t="n">
        <v>52.044</v>
      </c>
      <c r="J42" s="18" t="n">
        <v>138.582</v>
      </c>
      <c r="K42" s="18" t="n">
        <v>44.177</v>
      </c>
      <c r="L42" s="18" t="n">
        <v>73.146</v>
      </c>
      <c r="M42" s="18" t="n">
        <v>65.818</v>
      </c>
      <c r="N42" s="18" t="n">
        <v>82.401</v>
      </c>
      <c r="O42" s="18" t="n">
        <v>63.882</v>
      </c>
      <c r="P42" s="18" t="n">
        <v>86.693</v>
      </c>
      <c r="Q42" s="18" t="n">
        <v>87.465</v>
      </c>
      <c r="R42" s="18" t="n">
        <v>80.041</v>
      </c>
      <c r="S42" s="18" t="n">
        <v>-23.823</v>
      </c>
      <c r="T42" s="18" t="n">
        <v>-11.734</v>
      </c>
      <c r="U42" s="18" t="n">
        <v>7.042</v>
      </c>
      <c r="V42" s="18" t="n">
        <v>31.632</v>
      </c>
      <c r="W42" s="18" t="n">
        <v>-50.919</v>
      </c>
      <c r="X42" s="18" t="n">
        <v>-5.746</v>
      </c>
      <c r="Y42" s="18" t="n">
        <v>19.035</v>
      </c>
      <c r="Z42" s="18" t="n">
        <v>69.364</v>
      </c>
      <c r="AA42" s="18" t="n">
        <v>-56.849</v>
      </c>
      <c r="AB42" s="18" t="n">
        <v>-39.89</v>
      </c>
      <c r="AC42" s="18" t="n">
        <v>-31.916</v>
      </c>
    </row>
    <row r="43">
      <c r="A43" s="4" t="inlineStr">
        <is>
          <t>Operating Cash Flow</t>
        </is>
      </c>
      <c r="B43" s="18" t="n">
        <v>1.415</v>
      </c>
      <c r="C43" s="18" t="n">
        <v>-6.214</v>
      </c>
      <c r="D43" s="18" t="n">
        <v>38.635</v>
      </c>
      <c r="E43" s="18" t="n">
        <v>66.107</v>
      </c>
      <c r="F43" s="18" t="n">
        <v>98.577</v>
      </c>
      <c r="G43" s="18" t="n">
        <v>55.025</v>
      </c>
      <c r="H43" s="18" t="n">
        <v>88.501</v>
      </c>
      <c r="I43" s="18" t="n">
        <v>114.463</v>
      </c>
      <c r="J43" s="18" t="n">
        <v>147.533</v>
      </c>
      <c r="K43" s="18" t="n">
        <v>108.475</v>
      </c>
      <c r="L43" s="18" t="n">
        <v>159.058</v>
      </c>
      <c r="M43" s="18" t="n">
        <v>159.718</v>
      </c>
      <c r="N43" s="18" t="n">
        <v>214.957</v>
      </c>
      <c r="O43" s="18" t="n">
        <v>209.906</v>
      </c>
      <c r="P43" s="18" t="n">
        <v>242.851</v>
      </c>
      <c r="Q43" s="18" t="n">
        <v>273.293</v>
      </c>
      <c r="R43" s="18" t="n">
        <v>300.892</v>
      </c>
      <c r="S43" s="18" t="n">
        <v>244.781</v>
      </c>
      <c r="T43" s="18" t="n">
        <v>273.518</v>
      </c>
      <c r="U43" s="18" t="n">
        <v>347.016</v>
      </c>
      <c r="V43" s="18" t="n">
        <v>383.228</v>
      </c>
      <c r="W43" s="18" t="n">
        <v>326.641</v>
      </c>
      <c r="X43" s="18" t="n">
        <v>326.136</v>
      </c>
      <c r="Y43" s="18" t="n">
        <v>345.722</v>
      </c>
      <c r="Z43" s="18" t="n">
        <v>384.107</v>
      </c>
      <c r="AA43" s="18" t="n">
        <v>332.832</v>
      </c>
      <c r="AB43" s="18" t="n">
        <v>397.541</v>
      </c>
      <c r="AC43" s="18" t="n">
        <v>497.869</v>
      </c>
    </row>
    <row r="44">
      <c r="A44" s="4" t="inlineStr">
        <is>
          <t>Capex</t>
        </is>
      </c>
      <c r="B44" s="18" t="n">
        <v>-17.525</v>
      </c>
      <c r="C44" s="18" t="n">
        <v>-22.944</v>
      </c>
      <c r="D44" s="18" t="n">
        <v>-31.587</v>
      </c>
      <c r="E44" s="18" t="n">
        <v>-15.431</v>
      </c>
      <c r="F44" s="18" t="n">
        <v>-11.576</v>
      </c>
      <c r="G44" s="18" t="n">
        <v>-22.608</v>
      </c>
      <c r="H44" s="18" t="n">
        <v>-12.406</v>
      </c>
      <c r="I44" s="18" t="n">
        <v>-17.253</v>
      </c>
      <c r="J44" s="18" t="n">
        <v>-30.23</v>
      </c>
      <c r="K44" s="18" t="n">
        <v>-34.836</v>
      </c>
      <c r="L44" s="18" t="n">
        <v>-36.235</v>
      </c>
      <c r="M44" s="18" t="n">
        <v>-32.388</v>
      </c>
      <c r="N44" s="18" t="n">
        <v>-58.125</v>
      </c>
      <c r="O44" s="18" t="n">
        <v>-74.149</v>
      </c>
      <c r="P44" s="18" t="n">
        <v>-68.774</v>
      </c>
      <c r="Q44" s="18" t="n">
        <v>-65.389</v>
      </c>
      <c r="R44" s="18" t="n">
        <v>-73.166</v>
      </c>
      <c r="S44" s="18" t="n">
        <v>-55.99</v>
      </c>
      <c r="T44" s="18" t="n">
        <v>-33.92</v>
      </c>
      <c r="U44" s="18" t="n">
        <v>-74.036</v>
      </c>
      <c r="V44" s="18" t="n">
        <v>-60.162</v>
      </c>
      <c r="W44" s="18" t="n">
        <v>-53.77</v>
      </c>
      <c r="X44" s="18" t="n">
        <v>-94.97499999999999</v>
      </c>
      <c r="Y44" s="18" t="n">
        <v>-104.914</v>
      </c>
      <c r="Z44" s="18" t="n">
        <v>-103.188</v>
      </c>
      <c r="AA44" s="18" t="n">
        <v>-47.786</v>
      </c>
      <c r="AB44" s="18" t="n">
        <v>-100.165</v>
      </c>
      <c r="AC44" s="18" t="n">
        <v>-121.465</v>
      </c>
    </row>
    <row r="45">
      <c r="A45" s="4" t="inlineStr">
        <is>
          <t>Free Cash Flow</t>
        </is>
      </c>
      <c r="B45" s="18" t="n">
        <v>-16.11</v>
      </c>
      <c r="C45" s="18" t="n">
        <v>-29.158</v>
      </c>
      <c r="D45" s="18" t="n">
        <v>7.048</v>
      </c>
      <c r="E45" s="18" t="n">
        <v>50.676</v>
      </c>
      <c r="F45" s="18" t="n">
        <v>87.001</v>
      </c>
      <c r="G45" s="18" t="n">
        <v>32.417</v>
      </c>
      <c r="H45" s="18" t="n">
        <v>76.095</v>
      </c>
      <c r="I45" s="18" t="n">
        <v>97.20999999999999</v>
      </c>
      <c r="J45" s="18" t="n">
        <v>117.303</v>
      </c>
      <c r="K45" s="18" t="n">
        <v>73.639</v>
      </c>
      <c r="L45" s="18" t="n">
        <v>122.823</v>
      </c>
      <c r="M45" s="18" t="n">
        <v>127.33</v>
      </c>
      <c r="N45" s="18" t="n">
        <v>156.832</v>
      </c>
      <c r="O45" s="18" t="n">
        <v>135.757</v>
      </c>
      <c r="P45" s="18" t="n">
        <v>174.077</v>
      </c>
      <c r="Q45" s="18" t="n">
        <v>207.904</v>
      </c>
      <c r="R45" s="18" t="n">
        <v>227.726</v>
      </c>
      <c r="S45" s="18" t="n">
        <v>188.791</v>
      </c>
      <c r="T45" s="18" t="n">
        <v>239.598</v>
      </c>
      <c r="U45" s="18" t="n">
        <v>272.98</v>
      </c>
      <c r="V45" s="18" t="n">
        <v>323.066</v>
      </c>
      <c r="W45" s="18" t="n">
        <v>272.871</v>
      </c>
      <c r="X45" s="18" t="n">
        <v>231.161</v>
      </c>
      <c r="Y45" s="18" t="n">
        <v>240.808</v>
      </c>
      <c r="Z45" s="18" t="n">
        <v>280.919</v>
      </c>
      <c r="AA45" s="18" t="n">
        <v>285.046</v>
      </c>
      <c r="AB45" s="18" t="n">
        <v>297.376</v>
      </c>
      <c r="AC45" s="18" t="n">
        <v>376.404</v>
      </c>
    </row>
    <row r="47">
      <c r="A4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2027</v>
      </c>
      <c r="C2" s="46" t="n">
        <v>2028</v>
      </c>
      <c r="D2" s="46" t="n">
        <v>2029</v>
      </c>
      <c r="E2" s="46" t="n">
        <v>2030</v>
      </c>
      <c r="F2" s="4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5904.978285</v>
      </c>
      <c r="C4" s="18" t="n">
        <v>7183.474226</v>
      </c>
      <c r="D4" s="18" t="n">
        <v>8740.369482</v>
      </c>
      <c r="E4" s="18" t="n">
        <v>9881.1</v>
      </c>
      <c r="F4" s="18" t="n">
        <v>11513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  <c r="F5" s="34">
        <f>Model!K6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785.194263</v>
      </c>
      <c r="C8" s="18" t="n">
        <v>955.197882</v>
      </c>
      <c r="D8" s="18" t="n">
        <v>1162.220696</v>
      </c>
      <c r="E8" s="18" t="n">
        <v>1313.90543</v>
      </c>
      <c r="F8" s="18" t="n">
        <v>1530.901743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  <c r="F9" s="34">
        <f>Model!K19+Model!K24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356.362533</v>
      </c>
      <c r="C12" s="18" t="n">
        <v>433.519134</v>
      </c>
      <c r="D12" s="18" t="n">
        <v>527.476997</v>
      </c>
      <c r="E12" s="18" t="n">
        <v>596.319522</v>
      </c>
      <c r="F12" s="18" t="n">
        <v>694.803884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  <c r="F13" s="34">
        <f>Model!K19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3100.106169</v>
      </c>
      <c r="C16" s="18" t="n">
        <v>3771.314929</v>
      </c>
      <c r="D16" s="18" t="n">
        <v>4588.682979</v>
      </c>
      <c r="E16" s="18" t="n">
        <v>5187.565066</v>
      </c>
      <c r="F16" s="18" t="n">
        <v>6044.310512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  <c r="F17" s="34">
        <f>Model!K14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1262.097425</v>
      </c>
      <c r="C20" s="18" t="n">
        <v>1722.76416</v>
      </c>
      <c r="D20" s="18" t="n">
        <v>2138.940382</v>
      </c>
      <c r="E20" s="18" t="n">
        <v>2176.061198</v>
      </c>
      <c r="F20" s="18" t="n">
        <v>2555.516709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  <c r="F21" s="34">
        <f>Model!K23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4.86925</v>
      </c>
      <c r="C24" s="48" t="n">
        <v>6.15363</v>
      </c>
      <c r="D24" s="48" t="n">
        <v>8.01103</v>
      </c>
      <c r="E24" s="48" t="n">
        <v>8.43</v>
      </c>
      <c r="F24" s="48" t="n">
        <v>9.9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CrowdStrike Holdings,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2027</v>
      </c>
      <c r="D11" s="46" t="n">
        <v>2028</v>
      </c>
      <c r="E11" s="46" t="n">
        <v>2029</v>
      </c>
      <c r="F11" s="46" t="n">
        <v>2030</v>
      </c>
      <c r="G11" s="46" t="n">
        <v>2031</v>
      </c>
      <c r="H11" s="46" t="n">
        <v>2032</v>
      </c>
      <c r="I11" s="46" t="n">
        <v>2033</v>
      </c>
      <c r="J11" s="46" t="n">
        <v>2034</v>
      </c>
      <c r="K11" s="46" t="n">
        <v>2035</v>
      </c>
      <c r="L11" s="46" t="n">
        <v>2036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Financials!AC32</f>
        <v/>
      </c>
    </row>
    <row r="33">
      <c r="A33" s="4" t="inlineStr">
        <is>
          <t>- Long-term debt</t>
        </is>
      </c>
      <c r="B33" s="34">
        <f>-Financials!AC37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0.07480948987356142</v>
      </c>
      <c r="C4" s="52" t="n">
        <v>0.07980948987356143</v>
      </c>
      <c r="D4" s="52" t="n">
        <v>0.08480948987356142</v>
      </c>
      <c r="E4" s="52" t="n">
        <v>0.08980948987356142</v>
      </c>
      <c r="F4" s="52" t="n">
        <v>0.09480948987356143</v>
      </c>
      <c r="G4" s="52" t="n">
        <v>0.09980948987356142</v>
      </c>
      <c r="H4" s="52" t="n">
        <v>0.1048094898735614</v>
      </c>
    </row>
    <row r="5">
      <c r="A5" s="53" t="n">
        <v>13.6</v>
      </c>
      <c r="B5" s="54" t="n">
        <v>121.0676738751556</v>
      </c>
      <c r="C5" s="54" t="n">
        <v>116.6587934940596</v>
      </c>
      <c r="D5" s="54" t="n">
        <v>112.462374148259</v>
      </c>
      <c r="E5" s="54" t="n">
        <v>108.4671559031534</v>
      </c>
      <c r="F5" s="54" t="n">
        <v>104.662526280586</v>
      </c>
      <c r="G5" s="54" t="n">
        <v>101.0384802108143</v>
      </c>
      <c r="H5" s="54" t="n">
        <v>97.58558263222565</v>
      </c>
    </row>
    <row r="6">
      <c r="A6" s="53" t="n">
        <v>14.6</v>
      </c>
      <c r="B6" s="54" t="n">
        <v>127.2028704873602</v>
      </c>
      <c r="C6" s="54" t="n">
        <v>122.5157501324152</v>
      </c>
      <c r="D6" s="54" t="n">
        <v>118.0549083764983</v>
      </c>
      <c r="E6" s="54" t="n">
        <v>113.808340091334</v>
      </c>
      <c r="F6" s="54" t="n">
        <v>109.7647309476922</v>
      </c>
      <c r="G6" s="54" t="n">
        <v>105.9134146646443</v>
      </c>
      <c r="H6" s="54" t="n">
        <v>102.244333086331</v>
      </c>
    </row>
    <row r="7">
      <c r="A7" s="53" t="n">
        <v>15.6</v>
      </c>
      <c r="B7" s="54" t="n">
        <v>133.3380670995649</v>
      </c>
      <c r="C7" s="54" t="n">
        <v>128.3727067707708</v>
      </c>
      <c r="D7" s="54" t="n">
        <v>123.6474426047377</v>
      </c>
      <c r="E7" s="54" t="n">
        <v>119.1495242795145</v>
      </c>
      <c r="F7" s="54" t="n">
        <v>114.8669356147983</v>
      </c>
      <c r="G7" s="54" t="n">
        <v>110.7883491184742</v>
      </c>
      <c r="H7" s="54" t="n">
        <v>106.9030835404363</v>
      </c>
    </row>
    <row r="8">
      <c r="A8" s="53" t="n">
        <v>16.6</v>
      </c>
      <c r="B8" s="54" t="n">
        <v>139.4732637117696</v>
      </c>
      <c r="C8" s="54" t="n">
        <v>134.2296634091265</v>
      </c>
      <c r="D8" s="54" t="n">
        <v>129.239976832977</v>
      </c>
      <c r="E8" s="55" t="n">
        <v>124.490708467695</v>
      </c>
      <c r="F8" s="54" t="n">
        <v>119.9691402819044</v>
      </c>
      <c r="G8" s="54" t="n">
        <v>115.6632835723042</v>
      </c>
      <c r="H8" s="54" t="n">
        <v>111.5618339945416</v>
      </c>
    </row>
    <row r="9">
      <c r="A9" s="53" t="n">
        <v>17.6</v>
      </c>
      <c r="B9" s="54" t="n">
        <v>145.6084603239743</v>
      </c>
      <c r="C9" s="54" t="n">
        <v>140.0866200474821</v>
      </c>
      <c r="D9" s="54" t="n">
        <v>134.8325110612163</v>
      </c>
      <c r="E9" s="54" t="n">
        <v>129.8318926558756</v>
      </c>
      <c r="F9" s="54" t="n">
        <v>125.0713449490106</v>
      </c>
      <c r="G9" s="54" t="n">
        <v>120.5382180261341</v>
      </c>
      <c r="H9" s="54" t="n">
        <v>116.2205844486469</v>
      </c>
    </row>
    <row r="10">
      <c r="A10" s="53" t="n">
        <v>18.6</v>
      </c>
      <c r="B10" s="54" t="n">
        <v>151.743656936179</v>
      </c>
      <c r="C10" s="54" t="n">
        <v>145.9435766858377</v>
      </c>
      <c r="D10" s="54" t="n">
        <v>140.4250452894557</v>
      </c>
      <c r="E10" s="54" t="n">
        <v>135.1730768440561</v>
      </c>
      <c r="F10" s="54" t="n">
        <v>130.1735496161168</v>
      </c>
      <c r="G10" s="54" t="n">
        <v>125.4131524799641</v>
      </c>
      <c r="H10" s="54" t="n">
        <v>120.8793349027522</v>
      </c>
    </row>
    <row r="11">
      <c r="A11" s="53" t="n">
        <v>19.6</v>
      </c>
      <c r="B11" s="54" t="n">
        <v>157.8788535483837</v>
      </c>
      <c r="C11" s="54" t="n">
        <v>151.8005333241934</v>
      </c>
      <c r="D11" s="54" t="n">
        <v>146.017579517695</v>
      </c>
      <c r="E11" s="54" t="n">
        <v>140.5142610322366</v>
      </c>
      <c r="F11" s="54" t="n">
        <v>135.2757542832229</v>
      </c>
      <c r="G11" s="54" t="n">
        <v>130.2880869337941</v>
      </c>
      <c r="H11" s="54" t="n">
        <v>125.5380853568575</v>
      </c>
    </row>
    <row r="13">
      <c r="A13" s="3" t="inlineStr">
        <is>
          <t>Current price</t>
        </is>
      </c>
      <c r="B13" s="54" t="n">
        <v>193.9799957275391</v>
      </c>
    </row>
    <row r="14">
      <c r="A14" s="3" t="inlineStr">
        <is>
          <t>Base WACC / multiple</t>
        </is>
      </c>
      <c r="B14" s="56" t="n">
        <v>0.08980948987356142</v>
      </c>
      <c r="C14" s="57" t="n">
        <v>16.6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0.06328172975713865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1.096840685137023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0.6780480569656532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Financials!AC32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Financials!AC37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2026-07-07T01:09:00Z</dcterms:created>
  <dcterms:modified xmlns:dcterms="http://purl.org/dc/terms/" xmlns:xsi="http://www.w3.org/2001/XMLSchema-instance" xsi:type="dcterms:W3CDTF">2026-07-07T01:09:00Z</dcterms:modified>
</cp:coreProperties>
</file>