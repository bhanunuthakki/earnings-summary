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CrowdStrike Holdings, Inc. (CRWD)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CrowdStrike Holdings, Inc. (CRWD)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Circulation</t>
        </is>
      </c>
      <c r="B20" s="50" t="n">
        <v>0.3806862701624172</v>
      </c>
      <c r="C20" s="50" t="n">
        <v>0.05</v>
      </c>
      <c r="D20" s="51" t="n">
        <v>0.3806862701624172</v>
      </c>
      <c r="E20" s="2" t="inlineStr"/>
    </row>
    <row r="21">
      <c r="A21" s="4" t="inlineStr">
        <is>
          <t>Professional Services</t>
        </is>
      </c>
      <c r="B21" s="50" t="n">
        <v>0.5573740783803278</v>
      </c>
      <c r="C21" s="50" t="n">
        <v>0.04999999999999999</v>
      </c>
      <c r="D21" s="51" t="n">
        <v>0.5573740783803278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0.2812295704452277</v>
      </c>
      <c r="D29" s="51" t="n">
        <v>0.2812295704452277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0.2920630578933654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409.8644000000001</v>
      </c>
      <c r="D34" s="18" t="n">
        <v>409.8644000000001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1.06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702.5900268554688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Circulation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Professional Services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SUM(Financials!J5:M5)</f>
        <v/>
      </c>
      <c r="C12" s="28">
        <f>SUM(Financials!N5:Q5)</f>
        <v/>
      </c>
      <c r="D12" s="28">
        <f>SUM(Financials!R5:U5)</f>
        <v/>
      </c>
      <c r="E12" s="28">
        <f>SUM(Financials!V5:Y5)</f>
        <v/>
      </c>
      <c r="F12" s="28">
        <f>SUM(Financials!Z5:AC5)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0.2513684004900244</v>
      </c>
      <c r="H13" s="50" t="n">
        <v>0.2513684004900244</v>
      </c>
      <c r="I13" s="50" t="n">
        <v>0.2513684004900244</v>
      </c>
      <c r="J13" s="50" t="n">
        <v>0.2513684004900244</v>
      </c>
      <c r="K13" s="50" t="n">
        <v>0.2513684004900244</v>
      </c>
      <c r="L13" s="50" t="n">
        <v>0.2513684004900244</v>
      </c>
      <c r="M13" s="50" t="n">
        <v>0.2513684004900244</v>
      </c>
      <c r="N13" s="50" t="n">
        <v>0.2513684004900244</v>
      </c>
      <c r="O13" s="50" t="n">
        <v>0.2513684004900244</v>
      </c>
      <c r="P13" s="50" t="n">
        <v>0.2513684004900244</v>
      </c>
    </row>
    <row r="14">
      <c r="A14" s="4" t="inlineStr">
        <is>
          <t>R&amp;D / Technology</t>
        </is>
      </c>
      <c r="B14" s="28">
        <f>SUM(Financials!J7:M7)</f>
        <v/>
      </c>
      <c r="C14" s="28">
        <f>SUM(Financials!N7:Q7)</f>
        <v/>
      </c>
      <c r="D14" s="28">
        <f>SUM(Financials!R7:U7)</f>
        <v/>
      </c>
      <c r="E14" s="28">
        <f>SUM(Financials!V7:Y7)</f>
        <v/>
      </c>
      <c r="F14" s="28">
        <f>SUM(Financials!Z7:AC7)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0.2894751771870561</v>
      </c>
      <c r="H15" s="50" t="n">
        <v>0.2894751771870561</v>
      </c>
      <c r="I15" s="50" t="n">
        <v>0.2894751771870561</v>
      </c>
      <c r="J15" s="50" t="n">
        <v>0.2894751771870561</v>
      </c>
      <c r="K15" s="50" t="n">
        <v>0.2894751771870561</v>
      </c>
      <c r="L15" s="50" t="n">
        <v>0.2894751771870561</v>
      </c>
      <c r="M15" s="50" t="n">
        <v>0.2894751771870561</v>
      </c>
      <c r="N15" s="50" t="n">
        <v>0.2894751771870561</v>
      </c>
      <c r="O15" s="50" t="n">
        <v>0.2894751771870561</v>
      </c>
      <c r="P15" s="50" t="n">
        <v>0.2894751771870561</v>
      </c>
    </row>
    <row r="16">
      <c r="A16" s="4" t="inlineStr">
        <is>
          <t>SG&amp;A</t>
        </is>
      </c>
      <c r="B16" s="28">
        <f>SUM(Financials!J9:M9)</f>
        <v/>
      </c>
      <c r="C16" s="28">
        <f>SUM(Financials!N9:Q9)</f>
        <v/>
      </c>
      <c r="D16" s="28">
        <f>SUM(Financials!R9:U9)</f>
        <v/>
      </c>
      <c r="E16" s="28">
        <f>SUM(Financials!V9:Y9)</f>
        <v/>
      </c>
      <c r="F16" s="28">
        <f>SUM(Financials!Z9:AC9)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0.5097444828091409</v>
      </c>
      <c r="H17" s="50" t="n">
        <v>0.5097444828091409</v>
      </c>
      <c r="I17" s="50" t="n">
        <v>0.5097444828091409</v>
      </c>
      <c r="J17" s="50" t="n">
        <v>0.5097444828091409</v>
      </c>
      <c r="K17" s="50" t="n">
        <v>0.5097444828091409</v>
      </c>
      <c r="L17" s="50" t="n">
        <v>0.5097444828091409</v>
      </c>
      <c r="M17" s="50" t="n">
        <v>0.5097444828091409</v>
      </c>
      <c r="N17" s="50" t="n">
        <v>0.5097444828091409</v>
      </c>
      <c r="O17" s="50" t="n">
        <v>0.5097444828091409</v>
      </c>
      <c r="P17" s="50" t="n">
        <v>0.5097444828091409</v>
      </c>
    </row>
    <row r="18">
      <c r="A18" s="4" t="inlineStr">
        <is>
          <t>Other opex (fulfilment, etc.)</t>
        </is>
      </c>
      <c r="B18" s="28">
        <f>B8-(B12+B14+B16)-SUM(Financials!J13:M13)</f>
        <v/>
      </c>
      <c r="C18" s="28">
        <f>C8-(C12+C14+C16)-SUM(Financials!N13:Q13)</f>
        <v/>
      </c>
      <c r="D18" s="28">
        <f>D8-(D12+D14+D16)-SUM(Financials!R13:U13)</f>
        <v/>
      </c>
      <c r="E18" s="28">
        <f>E8-(E12+E14+E16)-SUM(Financials!V13:Y13)</f>
        <v/>
      </c>
      <c r="F18" s="28">
        <f>F8-(F12+F14+F16)-SUM(Financials!Z13:AC13)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SUM(Financials!J47:M47)</f>
        <v/>
      </c>
      <c r="C26" s="28">
        <f>SUM(Financials!N47:Q47)</f>
        <v/>
      </c>
      <c r="D26" s="28">
        <f>SUM(Financials!R47:U47)</f>
        <v/>
      </c>
      <c r="E26" s="28">
        <f>SUM(Financials!V47:Y47)</f>
        <v/>
      </c>
      <c r="F26" s="28">
        <f>SUM(Financials!Z47:AC47)</f>
        <v/>
      </c>
      <c r="G26" s="32">
        <f>G8*0.0633</f>
        <v/>
      </c>
      <c r="H26" s="32">
        <f>H8*0.0633</f>
        <v/>
      </c>
      <c r="I26" s="32">
        <f>I8*0.0633</f>
        <v/>
      </c>
      <c r="J26" s="32">
        <f>J8*0.0633</f>
        <v/>
      </c>
      <c r="K26" s="32">
        <f>K8*0.0633</f>
        <v/>
      </c>
      <c r="L26" s="32">
        <f>L8*0.0633</f>
        <v/>
      </c>
      <c r="M26" s="32">
        <f>M8*0.0633</f>
        <v/>
      </c>
      <c r="N26" s="32">
        <f>N8*0.0633</f>
        <v/>
      </c>
      <c r="O26" s="32">
        <f>O8*0.0633</f>
        <v/>
      </c>
      <c r="P26" s="32">
        <f>P8*0.0633</f>
        <v/>
      </c>
    </row>
    <row r="27">
      <c r="A27" s="4" t="inlineStr">
        <is>
          <t>+ SBC (non-cash)</t>
        </is>
      </c>
      <c r="B27" s="28">
        <f>SUM(Financials!J48:M48)</f>
        <v/>
      </c>
      <c r="C27" s="28">
        <f>SUM(Financials!N48:Q48)</f>
        <v/>
      </c>
      <c r="D27" s="28">
        <f>SUM(Financials!R48:U48)</f>
        <v/>
      </c>
      <c r="E27" s="28">
        <f>SUM(Financials!V48:Y48)</f>
        <v/>
      </c>
      <c r="F27" s="28">
        <f>SUM(Financials!Z48:AC48)</f>
        <v/>
      </c>
      <c r="G27" s="32">
        <f>G8*0.2279</f>
        <v/>
      </c>
      <c r="H27" s="32">
        <f>H8*0.2178</f>
        <v/>
      </c>
      <c r="I27" s="32">
        <f>I8*0.2076</f>
        <v/>
      </c>
      <c r="J27" s="32">
        <f>J8*0.1975</f>
        <v/>
      </c>
      <c r="K27" s="32">
        <f>K8*0.1874</f>
        <v/>
      </c>
      <c r="L27" s="32">
        <f>L8*0.1773</f>
        <v/>
      </c>
      <c r="M27" s="32">
        <f>M8*0.1671</f>
        <v/>
      </c>
      <c r="N27" s="32">
        <f>N8*0.1570</f>
        <v/>
      </c>
      <c r="O27" s="32">
        <f>O8*0.1469</f>
        <v/>
      </c>
      <c r="P27" s="32">
        <f>P8*0.1367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-SUM(Financials!J51:M51)</f>
        <v/>
      </c>
      <c r="C29" s="28">
        <f>-SUM(Financials!N51:Q51)</f>
        <v/>
      </c>
      <c r="D29" s="28">
        <f>-SUM(Financials!R51:U51)</f>
        <v/>
      </c>
      <c r="E29" s="28">
        <f>-SUM(Financials!V51:Y51)</f>
        <v/>
      </c>
      <c r="F29" s="28">
        <f>-SUM(Financials!Z51:AC51)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Financials!M45+Financials!M44-Financials!M39</f>
        <v/>
      </c>
      <c r="C36" s="28">
        <f>Financials!Q45+Financials!Q44-Financials!Q39</f>
        <v/>
      </c>
      <c r="D36" s="28">
        <f>Financials!U45+Financials!U44-Financials!U39</f>
        <v/>
      </c>
      <c r="E36" s="28">
        <f>Financials!Y45+Financials!Y44-Financials!Y39</f>
        <v/>
      </c>
      <c r="F36" s="28">
        <f>Financials!AC45+Financials!AC44-Financials!AC39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Financials!M45</f>
        <v/>
      </c>
      <c r="C37" s="28">
        <f>Financials!Q45</f>
        <v/>
      </c>
      <c r="D37" s="28">
        <f>Financials!U45</f>
        <v/>
      </c>
      <c r="E37" s="28">
        <f>Financials!Y45</f>
        <v/>
      </c>
      <c r="F37" s="28">
        <f>Financials!AC45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IFERROR(SUM(Financials!N15:Q15)/B37,"")</f>
        <v/>
      </c>
      <c r="D39" s="48">
        <f>IFERROR(SUM(Financials!R15:U15)/C37,"")</f>
        <v/>
      </c>
      <c r="E39" s="48">
        <f>IFERROR(SUM(Financials!V15:Y15)/D37,"")</f>
        <v/>
      </c>
      <c r="F39" s="48">
        <f>IFERROR(SUM(Financials!Z15:AC15)/E37,"")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96.077</v>
      </c>
      <c r="C3" s="18" t="n">
        <v>108.108</v>
      </c>
      <c r="D3" s="18" t="n">
        <v>125.119</v>
      </c>
      <c r="E3" s="18" t="n">
        <v>152.109</v>
      </c>
      <c r="F3" s="18" t="n">
        <v>178.078</v>
      </c>
      <c r="G3" s="18" t="n">
        <v>198.971</v>
      </c>
      <c r="H3" s="18" t="n">
        <v>232.46</v>
      </c>
      <c r="I3" s="18" t="n">
        <v>264.929</v>
      </c>
      <c r="J3" s="18" t="n">
        <v>302.843</v>
      </c>
      <c r="K3" s="18" t="n">
        <v>337.69</v>
      </c>
      <c r="L3" s="18" t="n">
        <v>380.051</v>
      </c>
      <c r="M3" s="18" t="n">
        <v>431.01</v>
      </c>
      <c r="N3" s="18" t="n">
        <v>487.834</v>
      </c>
      <c r="O3" s="18" t="n">
        <v>535.153</v>
      </c>
      <c r="P3" s="18" t="n">
        <v>580.8819999999999</v>
      </c>
      <c r="Q3" s="18" t="n">
        <v>637.367</v>
      </c>
      <c r="R3" s="18" t="n">
        <v>692.58</v>
      </c>
      <c r="S3" s="18" t="n">
        <v>731.626</v>
      </c>
      <c r="T3" s="18" t="n">
        <v>786.014</v>
      </c>
      <c r="U3" s="18" t="n">
        <v>845.335</v>
      </c>
      <c r="V3" s="18" t="n">
        <v>921.0359999999999</v>
      </c>
      <c r="W3" s="18" t="n">
        <v>963.872</v>
      </c>
      <c r="X3" s="18" t="n">
        <v>1010.178</v>
      </c>
      <c r="Y3" s="18" t="n">
        <v>1058.538</v>
      </c>
      <c r="Z3" s="18" t="n">
        <v>1103.434</v>
      </c>
      <c r="AA3" s="18" t="n">
        <v>1168.952</v>
      </c>
      <c r="AB3" s="18" t="n">
        <v>1234.244</v>
      </c>
      <c r="AC3" s="18" t="n">
        <v>1305.375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29.273</v>
      </c>
      <c r="C5" s="18" t="n">
        <v>31.582</v>
      </c>
      <c r="D5" s="18" t="n">
        <v>37.355</v>
      </c>
      <c r="E5" s="18" t="n">
        <v>43.417</v>
      </c>
      <c r="F5" s="18" t="n">
        <v>46.895</v>
      </c>
      <c r="G5" s="18" t="n">
        <v>54.391</v>
      </c>
      <c r="H5" s="18" t="n">
        <v>61.527</v>
      </c>
      <c r="I5" s="18" t="n">
        <v>66.732</v>
      </c>
      <c r="J5" s="18" t="n">
        <v>78.505</v>
      </c>
      <c r="K5" s="18" t="n">
        <v>90.432</v>
      </c>
      <c r="L5" s="18" t="n">
        <v>101.664</v>
      </c>
      <c r="M5" s="18" t="n">
        <v>112.62</v>
      </c>
      <c r="N5" s="18" t="n">
        <v>126.832</v>
      </c>
      <c r="O5" s="18" t="n">
        <v>140.567</v>
      </c>
      <c r="P5" s="18" t="n">
        <v>158.228</v>
      </c>
      <c r="Q5" s="18" t="n">
        <v>175.604</v>
      </c>
      <c r="R5" s="18" t="n">
        <v>169.23</v>
      </c>
      <c r="S5" s="18" t="n">
        <v>182.917</v>
      </c>
      <c r="T5" s="18" t="n">
        <v>195.004</v>
      </c>
      <c r="U5" s="18" t="n">
        <v>208.572</v>
      </c>
      <c r="V5" s="18" t="n">
        <v>225.003</v>
      </c>
      <c r="W5" s="18" t="n">
        <v>237.401</v>
      </c>
      <c r="X5" s="18" t="n">
        <v>255.087</v>
      </c>
      <c r="Y5" s="18" t="n">
        <v>273.99</v>
      </c>
      <c r="Z5" s="18" t="n">
        <v>289.143</v>
      </c>
      <c r="AA5" s="18" t="n">
        <v>310.283</v>
      </c>
      <c r="AB5" s="18" t="n">
        <v>301.245</v>
      </c>
      <c r="AC5" s="18" t="n">
        <v>308.915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23.875</v>
      </c>
      <c r="C7" s="18" t="n">
        <v>31.63</v>
      </c>
      <c r="D7" s="18" t="n">
        <v>35.992</v>
      </c>
      <c r="E7" s="18" t="n">
        <v>38.691</v>
      </c>
      <c r="F7" s="18" t="n">
        <v>40.578</v>
      </c>
      <c r="G7" s="18" t="n">
        <v>50.483</v>
      </c>
      <c r="H7" s="18" t="n">
        <v>57.539</v>
      </c>
      <c r="I7" s="18" t="n">
        <v>66.06999999999999</v>
      </c>
      <c r="J7" s="18" t="n">
        <v>78.18000000000001</v>
      </c>
      <c r="K7" s="18" t="n">
        <v>90.455</v>
      </c>
      <c r="L7" s="18" t="n">
        <v>97.63</v>
      </c>
      <c r="M7" s="18" t="n">
        <v>105.018</v>
      </c>
      <c r="N7" s="18" t="n">
        <v>123.399</v>
      </c>
      <c r="O7" s="18" t="n">
        <v>137.864</v>
      </c>
      <c r="P7" s="18" t="n">
        <v>155.256</v>
      </c>
      <c r="Q7" s="18" t="n">
        <v>191.845</v>
      </c>
      <c r="R7" s="18" t="n">
        <v>179.065</v>
      </c>
      <c r="S7" s="18" t="n">
        <v>179.362</v>
      </c>
      <c r="T7" s="18" t="n">
        <v>196.072</v>
      </c>
      <c r="U7" s="18" t="n">
        <v>213.998</v>
      </c>
      <c r="V7" s="18" t="n">
        <v>235.249</v>
      </c>
      <c r="W7" s="18" t="n">
        <v>250.908</v>
      </c>
      <c r="X7" s="18" t="n">
        <v>275.602</v>
      </c>
      <c r="Y7" s="18" t="n">
        <v>315.142</v>
      </c>
      <c r="Z7" s="18" t="n">
        <v>334.129</v>
      </c>
      <c r="AA7" s="18" t="n">
        <v>346.668</v>
      </c>
      <c r="AB7" s="18" t="n">
        <v>345.153</v>
      </c>
      <c r="AC7" s="18" t="n">
        <v>367.006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68.70399999999999</v>
      </c>
      <c r="C9" s="18" t="n">
        <v>95.535</v>
      </c>
      <c r="D9" s="18" t="n">
        <v>90.29000000000001</v>
      </c>
      <c r="E9" s="18" t="n">
        <v>101.134</v>
      </c>
      <c r="F9" s="18" t="n">
        <v>113.181</v>
      </c>
      <c r="G9" s="18" t="n">
        <v>124.088</v>
      </c>
      <c r="H9" s="18" t="n">
        <v>137.553</v>
      </c>
      <c r="I9" s="18" t="n">
        <v>147.93</v>
      </c>
      <c r="J9" s="18" t="n">
        <v>177.505</v>
      </c>
      <c r="K9" s="18" t="n">
        <v>204.206</v>
      </c>
      <c r="L9" s="18" t="n">
        <v>221.021</v>
      </c>
      <c r="M9" s="18" t="n">
        <v>236.906</v>
      </c>
      <c r="N9" s="18" t="n">
        <v>261.486</v>
      </c>
      <c r="O9" s="18" t="n">
        <v>305.029</v>
      </c>
      <c r="P9" s="18" t="n">
        <v>323.82</v>
      </c>
      <c r="Q9" s="18" t="n">
        <v>331.418</v>
      </c>
      <c r="R9" s="18" t="n">
        <v>363.741</v>
      </c>
      <c r="S9" s="18" t="n">
        <v>384.72</v>
      </c>
      <c r="T9" s="18" t="n">
        <v>391.775</v>
      </c>
      <c r="U9" s="18" t="n">
        <v>393.094</v>
      </c>
      <c r="V9" s="18" t="n">
        <v>453.848</v>
      </c>
      <c r="W9" s="18" t="n">
        <v>461.905</v>
      </c>
      <c r="X9" s="18" t="n">
        <v>535.212</v>
      </c>
      <c r="Y9" s="18" t="n">
        <v>554.707</v>
      </c>
      <c r="Z9" s="18" t="n">
        <v>604.818</v>
      </c>
      <c r="AA9" s="18" t="n">
        <v>624.98</v>
      </c>
      <c r="AB9" s="18" t="n">
        <v>617.673</v>
      </c>
      <c r="AC9" s="18" t="n">
        <v>605.422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66.804</v>
      </c>
      <c r="C11" s="18" t="n">
        <v>76.526</v>
      </c>
      <c r="D11" s="18" t="n">
        <v>87.764</v>
      </c>
      <c r="E11" s="18" t="n">
        <v>108.692</v>
      </c>
      <c r="F11" s="18" t="n">
        <v>131.183</v>
      </c>
      <c r="G11" s="18" t="n">
        <v>144.58</v>
      </c>
      <c r="H11" s="18" t="n">
        <v>170.933</v>
      </c>
      <c r="I11" s="18" t="n">
        <v>198.197</v>
      </c>
      <c r="J11" s="18" t="n">
        <v>224.338</v>
      </c>
      <c r="K11" s="18" t="n">
        <v>247.258</v>
      </c>
      <c r="L11" s="18" t="n">
        <v>278.387</v>
      </c>
      <c r="M11" s="18" t="n">
        <v>318.39</v>
      </c>
      <c r="N11" s="18" t="n">
        <v>361.002</v>
      </c>
      <c r="O11" s="18" t="n">
        <v>394.586</v>
      </c>
      <c r="P11" s="18" t="n">
        <v>422.654</v>
      </c>
      <c r="Q11" s="18" t="n">
        <v>461.763</v>
      </c>
      <c r="R11" s="18" t="n">
        <v>523.35</v>
      </c>
      <c r="S11" s="18" t="n">
        <v>548.7089999999999</v>
      </c>
      <c r="T11" s="18" t="n">
        <v>591.01</v>
      </c>
      <c r="U11" s="18" t="n">
        <v>636.763</v>
      </c>
      <c r="V11" s="18" t="n">
        <v>696.033</v>
      </c>
      <c r="W11" s="18" t="n">
        <v>726.471</v>
      </c>
      <c r="X11" s="18" t="n">
        <v>755.091</v>
      </c>
      <c r="Y11" s="18" t="n">
        <v>784.548</v>
      </c>
      <c r="Z11" s="18" t="n">
        <v>814.2910000000001</v>
      </c>
      <c r="AA11" s="18" t="n">
        <v>858.669</v>
      </c>
      <c r="AB11" s="18" t="n">
        <v>932.999</v>
      </c>
      <c r="AC11" s="18" t="n">
        <v>996.46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-25.775</v>
      </c>
      <c r="C13" s="18" t="n">
        <v>-50.639</v>
      </c>
      <c r="D13" s="18" t="n">
        <v>-38.518</v>
      </c>
      <c r="E13" s="18" t="n">
        <v>-31.133</v>
      </c>
      <c r="F13" s="18" t="n">
        <v>-22.576</v>
      </c>
      <c r="G13" s="18" t="n">
        <v>-29.991</v>
      </c>
      <c r="H13" s="18" t="n">
        <v>-24.159</v>
      </c>
      <c r="I13" s="18" t="n">
        <v>-15.803</v>
      </c>
      <c r="J13" s="18" t="n">
        <v>-31.347</v>
      </c>
      <c r="K13" s="18" t="n">
        <v>-47.403</v>
      </c>
      <c r="L13" s="18" t="n">
        <v>-40.264</v>
      </c>
      <c r="M13" s="18" t="n">
        <v>-23.534</v>
      </c>
      <c r="N13" s="18" t="n">
        <v>-23.883</v>
      </c>
      <c r="O13" s="18" t="n">
        <v>-48.307</v>
      </c>
      <c r="P13" s="18" t="n">
        <v>-56.422</v>
      </c>
      <c r="Q13" s="18" t="n">
        <v>-61.5</v>
      </c>
      <c r="R13" s="18" t="n">
        <v>-19.456</v>
      </c>
      <c r="S13" s="18" t="n">
        <v>-15.373</v>
      </c>
      <c r="T13" s="18" t="n">
        <v>3.163</v>
      </c>
      <c r="U13" s="18" t="n">
        <v>29.671</v>
      </c>
      <c r="V13" s="18" t="n">
        <v>6.936</v>
      </c>
      <c r="W13" s="18" t="n">
        <v>13.658</v>
      </c>
      <c r="X13" s="18" t="n">
        <v>-55.723</v>
      </c>
      <c r="Y13" s="18" t="n">
        <v>-85.301</v>
      </c>
      <c r="Z13" s="18" t="n">
        <v>-124.656</v>
      </c>
      <c r="AA13" s="18" t="n">
        <v>-112.979</v>
      </c>
      <c r="AB13" s="18" t="n">
        <v>-37.627</v>
      </c>
      <c r="AC13" s="18" t="n">
        <v>15.86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-25.977</v>
      </c>
      <c r="C15" s="18" t="n">
        <v>-51.889</v>
      </c>
      <c r="D15" s="18" t="n">
        <v>-35.505</v>
      </c>
      <c r="E15" s="18" t="n">
        <v>-28.408</v>
      </c>
      <c r="F15" s="18" t="n">
        <v>-19.222</v>
      </c>
      <c r="G15" s="18" t="n">
        <v>-29.874</v>
      </c>
      <c r="H15" s="18" t="n">
        <v>-24.531</v>
      </c>
      <c r="I15" s="18" t="n">
        <v>-19.002</v>
      </c>
      <c r="J15" s="18" t="n">
        <v>-85.04900000000001</v>
      </c>
      <c r="K15" s="18" t="n">
        <v>-57.318</v>
      </c>
      <c r="L15" s="18" t="n">
        <v>-50.455</v>
      </c>
      <c r="M15" s="18" t="n">
        <v>-41.98</v>
      </c>
      <c r="N15" s="18" t="n">
        <v>-31.523</v>
      </c>
      <c r="O15" s="18" t="n">
        <v>-49.285</v>
      </c>
      <c r="P15" s="18" t="n">
        <v>-54.956</v>
      </c>
      <c r="Q15" s="18" t="n">
        <v>-47.481</v>
      </c>
      <c r="R15" s="18" t="n">
        <v>0.491</v>
      </c>
      <c r="S15" s="18" t="n">
        <v>8.472</v>
      </c>
      <c r="T15" s="18" t="n">
        <v>26.665</v>
      </c>
      <c r="U15" s="18" t="n">
        <v>53.699</v>
      </c>
      <c r="V15" s="18" t="n">
        <v>42.82</v>
      </c>
      <c r="W15" s="18" t="n">
        <v>47.013</v>
      </c>
      <c r="X15" s="18" t="n">
        <v>-16.822</v>
      </c>
      <c r="Y15" s="18" t="n">
        <v>-92.282</v>
      </c>
      <c r="Z15" s="18" t="n">
        <v>-110.207</v>
      </c>
      <c r="AA15" s="18" t="n">
        <v>-77.675</v>
      </c>
      <c r="AB15" s="18" t="n">
        <v>-33.997</v>
      </c>
      <c r="AC15" s="18" t="n">
        <v>38.691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196.688971</v>
      </c>
      <c r="C17" s="18" t="n">
        <v>200.392486</v>
      </c>
      <c r="D17" s="18" t="n">
        <v>204.096</v>
      </c>
      <c r="E17" s="18" t="n">
        <v>207.565</v>
      </c>
      <c r="F17" s="18" t="n">
        <v>213.129</v>
      </c>
      <c r="G17" s="18" t="n">
        <v>216.695</v>
      </c>
      <c r="H17" s="18" t="n">
        <v>219.401</v>
      </c>
      <c r="I17" s="18" t="n">
        <v>221.7</v>
      </c>
      <c r="J17" s="18" t="n">
        <v>224.153</v>
      </c>
      <c r="K17" s="18" t="n">
        <v>226.362</v>
      </c>
      <c r="L17" s="18" t="n">
        <v>228.293</v>
      </c>
      <c r="M17" s="18" t="n">
        <v>229.662</v>
      </c>
      <c r="N17" s="18" t="n">
        <v>231.179</v>
      </c>
      <c r="O17" s="18" t="n">
        <v>232.554</v>
      </c>
      <c r="P17" s="18" t="n">
        <v>233.785</v>
      </c>
      <c r="Q17" s="18" t="n">
        <v>235.027</v>
      </c>
      <c r="R17" s="18" t="n">
        <v>240.598</v>
      </c>
      <c r="S17" s="18" t="n">
        <v>242.144</v>
      </c>
      <c r="T17" s="18" t="n">
        <v>243.799</v>
      </c>
      <c r="U17" s="18" t="n">
        <v>247.936</v>
      </c>
      <c r="V17" s="18" t="n">
        <v>250.164</v>
      </c>
      <c r="W17" s="18" t="n">
        <v>251.265</v>
      </c>
      <c r="X17" s="18" t="n">
        <v>245.536</v>
      </c>
      <c r="Y17" s="18" t="n">
        <v>246.933</v>
      </c>
      <c r="Z17" s="18" t="n">
        <v>248.432</v>
      </c>
      <c r="AA17" s="18" t="n">
        <v>249.909</v>
      </c>
      <c r="AB17" s="18" t="n">
        <v>251.326</v>
      </c>
      <c r="AC17" s="18" t="n">
        <v>258.133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 And Circulation</t>
        </is>
      </c>
      <c r="AC19" s="18" t="n">
        <v>2345.21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Professional Services</t>
        </is>
      </c>
      <c r="B22" s="18" t="n">
        <v>10.087</v>
      </c>
      <c r="C22" s="18" t="n">
        <v>10.533</v>
      </c>
      <c r="D22" s="18" t="n">
        <v>10.898</v>
      </c>
      <c r="E22" s="18" t="n">
        <v>13.572</v>
      </c>
      <c r="F22" s="18" t="n">
        <v>15.856</v>
      </c>
      <c r="G22" s="18" t="n">
        <v>14.715</v>
      </c>
      <c r="H22" s="18" t="n">
        <v>18.93</v>
      </c>
      <c r="I22" s="18" t="n">
        <v>20.267</v>
      </c>
      <c r="J22" s="18" t="n">
        <v>21.615</v>
      </c>
      <c r="K22" s="18" t="n">
        <v>21.854</v>
      </c>
      <c r="L22" s="18" t="n">
        <v>23.021</v>
      </c>
      <c r="M22" s="18" t="n">
        <v>25.567</v>
      </c>
      <c r="N22" s="18" t="n">
        <v>28.012</v>
      </c>
      <c r="O22" s="18" t="n">
        <v>28.954</v>
      </c>
      <c r="P22" s="18" t="n">
        <v>33.506</v>
      </c>
      <c r="Q22" s="18" t="n">
        <v>39.104</v>
      </c>
      <c r="R22" s="18" t="n">
        <v>41.405</v>
      </c>
      <c r="S22" s="18" t="n">
        <v>41.654</v>
      </c>
      <c r="T22" s="18" t="n">
        <v>52.551</v>
      </c>
      <c r="U22" s="18" t="n">
        <v>49.388</v>
      </c>
      <c r="V22" s="18" t="n">
        <v>48.864</v>
      </c>
      <c r="W22" s="18" t="n">
        <v>45.615</v>
      </c>
      <c r="X22" s="18" t="n">
        <v>47.443</v>
      </c>
      <c r="Y22" s="18" t="n">
        <v>50.222</v>
      </c>
      <c r="Z22" s="18" t="n">
        <v>52.666</v>
      </c>
      <c r="AB22" s="18" t="n">
        <v>65.539</v>
      </c>
      <c r="AC22" s="18" t="n">
        <v>129.117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B26" s="18" t="n">
        <v>72.307</v>
      </c>
      <c r="C26" s="18" t="n">
        <v>80.146</v>
      </c>
      <c r="D26" s="18" t="n">
        <v>92.602</v>
      </c>
      <c r="E26" s="18" t="n">
        <v>111.458</v>
      </c>
      <c r="F26" s="18" t="n">
        <v>129.481</v>
      </c>
      <c r="G26" s="18" t="n">
        <v>141.733</v>
      </c>
      <c r="H26" s="18" t="n">
        <v>167.741</v>
      </c>
      <c r="I26" s="18" t="n">
        <v>188.447</v>
      </c>
      <c r="J26" s="18" t="n">
        <v>219.802</v>
      </c>
      <c r="K26" s="18" t="n">
        <v>244.668</v>
      </c>
      <c r="L26" s="18" t="n">
        <v>276.698</v>
      </c>
      <c r="M26" s="18" t="n">
        <v>305.306</v>
      </c>
      <c r="N26" s="18" t="n">
        <v>345.593</v>
      </c>
      <c r="O26" s="18" t="n">
        <v>374.258</v>
      </c>
      <c r="P26" s="18" t="n">
        <v>403.302</v>
      </c>
      <c r="Q26" s="18" t="n">
        <v>440.414</v>
      </c>
      <c r="R26" s="18" t="n">
        <v>474.825</v>
      </c>
      <c r="S26" s="18" t="n">
        <v>500.864</v>
      </c>
      <c r="T26" s="18" t="n">
        <v>537.88</v>
      </c>
      <c r="U26" s="18" t="n">
        <v>574.485</v>
      </c>
      <c r="V26" s="18" t="n">
        <v>630.026</v>
      </c>
      <c r="W26" s="18" t="n">
        <v>655.001</v>
      </c>
      <c r="X26" s="18" t="n">
        <v>683.476</v>
      </c>
      <c r="Y26" s="18" t="n">
        <v>714.439</v>
      </c>
      <c r="Z26" s="18" t="n">
        <v>741.852</v>
      </c>
      <c r="AB26" s="18" t="n">
        <v>826.653</v>
      </c>
      <c r="AC26" s="18" t="n">
        <v>1648.149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4" t="inlineStr">
        <is>
          <t>EMEA</t>
        </is>
      </c>
      <c r="B29" s="18" t="n">
        <v>13.414</v>
      </c>
      <c r="C29" s="18" t="n">
        <v>15.006</v>
      </c>
      <c r="D29" s="18" t="n">
        <v>17.609</v>
      </c>
      <c r="E29" s="18" t="n">
        <v>21.399</v>
      </c>
      <c r="F29" s="18" t="n">
        <v>25.042</v>
      </c>
      <c r="G29" s="18" t="n">
        <v>28.552</v>
      </c>
      <c r="H29" s="18" t="n">
        <v>33.192</v>
      </c>
      <c r="I29" s="18" t="n">
        <v>37.114</v>
      </c>
      <c r="J29" s="18" t="n">
        <v>41.649</v>
      </c>
      <c r="K29" s="18" t="n">
        <v>46.55</v>
      </c>
      <c r="L29" s="18" t="n">
        <v>50.721</v>
      </c>
      <c r="M29" s="18" t="n">
        <v>61.278</v>
      </c>
      <c r="N29" s="18" t="n">
        <v>70.625</v>
      </c>
      <c r="O29" s="18" t="n">
        <v>77.096</v>
      </c>
      <c r="P29" s="18" t="n">
        <v>85.66500000000001</v>
      </c>
      <c r="Q29" s="18" t="n">
        <v>94.54300000000001</v>
      </c>
      <c r="R29" s="18" t="n">
        <v>104.552</v>
      </c>
      <c r="S29" s="18" t="n">
        <v>111.909</v>
      </c>
      <c r="T29" s="18" t="n">
        <v>119.158</v>
      </c>
      <c r="U29" s="18" t="n">
        <v>132.309</v>
      </c>
      <c r="V29" s="18" t="n">
        <v>141.612</v>
      </c>
      <c r="W29" s="18" t="n">
        <v>148.851</v>
      </c>
      <c r="X29" s="18" t="n">
        <v>160.574</v>
      </c>
      <c r="Y29" s="18" t="n">
        <v>168.446</v>
      </c>
      <c r="Z29" s="18" t="n">
        <v>176.442</v>
      </c>
      <c r="AB29" s="18" t="n">
        <v>198.42</v>
      </c>
      <c r="AC29" s="18" t="n">
        <v>407.804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Asia Pacific</t>
        </is>
      </c>
      <c r="B32" s="18" t="n">
        <v>6.23</v>
      </c>
      <c r="C32" s="18" t="n">
        <v>8.613</v>
      </c>
      <c r="D32" s="18" t="n">
        <v>9.984999999999999</v>
      </c>
      <c r="E32" s="18" t="n">
        <v>12.844</v>
      </c>
      <c r="F32" s="18" t="n">
        <v>14.901</v>
      </c>
      <c r="G32" s="18" t="n">
        <v>17.733</v>
      </c>
      <c r="H32" s="18" t="n">
        <v>20.551</v>
      </c>
      <c r="I32" s="18" t="n">
        <v>27</v>
      </c>
      <c r="J32" s="18" t="n">
        <v>29</v>
      </c>
      <c r="K32" s="18" t="n">
        <v>32.998</v>
      </c>
      <c r="L32" s="18" t="n">
        <v>37.265</v>
      </c>
      <c r="M32" s="18" t="n">
        <v>43.423</v>
      </c>
      <c r="N32" s="18" t="n">
        <v>48.079</v>
      </c>
      <c r="O32" s="18" t="n">
        <v>54.623</v>
      </c>
      <c r="P32" s="18" t="n">
        <v>60.011</v>
      </c>
      <c r="Q32" s="18" t="n">
        <v>65.411</v>
      </c>
      <c r="R32" s="18" t="n">
        <v>72.21899999999999</v>
      </c>
      <c r="S32" s="18" t="n">
        <v>75.19799999999999</v>
      </c>
      <c r="T32" s="18" t="n">
        <v>81.459</v>
      </c>
      <c r="U32" s="18" t="n">
        <v>86.648</v>
      </c>
      <c r="V32" s="18" t="n">
        <v>93.462</v>
      </c>
      <c r="W32" s="18" t="n">
        <v>98.274</v>
      </c>
      <c r="X32" s="18" t="n">
        <v>102.837</v>
      </c>
      <c r="Y32" s="18" t="n">
        <v>107.88</v>
      </c>
      <c r="Z32" s="18" t="n">
        <v>112.827</v>
      </c>
      <c r="AB32" s="18" t="n">
        <v>127.591</v>
      </c>
      <c r="AC32" s="18" t="n">
        <v>255.283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Other Countries</t>
        </is>
      </c>
      <c r="B35" s="18" t="n">
        <v>4.126</v>
      </c>
      <c r="C35" s="18" t="n">
        <v>4.343</v>
      </c>
      <c r="D35" s="18" t="n">
        <v>4.923</v>
      </c>
      <c r="E35" s="18" t="n">
        <v>6.408</v>
      </c>
      <c r="F35" s="18" t="n">
        <v>8.654</v>
      </c>
      <c r="G35" s="18" t="n">
        <v>10.953</v>
      </c>
      <c r="H35" s="18" t="n">
        <v>10.976</v>
      </c>
      <c r="I35" s="18" t="n">
        <v>12.368</v>
      </c>
      <c r="J35" s="18" t="n">
        <v>12.392</v>
      </c>
      <c r="K35" s="18" t="n">
        <v>13.474</v>
      </c>
      <c r="L35" s="18" t="n">
        <v>15.367</v>
      </c>
      <c r="M35" s="18" t="n">
        <v>21.003</v>
      </c>
      <c r="N35" s="18" t="n">
        <v>23.537</v>
      </c>
      <c r="O35" s="18" t="n">
        <v>29.176</v>
      </c>
      <c r="P35" s="18" t="n">
        <v>31.904</v>
      </c>
      <c r="Q35" s="18" t="n">
        <v>36.999</v>
      </c>
      <c r="R35" s="18" t="n">
        <v>40.984</v>
      </c>
      <c r="S35" s="18" t="n">
        <v>43.655</v>
      </c>
      <c r="T35" s="18" t="n">
        <v>47.517</v>
      </c>
      <c r="U35" s="18" t="n">
        <v>51.893</v>
      </c>
      <c r="V35" s="18" t="n">
        <v>55.936</v>
      </c>
      <c r="W35" s="18" t="n">
        <v>61.746</v>
      </c>
      <c r="X35" s="18" t="n">
        <v>63.291</v>
      </c>
      <c r="Y35" s="18" t="n">
        <v>67.773</v>
      </c>
      <c r="Z35" s="18" t="n">
        <v>72.313</v>
      </c>
      <c r="AB35" s="18" t="n">
        <v>81.58</v>
      </c>
      <c r="AC35" s="18" t="n">
        <v>163.091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175.059</v>
      </c>
      <c r="C39" s="18" t="n">
        <v>826.811</v>
      </c>
      <c r="D39" s="18" t="n">
        <v>833.688</v>
      </c>
      <c r="E39" s="18" t="n">
        <v>912.064</v>
      </c>
      <c r="F39" s="18" t="n">
        <v>1004.991</v>
      </c>
      <c r="G39" s="18" t="n">
        <v>1064.733999</v>
      </c>
      <c r="H39" s="18" t="n">
        <v>1059.925999</v>
      </c>
      <c r="I39" s="18" t="n">
        <v>1918.608</v>
      </c>
      <c r="J39" s="18" t="n">
        <v>1684.997</v>
      </c>
      <c r="K39" s="18" t="n">
        <v>1787.051</v>
      </c>
      <c r="L39" s="18" t="n">
        <v>1907.508</v>
      </c>
      <c r="M39" s="18" t="n">
        <v>1996.633</v>
      </c>
      <c r="N39" s="18" t="n">
        <v>2152.736</v>
      </c>
      <c r="O39" s="18" t="n">
        <v>2318.858</v>
      </c>
      <c r="P39" s="18" t="n">
        <v>2466.551</v>
      </c>
      <c r="Q39" s="18" t="n">
        <v>2705.369</v>
      </c>
      <c r="R39" s="18" t="n">
        <v>2929.677</v>
      </c>
      <c r="S39" s="18" t="n">
        <v>3167.215</v>
      </c>
      <c r="T39" s="18" t="n">
        <v>3166.394</v>
      </c>
      <c r="U39" s="18" t="n">
        <v>3474.66</v>
      </c>
      <c r="V39" s="18" t="n">
        <v>3702.437</v>
      </c>
      <c r="W39" s="18" t="n">
        <v>4038.536</v>
      </c>
      <c r="X39" s="18" t="n">
        <v>4262.214</v>
      </c>
      <c r="Y39" s="18" t="n">
        <v>4323.295</v>
      </c>
      <c r="Z39" s="18" t="n">
        <v>4614.153</v>
      </c>
      <c r="AA39" s="18" t="n">
        <v>4972.436</v>
      </c>
      <c r="AB39" s="18" t="n">
        <v>4801.083</v>
      </c>
      <c r="AC39" s="18" t="n">
        <v>5230.125</v>
      </c>
    </row>
    <row r="40">
      <c r="A40" s="4" t="inlineStr">
        <is>
          <t>Total Current Assets</t>
        </is>
      </c>
      <c r="B40" s="18" t="n">
        <v>285.058</v>
      </c>
      <c r="C40" s="18" t="n">
        <v>971.415</v>
      </c>
      <c r="D40" s="18" t="n">
        <v>1017.296</v>
      </c>
      <c r="E40" s="18" t="n">
        <v>1128.665</v>
      </c>
      <c r="F40" s="18" t="n">
        <v>1195.052</v>
      </c>
      <c r="G40" s="18" t="n">
        <v>1262.144</v>
      </c>
      <c r="H40" s="18" t="n">
        <v>1278.374</v>
      </c>
      <c r="I40" s="18" t="n">
        <v>2211.424</v>
      </c>
      <c r="J40" s="18" t="n">
        <v>1952.615</v>
      </c>
      <c r="K40" s="18" t="n">
        <v>2156.555</v>
      </c>
      <c r="L40" s="18" t="n">
        <v>2251.45</v>
      </c>
      <c r="M40" s="18" t="n">
        <v>2444.13</v>
      </c>
      <c r="N40" s="18" t="n">
        <v>2597.377</v>
      </c>
      <c r="O40" s="18" t="n">
        <v>2827.855</v>
      </c>
      <c r="P40" s="18" t="n">
        <v>3041.353</v>
      </c>
      <c r="Q40" s="18" t="n">
        <v>3453.412</v>
      </c>
      <c r="R40" s="18" t="n">
        <v>3521.869</v>
      </c>
      <c r="S40" s="18" t="n">
        <v>3853.275</v>
      </c>
      <c r="T40" s="18" t="n">
        <v>3869.917</v>
      </c>
      <c r="U40" s="18" t="n">
        <v>4510.937</v>
      </c>
      <c r="V40" s="18" t="n">
        <v>4596.971</v>
      </c>
      <c r="W40" s="18" t="n">
        <v>4930.402</v>
      </c>
      <c r="X40" s="18" t="n">
        <v>5278.098</v>
      </c>
      <c r="Y40" s="18" t="n">
        <v>5766.303</v>
      </c>
      <c r="Z40" s="18" t="n">
        <v>5718.993</v>
      </c>
      <c r="AA40" s="18" t="n">
        <v>6534.354</v>
      </c>
      <c r="AB40" s="18" t="n">
        <v>6519.282</v>
      </c>
      <c r="AC40" s="18" t="n">
        <v>7419.119</v>
      </c>
    </row>
    <row r="41">
      <c r="A41" s="4" t="inlineStr">
        <is>
          <t>PP&amp;E (net)</t>
        </is>
      </c>
      <c r="B41" s="18" t="n">
        <v>86.349</v>
      </c>
      <c r="C41" s="18" t="n">
        <v>107.989</v>
      </c>
      <c r="D41" s="18" t="n">
        <v>129.503999</v>
      </c>
      <c r="E41" s="18" t="n">
        <v>136.078</v>
      </c>
      <c r="F41" s="18" t="n">
        <v>174.834</v>
      </c>
      <c r="G41" s="18" t="n">
        <v>193.757</v>
      </c>
      <c r="H41" s="18" t="n">
        <v>200.747</v>
      </c>
      <c r="I41" s="18" t="n">
        <v>203.498</v>
      </c>
      <c r="J41" s="18" t="n">
        <v>227.993</v>
      </c>
      <c r="K41" s="18" t="n">
        <v>250.686</v>
      </c>
      <c r="L41" s="18" t="n">
        <v>276.117</v>
      </c>
      <c r="M41" s="18" t="n">
        <v>292.312</v>
      </c>
      <c r="N41" s="18" t="n">
        <v>345.01</v>
      </c>
      <c r="O41" s="18" t="n">
        <v>411.475</v>
      </c>
      <c r="P41" s="18" t="n">
        <v>455.651</v>
      </c>
      <c r="Q41" s="18" t="n">
        <v>532.270999</v>
      </c>
      <c r="R41" s="18" t="n">
        <v>574.1799999999999</v>
      </c>
      <c r="S41" s="18" t="n">
        <v>607.766</v>
      </c>
      <c r="T41" s="18" t="n">
        <v>631.978</v>
      </c>
      <c r="U41" s="18" t="n">
        <v>668.383</v>
      </c>
      <c r="V41" s="18" t="n">
        <v>675.979</v>
      </c>
      <c r="W41" s="18" t="n">
        <v>694.371</v>
      </c>
      <c r="X41" s="18" t="n">
        <v>792.856</v>
      </c>
      <c r="Y41" s="18" t="n">
        <v>831.403</v>
      </c>
      <c r="Z41" s="18" t="n">
        <v>865.259</v>
      </c>
      <c r="AA41" s="18" t="n">
        <v>932.639</v>
      </c>
      <c r="AB41" s="18" t="n">
        <v>994.322</v>
      </c>
      <c r="AC41" s="18" t="n">
        <v>1046.191</v>
      </c>
    </row>
    <row r="42">
      <c r="A42" s="4" t="inlineStr">
        <is>
          <t>Total Assets</t>
        </is>
      </c>
      <c r="B42" s="18" t="n">
        <v>457.361</v>
      </c>
      <c r="C42" s="18" t="n">
        <v>1171.586</v>
      </c>
      <c r="D42" s="18" t="n">
        <v>1256.054</v>
      </c>
      <c r="E42" s="18" t="n">
        <v>1404.906</v>
      </c>
      <c r="F42" s="18" t="n">
        <v>1519.396</v>
      </c>
      <c r="G42" s="18" t="n">
        <v>1616.952</v>
      </c>
      <c r="H42" s="18" t="n">
        <v>1749.509</v>
      </c>
      <c r="I42" s="18" t="n">
        <v>2732.533</v>
      </c>
      <c r="J42" s="18" t="n">
        <v>2881.171</v>
      </c>
      <c r="K42" s="18" t="n">
        <v>3136.045</v>
      </c>
      <c r="L42" s="18" t="n">
        <v>3299.617</v>
      </c>
      <c r="M42" s="18" t="n">
        <v>3618.381</v>
      </c>
      <c r="N42" s="18" t="n">
        <v>3835.835</v>
      </c>
      <c r="O42" s="18" t="n">
        <v>4154.236</v>
      </c>
      <c r="P42" s="18" t="n">
        <v>4469.443</v>
      </c>
      <c r="Q42" s="18" t="n">
        <v>5026.54</v>
      </c>
      <c r="R42" s="18" t="n">
        <v>5137.858</v>
      </c>
      <c r="S42" s="18" t="n">
        <v>5520.458</v>
      </c>
      <c r="T42" s="18" t="n">
        <v>5831.056</v>
      </c>
      <c r="U42" s="18" t="n">
        <v>6646.52</v>
      </c>
      <c r="V42" s="18" t="n">
        <v>6841.985</v>
      </c>
      <c r="W42" s="18" t="n">
        <v>7202.474</v>
      </c>
      <c r="X42" s="18" t="n">
        <v>7782.958</v>
      </c>
      <c r="Y42" s="18" t="n">
        <v>8701.578</v>
      </c>
      <c r="Z42" s="18" t="n">
        <v>8720.361999999999</v>
      </c>
      <c r="AA42" s="18" t="n">
        <v>9288.859</v>
      </c>
      <c r="AB42" s="18" t="n">
        <v>9965.347</v>
      </c>
      <c r="AC42" s="18" t="n">
        <v>11086.684</v>
      </c>
    </row>
    <row r="43">
      <c r="A43" s="4" t="inlineStr">
        <is>
          <t>Total Current Liabilities</t>
        </is>
      </c>
      <c r="B43" s="18" t="n">
        <v>302.721</v>
      </c>
      <c r="C43" s="18" t="n">
        <v>341.781</v>
      </c>
      <c r="D43" s="18" t="n">
        <v>415.604</v>
      </c>
      <c r="E43" s="18" t="n">
        <v>493.096</v>
      </c>
      <c r="F43" s="18" t="n">
        <v>555.644</v>
      </c>
      <c r="G43" s="18" t="n">
        <v>603.292</v>
      </c>
      <c r="H43" s="18" t="n">
        <v>702.039</v>
      </c>
      <c r="I43" s="18" t="n">
        <v>863.553</v>
      </c>
      <c r="J43" s="18" t="n">
        <v>982.765</v>
      </c>
      <c r="K43" s="18" t="n">
        <v>1136.828</v>
      </c>
      <c r="L43" s="18" t="n">
        <v>1241.547</v>
      </c>
      <c r="M43" s="18" t="n">
        <v>1406.83</v>
      </c>
      <c r="N43" s="18" t="n">
        <v>1497.103</v>
      </c>
      <c r="O43" s="18" t="n">
        <v>1649.25</v>
      </c>
      <c r="P43" s="18" t="n">
        <v>1817.053</v>
      </c>
      <c r="Q43" s="18" t="n">
        <v>2109.072</v>
      </c>
      <c r="R43" s="18" t="n">
        <v>2080.064</v>
      </c>
      <c r="S43" s="18" t="n">
        <v>2229.463</v>
      </c>
      <c r="T43" s="18" t="n">
        <v>2350.417</v>
      </c>
      <c r="U43" s="18" t="n">
        <v>2697.279</v>
      </c>
      <c r="V43" s="18" t="n">
        <v>2683.686</v>
      </c>
      <c r="W43" s="18" t="n">
        <v>2728.319</v>
      </c>
      <c r="X43" s="18" t="n">
        <v>3000.38</v>
      </c>
      <c r="Y43" s="18" t="n">
        <v>3461.05</v>
      </c>
      <c r="Z43" s="18" t="n">
        <v>3282.534</v>
      </c>
      <c r="AA43" s="18" t="n">
        <v>3475.938</v>
      </c>
      <c r="AB43" s="18" t="n">
        <v>3599.895</v>
      </c>
      <c r="AC43" s="18" t="n">
        <v>4184.192</v>
      </c>
    </row>
    <row r="44">
      <c r="A44" s="4" t="inlineStr">
        <is>
          <t>Long-term Debt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738.029</v>
      </c>
      <c r="J44" s="18" t="n">
        <v>738.4</v>
      </c>
      <c r="K44" s="18" t="n">
        <v>738.772</v>
      </c>
      <c r="L44" s="18" t="n">
        <v>739.145</v>
      </c>
      <c r="M44" s="18" t="n">
        <v>739.5170000000001</v>
      </c>
      <c r="N44" s="18" t="n">
        <v>739.889</v>
      </c>
      <c r="O44" s="18" t="n">
        <v>740.261</v>
      </c>
      <c r="P44" s="18" t="n">
        <v>740.633</v>
      </c>
      <c r="Q44" s="18" t="n">
        <v>741.005</v>
      </c>
      <c r="R44" s="18" t="n">
        <v>741.377</v>
      </c>
      <c r="S44" s="18" t="n">
        <v>741.75</v>
      </c>
      <c r="T44" s="18" t="n">
        <v>742.122</v>
      </c>
      <c r="U44" s="18" t="n">
        <v>742.494</v>
      </c>
      <c r="V44" s="18" t="n">
        <v>742.866</v>
      </c>
      <c r="W44" s="18" t="n">
        <v>743.2380000000001</v>
      </c>
      <c r="X44" s="18" t="n">
        <v>743.61</v>
      </c>
      <c r="Y44" s="18" t="n">
        <v>743.9829999999999</v>
      </c>
      <c r="Z44" s="18" t="n">
        <v>744.355</v>
      </c>
      <c r="AA44" s="18" t="n">
        <v>744.727</v>
      </c>
      <c r="AB44" s="18" t="n">
        <v>745.099</v>
      </c>
      <c r="AC44" s="18" t="n">
        <v>801.845</v>
      </c>
    </row>
    <row r="45">
      <c r="A45" s="4" t="inlineStr">
        <is>
          <t>Total Equity</t>
        </is>
      </c>
      <c r="B45" s="18" t="n">
        <v>72.735</v>
      </c>
      <c r="C45" s="18" t="n">
        <v>728.097</v>
      </c>
      <c r="D45" s="18" t="n">
        <v>717.042</v>
      </c>
      <c r="E45" s="18" t="n">
        <v>742.107</v>
      </c>
      <c r="F45" s="18" t="n">
        <v>752.153</v>
      </c>
      <c r="G45" s="18" t="n">
        <v>790.965</v>
      </c>
      <c r="H45" s="18" t="n">
        <v>813.485</v>
      </c>
      <c r="I45" s="18" t="n">
        <v>870.574</v>
      </c>
      <c r="J45" s="18" t="n">
        <v>849.264</v>
      </c>
      <c r="K45" s="18" t="n">
        <v>904.268</v>
      </c>
      <c r="L45" s="18" t="n">
        <v>948.182</v>
      </c>
      <c r="M45" s="18" t="n">
        <v>1025.763999</v>
      </c>
      <c r="N45" s="18" t="n">
        <v>1102.541</v>
      </c>
      <c r="O45" s="18" t="n">
        <v>1225.419</v>
      </c>
      <c r="P45" s="18" t="n">
        <v>1314.289</v>
      </c>
      <c r="Q45" s="18" t="n">
        <v>1463.641</v>
      </c>
      <c r="R45" s="18" t="n">
        <v>1605.301</v>
      </c>
      <c r="S45" s="18" t="n">
        <v>1838.207</v>
      </c>
      <c r="T45" s="18" t="n">
        <v>2028.95</v>
      </c>
      <c r="U45" s="18" t="n">
        <v>2303.95</v>
      </c>
      <c r="V45" s="18" t="n">
        <v>2535.54</v>
      </c>
      <c r="W45" s="18" t="n">
        <v>2852.915</v>
      </c>
      <c r="X45" s="18" t="n">
        <v>3057.933</v>
      </c>
      <c r="Y45" s="18" t="n">
        <v>3279.494</v>
      </c>
      <c r="Z45" s="18" t="n">
        <v>3450.877</v>
      </c>
      <c r="AA45" s="18" t="n">
        <v>3756.68</v>
      </c>
      <c r="AB45" s="18" t="n">
        <v>4016.497</v>
      </c>
      <c r="AC45" s="18" t="n">
        <v>4428.39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5.019</v>
      </c>
      <c r="C47" s="18" t="n">
        <v>5.459</v>
      </c>
      <c r="D47" s="18" t="n">
        <v>5.93</v>
      </c>
      <c r="E47" s="18" t="n">
        <v>7.105</v>
      </c>
      <c r="F47" s="18" t="n">
        <v>8.305</v>
      </c>
      <c r="G47" s="18" t="n">
        <v>9.523</v>
      </c>
      <c r="H47" s="18" t="n">
        <v>10.479</v>
      </c>
      <c r="I47" s="18" t="n">
        <v>11.836</v>
      </c>
      <c r="J47" s="18" t="n">
        <v>14.372</v>
      </c>
      <c r="K47" s="18" t="n">
        <v>16.088</v>
      </c>
      <c r="L47" s="18" t="n">
        <v>17.859</v>
      </c>
      <c r="M47" s="18" t="n">
        <v>20.491</v>
      </c>
      <c r="N47" s="18" t="n">
        <v>20.429</v>
      </c>
      <c r="O47" s="18" t="n">
        <v>21.909</v>
      </c>
      <c r="P47" s="18" t="n">
        <v>23.622</v>
      </c>
      <c r="Q47" s="18" t="n">
        <v>27.85</v>
      </c>
      <c r="R47" s="18" t="n">
        <v>30.583</v>
      </c>
      <c r="S47" s="18" t="n">
        <v>33.877</v>
      </c>
      <c r="T47" s="18" t="n">
        <v>38.425</v>
      </c>
      <c r="U47" s="18" t="n">
        <v>42.369</v>
      </c>
      <c r="V47" s="18" t="n">
        <v>48.684</v>
      </c>
      <c r="W47" s="18" t="n">
        <v>52.584</v>
      </c>
      <c r="X47" s="18" t="n">
        <v>55.248</v>
      </c>
      <c r="Y47" s="18" t="n">
        <v>57.44</v>
      </c>
      <c r="Z47" s="18" t="n">
        <v>64.057</v>
      </c>
      <c r="AA47" s="18" t="n">
        <v>68.038</v>
      </c>
      <c r="AB47" s="18" t="n">
        <v>71.849</v>
      </c>
      <c r="AC47" s="18" t="n">
        <v>100.568</v>
      </c>
    </row>
    <row r="48">
      <c r="A48" s="4" t="inlineStr">
        <is>
          <t>Stock-based Compensation</t>
        </is>
      </c>
      <c r="B48" s="18" t="n">
        <v>3.752</v>
      </c>
      <c r="C48" s="18" t="n">
        <v>29.859</v>
      </c>
      <c r="D48" s="18" t="n">
        <v>21.966</v>
      </c>
      <c r="E48" s="18" t="n">
        <v>24.363</v>
      </c>
      <c r="F48" s="18" t="n">
        <v>23.638</v>
      </c>
      <c r="G48" s="18" t="n">
        <v>37.713</v>
      </c>
      <c r="H48" s="18" t="n">
        <v>40.61</v>
      </c>
      <c r="I48" s="18" t="n">
        <v>47.714</v>
      </c>
      <c r="J48" s="18" t="n">
        <v>54.362</v>
      </c>
      <c r="K48" s="18" t="n">
        <v>76.28700000000001</v>
      </c>
      <c r="L48" s="18" t="n">
        <v>86.666</v>
      </c>
      <c r="M48" s="18" t="n">
        <v>92.637</v>
      </c>
      <c r="N48" s="18" t="n">
        <v>102.494</v>
      </c>
      <c r="O48" s="18" t="n">
        <v>131.55</v>
      </c>
      <c r="P48" s="18" t="n">
        <v>140.113</v>
      </c>
      <c r="Q48" s="18" t="n">
        <v>152.347</v>
      </c>
      <c r="R48" s="18" t="n">
        <v>130.856</v>
      </c>
      <c r="S48" s="18" t="n">
        <v>164.777</v>
      </c>
      <c r="T48" s="18" t="n">
        <v>159.614</v>
      </c>
      <c r="U48" s="18" t="n">
        <v>176.272</v>
      </c>
      <c r="V48" s="18" t="n">
        <v>183.125</v>
      </c>
      <c r="W48" s="18" t="n">
        <v>200.877</v>
      </c>
      <c r="X48" s="18" t="n">
        <v>208.888</v>
      </c>
      <c r="Y48" s="18" t="n">
        <v>272.531</v>
      </c>
      <c r="Z48" s="18" t="n">
        <v>253.604</v>
      </c>
      <c r="AA48" s="18" t="n">
        <v>287.153</v>
      </c>
      <c r="AB48" s="18" t="n">
        <v>281.971</v>
      </c>
      <c r="AC48" s="18" t="n">
        <v>273.951</v>
      </c>
    </row>
    <row r="49">
      <c r="A49" s="4" t="inlineStr">
        <is>
          <t>Change in Working Capital</t>
        </is>
      </c>
      <c r="B49" s="18" t="n">
        <v>11.3</v>
      </c>
      <c r="C49" s="18" t="n">
        <v>-2.645</v>
      </c>
      <c r="D49" s="18" t="n">
        <v>37.027</v>
      </c>
      <c r="E49" s="18" t="n">
        <v>51.789</v>
      </c>
      <c r="F49" s="18" t="n">
        <v>70.59099999999999</v>
      </c>
      <c r="G49" s="18" t="n">
        <v>20.536</v>
      </c>
      <c r="H49" s="18" t="n">
        <v>42.44</v>
      </c>
      <c r="I49" s="18" t="n">
        <v>52.044</v>
      </c>
      <c r="J49" s="18" t="n">
        <v>138.582</v>
      </c>
      <c r="K49" s="18" t="n">
        <v>44.177</v>
      </c>
      <c r="L49" s="18" t="n">
        <v>73.146</v>
      </c>
      <c r="M49" s="18" t="n">
        <v>65.818</v>
      </c>
      <c r="N49" s="18" t="n">
        <v>82.401</v>
      </c>
      <c r="O49" s="18" t="n">
        <v>63.882</v>
      </c>
      <c r="P49" s="18" t="n">
        <v>86.693</v>
      </c>
      <c r="Q49" s="18" t="n">
        <v>87.465</v>
      </c>
      <c r="R49" s="18" t="n">
        <v>80.041</v>
      </c>
      <c r="S49" s="18" t="n">
        <v>-23.823</v>
      </c>
      <c r="T49" s="18" t="n">
        <v>-11.734</v>
      </c>
      <c r="U49" s="18" t="n">
        <v>7.042</v>
      </c>
      <c r="V49" s="18" t="n">
        <v>31.632</v>
      </c>
      <c r="W49" s="18" t="n">
        <v>-50.919</v>
      </c>
      <c r="X49" s="18" t="n">
        <v>-5.746</v>
      </c>
      <c r="Y49" s="18" t="n">
        <v>19.035</v>
      </c>
      <c r="Z49" s="18" t="n">
        <v>69.364</v>
      </c>
      <c r="AA49" s="18" t="n">
        <v>-56.849</v>
      </c>
      <c r="AB49" s="18" t="n">
        <v>-39.89</v>
      </c>
      <c r="AC49" s="18" t="n">
        <v>-31.916</v>
      </c>
    </row>
    <row r="50">
      <c r="A50" s="4" t="inlineStr">
        <is>
          <t>Operating Cash Flow</t>
        </is>
      </c>
      <c r="B50" s="18" t="n">
        <v>1.415</v>
      </c>
      <c r="C50" s="18" t="n">
        <v>-6.214</v>
      </c>
      <c r="D50" s="18" t="n">
        <v>38.635</v>
      </c>
      <c r="E50" s="18" t="n">
        <v>66.107</v>
      </c>
      <c r="F50" s="18" t="n">
        <v>98.577</v>
      </c>
      <c r="G50" s="18" t="n">
        <v>55.025</v>
      </c>
      <c r="H50" s="18" t="n">
        <v>88.501</v>
      </c>
      <c r="I50" s="18" t="n">
        <v>114.463</v>
      </c>
      <c r="J50" s="18" t="n">
        <v>147.533</v>
      </c>
      <c r="K50" s="18" t="n">
        <v>108.475</v>
      </c>
      <c r="L50" s="18" t="n">
        <v>159.058</v>
      </c>
      <c r="M50" s="18" t="n">
        <v>159.718</v>
      </c>
      <c r="N50" s="18" t="n">
        <v>214.957</v>
      </c>
      <c r="O50" s="18" t="n">
        <v>209.906</v>
      </c>
      <c r="P50" s="18" t="n">
        <v>242.851</v>
      </c>
      <c r="Q50" s="18" t="n">
        <v>273.293</v>
      </c>
      <c r="R50" s="18" t="n">
        <v>300.892</v>
      </c>
      <c r="S50" s="18" t="n">
        <v>244.781</v>
      </c>
      <c r="T50" s="18" t="n">
        <v>273.518</v>
      </c>
      <c r="U50" s="18" t="n">
        <v>347.016</v>
      </c>
      <c r="V50" s="18" t="n">
        <v>383.228</v>
      </c>
      <c r="W50" s="18" t="n">
        <v>326.641</v>
      </c>
      <c r="X50" s="18" t="n">
        <v>326.136</v>
      </c>
      <c r="Y50" s="18" t="n">
        <v>345.722</v>
      </c>
      <c r="Z50" s="18" t="n">
        <v>384.107</v>
      </c>
      <c r="AA50" s="18" t="n">
        <v>332.832</v>
      </c>
      <c r="AB50" s="18" t="n">
        <v>397.541</v>
      </c>
      <c r="AC50" s="18" t="n">
        <v>497.869</v>
      </c>
    </row>
    <row r="51">
      <c r="A51" s="4" t="inlineStr">
        <is>
          <t>Capex</t>
        </is>
      </c>
      <c r="B51" s="18" t="n">
        <v>-17.525</v>
      </c>
      <c r="C51" s="18" t="n">
        <v>-22.944</v>
      </c>
      <c r="D51" s="18" t="n">
        <v>-31.587</v>
      </c>
      <c r="E51" s="18" t="n">
        <v>-15.431</v>
      </c>
      <c r="F51" s="18" t="n">
        <v>-11.576</v>
      </c>
      <c r="G51" s="18" t="n">
        <v>-22.608</v>
      </c>
      <c r="H51" s="18" t="n">
        <v>-12.406</v>
      </c>
      <c r="I51" s="18" t="n">
        <v>-17.253</v>
      </c>
      <c r="J51" s="18" t="n">
        <v>-30.23</v>
      </c>
      <c r="K51" s="18" t="n">
        <v>-34.836</v>
      </c>
      <c r="L51" s="18" t="n">
        <v>-36.235</v>
      </c>
      <c r="M51" s="18" t="n">
        <v>-32.388</v>
      </c>
      <c r="N51" s="18" t="n">
        <v>-58.125</v>
      </c>
      <c r="O51" s="18" t="n">
        <v>-74.149</v>
      </c>
      <c r="P51" s="18" t="n">
        <v>-68.774</v>
      </c>
      <c r="Q51" s="18" t="n">
        <v>-65.389</v>
      </c>
      <c r="R51" s="18" t="n">
        <v>-73.166</v>
      </c>
      <c r="S51" s="18" t="n">
        <v>-55.99</v>
      </c>
      <c r="T51" s="18" t="n">
        <v>-33.92</v>
      </c>
      <c r="U51" s="18" t="n">
        <v>-74.036</v>
      </c>
      <c r="V51" s="18" t="n">
        <v>-60.162</v>
      </c>
      <c r="W51" s="18" t="n">
        <v>-53.77</v>
      </c>
      <c r="X51" s="18" t="n">
        <v>-94.97499999999999</v>
      </c>
      <c r="Y51" s="18" t="n">
        <v>-104.914</v>
      </c>
      <c r="Z51" s="18" t="n">
        <v>-103.188</v>
      </c>
      <c r="AA51" s="18" t="n">
        <v>-47.786</v>
      </c>
      <c r="AB51" s="18" t="n">
        <v>-100.165</v>
      </c>
      <c r="AC51" s="18" t="n">
        <v>-121.465</v>
      </c>
    </row>
    <row r="52">
      <c r="A52" s="4" t="inlineStr">
        <is>
          <t>Free Cash Flow</t>
        </is>
      </c>
      <c r="B52" s="18" t="n">
        <v>-16.11</v>
      </c>
      <c r="C52" s="18" t="n">
        <v>-29.158</v>
      </c>
      <c r="D52" s="18" t="n">
        <v>7.048</v>
      </c>
      <c r="E52" s="18" t="n">
        <v>50.676</v>
      </c>
      <c r="F52" s="18" t="n">
        <v>87.001</v>
      </c>
      <c r="G52" s="18" t="n">
        <v>32.417</v>
      </c>
      <c r="H52" s="18" t="n">
        <v>76.095</v>
      </c>
      <c r="I52" s="18" t="n">
        <v>97.20999999999999</v>
      </c>
      <c r="J52" s="18" t="n">
        <v>117.303</v>
      </c>
      <c r="K52" s="18" t="n">
        <v>73.639</v>
      </c>
      <c r="L52" s="18" t="n">
        <v>122.823</v>
      </c>
      <c r="M52" s="18" t="n">
        <v>127.33</v>
      </c>
      <c r="N52" s="18" t="n">
        <v>156.832</v>
      </c>
      <c r="O52" s="18" t="n">
        <v>135.757</v>
      </c>
      <c r="P52" s="18" t="n">
        <v>174.077</v>
      </c>
      <c r="Q52" s="18" t="n">
        <v>207.904</v>
      </c>
      <c r="R52" s="18" t="n">
        <v>227.726</v>
      </c>
      <c r="S52" s="18" t="n">
        <v>188.791</v>
      </c>
      <c r="T52" s="18" t="n">
        <v>239.598</v>
      </c>
      <c r="U52" s="18" t="n">
        <v>272.98</v>
      </c>
      <c r="V52" s="18" t="n">
        <v>323.066</v>
      </c>
      <c r="W52" s="18" t="n">
        <v>272.871</v>
      </c>
      <c r="X52" s="18" t="n">
        <v>231.161</v>
      </c>
      <c r="Y52" s="18" t="n">
        <v>240.808</v>
      </c>
      <c r="Z52" s="18" t="n">
        <v>280.919</v>
      </c>
      <c r="AA52" s="18" t="n">
        <v>285.046</v>
      </c>
      <c r="AB52" s="18" t="n">
        <v>297.376</v>
      </c>
      <c r="AC52" s="18" t="n">
        <v>376.404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5904.978285</v>
      </c>
      <c r="C4" s="18" t="n">
        <v>7183.474226</v>
      </c>
      <c r="D4" s="18" t="n">
        <v>8740.369482</v>
      </c>
      <c r="E4" s="18" t="n">
        <v>9881.1</v>
      </c>
      <c r="F4" s="18" t="n">
        <v>11513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785.194263</v>
      </c>
      <c r="C8" s="18" t="n">
        <v>955.197882</v>
      </c>
      <c r="D8" s="18" t="n">
        <v>1162.220696</v>
      </c>
      <c r="E8" s="18" t="n">
        <v>1313.90543</v>
      </c>
      <c r="F8" s="18" t="n">
        <v>1530.901743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356.362533</v>
      </c>
      <c r="C12" s="18" t="n">
        <v>433.519134</v>
      </c>
      <c r="D12" s="18" t="n">
        <v>527.476997</v>
      </c>
      <c r="E12" s="18" t="n">
        <v>596.319522</v>
      </c>
      <c r="F12" s="18" t="n">
        <v>694.803884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3100.106169</v>
      </c>
      <c r="C16" s="18" t="n">
        <v>3771.314929</v>
      </c>
      <c r="D16" s="18" t="n">
        <v>4588.682979</v>
      </c>
      <c r="E16" s="18" t="n">
        <v>5187.565066</v>
      </c>
      <c r="F16" s="18" t="n">
        <v>6044.310512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1262.097425</v>
      </c>
      <c r="C20" s="18" t="n">
        <v>1722.76416</v>
      </c>
      <c r="D20" s="18" t="n">
        <v>2138.940382</v>
      </c>
      <c r="E20" s="18" t="n">
        <v>2176.061198</v>
      </c>
      <c r="F20" s="18" t="n">
        <v>2555.516709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4.86925</v>
      </c>
      <c r="C24" s="62" t="n">
        <v>6.15363</v>
      </c>
      <c r="D24" s="62" t="n">
        <v>8.01103</v>
      </c>
      <c r="E24" s="62" t="n">
        <v>8.43</v>
      </c>
      <c r="F24" s="62" t="n">
        <v>9.9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CrowdStrike Holdings,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0.06328172975713865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1.096840685137023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1.144788466080458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2026-06-05T13:41:27Z</dcterms:created>
  <dcterms:modified xmlns:dcterms="http://purl.org/dc/terms/" xmlns:xsi="http://www.w3.org/2001/XMLSchema-instance" xsi:type="dcterms:W3CDTF">2026-06-05T13:41:27Z</dcterms:modified>
</cp:coreProperties>
</file>