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4.5% on 2026-06-11</t>
      </text>
    </comment>
    <comment ref="C20" authorId="0" shapeId="0">
      <text>
        <t>User-edited — overridden from Opus 3.0% on 2026-06-11</t>
      </text>
    </comment>
    <comment ref="B29" authorId="0" shapeId="0">
      <text>
        <t>User-edited — overridden from Opus 2.8% on 2026-06-11</t>
      </text>
    </comment>
    <comment ref="B30" authorId="0" shapeId="0">
      <text>
        <t>User-edited — overridden from Opus 3.8% on 2026-06-11</t>
      </text>
    </comment>
    <comment ref="B31" authorId="0" shapeId="0">
      <text>
        <t>User-edited — overridden from Opus 25.0% on 2026-06-11</t>
      </text>
    </comment>
    <comment ref="B34" authorId="0" shapeId="0">
      <text>
        <t>Opus: —
set from Opus 0% of FY1E revenue; edits not tracked (unit differs from the JSON)</t>
      </text>
    </comment>
    <comment ref="B35" authorId="0" shapeId="0">
      <text>
        <t>User-edited — overridden from Opus 1.0x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User-edited — overridden from Opus 9.0x on 2026-06-11</t>
      </text>
    </comment>
    <comment ref="B46" authorId="0" shapeId="0">
      <text>
        <t>User-edited — overridden from Opus 3.0%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Insperity, Inc. (NSP)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Insperity is an asset-light PEO that reports gross (payroll pass-through) revenue, so operating margins are structurally thin (3-4% at best) and have compressed to breakeven in FY2025 on benefit-cost and pricing pressure. The thesis is a cyclical margin recovery as worksite-employee growth resumes and gross profit per WSE normalizes, taking op margin back toward the mid-3% range while revenue compounds at a low-mid single-digit rate. With minimal capex (~0.5% of revenue) and modest working-capital needs, normalized FCFF conversion is healthy despite the low headline margin.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Insperity, Inc. (NSP)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0.03852416731889732</v>
      </c>
      <c r="C20" s="15" t="n">
        <v>0.05</v>
      </c>
      <c r="D20" s="16" t="n">
        <v>0.03852416731889732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0.01476847953383951</v>
      </c>
      <c r="D29" s="16" t="n">
        <v>0.01476847953383951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0.02410097088216213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34.443543</v>
      </c>
      <c r="D34" s="18" t="n">
        <v>34.443543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0.622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12.4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38.80500030517578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71.94782510664871</v>
      </c>
      <c r="C58" s="28" t="n">
        <v>171.7752957139245</v>
      </c>
      <c r="D58" s="28" t="n">
        <v>9.300383580688321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0.008954785672342924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0.005372871403405755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NSP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Insperity is an asset-light PEO that reports gross (payroll pass-through) revenue, so operating margins are structurally thin (3-4% at best) and have compressed to breakeven in FY2025 on benefit-cost and pricing pressure. The thesis is a cyclical margin recovery as worksite-employee growth resumes and gross profit per WSE normalizes, taking op margin back toward the mid-3% range while revenue compounds at a low-mid single-digit rate. With minimal capex (~0.5% of revenue) and modest working-capital needs, normalized FCFF conversion is healthy despite the low headline margin.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(~4.5%) and the margin path are anchored to FMP consensus, which implies net income recovering from 77 (2026) to 140 (2028) — roughly a 2.5-3% pre-tax operating margin rebuilding toward a mature ~3.8%; I deliberately keep terminal margin below historical peaks given persistent benefits-cost risk. Growth fades to a 3% terminal rate near the risk-free anchor, capex converges to ~1.0x D&amp;A in an already maintenance-level capex business, and I use perpetuity with a 9x EV/EBITDA cross-check appropriate for a low-margin, low-beta staffing/PEO cash generator.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4.5%</t>
        </is>
      </c>
      <c r="F20" s="31" t="inlineStr">
        <is>
          <t>overridden from Opus 4.5% on 2026-06-11</t>
        </is>
      </c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3.0%</t>
        </is>
      </c>
      <c r="F21" s="31" t="inlineStr">
        <is>
          <t>overridden from Opus 3.0% on 2026-06-11</t>
        </is>
      </c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s="32" t="inlineStr">
        <is>
          <t>user-edited</t>
        </is>
      </c>
      <c r="E22" t="inlineStr">
        <is>
          <t>2.8%</t>
        </is>
      </c>
      <c r="F22" s="31" t="inlineStr">
        <is>
          <t>overridden from Opus 2.8% on 2026-06-11</t>
        </is>
      </c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s="32" t="inlineStr">
        <is>
          <t>user-edited</t>
        </is>
      </c>
      <c r="E23" t="inlineStr">
        <is>
          <t>3.8%</t>
        </is>
      </c>
      <c r="F23" s="31" t="inlineStr">
        <is>
          <t>overridden from Opus 3.8% on 2026-06-11</t>
        </is>
      </c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s="32" t="inlineStr">
        <is>
          <t>user-edited</t>
        </is>
      </c>
      <c r="E24" t="inlineStr">
        <is>
          <t>25.0%</t>
        </is>
      </c>
      <c r="F24" s="31" t="inlineStr">
        <is>
          <t>overridden from Opus 25.0% on 2026-06-11</t>
        </is>
      </c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1.0x</t>
        </is>
      </c>
      <c r="F25" s="31" t="inlineStr">
        <is>
          <t>overridden from Opus 1.0x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s="32" t="inlineStr">
        <is>
          <t>user-edited</t>
        </is>
      </c>
      <c r="E30" t="inlineStr">
        <is>
          <t>Perpetuity</t>
        </is>
      </c>
      <c r="F30" s="31" t="inlineStr">
        <is>
          <t>overridden from Opus Perpetuity on 2026-06-11</t>
        </is>
      </c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s="32" t="inlineStr">
        <is>
          <t>user-edited</t>
        </is>
      </c>
      <c r="E32" t="inlineStr">
        <is>
          <t>9.0x</t>
        </is>
      </c>
      <c r="F32" s="31" t="inlineStr">
        <is>
          <t>overridden from Opus 9.0x on 2026-06-11</t>
        </is>
      </c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s="32" t="inlineStr">
        <is>
          <t>user-edited</t>
        </is>
      </c>
      <c r="E33" t="inlineStr">
        <is>
          <t>3.0%</t>
        </is>
      </c>
      <c r="F33" s="31" t="inlineStr">
        <is>
          <t>overridden from Opus 3.0% on 2026-06-11</t>
        </is>
      </c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SUM(Financials!I3:L3)</f>
        <v/>
      </c>
      <c r="C4" s="34">
        <f>SUM(Financials!M3:P3)</f>
        <v/>
      </c>
      <c r="D4" s="34">
        <f>SUM(Financials!Q3:T3)</f>
        <v/>
      </c>
      <c r="E4" s="34">
        <f>SUM(Financials!U3:X3)</f>
        <v/>
      </c>
      <c r="F4" s="34">
        <f>SUM(Financials!Y3:AB3)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SUM(Financials!I5:L5)</f>
        <v/>
      </c>
      <c r="C10" s="34">
        <f>SUM(Financials!M5:P5)</f>
        <v/>
      </c>
      <c r="D10" s="34">
        <f>SUM(Financials!Q5:T5)</f>
        <v/>
      </c>
      <c r="E10" s="34">
        <f>SUM(Financials!U5:X5)</f>
        <v/>
      </c>
      <c r="F10" s="34">
        <f>SUM(Financials!Y5:AB5)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0.8678802113916618</v>
      </c>
      <c r="H11" s="15" t="n">
        <v>0.8678802113916618</v>
      </c>
      <c r="I11" s="15" t="n">
        <v>0.8678802113916618</v>
      </c>
      <c r="J11" s="15" t="n">
        <v>0.8678802113916618</v>
      </c>
      <c r="K11" s="15" t="n">
        <v>0.8678802113916618</v>
      </c>
      <c r="L11" s="15" t="n">
        <v>0.8678802113916618</v>
      </c>
      <c r="M11" s="15" t="n">
        <v>0.8678802113916618</v>
      </c>
      <c r="N11" s="15" t="n">
        <v>0.8678802113916618</v>
      </c>
      <c r="O11" s="15" t="n">
        <v>0.8678802113916618</v>
      </c>
      <c r="P11" s="15" t="n">
        <v>0.8678802113916618</v>
      </c>
    </row>
    <row r="12">
      <c r="A12" s="4" t="inlineStr">
        <is>
          <t>R&amp;D / Technology</t>
        </is>
      </c>
      <c r="B12" s="34">
        <f>SUM(Financials!I7:L7)</f>
        <v/>
      </c>
      <c r="C12" s="34">
        <f>SUM(Financials!M7:P7)</f>
        <v/>
      </c>
      <c r="D12" s="34">
        <f>SUM(Financials!Q7:T7)</f>
        <v/>
      </c>
      <c r="E12" s="34">
        <f>SUM(Financials!U7:X7)</f>
        <v/>
      </c>
      <c r="F12" s="34">
        <f>SUM(Financials!Y7:AB7)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4">
        <f>SUM(Financials!I9:L9)</f>
        <v/>
      </c>
      <c r="C14" s="34">
        <f>SUM(Financials!M9:P9)</f>
        <v/>
      </c>
      <c r="D14" s="34">
        <f>SUM(Financials!Q9:T9)</f>
        <v/>
      </c>
      <c r="E14" s="34">
        <f>SUM(Financials!U9:X9)</f>
        <v/>
      </c>
      <c r="F14" s="34">
        <f>SUM(Financials!Y9:AB9)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0.1020258367586612</v>
      </c>
      <c r="H15" s="15" t="n">
        <v>0.1020258367586612</v>
      </c>
      <c r="I15" s="15" t="n">
        <v>0.1020258367586612</v>
      </c>
      <c r="J15" s="15" t="n">
        <v>0.1020258367586612</v>
      </c>
      <c r="K15" s="15" t="n">
        <v>0.1020258367586612</v>
      </c>
      <c r="L15" s="15" t="n">
        <v>0.1020258367586612</v>
      </c>
      <c r="M15" s="15" t="n">
        <v>0.1020258367586612</v>
      </c>
      <c r="N15" s="15" t="n">
        <v>0.1020258367586612</v>
      </c>
      <c r="O15" s="15" t="n">
        <v>0.1020258367586612</v>
      </c>
      <c r="P15" s="15" t="n">
        <v>0.1020258367586612</v>
      </c>
    </row>
    <row r="16">
      <c r="A16" s="4" t="inlineStr">
        <is>
          <t>Other opex (fulfilment, etc.)</t>
        </is>
      </c>
      <c r="B16" s="34">
        <f>B6-(B10+B12+B14)-SUM(Financials!I13:L13)</f>
        <v/>
      </c>
      <c r="C16" s="34">
        <f>C6-(C10+C12+C14)-SUM(Financials!M13:P13)</f>
        <v/>
      </c>
      <c r="D16" s="34">
        <f>D6-(D10+D12+D14)-SUM(Financials!Q13:T13)</f>
        <v/>
      </c>
      <c r="E16" s="34">
        <f>E6-(E10+E12+E14)-SUM(Financials!U13:X13)</f>
        <v/>
      </c>
      <c r="F16" s="34">
        <f>F6-(F10+F12+F14)-SUM(Financials!Y13:AB13)</f>
        <v/>
      </c>
      <c r="G16" s="34">
        <f>G6*(1-(Dashboard!$B$29+(Dashboard!$B$30-Dashboard!$B$29)*MIN(1,0/2)))-(G10+G12+G14)</f>
        <v/>
      </c>
      <c r="H16" s="34">
        <f>H6*(1-(Dashboard!$B$29+(Dashboard!$B$30-Dashboard!$B$29)*MIN(1,1/2)))-(H10+H12+H14)</f>
        <v/>
      </c>
      <c r="I16" s="34">
        <f>I6*(1-(Dashboard!$B$29+(Dashboard!$B$30-Dashboard!$B$29)*MIN(1,2/2)))-(I10+I12+I14)</f>
        <v/>
      </c>
      <c r="J16" s="34">
        <f>J6*(1-(Dashboard!$B$29+(Dashboard!$B$30-Dashboard!$B$29)*MIN(1,3/2)))-(J10+J12+J14)</f>
        <v/>
      </c>
      <c r="K16" s="34">
        <f>K6*(1-(Dashboard!$B$29+(Dashboard!$B$30-Dashboard!$B$29)*MIN(1,4/2)))-(K10+K12+K14)</f>
        <v/>
      </c>
      <c r="L16" s="34">
        <f>L6*(1-(Dashboard!$B$29+(Dashboard!$B$30-Dashboard!$B$29)*MIN(1,5/2)))-(L10+L12+L14)</f>
        <v/>
      </c>
      <c r="M16" s="34">
        <f>M6*(1-(Dashboard!$B$29+(Dashboard!$B$30-Dashboard!$B$29)*MIN(1,6/2)))-(M10+M12+M14)</f>
        <v/>
      </c>
      <c r="N16" s="34">
        <f>N6*(1-(Dashboard!$B$29+(Dashboard!$B$30-Dashboard!$B$29)*MIN(1,7/2)))-(N10+N12+N14)</f>
        <v/>
      </c>
      <c r="O16" s="34">
        <f>O6*(1-(Dashboard!$B$29+(Dashboard!$B$30-Dashboard!$B$29)*MIN(1,8/2)))-(O10+O12+O14)</f>
        <v/>
      </c>
      <c r="P16" s="34">
        <f>P6*(1-(Dashboard!$B$29+(Dashboard!$B$30-Dashboard!$B$29)*MIN(1,9/2)))-(P10+P12+P14)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SUM(Financials!I27:L27)</f>
        <v/>
      </c>
      <c r="C24" s="34">
        <f>SUM(Financials!M27:P27)</f>
        <v/>
      </c>
      <c r="D24" s="34">
        <f>SUM(Financials!Q27:T27)</f>
        <v/>
      </c>
      <c r="E24" s="34">
        <f>SUM(Financials!U27:X27)</f>
        <v/>
      </c>
      <c r="F24" s="34">
        <f>SUM(Financials!Y27:AB27)</f>
        <v/>
      </c>
      <c r="G24" s="42">
        <f>G6*0.0066</f>
        <v/>
      </c>
      <c r="H24" s="42">
        <f>H6*0.0066</f>
        <v/>
      </c>
      <c r="I24" s="42">
        <f>I6*0.0066</f>
        <v/>
      </c>
      <c r="J24" s="42">
        <f>J6*0.0066</f>
        <v/>
      </c>
      <c r="K24" s="42">
        <f>K6*0.0066</f>
        <v/>
      </c>
      <c r="L24" s="42">
        <f>L6*0.0066</f>
        <v/>
      </c>
      <c r="M24" s="42">
        <f>M6*0.0066</f>
        <v/>
      </c>
      <c r="N24" s="42">
        <f>N6*0.0066</f>
        <v/>
      </c>
      <c r="O24" s="42">
        <f>O6*0.0066</f>
        <v/>
      </c>
      <c r="P24" s="42">
        <f>P6*0.0066</f>
        <v/>
      </c>
    </row>
    <row r="25">
      <c r="A25" s="4" t="inlineStr">
        <is>
          <t>+ SBC (non-cash)</t>
        </is>
      </c>
      <c r="B25" s="34">
        <f>SUM(Financials!I28:L28)</f>
        <v/>
      </c>
      <c r="C25" s="34">
        <f>SUM(Financials!M28:P28)</f>
        <v/>
      </c>
      <c r="D25" s="34">
        <f>SUM(Financials!Q28:T28)</f>
        <v/>
      </c>
      <c r="E25" s="34">
        <f>SUM(Financials!U28:X28)</f>
        <v/>
      </c>
      <c r="F25" s="34">
        <f>SUM(Financials!Y28:AB28)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-SUM(Financials!I31:L31)</f>
        <v/>
      </c>
      <c r="C27" s="34">
        <f>-SUM(Financials!M31:P31)</f>
        <v/>
      </c>
      <c r="D27" s="34">
        <f>-SUM(Financials!Q31:T31)</f>
        <v/>
      </c>
      <c r="E27" s="34">
        <f>-SUM(Financials!U31:X31)</f>
        <v/>
      </c>
      <c r="F27" s="34">
        <f>-SUM(Financials!Y31:AB31)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Financials!L25+Financials!L24-Financials!L19</f>
        <v/>
      </c>
      <c r="C34" s="34">
        <f>Financials!P25+Financials!P24-Financials!P19</f>
        <v/>
      </c>
      <c r="D34" s="34">
        <f>Financials!T25+Financials!T24-Financials!T19</f>
        <v/>
      </c>
      <c r="E34" s="34">
        <f>Financials!X25+Financials!X24-Financials!X19</f>
        <v/>
      </c>
      <c r="F34" s="34">
        <f>Financials!AB25+Financials!AB24-Financials!AB19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Financials!L25</f>
        <v/>
      </c>
      <c r="C35" s="34">
        <f>Financials!P25</f>
        <v/>
      </c>
      <c r="D35" s="34">
        <f>Financials!T25</f>
        <v/>
      </c>
      <c r="E35" s="34">
        <f>Financials!X25</f>
        <v/>
      </c>
      <c r="F35" s="34">
        <f>Financials!AB25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1043.316</v>
      </c>
      <c r="C3" s="18" t="n">
        <v>1043.388</v>
      </c>
      <c r="D3" s="18" t="n">
        <v>1075.09</v>
      </c>
      <c r="E3" s="18" t="n">
        <v>1229.483</v>
      </c>
      <c r="F3" s="18" t="n">
        <v>993.366</v>
      </c>
      <c r="G3" s="18" t="n">
        <v>1007.82</v>
      </c>
      <c r="H3" s="18" t="n">
        <v>1056.335</v>
      </c>
      <c r="I3" s="18" t="n">
        <v>1286.835</v>
      </c>
      <c r="J3" s="18" t="n">
        <v>1185.371</v>
      </c>
      <c r="K3" s="18" t="n">
        <v>1209.628</v>
      </c>
      <c r="L3" s="18" t="n">
        <v>1291.236</v>
      </c>
      <c r="M3" s="18" t="n">
        <v>1577.837</v>
      </c>
      <c r="N3" s="18" t="n">
        <v>1432.107</v>
      </c>
      <c r="O3" s="18" t="n">
        <v>1439.16</v>
      </c>
      <c r="P3" s="18" t="n">
        <v>1489.714</v>
      </c>
      <c r="Q3" s="18" t="n">
        <v>1770</v>
      </c>
      <c r="R3" s="18" t="n">
        <v>1585</v>
      </c>
      <c r="S3" s="18" t="n">
        <v>1551</v>
      </c>
      <c r="T3" s="18" t="n">
        <v>1580.203</v>
      </c>
      <c r="U3" s="18" t="n">
        <v>1802</v>
      </c>
      <c r="V3" s="18" t="n">
        <v>1605</v>
      </c>
      <c r="W3" s="18" t="n">
        <v>1561</v>
      </c>
      <c r="X3" s="18" t="n">
        <v>1613</v>
      </c>
      <c r="Y3" s="18" t="n">
        <v>1863</v>
      </c>
      <c r="Z3" s="18" t="n">
        <v>1658</v>
      </c>
      <c r="AA3" s="18" t="n">
        <v>1623</v>
      </c>
      <c r="AB3" s="18" t="n">
        <v>1668</v>
      </c>
      <c r="AC3" s="18" t="n">
        <v>1895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869.581</v>
      </c>
      <c r="C5" s="18" t="n">
        <v>872.842</v>
      </c>
      <c r="D5" s="18" t="n">
        <v>913.154</v>
      </c>
      <c r="E5" s="18" t="n">
        <v>995.461</v>
      </c>
      <c r="F5" s="18" t="n">
        <v>773.117</v>
      </c>
      <c r="G5" s="18" t="n">
        <v>822.787</v>
      </c>
      <c r="H5" s="18" t="n">
        <v>888.785</v>
      </c>
      <c r="I5" s="18" t="n">
        <v>1035.39</v>
      </c>
      <c r="J5" s="18" t="n">
        <v>985.817</v>
      </c>
      <c r="K5" s="18" t="n">
        <v>1011.149</v>
      </c>
      <c r="L5" s="18" t="n">
        <v>1120.612</v>
      </c>
      <c r="M5" s="18" t="n">
        <v>1292.063</v>
      </c>
      <c r="N5" s="18" t="n">
        <v>1192.239</v>
      </c>
      <c r="O5" s="18" t="n">
        <v>1194.607</v>
      </c>
      <c r="P5" s="18" t="n">
        <v>1248.676</v>
      </c>
      <c r="Q5" s="18" t="n">
        <v>1438</v>
      </c>
      <c r="R5" s="18" t="n">
        <v>1360</v>
      </c>
      <c r="S5" s="18" t="n">
        <v>1293</v>
      </c>
      <c r="T5" s="18" t="n">
        <v>1358.116</v>
      </c>
      <c r="U5" s="18" t="n">
        <v>1457</v>
      </c>
      <c r="V5" s="18" t="n">
        <v>1345</v>
      </c>
      <c r="W5" s="18" t="n">
        <v>1332</v>
      </c>
      <c r="X5" s="18" t="n">
        <v>1395</v>
      </c>
      <c r="Y5" s="18" t="n">
        <v>1553</v>
      </c>
      <c r="Z5" s="18" t="n">
        <v>1435</v>
      </c>
      <c r="AA5" s="18" t="n">
        <v>1428</v>
      </c>
      <c r="AB5" s="18" t="n">
        <v>1496</v>
      </c>
      <c r="AC5" s="18" t="n">
        <v>1604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13.8</v>
      </c>
      <c r="U7" s="18" t="n">
        <v>0</v>
      </c>
      <c r="V7" s="18" t="n">
        <v>0</v>
      </c>
      <c r="W7" s="18" t="n">
        <v>0</v>
      </c>
      <c r="X7" s="18" t="n">
        <v>13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128.107</v>
      </c>
      <c r="C9" s="18" t="n">
        <v>128.483</v>
      </c>
      <c r="D9" s="18" t="n">
        <v>126.423</v>
      </c>
      <c r="E9" s="18" t="n">
        <v>141.199</v>
      </c>
      <c r="F9" s="18" t="n">
        <v>139.354</v>
      </c>
      <c r="G9" s="18" t="n">
        <v>148.442</v>
      </c>
      <c r="H9" s="18" t="n">
        <v>151.981</v>
      </c>
      <c r="I9" s="18" t="n">
        <v>159.574</v>
      </c>
      <c r="J9" s="18" t="n">
        <v>154.58</v>
      </c>
      <c r="K9" s="18" t="n">
        <v>148.959</v>
      </c>
      <c r="L9" s="18" t="n">
        <v>145.113</v>
      </c>
      <c r="M9" s="18" t="n">
        <v>177.195</v>
      </c>
      <c r="N9" s="18" t="n">
        <v>181.418</v>
      </c>
      <c r="O9" s="18" t="n">
        <v>181.839</v>
      </c>
      <c r="P9" s="18" t="n">
        <v>179.882</v>
      </c>
      <c r="Q9" s="18" t="n">
        <v>201</v>
      </c>
      <c r="R9" s="18" t="n">
        <v>186</v>
      </c>
      <c r="S9" s="18" t="n">
        <v>177</v>
      </c>
      <c r="T9" s="18" t="n">
        <v>189.011</v>
      </c>
      <c r="U9" s="18" t="n">
        <v>226</v>
      </c>
      <c r="V9" s="18" t="n">
        <v>215</v>
      </c>
      <c r="W9" s="18" t="n">
        <v>217</v>
      </c>
      <c r="X9" s="18" t="n">
        <v>222</v>
      </c>
      <c r="Y9" s="18" t="n">
        <v>231</v>
      </c>
      <c r="Z9" s="18" t="n">
        <v>209</v>
      </c>
      <c r="AA9" s="18" t="n">
        <v>196</v>
      </c>
      <c r="AB9" s="18" t="n">
        <v>59</v>
      </c>
      <c r="AC9" s="18" t="n">
        <v>66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173.735</v>
      </c>
      <c r="C11" s="18" t="n">
        <v>170.546</v>
      </c>
      <c r="D11" s="18" t="n">
        <v>161.936</v>
      </c>
      <c r="E11" s="18" t="n">
        <v>234.022</v>
      </c>
      <c r="F11" s="18" t="n">
        <v>220.249</v>
      </c>
      <c r="G11" s="18" t="n">
        <v>185.033</v>
      </c>
      <c r="H11" s="18" t="n">
        <v>167.55</v>
      </c>
      <c r="I11" s="18" t="n">
        <v>251.445</v>
      </c>
      <c r="J11" s="18" t="n">
        <v>199.554</v>
      </c>
      <c r="K11" s="18" t="n">
        <v>198.479</v>
      </c>
      <c r="L11" s="18" t="n">
        <v>170.624</v>
      </c>
      <c r="M11" s="18" t="n">
        <v>285.774</v>
      </c>
      <c r="N11" s="18" t="n">
        <v>239.868</v>
      </c>
      <c r="O11" s="18" t="n">
        <v>244.553</v>
      </c>
      <c r="P11" s="18" t="n">
        <v>241.038</v>
      </c>
      <c r="Q11" s="18" t="n">
        <v>332</v>
      </c>
      <c r="R11" s="18" t="n">
        <v>225</v>
      </c>
      <c r="S11" s="18" t="n">
        <v>258</v>
      </c>
      <c r="T11" s="18" t="n">
        <v>222.087</v>
      </c>
      <c r="U11" s="18" t="n">
        <v>345</v>
      </c>
      <c r="V11" s="18" t="n">
        <v>260</v>
      </c>
      <c r="W11" s="18" t="n">
        <v>229</v>
      </c>
      <c r="X11" s="18" t="n">
        <v>218</v>
      </c>
      <c r="Y11" s="18" t="n">
        <v>310</v>
      </c>
      <c r="Z11" s="18" t="n">
        <v>223</v>
      </c>
      <c r="AA11" s="18" t="n">
        <v>195</v>
      </c>
      <c r="AB11" s="18" t="n">
        <v>172</v>
      </c>
      <c r="AC11" s="18" t="n">
        <v>291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38.72</v>
      </c>
      <c r="C13" s="18" t="n">
        <v>34.733</v>
      </c>
      <c r="D13" s="18" t="n">
        <v>27.719</v>
      </c>
      <c r="E13" s="18" t="n">
        <v>85.221</v>
      </c>
      <c r="F13" s="18" t="n">
        <v>72.98699999999999</v>
      </c>
      <c r="G13" s="18" t="n">
        <v>28.772</v>
      </c>
      <c r="H13" s="18" t="n">
        <v>7.709</v>
      </c>
      <c r="I13" s="18" t="n">
        <v>83.824</v>
      </c>
      <c r="J13" s="18" t="n">
        <v>35.223</v>
      </c>
      <c r="K13" s="18" t="n">
        <v>39.603</v>
      </c>
      <c r="L13" s="18" t="n">
        <v>14.679</v>
      </c>
      <c r="M13" s="18" t="n">
        <v>98.395</v>
      </c>
      <c r="N13" s="18" t="n">
        <v>48.35</v>
      </c>
      <c r="O13" s="18" t="n">
        <v>52.631</v>
      </c>
      <c r="P13" s="18" t="n">
        <v>50.863</v>
      </c>
      <c r="Q13" s="18" t="n">
        <v>121</v>
      </c>
      <c r="R13" s="18" t="n">
        <v>16</v>
      </c>
      <c r="S13" s="18" t="n">
        <v>59</v>
      </c>
      <c r="T13" s="18" t="n">
        <v>22.271</v>
      </c>
      <c r="U13" s="18" t="n">
        <v>108</v>
      </c>
      <c r="V13" s="18" t="n">
        <v>23</v>
      </c>
      <c r="W13" s="18" t="n">
        <v>1</v>
      </c>
      <c r="X13" s="18" t="n">
        <v>-15</v>
      </c>
      <c r="Y13" s="18" t="n">
        <v>68</v>
      </c>
      <c r="Z13" s="18" t="n">
        <v>-7</v>
      </c>
      <c r="AA13" s="18" t="n">
        <v>-25</v>
      </c>
      <c r="AB13" s="18" t="n">
        <v>-46</v>
      </c>
      <c r="AC13" s="18" t="n">
        <v>62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28.556</v>
      </c>
      <c r="C15" s="18" t="n">
        <v>25.859</v>
      </c>
      <c r="D15" s="18" t="n">
        <v>20.395</v>
      </c>
      <c r="E15" s="18" t="n">
        <v>62.092</v>
      </c>
      <c r="F15" s="18" t="n">
        <v>51.851</v>
      </c>
      <c r="G15" s="18" t="n">
        <v>20.009</v>
      </c>
      <c r="H15" s="18" t="n">
        <v>4.285</v>
      </c>
      <c r="I15" s="18" t="n">
        <v>61.922</v>
      </c>
      <c r="J15" s="18" t="n">
        <v>25.154</v>
      </c>
      <c r="K15" s="18" t="n">
        <v>27.296</v>
      </c>
      <c r="L15" s="18" t="n">
        <v>9.708</v>
      </c>
      <c r="M15" s="18" t="n">
        <v>69.884</v>
      </c>
      <c r="N15" s="18" t="n">
        <v>33.599</v>
      </c>
      <c r="O15" s="18" t="n">
        <v>37.669</v>
      </c>
      <c r="P15" s="18" t="n">
        <v>38.198</v>
      </c>
      <c r="Q15" s="18" t="n">
        <v>95</v>
      </c>
      <c r="R15" s="18" t="n">
        <v>12</v>
      </c>
      <c r="S15" s="18" t="n">
        <v>45</v>
      </c>
      <c r="T15" s="18" t="n">
        <v>19.561</v>
      </c>
      <c r="U15" s="18" t="n">
        <v>79</v>
      </c>
      <c r="V15" s="18" t="n">
        <v>18</v>
      </c>
      <c r="W15" s="18" t="n">
        <v>3</v>
      </c>
      <c r="X15" s="18" t="n">
        <v>-9</v>
      </c>
      <c r="Y15" s="18" t="n">
        <v>51</v>
      </c>
      <c r="Z15" s="18" t="n">
        <v>-5</v>
      </c>
      <c r="AA15" s="18" t="n">
        <v>-20</v>
      </c>
      <c r="AB15" s="18" t="n">
        <v>-33</v>
      </c>
      <c r="AC15" s="18" t="n">
        <v>33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40.916</v>
      </c>
      <c r="C17" s="18" t="n">
        <v>40.317</v>
      </c>
      <c r="D17" s="18" t="n">
        <v>39.55098</v>
      </c>
      <c r="E17" s="18" t="n">
        <v>39.068</v>
      </c>
      <c r="F17" s="18" t="n">
        <v>38.646</v>
      </c>
      <c r="G17" s="18" t="n">
        <v>38.741</v>
      </c>
      <c r="H17" s="18" t="n">
        <v>38.245455</v>
      </c>
      <c r="I17" s="18" t="n">
        <v>38.839</v>
      </c>
      <c r="J17" s="18" t="n">
        <v>38.823</v>
      </c>
      <c r="K17" s="18" t="n">
        <v>38.881</v>
      </c>
      <c r="L17" s="18" t="n">
        <v>38.316</v>
      </c>
      <c r="M17" s="18" t="n">
        <v>38.693</v>
      </c>
      <c r="N17" s="18" t="n">
        <v>38.588</v>
      </c>
      <c r="O17" s="18" t="n">
        <v>38.546</v>
      </c>
      <c r="P17" s="18" t="n">
        <v>38.583838</v>
      </c>
      <c r="Q17" s="18" t="n">
        <v>39</v>
      </c>
      <c r="R17" s="18" t="n">
        <v>39</v>
      </c>
      <c r="S17" s="18" t="n">
        <v>38.217241</v>
      </c>
      <c r="T17" s="18" t="n">
        <v>37.617307</v>
      </c>
      <c r="U17" s="18" t="n">
        <v>38</v>
      </c>
      <c r="V17" s="18" t="n">
        <v>37.5</v>
      </c>
      <c r="W17" s="18" t="n">
        <v>38</v>
      </c>
      <c r="X17" s="18" t="n">
        <v>40.909</v>
      </c>
      <c r="Y17" s="18" t="n">
        <v>38</v>
      </c>
      <c r="Z17" s="18" t="n">
        <v>35.714286</v>
      </c>
      <c r="AA17" s="18" t="n">
        <v>38</v>
      </c>
      <c r="AB17" s="18" t="n">
        <v>37.7</v>
      </c>
      <c r="AC17" s="18" t="n">
        <v>37.7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386.055</v>
      </c>
      <c r="C19" s="18" t="n">
        <v>304.319</v>
      </c>
      <c r="D19" s="18" t="n">
        <v>402.07</v>
      </c>
      <c r="E19" s="18" t="n">
        <v>424.236</v>
      </c>
      <c r="F19" s="18" t="n">
        <v>491.351</v>
      </c>
      <c r="G19" s="18" t="n">
        <v>406.35</v>
      </c>
      <c r="H19" s="18" t="n">
        <v>589.375</v>
      </c>
      <c r="I19" s="18" t="n">
        <v>529.069</v>
      </c>
      <c r="J19" s="18" t="n">
        <v>489.984</v>
      </c>
      <c r="K19" s="18" t="n">
        <v>500.618</v>
      </c>
      <c r="L19" s="18" t="n">
        <v>607.603</v>
      </c>
      <c r="M19" s="18" t="n">
        <v>609.264</v>
      </c>
      <c r="N19" s="18" t="n">
        <v>541.65</v>
      </c>
      <c r="O19" s="18" t="n">
        <v>596.636</v>
      </c>
      <c r="P19" s="18" t="n">
        <v>765.896</v>
      </c>
      <c r="Q19" s="18" t="n">
        <v>732.123</v>
      </c>
      <c r="R19" s="18" t="n">
        <v>616.091</v>
      </c>
      <c r="S19" s="18" t="n">
        <v>692.425</v>
      </c>
      <c r="T19" s="18" t="n">
        <v>709</v>
      </c>
      <c r="U19" s="18" t="n">
        <v>683</v>
      </c>
      <c r="V19" s="18" t="n">
        <v>692</v>
      </c>
      <c r="W19" s="18" t="n">
        <v>486</v>
      </c>
      <c r="X19" s="18" t="n">
        <v>1055</v>
      </c>
      <c r="Y19" s="18" t="n">
        <v>568</v>
      </c>
      <c r="Z19" s="18" t="n">
        <v>456</v>
      </c>
      <c r="AA19" s="18" t="n">
        <v>519</v>
      </c>
      <c r="AB19" s="18" t="n">
        <v>660</v>
      </c>
      <c r="AC19" s="18" t="n">
        <v>555</v>
      </c>
    </row>
    <row r="20">
      <c r="A20" s="4" t="inlineStr">
        <is>
          <t>Total Current Assets</t>
        </is>
      </c>
      <c r="B20" s="18" t="n">
        <v>919.177</v>
      </c>
      <c r="C20" s="18" t="n">
        <v>893.7430000000001</v>
      </c>
      <c r="D20" s="18" t="n">
        <v>974.746</v>
      </c>
      <c r="E20" s="18" t="n">
        <v>1079.28</v>
      </c>
      <c r="F20" s="18" t="n">
        <v>1068.647</v>
      </c>
      <c r="G20" s="18" t="n">
        <v>1048.858</v>
      </c>
      <c r="H20" s="18" t="n">
        <v>1077.268</v>
      </c>
      <c r="I20" s="18" t="n">
        <v>1251.505</v>
      </c>
      <c r="J20" s="18" t="n">
        <v>1201.289</v>
      </c>
      <c r="K20" s="18" t="n">
        <v>1206.468</v>
      </c>
      <c r="L20" s="18" t="n">
        <v>1244.848</v>
      </c>
      <c r="M20" s="18" t="n">
        <v>1431.914</v>
      </c>
      <c r="N20" s="18" t="n">
        <v>1410.645</v>
      </c>
      <c r="O20" s="18" t="n">
        <v>1289.006</v>
      </c>
      <c r="P20" s="18" t="n">
        <v>1511.873</v>
      </c>
      <c r="Q20" s="18" t="n">
        <v>1518.074</v>
      </c>
      <c r="R20" s="18" t="n">
        <v>1363.637</v>
      </c>
      <c r="S20" s="18" t="n">
        <v>1477.68</v>
      </c>
      <c r="T20" s="18" t="n">
        <v>1595</v>
      </c>
      <c r="U20" s="18" t="n">
        <v>1619</v>
      </c>
      <c r="V20" s="18" t="n">
        <v>1621</v>
      </c>
      <c r="W20" s="18" t="n">
        <v>1433</v>
      </c>
      <c r="X20" s="18" t="n">
        <v>2085</v>
      </c>
      <c r="Y20" s="18" t="n">
        <v>1654</v>
      </c>
      <c r="Z20" s="18" t="n">
        <v>1517</v>
      </c>
      <c r="AA20" s="18" t="n">
        <v>1554</v>
      </c>
      <c r="AB20" s="18" t="n">
        <v>1722</v>
      </c>
      <c r="AC20" s="18" t="n">
        <v>1730</v>
      </c>
    </row>
    <row r="21">
      <c r="A21" s="4" t="inlineStr">
        <is>
          <t>PP&amp;E (net)</t>
        </is>
      </c>
      <c r="B21" s="18" t="n">
        <v>175.017</v>
      </c>
      <c r="C21" s="18" t="n">
        <v>193.141</v>
      </c>
      <c r="D21" s="18" t="n">
        <v>204.592</v>
      </c>
      <c r="E21" s="18" t="n">
        <v>218.758</v>
      </c>
      <c r="F21" s="18" t="n">
        <v>235.183</v>
      </c>
      <c r="G21" s="18" t="n">
        <v>256.892</v>
      </c>
      <c r="H21" s="18" t="n">
        <v>276.919</v>
      </c>
      <c r="I21" s="18" t="n">
        <v>287.95</v>
      </c>
      <c r="J21" s="18" t="n">
        <v>286.074</v>
      </c>
      <c r="K21" s="18" t="n">
        <v>275.995</v>
      </c>
      <c r="L21" s="18" t="n">
        <v>273.553</v>
      </c>
      <c r="M21" s="18" t="n">
        <v>266.693</v>
      </c>
      <c r="N21" s="18" t="n">
        <v>258.471</v>
      </c>
      <c r="O21" s="18" t="n">
        <v>253.227</v>
      </c>
      <c r="P21" s="18" t="n">
        <v>256.524</v>
      </c>
      <c r="Q21" s="18" t="n">
        <v>249.685</v>
      </c>
      <c r="R21" s="18" t="n">
        <v>244.994</v>
      </c>
      <c r="S21" s="18" t="n">
        <v>244.621</v>
      </c>
      <c r="T21" s="18" t="n">
        <v>254</v>
      </c>
      <c r="U21" s="18" t="n">
        <v>247</v>
      </c>
      <c r="V21" s="18" t="n">
        <v>241</v>
      </c>
      <c r="W21" s="18" t="n">
        <v>256</v>
      </c>
      <c r="X21" s="18" t="n">
        <v>257</v>
      </c>
      <c r="Y21" s="18" t="n">
        <v>253</v>
      </c>
      <c r="Z21" s="18" t="n">
        <v>248</v>
      </c>
      <c r="AA21" s="18" t="n">
        <v>245</v>
      </c>
      <c r="AB21" s="18" t="n">
        <v>240</v>
      </c>
      <c r="AC21" s="18" t="n">
        <v>232</v>
      </c>
    </row>
    <row r="22">
      <c r="A22" s="4" t="inlineStr">
        <is>
          <t>Total Assets</t>
        </is>
      </c>
      <c r="B22" s="18" t="n">
        <v>1316.995</v>
      </c>
      <c r="C22" s="18" t="n">
        <v>1292.122</v>
      </c>
      <c r="D22" s="18" t="n">
        <v>1394.996</v>
      </c>
      <c r="E22" s="18" t="n">
        <v>1522.408</v>
      </c>
      <c r="F22" s="18" t="n">
        <v>1517.733</v>
      </c>
      <c r="G22" s="18" t="n">
        <v>1523.282</v>
      </c>
      <c r="H22" s="18" t="n">
        <v>1584.276</v>
      </c>
      <c r="I22" s="18" t="n">
        <v>1769.084</v>
      </c>
      <c r="J22" s="18" t="n">
        <v>1728.084</v>
      </c>
      <c r="K22" s="18" t="n">
        <v>1734.052</v>
      </c>
      <c r="L22" s="18" t="n">
        <v>1753.085</v>
      </c>
      <c r="M22" s="18" t="n">
        <v>1940.077</v>
      </c>
      <c r="N22" s="18" t="n">
        <v>1892.906</v>
      </c>
      <c r="O22" s="18" t="n">
        <v>1781.506</v>
      </c>
      <c r="P22" s="18" t="n">
        <v>2039.261</v>
      </c>
      <c r="Q22" s="18" t="n">
        <v>2039.973</v>
      </c>
      <c r="R22" s="18" t="n">
        <v>1865.267</v>
      </c>
      <c r="S22" s="18" t="n">
        <v>1996.47</v>
      </c>
      <c r="T22" s="18" t="n">
        <v>2120</v>
      </c>
      <c r="U22" s="18" t="n">
        <v>2126</v>
      </c>
      <c r="V22" s="18" t="n">
        <v>2095</v>
      </c>
      <c r="W22" s="18" t="n">
        <v>1933</v>
      </c>
      <c r="X22" s="18" t="n">
        <v>2597</v>
      </c>
      <c r="Y22" s="18" t="n">
        <v>2143</v>
      </c>
      <c r="Z22" s="18" t="n">
        <v>2018</v>
      </c>
      <c r="AA22" s="18" t="n">
        <v>2012</v>
      </c>
      <c r="AB22" s="18" t="n">
        <v>2203</v>
      </c>
      <c r="AC22" s="18" t="n">
        <v>2196</v>
      </c>
    </row>
    <row r="23">
      <c r="A23" s="4" t="inlineStr">
        <is>
          <t>Total Current Liabilities</t>
        </is>
      </c>
      <c r="B23" s="18" t="n">
        <v>769.848</v>
      </c>
      <c r="C23" s="18" t="n">
        <v>761.212</v>
      </c>
      <c r="D23" s="18" t="n">
        <v>869.045</v>
      </c>
      <c r="E23" s="18" t="n">
        <v>888.458</v>
      </c>
      <c r="F23" s="18" t="n">
        <v>840.563</v>
      </c>
      <c r="G23" s="18" t="n">
        <v>841.0700000000001</v>
      </c>
      <c r="H23" s="18" t="n">
        <v>904.924</v>
      </c>
      <c r="I23" s="18" t="n">
        <v>1044.351</v>
      </c>
      <c r="J23" s="18" t="n">
        <v>1002.689</v>
      </c>
      <c r="K23" s="18" t="n">
        <v>1004.181</v>
      </c>
      <c r="L23" s="18" t="n">
        <v>1128.573</v>
      </c>
      <c r="M23" s="18" t="n">
        <v>1286.595</v>
      </c>
      <c r="N23" s="18" t="n">
        <v>1246.6</v>
      </c>
      <c r="O23" s="18" t="n">
        <v>1121.248</v>
      </c>
      <c r="P23" s="18" t="n">
        <v>1353.37</v>
      </c>
      <c r="Q23" s="18" t="n">
        <v>1302.959</v>
      </c>
      <c r="R23" s="18" t="n">
        <v>1135.684</v>
      </c>
      <c r="S23" s="18" t="n">
        <v>1321.357</v>
      </c>
      <c r="T23" s="18" t="n">
        <v>1436</v>
      </c>
      <c r="U23" s="18" t="n">
        <v>1406</v>
      </c>
      <c r="V23" s="18" t="n">
        <v>1383</v>
      </c>
      <c r="W23" s="18" t="n">
        <v>1233</v>
      </c>
      <c r="X23" s="18" t="n">
        <v>1930</v>
      </c>
      <c r="Y23" s="18" t="n">
        <v>1466</v>
      </c>
      <c r="Z23" s="18" t="n">
        <v>1357</v>
      </c>
      <c r="AA23" s="18" t="n">
        <v>1382</v>
      </c>
      <c r="AB23" s="18" t="n">
        <v>1620</v>
      </c>
      <c r="AC23" s="18" t="n">
        <v>1588</v>
      </c>
    </row>
    <row r="24">
      <c r="A24" s="4" t="inlineStr">
        <is>
          <t>Long-term Debt</t>
        </is>
      </c>
      <c r="B24" s="18" t="n">
        <v>169.4</v>
      </c>
      <c r="C24" s="18" t="n">
        <v>239.4</v>
      </c>
      <c r="D24" s="18" t="n">
        <v>269.4</v>
      </c>
      <c r="E24" s="18" t="n">
        <v>369.4</v>
      </c>
      <c r="F24" s="18" t="n">
        <v>369.4</v>
      </c>
      <c r="G24" s="18" t="n">
        <v>369.4</v>
      </c>
      <c r="H24" s="18" t="n">
        <v>369.4</v>
      </c>
      <c r="I24" s="18" t="n">
        <v>369.4</v>
      </c>
      <c r="J24" s="18" t="n">
        <v>369.4</v>
      </c>
      <c r="K24" s="18" t="n">
        <v>369.4</v>
      </c>
      <c r="L24" s="18" t="n">
        <v>369.4</v>
      </c>
      <c r="M24" s="18" t="n">
        <v>369.4</v>
      </c>
      <c r="N24" s="18" t="n">
        <v>369.4</v>
      </c>
      <c r="O24" s="18" t="n">
        <v>369.4</v>
      </c>
      <c r="P24" s="18" t="n">
        <v>369.4</v>
      </c>
      <c r="Q24" s="18" t="n">
        <v>369.4</v>
      </c>
      <c r="R24" s="18" t="n">
        <v>369.4</v>
      </c>
      <c r="S24" s="18" t="n">
        <v>369.4</v>
      </c>
      <c r="T24" s="18" t="n">
        <v>369</v>
      </c>
      <c r="U24" s="18" t="n">
        <v>369</v>
      </c>
      <c r="V24" s="18" t="n">
        <v>369</v>
      </c>
      <c r="W24" s="18" t="n">
        <v>369</v>
      </c>
      <c r="X24" s="18" t="n">
        <v>369</v>
      </c>
      <c r="Y24" s="18" t="n">
        <v>369</v>
      </c>
      <c r="Z24" s="18" t="n">
        <v>369</v>
      </c>
      <c r="AA24" s="18" t="n">
        <v>369</v>
      </c>
      <c r="AB24" s="18" t="n">
        <v>369</v>
      </c>
      <c r="AC24" s="18" t="n">
        <v>369</v>
      </c>
    </row>
    <row r="25">
      <c r="A25" s="4" t="inlineStr">
        <is>
          <t>Total Equity</t>
        </is>
      </c>
      <c r="B25" s="18" t="n">
        <v>134.889</v>
      </c>
      <c r="C25" s="18" t="n">
        <v>40.988</v>
      </c>
      <c r="D25" s="18" t="n">
        <v>4.079</v>
      </c>
      <c r="E25" s="18" t="n">
        <v>-3.31</v>
      </c>
      <c r="F25" s="18" t="n">
        <v>44.638</v>
      </c>
      <c r="G25" s="18" t="n">
        <v>40.639</v>
      </c>
      <c r="H25" s="18" t="n">
        <v>44.132</v>
      </c>
      <c r="I25" s="18" t="n">
        <v>73.64400000000001</v>
      </c>
      <c r="J25" s="18" t="n">
        <v>87.262</v>
      </c>
      <c r="K25" s="18" t="n">
        <v>97.006</v>
      </c>
      <c r="L25" s="18" t="n">
        <v>-1.774</v>
      </c>
      <c r="M25" s="18" t="n">
        <v>33.961</v>
      </c>
      <c r="N25" s="18" t="n">
        <v>35.132</v>
      </c>
      <c r="O25" s="18" t="n">
        <v>60.503</v>
      </c>
      <c r="P25" s="18" t="n">
        <v>81.27500000000001</v>
      </c>
      <c r="Q25" s="18" t="n">
        <v>133.432</v>
      </c>
      <c r="R25" s="18" t="n">
        <v>130.519</v>
      </c>
      <c r="S25" s="18" t="n">
        <v>83.119</v>
      </c>
      <c r="T25" s="18" t="n">
        <v>94</v>
      </c>
      <c r="U25" s="18" t="n">
        <v>140</v>
      </c>
      <c r="V25" s="18" t="n">
        <v>142</v>
      </c>
      <c r="W25" s="18" t="n">
        <v>125</v>
      </c>
      <c r="X25" s="18" t="n">
        <v>97</v>
      </c>
      <c r="Y25" s="18" t="n">
        <v>119</v>
      </c>
      <c r="Z25" s="18" t="n">
        <v>112</v>
      </c>
      <c r="AA25" s="18" t="n">
        <v>87</v>
      </c>
      <c r="AB25" s="18" t="n">
        <v>46</v>
      </c>
      <c r="AC25" s="18" t="n">
        <v>67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6.908</v>
      </c>
      <c r="C27" s="18" t="n">
        <v>7.33</v>
      </c>
      <c r="D27" s="18" t="n">
        <v>7.794</v>
      </c>
      <c r="E27" s="18" t="n">
        <v>7.602</v>
      </c>
      <c r="F27" s="18" t="n">
        <v>7.908</v>
      </c>
      <c r="G27" s="18" t="n">
        <v>7.819</v>
      </c>
      <c r="H27" s="18" t="n">
        <v>7.86</v>
      </c>
      <c r="I27" s="18" t="n">
        <v>8.047000000000001</v>
      </c>
      <c r="J27" s="18" t="n">
        <v>9.750999999999999</v>
      </c>
      <c r="K27" s="18" t="n">
        <v>9.917</v>
      </c>
      <c r="L27" s="18" t="n">
        <v>10.832</v>
      </c>
      <c r="M27" s="18" t="n">
        <v>10.184</v>
      </c>
      <c r="N27" s="18" t="n">
        <v>10.1</v>
      </c>
      <c r="O27" s="18" t="n">
        <v>10.083</v>
      </c>
      <c r="P27" s="18" t="n">
        <v>10.293</v>
      </c>
      <c r="Q27" s="18" t="n">
        <v>10</v>
      </c>
      <c r="R27" s="18" t="n">
        <v>11</v>
      </c>
      <c r="S27" s="18" t="n">
        <v>11</v>
      </c>
      <c r="T27" s="18" t="n">
        <v>10.805</v>
      </c>
      <c r="U27" s="18" t="n">
        <v>11</v>
      </c>
      <c r="V27" s="18" t="n">
        <v>11</v>
      </c>
      <c r="W27" s="18" t="n">
        <v>11</v>
      </c>
      <c r="X27" s="18" t="n">
        <v>11</v>
      </c>
      <c r="Y27" s="18" t="n">
        <v>11</v>
      </c>
      <c r="Z27" s="18" t="n">
        <v>11</v>
      </c>
      <c r="AA27" s="18" t="n">
        <v>11</v>
      </c>
      <c r="AB27" s="18" t="n">
        <v>12</v>
      </c>
      <c r="AC27" s="18" t="n">
        <v>11</v>
      </c>
    </row>
    <row r="28">
      <c r="A28" s="4" t="inlineStr">
        <is>
          <t>Stock-based Compensation</t>
        </is>
      </c>
      <c r="B28" s="18" t="n">
        <v>8.256</v>
      </c>
      <c r="C28" s="18" t="n">
        <v>6.517</v>
      </c>
      <c r="D28" s="18" t="n">
        <v>3.18</v>
      </c>
      <c r="E28" s="18" t="n">
        <v>6.552</v>
      </c>
      <c r="F28" s="18" t="n">
        <v>10.694</v>
      </c>
      <c r="G28" s="18" t="n">
        <v>20.864</v>
      </c>
      <c r="H28" s="18" t="n">
        <v>22.035</v>
      </c>
      <c r="I28" s="18" t="n">
        <v>11.822</v>
      </c>
      <c r="J28" s="18" t="n">
        <v>13.781</v>
      </c>
      <c r="K28" s="18" t="n">
        <v>10.362</v>
      </c>
      <c r="L28" s="18" t="n">
        <v>4.658</v>
      </c>
      <c r="M28" s="18" t="n">
        <v>9.846</v>
      </c>
      <c r="N28" s="18" t="n">
        <v>15.631</v>
      </c>
      <c r="O28" s="18" t="n">
        <v>13.341</v>
      </c>
      <c r="P28" s="18" t="n">
        <v>11.262</v>
      </c>
      <c r="Q28" s="18" t="n">
        <v>11</v>
      </c>
      <c r="R28" s="18" t="n">
        <v>15</v>
      </c>
      <c r="S28" s="18" t="n">
        <v>16</v>
      </c>
      <c r="T28" s="18" t="n">
        <v>11.32</v>
      </c>
      <c r="U28" s="18" t="n">
        <v>10</v>
      </c>
      <c r="V28" s="18" t="n">
        <v>20</v>
      </c>
      <c r="W28" s="18" t="n">
        <v>17</v>
      </c>
      <c r="X28" s="18" t="n">
        <v>14</v>
      </c>
      <c r="Y28" s="18" t="n">
        <v>11</v>
      </c>
      <c r="Z28" s="18" t="n">
        <v>20</v>
      </c>
      <c r="AA28" s="18" t="n">
        <v>16</v>
      </c>
      <c r="AB28" s="18" t="n">
        <v>14</v>
      </c>
      <c r="AC28" s="18" t="n">
        <v>0</v>
      </c>
    </row>
    <row r="29">
      <c r="A29" s="4" t="inlineStr">
        <is>
          <t>Change in Working Capital</t>
        </is>
      </c>
      <c r="B29" s="18" t="n">
        <v>-88.578</v>
      </c>
      <c r="C29" s="18" t="n">
        <v>-65.45699999999999</v>
      </c>
      <c r="D29" s="18" t="n">
        <v>130.993</v>
      </c>
      <c r="E29" s="18" t="n">
        <v>-65.01900000000001</v>
      </c>
      <c r="F29" s="18" t="n">
        <v>28.513</v>
      </c>
      <c r="G29" s="18" t="n">
        <v>-59.068</v>
      </c>
      <c r="H29" s="18" t="n">
        <v>217.22</v>
      </c>
      <c r="I29" s="18" t="n">
        <v>-102.766</v>
      </c>
      <c r="J29" s="18" t="n">
        <v>-29.877</v>
      </c>
      <c r="K29" s="18" t="n">
        <v>1.484</v>
      </c>
      <c r="L29" s="18" t="n">
        <v>182.469</v>
      </c>
      <c r="M29" s="18" t="n">
        <v>-41.073</v>
      </c>
      <c r="N29" s="18" t="n">
        <v>-99.45</v>
      </c>
      <c r="O29" s="18" t="n">
        <v>48.072</v>
      </c>
      <c r="P29" s="18" t="n">
        <v>179.85</v>
      </c>
      <c r="Q29" s="18" t="n">
        <v>-93</v>
      </c>
      <c r="R29" s="18" t="n">
        <v>-136</v>
      </c>
      <c r="S29" s="18" t="n">
        <v>137</v>
      </c>
      <c r="T29" s="18" t="n">
        <v>26.812</v>
      </c>
      <c r="U29" s="18" t="n">
        <v>-83</v>
      </c>
      <c r="V29" s="18" t="n">
        <v>-20</v>
      </c>
      <c r="W29" s="18" t="n">
        <v>-177</v>
      </c>
      <c r="X29" s="18" t="n">
        <v>618</v>
      </c>
      <c r="Y29" s="18" t="n">
        <v>-540</v>
      </c>
      <c r="Z29" s="18" t="n">
        <v>-93</v>
      </c>
      <c r="AA29" s="18" t="n">
        <v>-37</v>
      </c>
      <c r="AB29" s="18" t="n">
        <v>281</v>
      </c>
      <c r="AC29" s="18" t="n">
        <v>-153</v>
      </c>
    </row>
    <row r="30">
      <c r="A30" s="4" t="inlineStr">
        <is>
          <t>Operating Cash Flow</t>
        </is>
      </c>
      <c r="B30" s="18" t="n">
        <v>-45.269</v>
      </c>
      <c r="C30" s="18" t="n">
        <v>-25.352</v>
      </c>
      <c r="D30" s="18" t="n">
        <v>158.077</v>
      </c>
      <c r="E30" s="18" t="n">
        <v>23.787</v>
      </c>
      <c r="F30" s="18" t="n">
        <v>91.074</v>
      </c>
      <c r="G30" s="18" t="n">
        <v>-8.287000000000001</v>
      </c>
      <c r="H30" s="18" t="n">
        <v>239.779</v>
      </c>
      <c r="I30" s="18" t="n">
        <v>1.971</v>
      </c>
      <c r="J30" s="18" t="n">
        <v>5.024</v>
      </c>
      <c r="K30" s="18" t="n">
        <v>47.848</v>
      </c>
      <c r="L30" s="18" t="n">
        <v>205.312</v>
      </c>
      <c r="M30" s="18" t="n">
        <v>58.847</v>
      </c>
      <c r="N30" s="18" t="n">
        <v>-36.062</v>
      </c>
      <c r="O30" s="18" t="n">
        <v>99.245</v>
      </c>
      <c r="P30" s="18" t="n">
        <v>225.661</v>
      </c>
      <c r="Q30" s="18" t="n">
        <v>40</v>
      </c>
      <c r="R30" s="18" t="n">
        <v>-110</v>
      </c>
      <c r="S30" s="18" t="n">
        <v>210</v>
      </c>
      <c r="T30" s="18" t="n">
        <v>58.217</v>
      </c>
      <c r="U30" s="18" t="n">
        <v>31</v>
      </c>
      <c r="V30" s="18" t="n">
        <v>20</v>
      </c>
      <c r="W30" s="18" t="n">
        <v>-150</v>
      </c>
      <c r="X30" s="18" t="n">
        <v>619</v>
      </c>
      <c r="Y30" s="18" t="n">
        <v>-443</v>
      </c>
      <c r="Z30" s="18" t="n">
        <v>-79</v>
      </c>
      <c r="AA30" s="18" t="n">
        <v>-11</v>
      </c>
      <c r="AB30" s="18" t="n">
        <v>255</v>
      </c>
      <c r="AC30" s="18" t="n">
        <v>-67</v>
      </c>
    </row>
    <row r="31">
      <c r="A31" s="4" t="inlineStr">
        <is>
          <t>Capex</t>
        </is>
      </c>
      <c r="B31" s="18" t="n">
        <v>-11.599</v>
      </c>
      <c r="C31" s="18" t="n">
        <v>-18.761</v>
      </c>
      <c r="D31" s="18" t="n">
        <v>-20.339</v>
      </c>
      <c r="E31" s="18" t="n">
        <v>-15.625</v>
      </c>
      <c r="F31" s="18" t="n">
        <v>-23.841</v>
      </c>
      <c r="G31" s="18" t="n">
        <v>-29.304</v>
      </c>
      <c r="H31" s="18" t="n">
        <v>-29.389</v>
      </c>
      <c r="I31" s="18" t="n">
        <v>-12.072</v>
      </c>
      <c r="J31" s="18" t="n">
        <v>-8.635999999999999</v>
      </c>
      <c r="K31" s="18" t="n">
        <v>-2.895</v>
      </c>
      <c r="L31" s="18" t="n">
        <v>-9.304</v>
      </c>
      <c r="M31" s="18" t="n">
        <v>-4.686</v>
      </c>
      <c r="N31" s="18" t="n">
        <v>-4.357</v>
      </c>
      <c r="O31" s="18" t="n">
        <v>-7.405</v>
      </c>
      <c r="P31" s="18" t="n">
        <v>-13.881</v>
      </c>
      <c r="Q31" s="18" t="n">
        <v>-7</v>
      </c>
      <c r="R31" s="18" t="n">
        <v>-7</v>
      </c>
      <c r="S31" s="18" t="n">
        <v>-8</v>
      </c>
      <c r="T31" s="18" t="n">
        <v>-17.591</v>
      </c>
      <c r="U31" s="18" t="n">
        <v>-5</v>
      </c>
      <c r="V31" s="18" t="n">
        <v>-6</v>
      </c>
      <c r="W31" s="18" t="n">
        <v>-14</v>
      </c>
      <c r="X31" s="18" t="n">
        <v>-13</v>
      </c>
      <c r="Y31" s="18" t="n">
        <v>-6</v>
      </c>
      <c r="Z31" s="18" t="n">
        <v>-7</v>
      </c>
      <c r="AA31" s="18" t="n">
        <v>-9</v>
      </c>
      <c r="AB31" s="18" t="n">
        <v>-9</v>
      </c>
      <c r="AC31" s="18" t="n">
        <v>-6</v>
      </c>
    </row>
    <row r="32">
      <c r="A32" s="4" t="inlineStr">
        <is>
          <t>Free Cash Flow</t>
        </is>
      </c>
      <c r="B32" s="18" t="n">
        <v>-56.868</v>
      </c>
      <c r="C32" s="18" t="n">
        <v>-44.113</v>
      </c>
      <c r="D32" s="18" t="n">
        <v>137.738</v>
      </c>
      <c r="E32" s="18" t="n">
        <v>8.162000000000001</v>
      </c>
      <c r="F32" s="18" t="n">
        <v>67.233</v>
      </c>
      <c r="G32" s="18" t="n">
        <v>-37.591</v>
      </c>
      <c r="H32" s="18" t="n">
        <v>210.39</v>
      </c>
      <c r="I32" s="18" t="n">
        <v>-10.101</v>
      </c>
      <c r="J32" s="18" t="n">
        <v>-3.612</v>
      </c>
      <c r="K32" s="18" t="n">
        <v>44.953</v>
      </c>
      <c r="L32" s="18" t="n">
        <v>196.008</v>
      </c>
      <c r="M32" s="18" t="n">
        <v>54.161</v>
      </c>
      <c r="N32" s="18" t="n">
        <v>-40.419</v>
      </c>
      <c r="O32" s="18" t="n">
        <v>91.84</v>
      </c>
      <c r="P32" s="18" t="n">
        <v>211.78</v>
      </c>
      <c r="Q32" s="18" t="n">
        <v>33</v>
      </c>
      <c r="R32" s="18" t="n">
        <v>-117</v>
      </c>
      <c r="S32" s="18" t="n">
        <v>202</v>
      </c>
      <c r="T32" s="18" t="n">
        <v>40.626</v>
      </c>
      <c r="U32" s="18" t="n">
        <v>26</v>
      </c>
      <c r="V32" s="18" t="n">
        <v>14</v>
      </c>
      <c r="W32" s="18" t="n">
        <v>-164</v>
      </c>
      <c r="X32" s="18" t="n">
        <v>606</v>
      </c>
      <c r="Y32" s="18" t="n">
        <v>-449</v>
      </c>
      <c r="Z32" s="18" t="n">
        <v>-86</v>
      </c>
      <c r="AA32" s="18" t="n">
        <v>-20</v>
      </c>
      <c r="AB32" s="18" t="n">
        <v>246</v>
      </c>
      <c r="AC32" s="18" t="n">
        <v>-73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</row>
    <row r="4">
      <c r="A4" s="3" t="inlineStr">
        <is>
          <t>Revenue — consensus</t>
        </is>
      </c>
      <c r="B4" s="18" t="n">
        <v>6888.7086</v>
      </c>
      <c r="C4" s="18" t="n">
        <v>7236.1472</v>
      </c>
      <c r="D4" s="18" t="n">
        <v>7626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</row>
    <row r="8">
      <c r="A8" s="3" t="inlineStr">
        <is>
          <t>EBITDA* — consensus</t>
        </is>
      </c>
      <c r="B8" s="18" t="n">
        <v>240.234305</v>
      </c>
      <c r="C8" s="18" t="n">
        <v>252.350752</v>
      </c>
      <c r="D8" s="18" t="n">
        <v>265.946336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</row>
    <row r="12">
      <c r="A12" s="3" t="inlineStr">
        <is>
          <t>EBIT* — consensus</t>
        </is>
      </c>
      <c r="B12" s="18" t="n">
        <v>192.675769</v>
      </c>
      <c r="C12" s="18" t="n">
        <v>202.393556</v>
      </c>
      <c r="D12" s="18" t="n">
        <v>213.297659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</row>
    <row r="16">
      <c r="A16" s="3" t="inlineStr">
        <is>
          <t>SG&amp;A — consensus</t>
        </is>
      </c>
      <c r="B16" s="18" t="n">
        <v>715.853169</v>
      </c>
      <c r="C16" s="18" t="n">
        <v>751.957907</v>
      </c>
      <c r="D16" s="18" t="n">
        <v>792.470198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</row>
    <row r="20">
      <c r="A20" s="3" t="inlineStr">
        <is>
          <t>Net income (NOPAT) — consensus</t>
        </is>
      </c>
      <c r="B20" s="18" t="n">
        <v>77.3191715</v>
      </c>
      <c r="C20" s="18" t="n">
        <v>106.5998825</v>
      </c>
      <c r="D20" s="18" t="n">
        <v>139.683443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</row>
    <row r="24">
      <c r="A24" s="3" t="inlineStr">
        <is>
          <t>EPS — consensus</t>
        </is>
      </c>
      <c r="B24" s="48" t="n">
        <v>2.054</v>
      </c>
      <c r="C24" s="48" t="n">
        <v>2.796</v>
      </c>
      <c r="D24" s="48" t="n">
        <v>3.66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Insperity,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Financials!AC19</f>
        <v/>
      </c>
    </row>
    <row r="33">
      <c r="A33" s="4" t="inlineStr">
        <is>
          <t>- Long-term debt</t>
        </is>
      </c>
      <c r="B33" s="34">
        <f>-Financials!AC24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0.04857957884747187</v>
      </c>
      <c r="C4" s="52" t="n">
        <v>0.05357957884747187</v>
      </c>
      <c r="D4" s="52" t="n">
        <v>0.05857957884747187</v>
      </c>
      <c r="E4" s="52" t="n">
        <v>0.06357957884747187</v>
      </c>
      <c r="F4" s="52" t="n">
        <v>0.06857957884747187</v>
      </c>
      <c r="G4" s="52" t="n">
        <v>0.07357957884747186</v>
      </c>
      <c r="H4" s="52" t="n">
        <v>0.07857957884747187</v>
      </c>
    </row>
    <row r="5">
      <c r="A5" s="53" t="n">
        <v>9.4</v>
      </c>
      <c r="B5" s="8" t="n">
        <v>67.6886849474871</v>
      </c>
      <c r="C5" s="8" t="n">
        <v>65.1799758728563</v>
      </c>
      <c r="D5" s="8" t="n">
        <v>62.79110093033751</v>
      </c>
      <c r="E5" s="8" t="n">
        <v>60.51566450766479</v>
      </c>
      <c r="F5" s="8" t="n">
        <v>58.34764381258894</v>
      </c>
      <c r="G5" s="8" t="n">
        <v>56.28136541668111</v>
      </c>
      <c r="H5" s="8" t="n">
        <v>54.31148337944789</v>
      </c>
    </row>
    <row r="6">
      <c r="A6" s="53" t="n">
        <v>10.4</v>
      </c>
      <c r="B6" s="8" t="n">
        <v>72.08099518618306</v>
      </c>
      <c r="C6" s="8" t="n">
        <v>69.36823477802918</v>
      </c>
      <c r="D6" s="8" t="n">
        <v>66.78568757775129</v>
      </c>
      <c r="E6" s="8" t="n">
        <v>64.3263847073261</v>
      </c>
      <c r="F6" s="8" t="n">
        <v>61.98376425273419</v>
      </c>
      <c r="G6" s="8" t="n">
        <v>59.75164562772023</v>
      </c>
      <c r="H6" s="8" t="n">
        <v>57.62420566631997</v>
      </c>
    </row>
    <row r="7">
      <c r="A7" s="53" t="n">
        <v>11.4</v>
      </c>
      <c r="B7" s="8" t="n">
        <v>76.47330542487902</v>
      </c>
      <c r="C7" s="8" t="n">
        <v>73.55649368320202</v>
      </c>
      <c r="D7" s="8" t="n">
        <v>70.78027422516507</v>
      </c>
      <c r="E7" s="8" t="n">
        <v>68.1371049069874</v>
      </c>
      <c r="F7" s="8" t="n">
        <v>65.61988469287944</v>
      </c>
      <c r="G7" s="8" t="n">
        <v>63.22192583875935</v>
      </c>
      <c r="H7" s="8" t="n">
        <v>60.93692795319207</v>
      </c>
    </row>
    <row r="8">
      <c r="A8" s="53" t="n">
        <v>12.4</v>
      </c>
      <c r="B8" s="8" t="n">
        <v>80.86561566357497</v>
      </c>
      <c r="C8" s="8" t="n">
        <v>77.74475258837489</v>
      </c>
      <c r="D8" s="8" t="n">
        <v>74.77486087257884</v>
      </c>
      <c r="E8" s="54" t="n">
        <v>71.94782510664871</v>
      </c>
      <c r="F8" s="8" t="n">
        <v>69.25600513302469</v>
      </c>
      <c r="G8" s="8" t="n">
        <v>66.69220604979847</v>
      </c>
      <c r="H8" s="8" t="n">
        <v>64.24965024006414</v>
      </c>
    </row>
    <row r="9">
      <c r="A9" s="53" t="n">
        <v>13.4</v>
      </c>
      <c r="B9" s="8" t="n">
        <v>85.25792590227093</v>
      </c>
      <c r="C9" s="8" t="n">
        <v>81.93301149354774</v>
      </c>
      <c r="D9" s="8" t="n">
        <v>78.76944751999262</v>
      </c>
      <c r="E9" s="8" t="n">
        <v>75.75854530631001</v>
      </c>
      <c r="F9" s="8" t="n">
        <v>72.89212557316993</v>
      </c>
      <c r="G9" s="8" t="n">
        <v>70.16248626083758</v>
      </c>
      <c r="H9" s="8" t="n">
        <v>67.56237252693624</v>
      </c>
    </row>
    <row r="10">
      <c r="A10" s="53" t="n">
        <v>14.4</v>
      </c>
      <c r="B10" s="8" t="n">
        <v>89.65023614096688</v>
      </c>
      <c r="C10" s="8" t="n">
        <v>86.1212703987206</v>
      </c>
      <c r="D10" s="8" t="n">
        <v>82.76403416740641</v>
      </c>
      <c r="E10" s="8" t="n">
        <v>79.56926550597132</v>
      </c>
      <c r="F10" s="8" t="n">
        <v>76.52824601331518</v>
      </c>
      <c r="G10" s="8" t="n">
        <v>73.63276647187671</v>
      </c>
      <c r="H10" s="8" t="n">
        <v>70.87509481380832</v>
      </c>
    </row>
    <row r="11">
      <c r="A11" s="53" t="n">
        <v>15.4</v>
      </c>
      <c r="B11" s="8" t="n">
        <v>94.04254637966284</v>
      </c>
      <c r="C11" s="8" t="n">
        <v>90.30952930389344</v>
      </c>
      <c r="D11" s="8" t="n">
        <v>86.75862081482018</v>
      </c>
      <c r="E11" s="8" t="n">
        <v>83.37998570563262</v>
      </c>
      <c r="F11" s="8" t="n">
        <v>80.16436645346042</v>
      </c>
      <c r="G11" s="8" t="n">
        <v>77.10304668291582</v>
      </c>
      <c r="H11" s="8" t="n">
        <v>74.18781710068041</v>
      </c>
    </row>
    <row r="13">
      <c r="A13" s="3" t="inlineStr">
        <is>
          <t>Current price</t>
        </is>
      </c>
      <c r="B13" s="55" t="n">
        <v>38.80500030517578</v>
      </c>
    </row>
    <row r="14">
      <c r="A14" s="3" t="inlineStr">
        <is>
          <t>Base WACC / multiple</t>
        </is>
      </c>
      <c r="B14" s="56" t="n">
        <v>0.06357957884747187</v>
      </c>
      <c r="C14" s="57" t="n">
        <v>12.4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0.006605989430416911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0.7568888888888889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0.01560470203497837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0.921329947136165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2026-07-08T07:03:59Z</dcterms:created>
  <dcterms:modified xmlns:dcterms="http://purl.org/dc/terms/" xmlns:xsi="http://www.w3.org/2001/XMLSchema-instance" xsi:type="dcterms:W3CDTF">2026-07-08T07:03:59Z</dcterms:modified>
</cp:coreProperties>
</file>