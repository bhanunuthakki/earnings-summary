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7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Opus: 7.6%</t>
      </text>
    </comment>
    <comment ref="C20" authorId="0" shapeId="0">
      <text>
        <t>Opus: 5.0%</t>
      </text>
    </comment>
    <comment ref="B21" authorId="0" shapeId="0">
      <text>
        <t>Opus: -5.2%</t>
      </text>
    </comment>
    <comment ref="C21" authorId="0" shapeId="0">
      <text>
        <t>Opus: 5.0%</t>
      </text>
    </comment>
    <comment ref="B29" authorId="0" shapeId="0">
      <text>
        <t>Opus: 37.9%</t>
      </text>
    </comment>
    <comment ref="B30" authorId="0" shapeId="0">
      <text>
        <t>Opus: 39.4%</t>
      </text>
    </comment>
    <comment ref="B31" authorId="0" shapeId="0">
      <text>
        <t>Opus: 24.0%</t>
      </text>
    </comment>
    <comment ref="B34" authorId="0" shapeId="0">
      <text>
        <t>workbook (synced) — last-year capex +10% unless set to guidance; edits not tracked</t>
      </text>
    </comment>
    <comment ref="B35" authorId="0" shapeId="0">
      <text>
        <t>Opus: 1.1x</t>
      </text>
    </comment>
    <comment ref="B38" authorId="0" shapeId="0">
      <text>
        <t>workbook (synced) — no Opus pass — value synced from this workbook</t>
      </text>
    </comment>
    <comment ref="B39" authorId="0" shapeId="0">
      <text>
        <t>workbook (synced) — no Opus pass — value synced from this workbook</t>
      </text>
    </comment>
    <comment ref="B40" authorId="0" shapeId="0">
      <text>
        <t>Opus: 1.596</t>
      </text>
    </comment>
    <comment ref="B41" authorId="0" shapeId="0">
      <text>
        <t>Opus: 4.5%</t>
      </text>
    </comment>
    <comment ref="B43" authorId="0" shapeId="0">
      <text>
        <t>Opus: Exit multiple</t>
      </text>
    </comment>
    <comment ref="B44" authorId="0" shapeId="0">
      <text>
        <t>Opus: EV/EBITDA</t>
      </text>
    </comment>
    <comment ref="B45" authorId="0" shapeId="0">
      <text>
        <t>Opus: 12.0x</t>
      </text>
    </comment>
    <comment ref="B46" authorId="0" shapeId="0">
      <text>
        <t>Opus: 4.5%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QUALCOMM Incorporated (QCOM)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Q2 2026</t>
        </is>
      </c>
    </row>
    <row r="6">
      <c r="A6" s="3" t="inlineStr">
        <is>
          <t>Assumptions by</t>
        </is>
      </c>
      <c r="B6" s="4" t="inlineStr">
        <is>
          <t>Opus 4.8 — values as of 2026-07-05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QUALCOMM Incorporated (QCOM)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IF(Model!F36&lt;=0,"n/a (neg. capital)",Model!G38-WACC!B15)</f>
        <v/>
      </c>
      <c r="C15" s="10">
        <f>IF(Model!F36&lt;=0,"n/a",IF(Model!G38-WACC!B15&lt;0,"!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QCT</t>
        </is>
      </c>
      <c r="B20" s="15" t="n">
        <v>0.07595476292163394</v>
      </c>
      <c r="C20" s="15" t="n">
        <v>0.04999999999999999</v>
      </c>
      <c r="D20" s="16" t="n">
        <v>0.07595476292163394</v>
      </c>
      <c r="E20" s="2" t="inlineStr"/>
    </row>
    <row r="21">
      <c r="A21" s="4" t="inlineStr">
        <is>
          <t>QTL</t>
        </is>
      </c>
      <c r="B21" s="15" t="n">
        <v>-0.05235948041850087</v>
      </c>
      <c r="C21" s="15" t="n">
        <v>0.05</v>
      </c>
      <c r="D21" s="16" t="n">
        <v>-0.05235948041850087</v>
      </c>
      <c r="E21" s="2" t="inlineStr"/>
    </row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0.3787382407484187</v>
      </c>
      <c r="D29" s="16" t="n">
        <v>0.3787382407484187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0.3943397130529353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1311.2</v>
      </c>
      <c r="D34" s="18" t="n">
        <v>1311.2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1.596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0.006627215430819339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176.25</v>
      </c>
    </row>
    <row r="49">
      <c r="A49" s="4" t="inlineStr">
        <is>
          <t>Growth fade curvature</t>
        </is>
      </c>
      <c r="B49" s="20" t="n">
        <v>4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185.1379549244271</v>
      </c>
      <c r="C58" s="28" t="n">
        <v>241.3090704566565</v>
      </c>
      <c r="D58" s="28" t="n">
        <v>140.5953389844605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0.04787282088338903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0.02872369253003342</v>
      </c>
      <c r="E66" s="2" t="inlineStr">
        <is>
          <t>fades near-&gt;terminal; also burdens the exit-multiple EBITDA</t>
        </is>
      </c>
    </row>
  </sheetData>
  <conditionalFormatting sqref="B20:B21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QCOM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2026-07-05 from the synced assumptions block (pass predates provenance tracking — may already include your edits)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QCT — near-term growth</t>
        </is>
      </c>
      <c r="B8" t="inlineStr">
        <is>
          <t>B20</t>
        </is>
      </c>
      <c r="C8" s="11">
        <f>Dashboard!B20</f>
        <v/>
      </c>
      <c r="D8" t="inlineStr">
        <is>
          <t>Opus</t>
        </is>
      </c>
      <c r="E8" t="inlineStr">
        <is>
          <t>7.6%</t>
        </is>
      </c>
      <c r="F8" s="31" t="inlineStr"/>
    </row>
    <row r="9">
      <c r="A9" t="inlineStr">
        <is>
          <t>QCT — terminal growth</t>
        </is>
      </c>
      <c r="B9" t="inlineStr">
        <is>
          <t>C20</t>
        </is>
      </c>
      <c r="C9" s="11">
        <f>Dashboard!C20</f>
        <v/>
      </c>
      <c r="D9" t="inlineStr">
        <is>
          <t>Opus</t>
        </is>
      </c>
      <c r="E9" t="inlineStr">
        <is>
          <t>5.0%</t>
        </is>
      </c>
      <c r="F9" s="31" t="inlineStr"/>
    </row>
    <row r="10">
      <c r="A10" t="inlineStr">
        <is>
          <t>QTL — near-term growth</t>
        </is>
      </c>
      <c r="B10" t="inlineStr">
        <is>
          <t>B21</t>
        </is>
      </c>
      <c r="C10" s="11">
        <f>Dashboard!B21</f>
        <v/>
      </c>
      <c r="D10" t="inlineStr">
        <is>
          <t>Opus</t>
        </is>
      </c>
      <c r="E10" t="inlineStr">
        <is>
          <t>-5.2%</t>
        </is>
      </c>
      <c r="F10" s="31" t="inlineStr"/>
    </row>
    <row r="11">
      <c r="A11" t="inlineStr">
        <is>
          <t>QTL — terminal growth</t>
        </is>
      </c>
      <c r="B11" t="inlineStr">
        <is>
          <t>C21</t>
        </is>
      </c>
      <c r="C11" s="11">
        <f>Dashboard!C21</f>
        <v/>
      </c>
      <c r="D11" t="inlineStr">
        <is>
          <t>Opus</t>
        </is>
      </c>
      <c r="E11" t="inlineStr">
        <is>
          <t>5.0%</t>
        </is>
      </c>
      <c r="F11" s="31" t="inlineStr"/>
    </row>
    <row r="12">
      <c r="A12" t="inlineStr">
        <is>
          <t>Near-term operating margin</t>
        </is>
      </c>
      <c r="B12" t="inlineStr">
        <is>
          <t>B29</t>
        </is>
      </c>
      <c r="C12" s="11">
        <f>Dashboard!B29</f>
        <v/>
      </c>
      <c r="D12" t="inlineStr">
        <is>
          <t>Opus</t>
        </is>
      </c>
      <c r="E12" t="inlineStr">
        <is>
          <t>37.9%</t>
        </is>
      </c>
      <c r="F12" s="31" t="inlineStr"/>
    </row>
    <row r="13">
      <c r="A13" t="inlineStr">
        <is>
          <t>Terminal operating margin</t>
        </is>
      </c>
      <c r="B13" t="inlineStr">
        <is>
          <t>B30</t>
        </is>
      </c>
      <c r="C13" s="11">
        <f>Dashboard!B30</f>
        <v/>
      </c>
      <c r="D13" t="inlineStr">
        <is>
          <t>Opus</t>
        </is>
      </c>
      <c r="E13" t="inlineStr">
        <is>
          <t>39.4%</t>
        </is>
      </c>
      <c r="F13" s="31" t="inlineStr"/>
    </row>
    <row r="14">
      <c r="A14" t="inlineStr">
        <is>
          <t>Tax rate</t>
        </is>
      </c>
      <c r="B14" t="inlineStr">
        <is>
          <t>B31</t>
        </is>
      </c>
      <c r="C14" s="11">
        <f>Dashboard!B31</f>
        <v/>
      </c>
      <c r="D14" t="inlineStr">
        <is>
          <t>Opus</t>
        </is>
      </c>
      <c r="E14" t="inlineStr">
        <is>
          <t>24.0%</t>
        </is>
      </c>
      <c r="F14" s="31" t="inlineStr"/>
    </row>
    <row r="15">
      <c r="A15" t="inlineStr">
        <is>
          <t>Terminal capex / D&amp;A</t>
        </is>
      </c>
      <c r="B15" t="inlineStr">
        <is>
          <t>B35</t>
        </is>
      </c>
      <c r="C15" s="13">
        <f>Dashboard!B35</f>
        <v/>
      </c>
      <c r="D15" t="inlineStr">
        <is>
          <t>Opus</t>
        </is>
      </c>
      <c r="E15" t="inlineStr">
        <is>
          <t>1.1x</t>
        </is>
      </c>
      <c r="F15" s="31" t="inlineStr"/>
    </row>
    <row r="16">
      <c r="A16" t="inlineStr">
        <is>
          <t>Risk-free rate (10Y)</t>
        </is>
      </c>
      <c r="B16" t="inlineStr">
        <is>
          <t>B38</t>
        </is>
      </c>
      <c r="C16" s="11">
        <f>Dashboard!B38</f>
        <v/>
      </c>
      <c r="D16" t="inlineStr">
        <is>
          <t>workbook (synced)</t>
        </is>
      </c>
      <c r="E16" t="inlineStr">
        <is>
          <t>—</t>
        </is>
      </c>
      <c r="F16" s="31" t="inlineStr">
        <is>
          <t>no Opus pass — value synced from this workbook</t>
        </is>
      </c>
    </row>
    <row r="17">
      <c r="A17" t="inlineStr">
        <is>
          <t>Equity risk premium</t>
        </is>
      </c>
      <c r="B17" t="inlineStr">
        <is>
          <t>B39</t>
        </is>
      </c>
      <c r="C17" s="11">
        <f>Dashboard!B39</f>
        <v/>
      </c>
      <c r="D17" t="inlineStr">
        <is>
          <t>workbook (synced)</t>
        </is>
      </c>
      <c r="E17" t="inlineStr">
        <is>
          <t>—</t>
        </is>
      </c>
      <c r="F17" s="31" t="inlineStr">
        <is>
          <t>no Opus pass — value synced from this workbook</t>
        </is>
      </c>
    </row>
    <row r="18">
      <c r="A18" t="inlineStr">
        <is>
          <t>Beta (levered)</t>
        </is>
      </c>
      <c r="B18" t="inlineStr">
        <is>
          <t>B40</t>
        </is>
      </c>
      <c r="C18" s="32">
        <f>Dashboard!B40</f>
        <v/>
      </c>
      <c r="D18" t="inlineStr">
        <is>
          <t>Opus</t>
        </is>
      </c>
      <c r="E18" t="inlineStr">
        <is>
          <t>1.596</t>
        </is>
      </c>
      <c r="F18" s="31" t="inlineStr"/>
    </row>
    <row r="19">
      <c r="A19" t="inlineStr">
        <is>
          <t>Pre-tax cost of debt</t>
        </is>
      </c>
      <c r="B19" t="inlineStr">
        <is>
          <t>B41</t>
        </is>
      </c>
      <c r="C19" s="11">
        <f>Dashboard!B41</f>
        <v/>
      </c>
      <c r="D19" t="inlineStr">
        <is>
          <t>Opus</t>
        </is>
      </c>
      <c r="E19" t="inlineStr">
        <is>
          <t>4.5%</t>
        </is>
      </c>
      <c r="F19" s="31" t="inlineStr"/>
    </row>
    <row r="20">
      <c r="A20" t="inlineStr">
        <is>
          <t>Terminal method</t>
        </is>
      </c>
      <c r="B20" t="inlineStr">
        <is>
          <t>B43</t>
        </is>
      </c>
      <c r="C20" s="12">
        <f>Dashboard!B43</f>
        <v/>
      </c>
      <c r="D20" t="inlineStr">
        <is>
          <t>Opus</t>
        </is>
      </c>
      <c r="E20" t="inlineStr">
        <is>
          <t>Exit multiple</t>
        </is>
      </c>
      <c r="F20" s="31" t="inlineStr"/>
    </row>
    <row r="21">
      <c r="A21" t="inlineStr">
        <is>
          <t>Exit basis</t>
        </is>
      </c>
      <c r="B21" t="inlineStr">
        <is>
          <t>B44</t>
        </is>
      </c>
      <c r="C21" s="12">
        <f>Dashboard!B44</f>
        <v/>
      </c>
      <c r="D21" t="inlineStr">
        <is>
          <t>Opus</t>
        </is>
      </c>
      <c r="E21" t="inlineStr">
        <is>
          <t>EV/EBITDA</t>
        </is>
      </c>
      <c r="F21" s="31" t="inlineStr"/>
    </row>
    <row r="22">
      <c r="A22" t="inlineStr">
        <is>
          <t>Exit multiple</t>
        </is>
      </c>
      <c r="B22" t="inlineStr">
        <is>
          <t>B45</t>
        </is>
      </c>
      <c r="C22" s="13">
        <f>Dashboard!B45</f>
        <v/>
      </c>
      <c r="D22" t="inlineStr">
        <is>
          <t>Opus</t>
        </is>
      </c>
      <c r="E22" t="inlineStr">
        <is>
          <t>12.0x</t>
        </is>
      </c>
      <c r="F22" s="31" t="inlineStr"/>
    </row>
    <row r="23">
      <c r="A23" t="inlineStr">
        <is>
          <t>Terminal growth (g)</t>
        </is>
      </c>
      <c r="B23" t="inlineStr">
        <is>
          <t>B46</t>
        </is>
      </c>
      <c r="C23" s="11">
        <f>Dashboard!B46</f>
        <v/>
      </c>
      <c r="D23" t="inlineStr">
        <is>
          <t>Opus</t>
        </is>
      </c>
      <c r="E23" t="inlineStr">
        <is>
          <t>4.5%</t>
        </is>
      </c>
      <c r="F23" s="31" t="inlineStr"/>
    </row>
    <row r="24">
      <c r="A24" t="inlineStr">
        <is>
          <t>2026 capex ($M)</t>
        </is>
      </c>
      <c r="B24" t="inlineStr">
        <is>
          <t>B34</t>
        </is>
      </c>
      <c r="C24" s="33">
        <f>Dashboard!B34</f>
        <v/>
      </c>
      <c r="D24" t="inlineStr">
        <is>
          <t>workbook (synced)</t>
        </is>
      </c>
      <c r="E24" t="inlineStr">
        <is>
          <t>—</t>
        </is>
      </c>
      <c r="F24" s="31" t="inlineStr">
        <is>
          <t>last-year capex +10% unless set to guidance; edits not tracked</t>
        </is>
      </c>
    </row>
    <row r="25">
      <c r="A25" t="inlineStr">
        <is>
          <t>Bull Δ — segment growth, near-term</t>
        </is>
      </c>
      <c r="B25" t="inlineStr">
        <is>
          <t>C52</t>
        </is>
      </c>
      <c r="C25" s="34">
        <f>Dashboard!C52</f>
        <v/>
      </c>
      <c r="D25" t="inlineStr">
        <is>
          <t>seed default</t>
        </is>
      </c>
      <c r="E25" t="inlineStr">
        <is>
          <t>3.0%</t>
        </is>
      </c>
      <c r="F25" s="31" t="inlineStr"/>
    </row>
    <row r="26">
      <c r="A26" t="inlineStr">
        <is>
          <t>Bear Δ — segment growth, near-term</t>
        </is>
      </c>
      <c r="B26" t="inlineStr">
        <is>
          <t>D52</t>
        </is>
      </c>
      <c r="C26" s="34">
        <f>Dashboard!D52</f>
        <v/>
      </c>
      <c r="D26" t="inlineStr">
        <is>
          <t>seed default</t>
        </is>
      </c>
      <c r="E26" t="inlineStr">
        <is>
          <t>-3.0%</t>
        </is>
      </c>
      <c r="F26" s="31" t="inlineStr"/>
    </row>
    <row r="27">
      <c r="A27" t="inlineStr">
        <is>
          <t>Bull Δ — segment growth, terminal</t>
        </is>
      </c>
      <c r="B27" t="inlineStr">
        <is>
          <t>C53</t>
        </is>
      </c>
      <c r="C27" s="34">
        <f>Dashboard!C53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segment growth, terminal</t>
        </is>
      </c>
      <c r="B28" t="inlineStr">
        <is>
          <t>D53</t>
        </is>
      </c>
      <c r="C28" s="34">
        <f>Dashboard!D53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near-term</t>
        </is>
      </c>
      <c r="B29" t="inlineStr">
        <is>
          <t>C54</t>
        </is>
      </c>
      <c r="C29" s="34">
        <f>Dashboard!C54</f>
        <v/>
      </c>
      <c r="D29" t="inlineStr">
        <is>
          <t>seed default</t>
        </is>
      </c>
      <c r="E29" t="inlineStr">
        <is>
          <t>1.0%</t>
        </is>
      </c>
      <c r="F29" s="31" t="inlineStr"/>
    </row>
    <row r="30">
      <c r="A30" t="inlineStr">
        <is>
          <t>Bear Δ — operating margin, near-term</t>
        </is>
      </c>
      <c r="B30" t="inlineStr">
        <is>
          <t>D54</t>
        </is>
      </c>
      <c r="C30" s="34">
        <f>Dashboard!D54</f>
        <v/>
      </c>
      <c r="D30" t="inlineStr">
        <is>
          <t>seed default</t>
        </is>
      </c>
      <c r="E30" t="inlineStr">
        <is>
          <t>-1.0%</t>
        </is>
      </c>
      <c r="F30" s="31" t="inlineStr"/>
    </row>
    <row r="31">
      <c r="A31" t="inlineStr">
        <is>
          <t>Bull Δ — operating margin, terminal</t>
        </is>
      </c>
      <c r="B31" t="inlineStr">
        <is>
          <t>C55</t>
        </is>
      </c>
      <c r="C31" s="34">
        <f>Dashboard!C55</f>
        <v/>
      </c>
      <c r="D31" t="inlineStr">
        <is>
          <t>seed default</t>
        </is>
      </c>
      <c r="E31" t="inlineStr">
        <is>
          <t>2.0%</t>
        </is>
      </c>
      <c r="F31" s="31" t="inlineStr"/>
    </row>
    <row r="32">
      <c r="A32" t="inlineStr">
        <is>
          <t>Bear Δ — operating margin, terminal</t>
        </is>
      </c>
      <c r="B32" t="inlineStr">
        <is>
          <t>D55</t>
        </is>
      </c>
      <c r="C32" s="34">
        <f>Dashboard!D55</f>
        <v/>
      </c>
      <c r="D32" t="inlineStr">
        <is>
          <t>seed default</t>
        </is>
      </c>
      <c r="E32" t="inlineStr">
        <is>
          <t>-2.0%</t>
        </is>
      </c>
      <c r="F32" s="31" t="inlineStr"/>
    </row>
    <row r="33">
      <c r="A33" t="inlineStr">
        <is>
          <t>Bull Δ — exit multiple</t>
        </is>
      </c>
      <c r="B33" t="inlineStr">
        <is>
          <t>C56</t>
        </is>
      </c>
      <c r="C33" s="35">
        <f>Dashboard!C56</f>
        <v/>
      </c>
      <c r="D33" t="inlineStr">
        <is>
          <t>seed default</t>
        </is>
      </c>
      <c r="E33" t="inlineStr">
        <is>
          <t>2.0x</t>
        </is>
      </c>
      <c r="F33" s="31" t="inlineStr"/>
    </row>
    <row r="34">
      <c r="A34" t="inlineStr">
        <is>
          <t>Bear Δ — exit multiple</t>
        </is>
      </c>
      <c r="B34" t="inlineStr">
        <is>
          <t>D56</t>
        </is>
      </c>
      <c r="C34" s="35">
        <f>Dashboard!D56</f>
        <v/>
      </c>
      <c r="D34" t="inlineStr">
        <is>
          <t>seed default</t>
        </is>
      </c>
      <c r="E34" t="inlineStr">
        <is>
          <t>-2.0x</t>
        </is>
      </c>
      <c r="F34" s="31" t="inlineStr"/>
    </row>
    <row r="35">
      <c r="A35" t="inlineStr">
        <is>
          <t>Bull Δ — terminal growth (g)</t>
        </is>
      </c>
      <c r="B35" t="inlineStr">
        <is>
          <t>C57</t>
        </is>
      </c>
      <c r="C35" s="34">
        <f>Dashboard!C57</f>
        <v/>
      </c>
      <c r="D35" t="inlineStr">
        <is>
          <t>seed default</t>
        </is>
      </c>
      <c r="E35" t="inlineStr">
        <is>
          <t>0.5%</t>
        </is>
      </c>
      <c r="F35" s="31" t="inlineStr"/>
    </row>
    <row r="36">
      <c r="A36" t="inlineStr">
        <is>
          <t>Bear Δ — terminal growth (g)</t>
        </is>
      </c>
      <c r="B36" t="inlineStr">
        <is>
          <t>D57</t>
        </is>
      </c>
      <c r="C36" s="34">
        <f>Dashboard!D57</f>
        <v/>
      </c>
      <c r="D36" t="inlineStr">
        <is>
          <t>seed default</t>
        </is>
      </c>
      <c r="E36" t="inlineStr">
        <is>
          <t>-0.5%</t>
        </is>
      </c>
      <c r="F36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Financials!AC31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QCT</t>
        </is>
      </c>
      <c r="B4" s="33">
        <f>SUM(Financials!H19:K19)</f>
        <v/>
      </c>
      <c r="C4" s="33">
        <f>SUM(Financials!L19:O19)</f>
        <v/>
      </c>
      <c r="D4" s="33">
        <f>SUM(Financials!P19:S19)</f>
        <v/>
      </c>
      <c r="E4" s="33">
        <f>SUM(Financials!T19:W19)</f>
        <v/>
      </c>
      <c r="F4" s="33">
        <f>SUM(Financials!X19:AA19)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QTL</t>
        </is>
      </c>
      <c r="B6" s="33">
        <f>SUM(Financials!H22:K22)</f>
        <v/>
      </c>
      <c r="C6" s="33">
        <f>SUM(Financials!L22:O22)</f>
        <v/>
      </c>
      <c r="D6" s="33">
        <f>SUM(Financials!P22:S22)</f>
        <v/>
      </c>
      <c r="E6" s="33">
        <f>SUM(Financials!T22:W22)</f>
        <v/>
      </c>
      <c r="F6" s="33">
        <f>SUM(Financials!X22:AA22)</f>
        <v/>
      </c>
      <c r="G6" s="41">
        <f>F6*(1+G7)</f>
        <v/>
      </c>
      <c r="H6" s="41">
        <f>G6*(1+H7)</f>
        <v/>
      </c>
      <c r="I6" s="41">
        <f>H6*(1+I7)</f>
        <v/>
      </c>
      <c r="J6" s="41">
        <f>I6*(1+J7)</f>
        <v/>
      </c>
      <c r="K6" s="41">
        <f>J6*(1+K7)</f>
        <v/>
      </c>
      <c r="L6" s="41">
        <f>K6*(1+L7)</f>
        <v/>
      </c>
      <c r="M6" s="41">
        <f>L6*(1+M7)</f>
        <v/>
      </c>
      <c r="N6" s="41">
        <f>M6*(1+N7)</f>
        <v/>
      </c>
      <c r="O6" s="41">
        <f>N6*(1+O7)</f>
        <v/>
      </c>
      <c r="P6" s="41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3" t="inlineStr">
        <is>
          <t>Total revenue</t>
        </is>
      </c>
      <c r="B8" s="42">
        <f>B4+B6</f>
        <v/>
      </c>
      <c r="C8" s="42">
        <f>C4+C6</f>
        <v/>
      </c>
      <c r="D8" s="42">
        <f>D4+D6</f>
        <v/>
      </c>
      <c r="E8" s="42">
        <f>E4+E6</f>
        <v/>
      </c>
      <c r="F8" s="42">
        <f>F4+F6</f>
        <v/>
      </c>
      <c r="G8" s="42">
        <f>G4+G6</f>
        <v/>
      </c>
      <c r="H8" s="42">
        <f>H4+H6</f>
        <v/>
      </c>
      <c r="I8" s="42">
        <f>I4+I6</f>
        <v/>
      </c>
      <c r="J8" s="42">
        <f>J4+J6</f>
        <v/>
      </c>
      <c r="K8" s="42">
        <f>K4+K6</f>
        <v/>
      </c>
      <c r="L8" s="42">
        <f>L4+L6</f>
        <v/>
      </c>
      <c r="M8" s="42">
        <f>M4+M6</f>
        <v/>
      </c>
      <c r="N8" s="42">
        <f>N4+N6</f>
        <v/>
      </c>
      <c r="O8" s="42">
        <f>O4+O6</f>
        <v/>
      </c>
      <c r="P8" s="42">
        <f>P4+P6</f>
        <v/>
      </c>
    </row>
    <row r="9">
      <c r="A9" s="4" t="inlineStr">
        <is>
          <t xml:space="preserve">    growth %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25">
        <f>IFERROR(G8/F8-1,"")</f>
        <v/>
      </c>
      <c r="H9" s="25">
        <f>IFERROR(H8/G8-1,"")</f>
        <v/>
      </c>
      <c r="I9" s="25">
        <f>IFERROR(I8/H8-1,"")</f>
        <v/>
      </c>
      <c r="J9" s="25">
        <f>IFERROR(J8/I8-1,"")</f>
        <v/>
      </c>
      <c r="K9" s="25">
        <f>IFERROR(K8/J8-1,"")</f>
        <v/>
      </c>
      <c r="L9" s="25">
        <f>IFERROR(L8/K8-1,"")</f>
        <v/>
      </c>
      <c r="M9" s="25">
        <f>IFERROR(M8/L8-1,"")</f>
        <v/>
      </c>
      <c r="N9" s="25">
        <f>IFERROR(N8/M8-1,"")</f>
        <v/>
      </c>
      <c r="O9" s="25">
        <f>IFERROR(O8/N8-1,"")</f>
        <v/>
      </c>
      <c r="P9" s="25">
        <f>IFERROR(P8/O8-1,"")</f>
        <v/>
      </c>
    </row>
    <row r="11">
      <c r="A11" s="5" t="inlineStr">
        <is>
          <t xml:space="preserve">  COST STRUCTURE (yellow = % of revenue)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4" t="inlineStr">
        <is>
          <t>Cost of revenue</t>
        </is>
      </c>
      <c r="B12" s="33">
        <f>SUM(Financials!H5:K5)</f>
        <v/>
      </c>
      <c r="C12" s="33">
        <f>SUM(Financials!L5:O5)</f>
        <v/>
      </c>
      <c r="D12" s="33">
        <f>SUM(Financials!P5:S5)</f>
        <v/>
      </c>
      <c r="E12" s="33">
        <f>SUM(Financials!T5:W5)</f>
        <v/>
      </c>
      <c r="F12" s="33">
        <f>SUM(Financials!X5:AA5)</f>
        <v/>
      </c>
      <c r="G12" s="41">
        <f>G8*G13</f>
        <v/>
      </c>
      <c r="H12" s="41">
        <f>H8*H13</f>
        <v/>
      </c>
      <c r="I12" s="41">
        <f>I8*I13</f>
        <v/>
      </c>
      <c r="J12" s="41">
        <f>J8*J13</f>
        <v/>
      </c>
      <c r="K12" s="41">
        <f>K8*K13</f>
        <v/>
      </c>
      <c r="L12" s="41">
        <f>L8*L13</f>
        <v/>
      </c>
      <c r="M12" s="41">
        <f>M8*M13</f>
        <v/>
      </c>
      <c r="N12" s="41">
        <f>N8*N13</f>
        <v/>
      </c>
      <c r="O12" s="41">
        <f>O8*O13</f>
        <v/>
      </c>
      <c r="P12" s="41">
        <f>P8*P13</f>
        <v/>
      </c>
    </row>
    <row r="13">
      <c r="A13" s="4" t="inlineStr">
        <is>
          <t xml:space="preserve">    % of revenue</t>
        </is>
      </c>
      <c r="B13" s="25">
        <f>IFERROR(B12/B8,"")</f>
        <v/>
      </c>
      <c r="C13" s="25">
        <f>IFERROR(C12/C8,"")</f>
        <v/>
      </c>
      <c r="D13" s="25">
        <f>IFERROR(D12/D8,"")</f>
        <v/>
      </c>
      <c r="E13" s="25">
        <f>IFERROR(E12/E8,"")</f>
        <v/>
      </c>
      <c r="F13" s="25">
        <f>IFERROR(F12/F8,"")</f>
        <v/>
      </c>
      <c r="G13" s="15" t="n">
        <v>0.4457140276397796</v>
      </c>
      <c r="H13" s="15" t="n">
        <v>0.4457140276397796</v>
      </c>
      <c r="I13" s="15" t="n">
        <v>0.4457140276397796</v>
      </c>
      <c r="J13" s="15" t="n">
        <v>0.4457140276397796</v>
      </c>
      <c r="K13" s="15" t="n">
        <v>0.4457140276397796</v>
      </c>
      <c r="L13" s="15" t="n">
        <v>0.4457140276397796</v>
      </c>
      <c r="M13" s="15" t="n">
        <v>0.4457140276397796</v>
      </c>
      <c r="N13" s="15" t="n">
        <v>0.4457140276397796</v>
      </c>
      <c r="O13" s="15" t="n">
        <v>0.4457140276397796</v>
      </c>
      <c r="P13" s="15" t="n">
        <v>0.4457140276397796</v>
      </c>
    </row>
    <row r="14">
      <c r="A14" s="4" t="inlineStr">
        <is>
          <t>R&amp;D / Technology</t>
        </is>
      </c>
      <c r="B14" s="33">
        <f>SUM(Financials!H7:K7)</f>
        <v/>
      </c>
      <c r="C14" s="33">
        <f>SUM(Financials!L7:O7)</f>
        <v/>
      </c>
      <c r="D14" s="33">
        <f>SUM(Financials!P7:S7)</f>
        <v/>
      </c>
      <c r="E14" s="33">
        <f>SUM(Financials!T7:W7)</f>
        <v/>
      </c>
      <c r="F14" s="33">
        <f>SUM(Financials!X7:AA7)</f>
        <v/>
      </c>
      <c r="G14" s="41">
        <f>G8*G15</f>
        <v/>
      </c>
      <c r="H14" s="41">
        <f>H8*H15</f>
        <v/>
      </c>
      <c r="I14" s="41">
        <f>I8*I15</f>
        <v/>
      </c>
      <c r="J14" s="41">
        <f>J8*J15</f>
        <v/>
      </c>
      <c r="K14" s="41">
        <f>K8*K15</f>
        <v/>
      </c>
      <c r="L14" s="41">
        <f>L8*L15</f>
        <v/>
      </c>
      <c r="M14" s="41">
        <f>M8*M15</f>
        <v/>
      </c>
      <c r="N14" s="41">
        <f>N8*N15</f>
        <v/>
      </c>
      <c r="O14" s="41">
        <f>O8*O15</f>
        <v/>
      </c>
      <c r="P14" s="41">
        <f>P8*P15</f>
        <v/>
      </c>
    </row>
    <row r="15">
      <c r="A15" s="4" t="inlineStr">
        <is>
          <t xml:space="preserve">    % of revenue</t>
        </is>
      </c>
      <c r="B15" s="25">
        <f>IFERROR(B14/B8,"")</f>
        <v/>
      </c>
      <c r="C15" s="25">
        <f>IFERROR(C14/C8,"")</f>
        <v/>
      </c>
      <c r="D15" s="25">
        <f>IFERROR(D14/D8,"")</f>
        <v/>
      </c>
      <c r="E15" s="25">
        <f>IFERROR(E14/E8,"")</f>
        <v/>
      </c>
      <c r="F15" s="25">
        <f>IFERROR(F14/F8,"")</f>
        <v/>
      </c>
      <c r="G15" s="15" t="n">
        <v>0.2041820973715112</v>
      </c>
      <c r="H15" s="15" t="n">
        <v>0.2041820973715112</v>
      </c>
      <c r="I15" s="15" t="n">
        <v>0.2041820973715112</v>
      </c>
      <c r="J15" s="15" t="n">
        <v>0.2041820973715112</v>
      </c>
      <c r="K15" s="15" t="n">
        <v>0.2041820973715112</v>
      </c>
      <c r="L15" s="15" t="n">
        <v>0.2041820973715112</v>
      </c>
      <c r="M15" s="15" t="n">
        <v>0.2041820973715112</v>
      </c>
      <c r="N15" s="15" t="n">
        <v>0.2041820973715112</v>
      </c>
      <c r="O15" s="15" t="n">
        <v>0.2041820973715112</v>
      </c>
      <c r="P15" s="15" t="n">
        <v>0.2041820973715112</v>
      </c>
    </row>
    <row r="16">
      <c r="A16" s="4" t="inlineStr">
        <is>
          <t>SG&amp;A</t>
        </is>
      </c>
      <c r="B16" s="33">
        <f>SUM(Financials!H9:K9)</f>
        <v/>
      </c>
      <c r="C16" s="33">
        <f>SUM(Financials!L9:O9)</f>
        <v/>
      </c>
      <c r="D16" s="33">
        <f>SUM(Financials!P9:S9)</f>
        <v/>
      </c>
      <c r="E16" s="33">
        <f>SUM(Financials!T9:W9)</f>
        <v/>
      </c>
      <c r="F16" s="33">
        <f>SUM(Financials!X9:AA9)</f>
        <v/>
      </c>
      <c r="G16" s="41">
        <f>G8*G17</f>
        <v/>
      </c>
      <c r="H16" s="41">
        <f>H8*H17</f>
        <v/>
      </c>
      <c r="I16" s="41">
        <f>I8*I17</f>
        <v/>
      </c>
      <c r="J16" s="41">
        <f>J8*J17</f>
        <v/>
      </c>
      <c r="K16" s="41">
        <f>K8*K17</f>
        <v/>
      </c>
      <c r="L16" s="41">
        <f>L8*L17</f>
        <v/>
      </c>
      <c r="M16" s="41">
        <f>M8*M17</f>
        <v/>
      </c>
      <c r="N16" s="41">
        <f>N8*N17</f>
        <v/>
      </c>
      <c r="O16" s="41">
        <f>O8*O17</f>
        <v/>
      </c>
      <c r="P16" s="41">
        <f>P8*P17</f>
        <v/>
      </c>
    </row>
    <row r="17">
      <c r="A17" s="4" t="inlineStr">
        <is>
          <t xml:space="preserve">    % of revenue</t>
        </is>
      </c>
      <c r="B17" s="25">
        <f>IFERROR(B16/B8,"")</f>
        <v/>
      </c>
      <c r="C17" s="25">
        <f>IFERROR(C16/C8,"")</f>
        <v/>
      </c>
      <c r="D17" s="25">
        <f>IFERROR(D16/D8,"")</f>
        <v/>
      </c>
      <c r="E17" s="25">
        <f>IFERROR(E16/E8,"")</f>
        <v/>
      </c>
      <c r="F17" s="25">
        <f>IFERROR(F16/F8,"")</f>
        <v/>
      </c>
      <c r="G17" s="15" t="n">
        <v>0.07022852497516033</v>
      </c>
      <c r="H17" s="15" t="n">
        <v>0.07022852497516033</v>
      </c>
      <c r="I17" s="15" t="n">
        <v>0.07022852497516033</v>
      </c>
      <c r="J17" s="15" t="n">
        <v>0.07022852497516033</v>
      </c>
      <c r="K17" s="15" t="n">
        <v>0.07022852497516033</v>
      </c>
      <c r="L17" s="15" t="n">
        <v>0.07022852497516033</v>
      </c>
      <c r="M17" s="15" t="n">
        <v>0.07022852497516033</v>
      </c>
      <c r="N17" s="15" t="n">
        <v>0.07022852497516033</v>
      </c>
      <c r="O17" s="15" t="n">
        <v>0.07022852497516033</v>
      </c>
      <c r="P17" s="15" t="n">
        <v>0.07022852497516033</v>
      </c>
    </row>
    <row r="18">
      <c r="A18" s="4" t="inlineStr">
        <is>
          <t>Other opex (fulfilment, etc.)</t>
        </is>
      </c>
      <c r="B18" s="33">
        <f>B8-(B12+B14+B16)-SUM(Financials!H13:K13)</f>
        <v/>
      </c>
      <c r="C18" s="33">
        <f>C8-(C12+C14+C16)-SUM(Financials!L13:O13)</f>
        <v/>
      </c>
      <c r="D18" s="33">
        <f>D8-(D12+D14+D16)-SUM(Financials!P13:S13)</f>
        <v/>
      </c>
      <c r="E18" s="33">
        <f>E8-(E12+E14+E16)-SUM(Financials!T13:W13)</f>
        <v/>
      </c>
      <c r="F18" s="33">
        <f>F8-(F12+F14+F16)-SUM(Financials!X13:AA13)</f>
        <v/>
      </c>
      <c r="G18" s="33">
        <f>G8*(1-(Dashboard!$B$29+(Dashboard!$B$30-Dashboard!$B$29)*MIN(1,0/3)))-(G12+G14+G16)</f>
        <v/>
      </c>
      <c r="H18" s="33">
        <f>H8*(1-(Dashboard!$B$29+(Dashboard!$B$30-Dashboard!$B$29)*MIN(1,1/3)))-(H12+H14+H16)</f>
        <v/>
      </c>
      <c r="I18" s="33">
        <f>I8*(1-(Dashboard!$B$29+(Dashboard!$B$30-Dashboard!$B$29)*MIN(1,2/3)))-(I12+I14+I16)</f>
        <v/>
      </c>
      <c r="J18" s="33">
        <f>J8*(1-(Dashboard!$B$29+(Dashboard!$B$30-Dashboard!$B$29)*MIN(1,3/3)))-(J12+J14+J16)</f>
        <v/>
      </c>
      <c r="K18" s="33">
        <f>K8*(1-(Dashboard!$B$29+(Dashboard!$B$30-Dashboard!$B$29)*MIN(1,4/3)))-(K12+K14+K16)</f>
        <v/>
      </c>
      <c r="L18" s="33">
        <f>L8*(1-(Dashboard!$B$29+(Dashboard!$B$30-Dashboard!$B$29)*MIN(1,5/3)))-(L12+L14+L16)</f>
        <v/>
      </c>
      <c r="M18" s="33">
        <f>M8*(1-(Dashboard!$B$29+(Dashboard!$B$30-Dashboard!$B$29)*MIN(1,6/3)))-(M12+M14+M16)</f>
        <v/>
      </c>
      <c r="N18" s="33">
        <f>N8*(1-(Dashboard!$B$29+(Dashboard!$B$30-Dashboard!$B$29)*MIN(1,7/3)))-(N12+N14+N16)</f>
        <v/>
      </c>
      <c r="O18" s="33">
        <f>O8*(1-(Dashboard!$B$29+(Dashboard!$B$30-Dashboard!$B$29)*MIN(1,8/3)))-(O12+O14+O16)</f>
        <v/>
      </c>
      <c r="P18" s="33">
        <f>P8*(1-(Dashboard!$B$29+(Dashboard!$B$30-Dashboard!$B$29)*MIN(1,9/3)))-(P12+P14+P16)</f>
        <v/>
      </c>
    </row>
    <row r="19">
      <c r="A19" s="4" t="inlineStr">
        <is>
          <t xml:space="preserve">    % of revenue</t>
        </is>
      </c>
      <c r="B19" s="25">
        <f>IFERROR(B18/B8,"")</f>
        <v/>
      </c>
      <c r="C19" s="25">
        <f>IFERROR(C18/C8,"")</f>
        <v/>
      </c>
      <c r="D19" s="25">
        <f>IFERROR(D18/D8,"")</f>
        <v/>
      </c>
      <c r="E19" s="25">
        <f>IFERROR(E18/E8,"")</f>
        <v/>
      </c>
      <c r="F19" s="25">
        <f>IFERROR(F18/F8,"")</f>
        <v/>
      </c>
      <c r="G19" s="25">
        <f>IFERROR(G18/G8,"")</f>
        <v/>
      </c>
      <c r="H19" s="25">
        <f>IFERROR(H18/H8,"")</f>
        <v/>
      </c>
      <c r="I19" s="25">
        <f>IFERROR(I18/I8,"")</f>
        <v/>
      </c>
      <c r="J19" s="25">
        <f>IFERROR(J18/J8,"")</f>
        <v/>
      </c>
      <c r="K19" s="25">
        <f>IFERROR(K18/K8,"")</f>
        <v/>
      </c>
      <c r="L19" s="25">
        <f>IFERROR(L18/L8,"")</f>
        <v/>
      </c>
      <c r="M19" s="25">
        <f>IFERROR(M18/M8,"")</f>
        <v/>
      </c>
      <c r="N19" s="25">
        <f>IFERROR(N18/N8,"")</f>
        <v/>
      </c>
      <c r="O19" s="25">
        <f>IFERROR(O18/O8,"")</f>
        <v/>
      </c>
      <c r="P19" s="25">
        <f>IFERROR(P18/P8,"")</f>
        <v/>
      </c>
    </row>
    <row r="21">
      <c r="A21" s="3" t="inlineStr">
        <is>
          <t>Operating income (EBIT)</t>
        </is>
      </c>
      <c r="B21" s="42">
        <f>B8-(B12+B14+B16)-B18</f>
        <v/>
      </c>
      <c r="C21" s="42">
        <f>C8-(C12+C14+C16)-C18</f>
        <v/>
      </c>
      <c r="D21" s="42">
        <f>D8-(D12+D14+D16)-D18</f>
        <v/>
      </c>
      <c r="E21" s="42">
        <f>E8-(E12+E14+E16)-E18</f>
        <v/>
      </c>
      <c r="F21" s="42">
        <f>F8-(F12+F14+F16)-F18</f>
        <v/>
      </c>
      <c r="G21" s="42">
        <f>G8-(G12+G14+G16)-G18</f>
        <v/>
      </c>
      <c r="H21" s="42">
        <f>H8-(H12+H14+H16)-H18</f>
        <v/>
      </c>
      <c r="I21" s="42">
        <f>I8-(I12+I14+I16)-I18</f>
        <v/>
      </c>
      <c r="J21" s="42">
        <f>J8-(J12+J14+J16)-J18</f>
        <v/>
      </c>
      <c r="K21" s="42">
        <f>K8-(K12+K14+K16)-K18</f>
        <v/>
      </c>
      <c r="L21" s="42">
        <f>L8-(L12+L14+L16)-L18</f>
        <v/>
      </c>
      <c r="M21" s="42">
        <f>M8-(M12+M14+M16)-M18</f>
        <v/>
      </c>
      <c r="N21" s="42">
        <f>N8-(N12+N14+N16)-N18</f>
        <v/>
      </c>
      <c r="O21" s="42">
        <f>O8-(O12+O14+O16)-O18</f>
        <v/>
      </c>
      <c r="P21" s="42">
        <f>P8-(P12+P14+P16)-P18</f>
        <v/>
      </c>
    </row>
    <row r="22">
      <c r="A22" s="4" t="inlineStr">
        <is>
          <t xml:space="preserve">    operating margin</t>
        </is>
      </c>
      <c r="B22" s="25">
        <f>IFERROR(B21/B8,"")</f>
        <v/>
      </c>
      <c r="C22" s="25">
        <f>IFERROR(C21/C8,"")</f>
        <v/>
      </c>
      <c r="D22" s="25">
        <f>IFERROR(D21/D8,"")</f>
        <v/>
      </c>
      <c r="E22" s="25">
        <f>IFERROR(E21/E8,"")</f>
        <v/>
      </c>
      <c r="F22" s="25">
        <f>IFERROR(F21/F8,"")</f>
        <v/>
      </c>
      <c r="G22" s="25">
        <f>IFERROR(G21/G8,"")</f>
        <v/>
      </c>
      <c r="H22" s="25">
        <f>IFERROR(H21/H8,"")</f>
        <v/>
      </c>
      <c r="I22" s="25">
        <f>IFERROR(I21/I8,"")</f>
        <v/>
      </c>
      <c r="J22" s="25">
        <f>IFERROR(J21/J8,"")</f>
        <v/>
      </c>
      <c r="K22" s="25">
        <f>IFERROR(K21/K8,"")</f>
        <v/>
      </c>
      <c r="L22" s="25">
        <f>IFERROR(L21/L8,"")</f>
        <v/>
      </c>
      <c r="M22" s="25">
        <f>IFERROR(M21/M8,"")</f>
        <v/>
      </c>
      <c r="N22" s="25">
        <f>IFERROR(N21/N8,"")</f>
        <v/>
      </c>
      <c r="O22" s="25">
        <f>IFERROR(O21/O8,"")</f>
        <v/>
      </c>
      <c r="P22" s="25">
        <f>IFERROR(P21/P8,"")</f>
        <v/>
      </c>
    </row>
    <row r="24">
      <c r="A24" s="5" t="inlineStr">
        <is>
          <t xml:space="preserve">  FCF BRIDGE (NOPAT + D&amp;A + SBC - dNWC - Capex)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4" t="inlineStr">
        <is>
          <t>NOPAT = EBIT x (1 - tax)</t>
        </is>
      </c>
      <c r="B25" s="33">
        <f>B21*(1-Valuation!$B$5)</f>
        <v/>
      </c>
      <c r="C25" s="33">
        <f>C21*(1-Valuation!$B$5)</f>
        <v/>
      </c>
      <c r="D25" s="33">
        <f>D21*(1-Valuation!$B$5)</f>
        <v/>
      </c>
      <c r="E25" s="33">
        <f>E21*(1-Valuation!$B$5)</f>
        <v/>
      </c>
      <c r="F25" s="33">
        <f>F21*(1-Valuation!$B$5)</f>
        <v/>
      </c>
      <c r="G25" s="33">
        <f>G21*(1-Valuation!$B$5)</f>
        <v/>
      </c>
      <c r="H25" s="33">
        <f>H21*(1-Valuation!$B$5)</f>
        <v/>
      </c>
      <c r="I25" s="33">
        <f>I21*(1-Valuation!$B$5)</f>
        <v/>
      </c>
      <c r="J25" s="33">
        <f>J21*(1-Valuation!$B$5)</f>
        <v/>
      </c>
      <c r="K25" s="33">
        <f>K21*(1-Valuation!$B$5)</f>
        <v/>
      </c>
      <c r="L25" s="33">
        <f>L21*(1-Valuation!$B$5)</f>
        <v/>
      </c>
      <c r="M25" s="33">
        <f>M21*(1-Valuation!$B$5)</f>
        <v/>
      </c>
      <c r="N25" s="33">
        <f>N21*(1-Valuation!$B$5)</f>
        <v/>
      </c>
      <c r="O25" s="33">
        <f>O21*(1-Valuation!$B$5)</f>
        <v/>
      </c>
      <c r="P25" s="33">
        <f>P21*(1-Valuation!$B$5)</f>
        <v/>
      </c>
    </row>
    <row r="26">
      <c r="A26" s="4" t="inlineStr">
        <is>
          <t>+ D&amp;A</t>
        </is>
      </c>
      <c r="B26" s="33">
        <f>SUM(Financials!H34:K34)</f>
        <v/>
      </c>
      <c r="C26" s="33">
        <f>SUM(Financials!L34:O34)</f>
        <v/>
      </c>
      <c r="D26" s="33">
        <f>SUM(Financials!P34:S34)</f>
        <v/>
      </c>
      <c r="E26" s="33">
        <f>SUM(Financials!T34:W34)</f>
        <v/>
      </c>
      <c r="F26" s="33">
        <f>SUM(Financials!X34:AA34)</f>
        <v/>
      </c>
      <c r="G26" s="41">
        <f>G8*0.0278</f>
        <v/>
      </c>
      <c r="H26" s="41">
        <f>H8*0.0278</f>
        <v/>
      </c>
      <c r="I26" s="41">
        <f>I8*0.0278</f>
        <v/>
      </c>
      <c r="J26" s="41">
        <f>J8*0.0278</f>
        <v/>
      </c>
      <c r="K26" s="41">
        <f>K8*0.0278</f>
        <v/>
      </c>
      <c r="L26" s="41">
        <f>L8*0.0278</f>
        <v/>
      </c>
      <c r="M26" s="41">
        <f>M8*0.0278</f>
        <v/>
      </c>
      <c r="N26" s="41">
        <f>N8*0.0278</f>
        <v/>
      </c>
      <c r="O26" s="41">
        <f>O8*0.0278</f>
        <v/>
      </c>
      <c r="P26" s="41">
        <f>P8*0.0278</f>
        <v/>
      </c>
    </row>
    <row r="27">
      <c r="A27" s="4" t="inlineStr">
        <is>
          <t>+ SBC (non-cash)</t>
        </is>
      </c>
      <c r="B27" s="33">
        <f>SUM(Financials!H35:K35)</f>
        <v/>
      </c>
      <c r="C27" s="33">
        <f>SUM(Financials!L35:O35)</f>
        <v/>
      </c>
      <c r="D27" s="33">
        <f>SUM(Financials!P35:S35)</f>
        <v/>
      </c>
      <c r="E27" s="33">
        <f>SUM(Financials!T35:W35)</f>
        <v/>
      </c>
      <c r="F27" s="33">
        <f>SUM(Financials!X35:AA35)</f>
        <v/>
      </c>
      <c r="G27" s="33">
        <f>G8*(Dashboard!$B$65+(Dashboard!$B$66-Dashboard!$B$65)*0/9)</f>
        <v/>
      </c>
      <c r="H27" s="33">
        <f>H8*(Dashboard!$B$65+(Dashboard!$B$66-Dashboard!$B$65)*1/9)</f>
        <v/>
      </c>
      <c r="I27" s="33">
        <f>I8*(Dashboard!$B$65+(Dashboard!$B$66-Dashboard!$B$65)*2/9)</f>
        <v/>
      </c>
      <c r="J27" s="33">
        <f>J8*(Dashboard!$B$65+(Dashboard!$B$66-Dashboard!$B$65)*3/9)</f>
        <v/>
      </c>
      <c r="K27" s="33">
        <f>K8*(Dashboard!$B$65+(Dashboard!$B$66-Dashboard!$B$65)*4/9)</f>
        <v/>
      </c>
      <c r="L27" s="33">
        <f>L8*(Dashboard!$B$65+(Dashboard!$B$66-Dashboard!$B$65)*5/9)</f>
        <v/>
      </c>
      <c r="M27" s="33">
        <f>M8*(Dashboard!$B$65+(Dashboard!$B$66-Dashboard!$B$65)*6/9)</f>
        <v/>
      </c>
      <c r="N27" s="33">
        <f>N8*(Dashboard!$B$65+(Dashboard!$B$66-Dashboard!$B$65)*7/9)</f>
        <v/>
      </c>
      <c r="O27" s="33">
        <f>O8*(Dashboard!$B$65+(Dashboard!$B$66-Dashboard!$B$65)*8/9)</f>
        <v/>
      </c>
      <c r="P27" s="33">
        <f>P8*(Dashboard!$B$65+(Dashboard!$B$66-Dashboard!$B$65)*9/9)</f>
        <v/>
      </c>
    </row>
    <row r="28">
      <c r="A28" s="4" t="inlineStr">
        <is>
          <t>- dNWC</t>
        </is>
      </c>
      <c r="G28" s="41">
        <f>(G8-F8)*0.0050</f>
        <v/>
      </c>
      <c r="H28" s="41">
        <f>(H8-G8)*0.0050</f>
        <v/>
      </c>
      <c r="I28" s="41">
        <f>(I8-H8)*0.0050</f>
        <v/>
      </c>
      <c r="J28" s="41">
        <f>(J8-I8)*0.0050</f>
        <v/>
      </c>
      <c r="K28" s="41">
        <f>(K8-J8)*0.0050</f>
        <v/>
      </c>
      <c r="L28" s="41">
        <f>(L8-K8)*0.0050</f>
        <v/>
      </c>
      <c r="M28" s="41">
        <f>(M8-L8)*0.0050</f>
        <v/>
      </c>
      <c r="N28" s="41">
        <f>(N8-M8)*0.0050</f>
        <v/>
      </c>
      <c r="O28" s="41">
        <f>(O8-N8)*0.0050</f>
        <v/>
      </c>
      <c r="P28" s="41">
        <f>(P8-O8)*0.0050</f>
        <v/>
      </c>
    </row>
    <row r="29">
      <c r="A29" s="4" t="inlineStr">
        <is>
          <t>- Capex</t>
        </is>
      </c>
      <c r="B29" s="33">
        <f>-SUM(Financials!H38:K38)</f>
        <v/>
      </c>
      <c r="C29" s="33">
        <f>-SUM(Financials!L38:O38)</f>
        <v/>
      </c>
      <c r="D29" s="33">
        <f>-SUM(Financials!P38:S38)</f>
        <v/>
      </c>
      <c r="E29" s="33">
        <f>-SUM(Financials!T38:W38)</f>
        <v/>
      </c>
      <c r="F29" s="33">
        <f>-SUM(Financials!X38:AA38)</f>
        <v/>
      </c>
      <c r="G29" s="41">
        <f>G26*G30</f>
        <v/>
      </c>
      <c r="H29" s="41">
        <f>H26*H30</f>
        <v/>
      </c>
      <c r="I29" s="41">
        <f>I26*I30</f>
        <v/>
      </c>
      <c r="J29" s="41">
        <f>J26*J30</f>
        <v/>
      </c>
      <c r="K29" s="41">
        <f>K26*K30</f>
        <v/>
      </c>
      <c r="L29" s="41">
        <f>L26*L30</f>
        <v/>
      </c>
      <c r="M29" s="41">
        <f>M26*M30</f>
        <v/>
      </c>
      <c r="N29" s="41">
        <f>N26*N30</f>
        <v/>
      </c>
      <c r="O29" s="41">
        <f>O26*O30</f>
        <v/>
      </c>
      <c r="P29" s="41">
        <f>P26*P30</f>
        <v/>
      </c>
    </row>
    <row r="30">
      <c r="A30" s="4" t="inlineStr">
        <is>
          <t xml:space="preserve">    Capex / D&amp;A  (from Dashboard: $cap'26 -&gt; terminal)</t>
        </is>
      </c>
      <c r="B30" s="26">
        <f>IFERROR(B29/B26,"")</f>
        <v/>
      </c>
      <c r="C30" s="26">
        <f>IFERROR(C29/C26,"")</f>
        <v/>
      </c>
      <c r="D30" s="26">
        <f>IFERROR(D29/D26,"")</f>
        <v/>
      </c>
      <c r="E30" s="26">
        <f>IFERROR(E29/E26,"")</f>
        <v/>
      </c>
      <c r="F30" s="26">
        <f>IFERROR(F29/F26,"")</f>
        <v/>
      </c>
      <c r="G30" s="13">
        <f>(Dashboard!$B$34/G26)+(Dashboard!$B$35-(Dashboard!$B$34/G26))*0/9</f>
        <v/>
      </c>
      <c r="H30" s="13">
        <f>(Dashboard!$B$34/G26)+(Dashboard!$B$35-(Dashboard!$B$34/G26))*1/9</f>
        <v/>
      </c>
      <c r="I30" s="13">
        <f>(Dashboard!$B$34/G26)+(Dashboard!$B$35-(Dashboard!$B$34/G26))*2/9</f>
        <v/>
      </c>
      <c r="J30" s="13">
        <f>(Dashboard!$B$34/G26)+(Dashboard!$B$35-(Dashboard!$B$34/G26))*3/9</f>
        <v/>
      </c>
      <c r="K30" s="13">
        <f>(Dashboard!$B$34/G26)+(Dashboard!$B$35-(Dashboard!$B$34/G26))*4/9</f>
        <v/>
      </c>
      <c r="L30" s="13">
        <f>(Dashboard!$B$34/G26)+(Dashboard!$B$35-(Dashboard!$B$34/G26))*5/9</f>
        <v/>
      </c>
      <c r="M30" s="13">
        <f>(Dashboard!$B$34/G26)+(Dashboard!$B$35-(Dashboard!$B$34/G26))*6/9</f>
        <v/>
      </c>
      <c r="N30" s="13">
        <f>(Dashboard!$B$34/G26)+(Dashboard!$B$35-(Dashboard!$B$34/G26))*7/9</f>
        <v/>
      </c>
      <c r="O30" s="13">
        <f>(Dashboard!$B$34/G26)+(Dashboard!$B$35-(Dashboard!$B$34/G26))*8/9</f>
        <v/>
      </c>
      <c r="P30" s="13">
        <f>(Dashboard!$B$34/G26)+(Dashboard!$B$35-(Dashboard!$B$34/G26))*9/9</f>
        <v/>
      </c>
    </row>
    <row r="32">
      <c r="A32" s="3" t="inlineStr">
        <is>
          <t>FCFF (firm)</t>
        </is>
      </c>
      <c r="B32" s="42">
        <f>B25+B26+B27-B28-B29</f>
        <v/>
      </c>
      <c r="C32" s="42">
        <f>C25+C26+C27-C28-C29</f>
        <v/>
      </c>
      <c r="D32" s="42">
        <f>D25+D26+D27-D28-D29</f>
        <v/>
      </c>
      <c r="E32" s="42">
        <f>E25+E26+E27-E28-E29</f>
        <v/>
      </c>
      <c r="F32" s="42">
        <f>F25+F26+F27-F28-F29</f>
        <v/>
      </c>
      <c r="G32" s="42">
        <f>G25+G26+G27-G28-G29</f>
        <v/>
      </c>
      <c r="H32" s="42">
        <f>H25+H26+H27-H28-H29</f>
        <v/>
      </c>
      <c r="I32" s="42">
        <f>I25+I26+I27-I28-I29</f>
        <v/>
      </c>
      <c r="J32" s="42">
        <f>J25+J26+J27-J28-J29</f>
        <v/>
      </c>
      <c r="K32" s="42">
        <f>K25+K26+K27-K28-K29</f>
        <v/>
      </c>
      <c r="L32" s="42">
        <f>L25+L26+L27-L28-L29</f>
        <v/>
      </c>
      <c r="M32" s="42">
        <f>M25+M26+M27-M28-M29</f>
        <v/>
      </c>
      <c r="N32" s="42">
        <f>N25+N26+N27-N28-N29</f>
        <v/>
      </c>
      <c r="O32" s="42">
        <f>O25+O26+O27-O28-O29</f>
        <v/>
      </c>
      <c r="P32" s="42">
        <f>P25+P26+P27-P28-P29</f>
        <v/>
      </c>
    </row>
    <row r="33">
      <c r="A33" s="3" t="inlineStr">
        <is>
          <t>Valuation FCF (NOPAT + D&amp;A - dNWC - Capex - after-tax SBC)</t>
        </is>
      </c>
      <c r="B33" s="43">
        <f>B32-B27-B27*(1-Valuation!$B$5)</f>
        <v/>
      </c>
      <c r="C33" s="43">
        <f>C32-C27-C27*(1-Valuation!$B$5)</f>
        <v/>
      </c>
      <c r="D33" s="43">
        <f>D32-D27-D27*(1-Valuation!$B$5)</f>
        <v/>
      </c>
      <c r="E33" s="43">
        <f>E32-E27-E27*(1-Valuation!$B$5)</f>
        <v/>
      </c>
      <c r="F33" s="43">
        <f>F32-F27-F27*(1-Valuation!$B$5)</f>
        <v/>
      </c>
      <c r="G33" s="43">
        <f>G32-G27-G27*(1-Valuation!$B$5)</f>
        <v/>
      </c>
      <c r="H33" s="43">
        <f>H32-H27-H27*(1-Valuation!$B$5)</f>
        <v/>
      </c>
      <c r="I33" s="43">
        <f>I32-I27-I27*(1-Valuation!$B$5)</f>
        <v/>
      </c>
      <c r="J33" s="43">
        <f>J32-J27-J27*(1-Valuation!$B$5)</f>
        <v/>
      </c>
      <c r="K33" s="43">
        <f>K32-K27-K27*(1-Valuation!$B$5)</f>
        <v/>
      </c>
      <c r="L33" s="43">
        <f>L32-L27-L27*(1-Valuation!$B$5)</f>
        <v/>
      </c>
      <c r="M33" s="43">
        <f>M32-M27-M27*(1-Valuation!$B$5)</f>
        <v/>
      </c>
      <c r="N33" s="43">
        <f>N32-N27-N27*(1-Valuation!$B$5)</f>
        <v/>
      </c>
      <c r="O33" s="43">
        <f>O32-O27-O27*(1-Valuation!$B$5)</f>
        <v/>
      </c>
      <c r="P33" s="43">
        <f>P32-P27-P27*(1-Valuation!$B$5)</f>
        <v/>
      </c>
    </row>
    <row r="35">
      <c r="A35" s="5" t="inlineStr">
        <is>
          <t xml:space="preserve">  RETURNS ON CAPITAL &amp; EFFICIENCY  (is new revenue/capital earning its keep?)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4" t="inlineStr">
        <is>
          <t>Invested capital (debt + equity - cash)</t>
        </is>
      </c>
      <c r="B36" s="33">
        <f>Financials!K32+Financials!K31-Financials!K26</f>
        <v/>
      </c>
      <c r="C36" s="33">
        <f>Financials!O32+Financials!O31-Financials!O26</f>
        <v/>
      </c>
      <c r="D36" s="33">
        <f>Financials!S32+Financials!S31-Financials!S26</f>
        <v/>
      </c>
      <c r="E36" s="33">
        <f>Financials!W32+Financials!W31-Financials!W26</f>
        <v/>
      </c>
      <c r="F36" s="33">
        <f>Financials!AA32+Financials!AA31-Financials!AA26</f>
        <v/>
      </c>
      <c r="G36" s="41">
        <f>F36+G29-G26+G28</f>
        <v/>
      </c>
      <c r="H36" s="41">
        <f>G36+H29-H26+H28</f>
        <v/>
      </c>
      <c r="I36" s="41">
        <f>H36+I29-I26+I28</f>
        <v/>
      </c>
      <c r="J36" s="41">
        <f>I36+J29-J26+J28</f>
        <v/>
      </c>
      <c r="K36" s="41">
        <f>J36+K29-K26+K28</f>
        <v/>
      </c>
      <c r="L36" s="41">
        <f>K36+L29-L26+L28</f>
        <v/>
      </c>
      <c r="M36" s="41">
        <f>L36+M29-M26+M28</f>
        <v/>
      </c>
      <c r="N36" s="41">
        <f>M36+N29-N26+N28</f>
        <v/>
      </c>
      <c r="O36" s="41">
        <f>N36+O29-O26+O28</f>
        <v/>
      </c>
      <c r="P36" s="41">
        <f>O36+P29-P26+P28</f>
        <v/>
      </c>
    </row>
    <row r="37">
      <c r="A37" s="4" t="inlineStr">
        <is>
          <t>Book equity (year-end)</t>
        </is>
      </c>
      <c r="B37" s="33">
        <f>Financials!K32</f>
        <v/>
      </c>
      <c r="C37" s="33">
        <f>Financials!O32</f>
        <v/>
      </c>
      <c r="D37" s="33">
        <f>Financials!S32</f>
        <v/>
      </c>
      <c r="E37" s="33">
        <f>Financials!W32</f>
        <v/>
      </c>
      <c r="F37" s="33">
        <f>Financials!AA32</f>
        <v/>
      </c>
      <c r="G37" s="41">
        <f>F37+G25</f>
        <v/>
      </c>
      <c r="H37" s="41">
        <f>G37+H25</f>
        <v/>
      </c>
      <c r="I37" s="41">
        <f>H37+I25</f>
        <v/>
      </c>
      <c r="J37" s="41">
        <f>I37+J25</f>
        <v/>
      </c>
      <c r="K37" s="41">
        <f>J37+K25</f>
        <v/>
      </c>
      <c r="L37" s="41">
        <f>K37+L25</f>
        <v/>
      </c>
      <c r="M37" s="41">
        <f>L37+M25</f>
        <v/>
      </c>
      <c r="N37" s="41">
        <f>M37+N25</f>
        <v/>
      </c>
      <c r="O37" s="41">
        <f>N37+O25</f>
        <v/>
      </c>
      <c r="P37" s="41">
        <f>O37+P25</f>
        <v/>
      </c>
    </row>
    <row r="38">
      <c r="A38" s="3" t="inlineStr">
        <is>
          <t xml:space="preserve">  ROIC (NOPAT / beg. invested capital)</t>
        </is>
      </c>
      <c r="C38" s="25">
        <f>IFERROR(C25/B36,"")</f>
        <v/>
      </c>
      <c r="D38" s="25">
        <f>IFERROR(D25/C36,"")</f>
        <v/>
      </c>
      <c r="E38" s="25">
        <f>IFERROR(E25/D36,"")</f>
        <v/>
      </c>
      <c r="F38" s="25">
        <f>IFERROR(F25/E36,"")</f>
        <v/>
      </c>
      <c r="G38" s="25">
        <f>IFERROR(G25/F36,"")</f>
        <v/>
      </c>
      <c r="H38" s="25">
        <f>IFERROR(H25/G36,"")</f>
        <v/>
      </c>
      <c r="I38" s="25">
        <f>IFERROR(I25/H36,"")</f>
        <v/>
      </c>
      <c r="J38" s="25">
        <f>IFERROR(J25/I36,"")</f>
        <v/>
      </c>
      <c r="K38" s="25">
        <f>IFERROR(K25/J36,"")</f>
        <v/>
      </c>
      <c r="L38" s="25">
        <f>IFERROR(L25/K36,"")</f>
        <v/>
      </c>
      <c r="M38" s="25">
        <f>IFERROR(M25/L36,"")</f>
        <v/>
      </c>
      <c r="N38" s="25">
        <f>IFERROR(N25/M36,"")</f>
        <v/>
      </c>
      <c r="O38" s="25">
        <f>IFERROR(O25/N36,"")</f>
        <v/>
      </c>
      <c r="P38" s="25">
        <f>IFERROR(P25/O36,"")</f>
        <v/>
      </c>
    </row>
    <row r="39">
      <c r="A39" s="3" t="inlineStr">
        <is>
          <t xml:space="preserve">  ROE (earnings / beg. equity)</t>
        </is>
      </c>
      <c r="C39" s="11">
        <f>IFERROR(SUM(Financials!L15:O15)/B37,"")</f>
        <v/>
      </c>
      <c r="D39" s="11">
        <f>IFERROR(SUM(Financials!P15:S15)/C37,"")</f>
        <v/>
      </c>
      <c r="E39" s="11">
        <f>IFERROR(SUM(Financials!T15:W15)/D37,"")</f>
        <v/>
      </c>
      <c r="F39" s="11">
        <f>IFERROR(SUM(Financials!X15:AA15)/E37,"")</f>
        <v/>
      </c>
      <c r="G39" s="25">
        <f>IFERROR(G25/F37,"")</f>
        <v/>
      </c>
      <c r="H39" s="25">
        <f>IFERROR(H25/G37,"")</f>
        <v/>
      </c>
      <c r="I39" s="25">
        <f>IFERROR(I25/H37,"")</f>
        <v/>
      </c>
      <c r="J39" s="25">
        <f>IFERROR(J25/I37,"")</f>
        <v/>
      </c>
      <c r="K39" s="25">
        <f>IFERROR(K25/J37,"")</f>
        <v/>
      </c>
      <c r="L39" s="25">
        <f>IFERROR(L25/K37,"")</f>
        <v/>
      </c>
      <c r="M39" s="25">
        <f>IFERROR(M25/L37,"")</f>
        <v/>
      </c>
      <c r="N39" s="25">
        <f>IFERROR(N25/M37,"")</f>
        <v/>
      </c>
      <c r="O39" s="25">
        <f>IFERROR(O25/N37,"")</f>
        <v/>
      </c>
      <c r="P39" s="25">
        <f>IFERROR(P25/O37,"")</f>
        <v/>
      </c>
    </row>
    <row r="40">
      <c r="A40" s="4" t="inlineStr">
        <is>
          <t xml:space="preserve">  ROIC - WACC spread (value created)</t>
        </is>
      </c>
      <c r="C40" s="11">
        <f>IFERROR(C38-WACC!$B$15,"")</f>
        <v/>
      </c>
      <c r="D40" s="11">
        <f>IFERROR(D38-WACC!$B$15,"")</f>
        <v/>
      </c>
      <c r="E40" s="11">
        <f>IFERROR(E38-WACC!$B$15,"")</f>
        <v/>
      </c>
      <c r="F40" s="11">
        <f>IFERROR(F38-WACC!$B$15,"")</f>
        <v/>
      </c>
      <c r="G40" s="11">
        <f>IFERROR(G38-WACC!$B$15,"")</f>
        <v/>
      </c>
      <c r="H40" s="11">
        <f>IFERROR(H38-WACC!$B$15,"")</f>
        <v/>
      </c>
      <c r="I40" s="11">
        <f>IFERROR(I38-WACC!$B$15,"")</f>
        <v/>
      </c>
      <c r="J40" s="11">
        <f>IFERROR(J38-WACC!$B$15,"")</f>
        <v/>
      </c>
      <c r="K40" s="11">
        <f>IFERROR(K38-WACC!$B$15,"")</f>
        <v/>
      </c>
      <c r="L40" s="11">
        <f>IFERROR(L38-WACC!$B$15,"")</f>
        <v/>
      </c>
      <c r="M40" s="11">
        <f>IFERROR(M38-WACC!$B$15,"")</f>
        <v/>
      </c>
      <c r="N40" s="11">
        <f>IFERROR(N38-WACC!$B$15,"")</f>
        <v/>
      </c>
      <c r="O40" s="11">
        <f>IFERROR(O38-WACC!$B$15,"")</f>
        <v/>
      </c>
      <c r="P40" s="11">
        <f>IFERROR(P38-WACC!$B$15,"")</f>
        <v/>
      </c>
    </row>
    <row r="41">
      <c r="A41" s="4" t="inlineStr">
        <is>
          <t xml:space="preserve">  Incremental op margin (ΔEBIT / ΔRev)</t>
        </is>
      </c>
      <c r="C41" s="25">
        <f>IFERROR((C21-B21)/(C8-B8),"")</f>
        <v/>
      </c>
      <c r="D41" s="25">
        <f>IFERROR((D21-C21)/(D8-C8),"")</f>
        <v/>
      </c>
      <c r="E41" s="25">
        <f>IFERROR((E21-D21)/(E8-D8),"")</f>
        <v/>
      </c>
      <c r="F41" s="25">
        <f>IFERROR((F21-E21)/(F8-E8),"")</f>
        <v/>
      </c>
      <c r="G41" s="25">
        <f>IFERROR((G21-F21)/(G8-F8),"")</f>
        <v/>
      </c>
      <c r="H41" s="25">
        <f>IFERROR((H21-G21)/(H8-G8),"")</f>
        <v/>
      </c>
      <c r="I41" s="25">
        <f>IFERROR((I21-H21)/(I8-H8),"")</f>
        <v/>
      </c>
      <c r="J41" s="25">
        <f>IFERROR((J21-I21)/(J8-I8),"")</f>
        <v/>
      </c>
      <c r="K41" s="25">
        <f>IFERROR((K21-J21)/(K8-J8),"")</f>
        <v/>
      </c>
      <c r="L41" s="25">
        <f>IFERROR((L21-K21)/(L8-K8),"")</f>
        <v/>
      </c>
      <c r="M41" s="25">
        <f>IFERROR((M21-L21)/(M8-L8),"")</f>
        <v/>
      </c>
      <c r="N41" s="25">
        <f>IFERROR((N21-M21)/(N8-M8),"")</f>
        <v/>
      </c>
      <c r="O41" s="25">
        <f>IFERROR((O21-N21)/(O8-N8),"")</f>
        <v/>
      </c>
      <c r="P41" s="25">
        <f>IFERROR((P21-O21)/(P8-O8),"")</f>
        <v/>
      </c>
    </row>
    <row r="42">
      <c r="A42" s="3" t="inlineStr">
        <is>
          <t xml:space="preserve">  ROIIC (ΔNOPAT / ΔInvested capital)</t>
        </is>
      </c>
      <c r="C42" s="25">
        <f>IFERROR((C25-B25)/(C36-B36),"")</f>
        <v/>
      </c>
      <c r="D42" s="25">
        <f>IFERROR((D25-C25)/(D36-C36),"")</f>
        <v/>
      </c>
      <c r="E42" s="25">
        <f>IFERROR((E25-D25)/(E36-D36),"")</f>
        <v/>
      </c>
      <c r="F42" s="25">
        <f>IFERROR((F25-E25)/(F36-E36),"")</f>
        <v/>
      </c>
      <c r="G42" s="25">
        <f>IFERROR((G25-F25)/(G36-F36),"")</f>
        <v/>
      </c>
      <c r="H42" s="25">
        <f>IFERROR((H25-G25)/(H36-G36),"")</f>
        <v/>
      </c>
      <c r="I42" s="25">
        <f>IFERROR((I25-H25)/(I36-H36),"")</f>
        <v/>
      </c>
      <c r="J42" s="25">
        <f>IFERROR((J25-I25)/(J36-I36),"")</f>
        <v/>
      </c>
      <c r="K42" s="25">
        <f>IFERROR((K25-J25)/(K36-J36),"")</f>
        <v/>
      </c>
      <c r="L42" s="25">
        <f>IFERROR((L25-K25)/(L36-K36),"")</f>
        <v/>
      </c>
      <c r="M42" s="25">
        <f>IFERROR((M25-L25)/(M36-L36),"")</f>
        <v/>
      </c>
      <c r="N42" s="25">
        <f>IFERROR((N25-M25)/(N36-M36),"")</f>
        <v/>
      </c>
      <c r="O42" s="25">
        <f>IFERROR((O25-N25)/(O36-N36),"")</f>
        <v/>
      </c>
      <c r="P42" s="25">
        <f>IFERROR((P25-O25)/(P36-O36),"")</f>
        <v/>
      </c>
    </row>
    <row r="43">
      <c r="A43" s="4" t="inlineStr">
        <is>
          <t xml:space="preserve">  Sales-to-capital (ΔRev / ΔInvested capital)</t>
        </is>
      </c>
      <c r="C43" s="44">
        <f>IFERROR((C8-B8)/(C36-B36),"")</f>
        <v/>
      </c>
      <c r="D43" s="44">
        <f>IFERROR((D8-C8)/(D36-C36),"")</f>
        <v/>
      </c>
      <c r="E43" s="44">
        <f>IFERROR((E8-D8)/(E36-D36),"")</f>
        <v/>
      </c>
      <c r="F43" s="44">
        <f>IFERROR((F8-E8)/(F36-E36),"")</f>
        <v/>
      </c>
      <c r="G43" s="44">
        <f>IFERROR((G8-F8)/(G36-F36),"")</f>
        <v/>
      </c>
      <c r="H43" s="44">
        <f>IFERROR((H8-G8)/(H36-G36),"")</f>
        <v/>
      </c>
      <c r="I43" s="44">
        <f>IFERROR((I8-H8)/(I36-H36),"")</f>
        <v/>
      </c>
      <c r="J43" s="44">
        <f>IFERROR((J8-I8)/(J36-I36),"")</f>
        <v/>
      </c>
      <c r="K43" s="44">
        <f>IFERROR((K8-J8)/(K36-J36),"")</f>
        <v/>
      </c>
      <c r="L43" s="44">
        <f>IFERROR((L8-K8)/(L36-K36),"")</f>
        <v/>
      </c>
      <c r="M43" s="44">
        <f>IFERROR((M8-L8)/(M36-L36),"")</f>
        <v/>
      </c>
      <c r="N43" s="44">
        <f>IFERROR((N8-M8)/(N36-M36),"")</f>
        <v/>
      </c>
      <c r="O43" s="44">
        <f>IFERROR((O8-N8)/(O36-N36),"")</f>
        <v/>
      </c>
      <c r="P43" s="44">
        <f>IFERROR((P8-O8)/(P36-O36),"")</f>
        <v/>
      </c>
    </row>
    <row r="44">
      <c r="A44" s="4" t="inlineStr">
        <is>
          <t xml:space="preserve">  Reinvestment rate (ΔInvested capital / NOPAT)</t>
        </is>
      </c>
      <c r="C44" s="25">
        <f>IFERROR((C36-B36)/C25,"")</f>
        <v/>
      </c>
      <c r="D44" s="25">
        <f>IFERROR((D36-C36)/D25,"")</f>
        <v/>
      </c>
      <c r="E44" s="25">
        <f>IFERROR((E36-D36)/E25,"")</f>
        <v/>
      </c>
      <c r="F44" s="25">
        <f>IFERROR((F36-E36)/F25,"")</f>
        <v/>
      </c>
      <c r="G44" s="25">
        <f>IFERROR((G36-F36)/G25,"")</f>
        <v/>
      </c>
      <c r="H44" s="25">
        <f>IFERROR((H36-G36)/H25,"")</f>
        <v/>
      </c>
      <c r="I44" s="25">
        <f>IFERROR((I36-H36)/I25,"")</f>
        <v/>
      </c>
      <c r="J44" s="25">
        <f>IFERROR((J36-I36)/J25,"")</f>
        <v/>
      </c>
      <c r="K44" s="25">
        <f>IFERROR((K36-J36)/K25,"")</f>
        <v/>
      </c>
      <c r="L44" s="25">
        <f>IFERROR((L36-K36)/L25,"")</f>
        <v/>
      </c>
      <c r="M44" s="25">
        <f>IFERROR((M36-L36)/M25,"")</f>
        <v/>
      </c>
      <c r="N44" s="25">
        <f>IFERROR((N36-M36)/N25,"")</f>
        <v/>
      </c>
      <c r="O44" s="25">
        <f>IFERROR((O36-N36)/O25,"")</f>
        <v/>
      </c>
      <c r="P44" s="25">
        <f>IFERROR((P36-O36)/P25,"")</f>
        <v/>
      </c>
    </row>
    <row r="46">
      <c r="A46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Q3 2019</t>
        </is>
      </c>
      <c r="C1" s="45" t="inlineStr">
        <is>
          <t>Q4 2019</t>
        </is>
      </c>
      <c r="D1" s="45" t="inlineStr">
        <is>
          <t>Q1 2020</t>
        </is>
      </c>
      <c r="E1" s="45" t="inlineStr">
        <is>
          <t>Q2 2020</t>
        </is>
      </c>
      <c r="F1" s="45" t="inlineStr">
        <is>
          <t>Q3 2020</t>
        </is>
      </c>
      <c r="G1" s="45" t="inlineStr">
        <is>
          <t>Q4 2020</t>
        </is>
      </c>
      <c r="H1" s="45" t="inlineStr">
        <is>
          <t>Q1 2021</t>
        </is>
      </c>
      <c r="I1" s="45" t="inlineStr">
        <is>
          <t>Q2 2021</t>
        </is>
      </c>
      <c r="J1" s="45" t="inlineStr">
        <is>
          <t>Q3 2021</t>
        </is>
      </c>
      <c r="K1" s="45" t="inlineStr">
        <is>
          <t>Q4 2021</t>
        </is>
      </c>
      <c r="L1" s="45" t="inlineStr">
        <is>
          <t>Q1 2022</t>
        </is>
      </c>
      <c r="M1" s="45" t="inlineStr">
        <is>
          <t>Q2 2022</t>
        </is>
      </c>
      <c r="N1" s="45" t="inlineStr">
        <is>
          <t>Q3 2022</t>
        </is>
      </c>
      <c r="O1" s="45" t="inlineStr">
        <is>
          <t>Q4 2022</t>
        </is>
      </c>
      <c r="P1" s="45" t="inlineStr">
        <is>
          <t>Q1 2023</t>
        </is>
      </c>
      <c r="Q1" s="45" t="inlineStr">
        <is>
          <t>Q2 2023</t>
        </is>
      </c>
      <c r="R1" s="45" t="inlineStr">
        <is>
          <t>Q3 2023</t>
        </is>
      </c>
      <c r="S1" s="45" t="inlineStr">
        <is>
          <t>Q4 2023</t>
        </is>
      </c>
      <c r="T1" s="45" t="inlineStr">
        <is>
          <t>Q1 2024</t>
        </is>
      </c>
      <c r="U1" s="45" t="inlineStr">
        <is>
          <t>Q2 2024</t>
        </is>
      </c>
      <c r="V1" s="45" t="inlineStr">
        <is>
          <t>Q3 2024</t>
        </is>
      </c>
      <c r="W1" s="45" t="inlineStr">
        <is>
          <t>Q4 2024</t>
        </is>
      </c>
      <c r="X1" s="45" t="inlineStr">
        <is>
          <t>Q1 2025</t>
        </is>
      </c>
      <c r="Y1" s="45" t="inlineStr">
        <is>
          <t>Q2 2025</t>
        </is>
      </c>
      <c r="Z1" s="45" t="inlineStr">
        <is>
          <t>Q3 2025</t>
        </is>
      </c>
      <c r="AA1" s="45" t="inlineStr">
        <is>
          <t>Q4 2025</t>
        </is>
      </c>
      <c r="AB1" s="45" t="inlineStr">
        <is>
          <t>Q1 2026</t>
        </is>
      </c>
      <c r="AC1" s="45" t="inlineStr">
        <is>
          <t>Q2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9635</v>
      </c>
      <c r="C3" s="18" t="n">
        <v>4814</v>
      </c>
      <c r="D3" s="18" t="n">
        <v>5077</v>
      </c>
      <c r="E3" s="18" t="n">
        <v>5216</v>
      </c>
      <c r="F3" s="18" t="n">
        <v>4893</v>
      </c>
      <c r="G3" s="18" t="n">
        <v>8346</v>
      </c>
      <c r="H3" s="18" t="n">
        <v>8235</v>
      </c>
      <c r="I3" s="18" t="n">
        <v>7935</v>
      </c>
      <c r="J3" s="18" t="n">
        <v>8060</v>
      </c>
      <c r="K3" s="18" t="n">
        <v>9336</v>
      </c>
      <c r="L3" s="18" t="n">
        <v>10705</v>
      </c>
      <c r="M3" s="18" t="n">
        <v>11164</v>
      </c>
      <c r="N3" s="18" t="n">
        <v>10936</v>
      </c>
      <c r="O3" s="18" t="n">
        <v>11395</v>
      </c>
      <c r="P3" s="18" t="n">
        <v>9463</v>
      </c>
      <c r="Q3" s="18" t="n">
        <v>9275</v>
      </c>
      <c r="R3" s="18" t="n">
        <v>8451</v>
      </c>
      <c r="S3" s="18" t="n">
        <v>8631</v>
      </c>
      <c r="T3" s="18" t="n">
        <v>9935</v>
      </c>
      <c r="U3" s="18" t="n">
        <v>9389</v>
      </c>
      <c r="V3" s="18" t="n">
        <v>9393</v>
      </c>
      <c r="W3" s="18" t="n">
        <v>10244</v>
      </c>
      <c r="X3" s="18" t="n">
        <v>11669</v>
      </c>
      <c r="Y3" s="18" t="n">
        <v>10979</v>
      </c>
      <c r="Z3" s="18" t="n">
        <v>10365</v>
      </c>
      <c r="AA3" s="18" t="n">
        <v>11271</v>
      </c>
      <c r="AB3" s="18" t="n">
        <v>12252</v>
      </c>
      <c r="AC3" s="18" t="n">
        <v>10599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2114</v>
      </c>
      <c r="C5" s="18" t="n">
        <v>2118</v>
      </c>
      <c r="D5" s="18" t="n">
        <v>2113</v>
      </c>
      <c r="E5" s="18" t="n">
        <v>2297</v>
      </c>
      <c r="F5" s="18" t="n">
        <v>2080</v>
      </c>
      <c r="G5" s="18" t="n">
        <v>2766</v>
      </c>
      <c r="H5" s="18" t="n">
        <v>3489</v>
      </c>
      <c r="I5" s="18" t="n">
        <v>3432</v>
      </c>
      <c r="J5" s="18" t="n">
        <v>3404</v>
      </c>
      <c r="K5" s="18" t="n">
        <v>3937</v>
      </c>
      <c r="L5" s="18" t="n">
        <v>4303</v>
      </c>
      <c r="M5" s="18" t="n">
        <v>4648</v>
      </c>
      <c r="N5" s="18" t="n">
        <v>4816</v>
      </c>
      <c r="O5" s="18" t="n">
        <v>4868</v>
      </c>
      <c r="P5" s="18" t="n">
        <v>4044</v>
      </c>
      <c r="Q5" s="18" t="n">
        <v>4153</v>
      </c>
      <c r="R5" s="18" t="n">
        <v>3792</v>
      </c>
      <c r="S5" s="18" t="n">
        <v>3880</v>
      </c>
      <c r="T5" s="18" t="n">
        <v>4312</v>
      </c>
      <c r="U5" s="18" t="n">
        <v>4106</v>
      </c>
      <c r="V5" s="18" t="n">
        <v>4174</v>
      </c>
      <c r="W5" s="18" t="n">
        <v>4467</v>
      </c>
      <c r="X5" s="18" t="n">
        <v>5161</v>
      </c>
      <c r="Y5" s="18" t="n">
        <v>4937</v>
      </c>
      <c r="Z5" s="18" t="n">
        <v>4606</v>
      </c>
      <c r="AA5" s="18" t="n">
        <v>5034</v>
      </c>
      <c r="AB5" s="18" t="n">
        <v>5568</v>
      </c>
      <c r="AC5" s="18" t="n">
        <v>4900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1380</v>
      </c>
      <c r="C7" s="18" t="n">
        <v>1441</v>
      </c>
      <c r="D7" s="18" t="n">
        <v>1406</v>
      </c>
      <c r="E7" s="18" t="n">
        <v>1468</v>
      </c>
      <c r="F7" s="18" t="n">
        <v>1520</v>
      </c>
      <c r="G7" s="18" t="n">
        <v>1583</v>
      </c>
      <c r="H7" s="18" t="n">
        <v>1653</v>
      </c>
      <c r="I7" s="18" t="n">
        <v>1780</v>
      </c>
      <c r="J7" s="18" t="n">
        <v>1864</v>
      </c>
      <c r="K7" s="18" t="n">
        <v>1878</v>
      </c>
      <c r="L7" s="18" t="n">
        <v>1930</v>
      </c>
      <c r="M7" s="18" t="n">
        <v>2034</v>
      </c>
      <c r="N7" s="18" t="n">
        <v>2052</v>
      </c>
      <c r="O7" s="18" t="n">
        <v>2178</v>
      </c>
      <c r="P7" s="18" t="n">
        <v>2251</v>
      </c>
      <c r="Q7" s="18" t="n">
        <v>2210</v>
      </c>
      <c r="R7" s="18" t="n">
        <v>2222</v>
      </c>
      <c r="S7" s="18" t="n">
        <v>2135</v>
      </c>
      <c r="T7" s="18" t="n">
        <v>2096</v>
      </c>
      <c r="U7" s="18" t="n">
        <v>2236</v>
      </c>
      <c r="V7" s="18" t="n">
        <v>2259</v>
      </c>
      <c r="W7" s="18" t="n">
        <v>2302</v>
      </c>
      <c r="X7" s="18" t="n">
        <v>2230</v>
      </c>
      <c r="Y7" s="18" t="n">
        <v>2216</v>
      </c>
      <c r="Z7" s="18" t="n">
        <v>2226</v>
      </c>
      <c r="AA7" s="18" t="n">
        <v>2370</v>
      </c>
      <c r="AB7" s="18" t="n">
        <v>2453</v>
      </c>
      <c r="AC7" s="18" t="n">
        <v>2463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547</v>
      </c>
      <c r="C9" s="18" t="n">
        <v>548</v>
      </c>
      <c r="D9" s="18" t="n">
        <v>528</v>
      </c>
      <c r="E9" s="18" t="n">
        <v>483</v>
      </c>
      <c r="F9" s="18" t="n">
        <v>511</v>
      </c>
      <c r="G9" s="18" t="n">
        <v>551</v>
      </c>
      <c r="H9" s="18" t="n">
        <v>567</v>
      </c>
      <c r="I9" s="18" t="n">
        <v>557</v>
      </c>
      <c r="J9" s="18" t="n">
        <v>597</v>
      </c>
      <c r="K9" s="18" t="n">
        <v>619</v>
      </c>
      <c r="L9" s="18" t="n">
        <v>608</v>
      </c>
      <c r="M9" s="18" t="n">
        <v>624</v>
      </c>
      <c r="N9" s="18" t="n">
        <v>655</v>
      </c>
      <c r="O9" s="18" t="n">
        <v>683</v>
      </c>
      <c r="P9" s="18" t="n">
        <v>623</v>
      </c>
      <c r="Q9" s="18" t="n">
        <v>614</v>
      </c>
      <c r="R9" s="18" t="n">
        <v>618</v>
      </c>
      <c r="S9" s="18" t="n">
        <v>628</v>
      </c>
      <c r="T9" s="18" t="n">
        <v>627</v>
      </c>
      <c r="U9" s="18" t="n">
        <v>707</v>
      </c>
      <c r="V9" s="18" t="n">
        <v>664</v>
      </c>
      <c r="W9" s="18" t="n">
        <v>761</v>
      </c>
      <c r="X9" s="18" t="n">
        <v>723</v>
      </c>
      <c r="Y9" s="18" t="n">
        <v>706</v>
      </c>
      <c r="Z9" s="18" t="n">
        <v>771</v>
      </c>
      <c r="AA9" s="18" t="n">
        <v>910</v>
      </c>
      <c r="AB9" s="18" t="n">
        <v>865</v>
      </c>
      <c r="AC9" s="18" t="n">
        <v>898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7521</v>
      </c>
      <c r="C11" s="18" t="n">
        <v>2696</v>
      </c>
      <c r="D11" s="18" t="n">
        <v>2964</v>
      </c>
      <c r="E11" s="18" t="n">
        <v>2919</v>
      </c>
      <c r="F11" s="18" t="n">
        <v>2813</v>
      </c>
      <c r="G11" s="18" t="n">
        <v>5580</v>
      </c>
      <c r="H11" s="18" t="n">
        <v>4746</v>
      </c>
      <c r="I11" s="18" t="n">
        <v>4503</v>
      </c>
      <c r="J11" s="18" t="n">
        <v>4656</v>
      </c>
      <c r="K11" s="18" t="n">
        <v>5399</v>
      </c>
      <c r="L11" s="18" t="n">
        <v>6402</v>
      </c>
      <c r="M11" s="18" t="n">
        <v>6516</v>
      </c>
      <c r="N11" s="18" t="n">
        <v>6120</v>
      </c>
      <c r="O11" s="18" t="n">
        <v>6527</v>
      </c>
      <c r="P11" s="18" t="n">
        <v>5419</v>
      </c>
      <c r="Q11" s="18" t="n">
        <v>5122</v>
      </c>
      <c r="R11" s="18" t="n">
        <v>4659</v>
      </c>
      <c r="S11" s="18" t="n">
        <v>4751</v>
      </c>
      <c r="T11" s="18" t="n">
        <v>5623</v>
      </c>
      <c r="U11" s="18" t="n">
        <v>5283</v>
      </c>
      <c r="V11" s="18" t="n">
        <v>5219</v>
      </c>
      <c r="W11" s="18" t="n">
        <v>5777</v>
      </c>
      <c r="X11" s="18" t="n">
        <v>6508</v>
      </c>
      <c r="Y11" s="18" t="n">
        <v>6042</v>
      </c>
      <c r="Z11" s="18" t="n">
        <v>5759</v>
      </c>
      <c r="AA11" s="18" t="n">
        <v>6237</v>
      </c>
      <c r="AB11" s="18" t="n">
        <v>6684</v>
      </c>
      <c r="AC11" s="18" t="n">
        <v>5699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5317</v>
      </c>
      <c r="C13" s="18" t="n">
        <v>701</v>
      </c>
      <c r="D13" s="18" t="n">
        <v>1030</v>
      </c>
      <c r="E13" s="18" t="n">
        <v>991</v>
      </c>
      <c r="F13" s="18" t="n">
        <v>782</v>
      </c>
      <c r="G13" s="18" t="n">
        <v>3452</v>
      </c>
      <c r="H13" s="18" t="n">
        <v>2526</v>
      </c>
      <c r="I13" s="18" t="n">
        <v>2166</v>
      </c>
      <c r="J13" s="18" t="n">
        <v>2195</v>
      </c>
      <c r="K13" s="18" t="n">
        <v>2902</v>
      </c>
      <c r="L13" s="18" t="n">
        <v>3864</v>
      </c>
      <c r="M13" s="18" t="n">
        <v>3858</v>
      </c>
      <c r="N13" s="18" t="n">
        <v>4472</v>
      </c>
      <c r="O13" s="18" t="n">
        <v>3666</v>
      </c>
      <c r="P13" s="18" t="n">
        <v>2465</v>
      </c>
      <c r="Q13" s="18" t="n">
        <v>2090</v>
      </c>
      <c r="R13" s="18" t="n">
        <v>1823</v>
      </c>
      <c r="S13" s="18" t="n">
        <v>1410</v>
      </c>
      <c r="T13" s="18" t="n">
        <v>2928</v>
      </c>
      <c r="U13" s="18" t="n">
        <v>2340</v>
      </c>
      <c r="V13" s="18" t="n">
        <v>2221</v>
      </c>
      <c r="W13" s="18" t="n">
        <v>2582</v>
      </c>
      <c r="X13" s="18" t="n">
        <v>3555</v>
      </c>
      <c r="Y13" s="18" t="n">
        <v>3120</v>
      </c>
      <c r="Z13" s="18" t="n">
        <v>2762</v>
      </c>
      <c r="AA13" s="18" t="n">
        <v>2918</v>
      </c>
      <c r="AB13" s="18" t="n">
        <v>3366</v>
      </c>
      <c r="AC13" s="18" t="n">
        <v>2309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2149</v>
      </c>
      <c r="C15" s="18" t="n">
        <v>506</v>
      </c>
      <c r="D15" s="18" t="n">
        <v>925</v>
      </c>
      <c r="E15" s="18" t="n">
        <v>468</v>
      </c>
      <c r="F15" s="18" t="n">
        <v>845</v>
      </c>
      <c r="G15" s="18" t="n">
        <v>2960</v>
      </c>
      <c r="H15" s="18" t="n">
        <v>2455</v>
      </c>
      <c r="I15" s="18" t="n">
        <v>1762</v>
      </c>
      <c r="J15" s="18" t="n">
        <v>2027</v>
      </c>
      <c r="K15" s="18" t="n">
        <v>2798</v>
      </c>
      <c r="L15" s="18" t="n">
        <v>3399</v>
      </c>
      <c r="M15" s="18" t="n">
        <v>2934</v>
      </c>
      <c r="N15" s="18" t="n">
        <v>3730</v>
      </c>
      <c r="O15" s="18" t="n">
        <v>2873</v>
      </c>
      <c r="P15" s="18" t="n">
        <v>2235</v>
      </c>
      <c r="Q15" s="18" t="n">
        <v>1704</v>
      </c>
      <c r="R15" s="18" t="n">
        <v>1803</v>
      </c>
      <c r="S15" s="18" t="n">
        <v>1490</v>
      </c>
      <c r="T15" s="18" t="n">
        <v>2767</v>
      </c>
      <c r="U15" s="18" t="n">
        <v>2326</v>
      </c>
      <c r="V15" s="18" t="n">
        <v>2129</v>
      </c>
      <c r="W15" s="18" t="n">
        <v>2920</v>
      </c>
      <c r="X15" s="18" t="n">
        <v>3180</v>
      </c>
      <c r="Y15" s="18" t="n">
        <v>2812</v>
      </c>
      <c r="Z15" s="18" t="n">
        <v>2666</v>
      </c>
      <c r="AA15" s="18" t="n">
        <v>-3117</v>
      </c>
      <c r="AB15" s="18" t="n">
        <v>3004</v>
      </c>
      <c r="AC15" s="18" t="n">
        <v>7370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1231</v>
      </c>
      <c r="C17" s="18" t="n">
        <v>1211</v>
      </c>
      <c r="D17" s="18" t="n">
        <v>1159</v>
      </c>
      <c r="E17" s="18" t="n">
        <v>1151</v>
      </c>
      <c r="F17" s="18" t="n">
        <v>1139</v>
      </c>
      <c r="G17" s="18" t="n">
        <v>1148</v>
      </c>
      <c r="H17" s="18" t="n">
        <v>1156</v>
      </c>
      <c r="I17" s="18" t="n">
        <v>1151</v>
      </c>
      <c r="J17" s="18" t="n">
        <v>1145</v>
      </c>
      <c r="K17" s="18" t="n">
        <v>1144</v>
      </c>
      <c r="L17" s="18" t="n">
        <v>1142</v>
      </c>
      <c r="M17" s="18" t="n">
        <v>1140</v>
      </c>
      <c r="N17" s="18" t="n">
        <v>1134</v>
      </c>
      <c r="O17" s="18" t="n">
        <v>1131</v>
      </c>
      <c r="P17" s="18" t="n">
        <v>1131</v>
      </c>
      <c r="Q17" s="18" t="n">
        <v>1123</v>
      </c>
      <c r="R17" s="18" t="n">
        <v>1124</v>
      </c>
      <c r="S17" s="18" t="n">
        <v>1125</v>
      </c>
      <c r="T17" s="18" t="n">
        <v>1127</v>
      </c>
      <c r="U17" s="18" t="n">
        <v>1130</v>
      </c>
      <c r="V17" s="18" t="n">
        <v>1134</v>
      </c>
      <c r="W17" s="18" t="n">
        <v>1130</v>
      </c>
      <c r="X17" s="18" t="n">
        <v>1122</v>
      </c>
      <c r="Y17" s="18" t="n">
        <v>1115</v>
      </c>
      <c r="Z17" s="18" t="n">
        <v>1099</v>
      </c>
      <c r="AA17" s="18" t="n">
        <v>1105</v>
      </c>
      <c r="AB17" s="18" t="n">
        <v>1079</v>
      </c>
      <c r="AC17" s="18" t="n">
        <v>1072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QCT</t>
        </is>
      </c>
      <c r="B19" s="18" t="n">
        <v>3567</v>
      </c>
      <c r="C19" s="18" t="n">
        <v>3611</v>
      </c>
      <c r="D19" s="18" t="n">
        <v>3618</v>
      </c>
      <c r="E19" s="18" t="n">
        <v>4100</v>
      </c>
      <c r="F19" s="18" t="n">
        <v>3807</v>
      </c>
      <c r="G19" s="18" t="n">
        <v>4968</v>
      </c>
      <c r="H19" s="18" t="n">
        <v>6533</v>
      </c>
      <c r="I19" s="18" t="n">
        <v>6281</v>
      </c>
      <c r="J19" s="18" t="n">
        <v>6472</v>
      </c>
      <c r="K19" s="18" t="n">
        <v>7733</v>
      </c>
      <c r="L19" s="18" t="n">
        <v>8847</v>
      </c>
      <c r="M19" s="18" t="n">
        <v>9548</v>
      </c>
      <c r="N19" s="18" t="n">
        <v>9378</v>
      </c>
      <c r="O19" s="18" t="n">
        <v>9904</v>
      </c>
      <c r="P19" s="18" t="n">
        <v>7892</v>
      </c>
      <c r="Q19" s="18" t="n">
        <v>7942</v>
      </c>
      <c r="R19" s="18" t="n">
        <v>7174</v>
      </c>
      <c r="S19" s="18" t="n">
        <v>7374</v>
      </c>
      <c r="T19" s="18" t="n">
        <v>8423</v>
      </c>
      <c r="U19" s="18" t="n">
        <v>8026</v>
      </c>
      <c r="V19" s="18" t="n">
        <v>8069</v>
      </c>
      <c r="W19" s="18" t="n">
        <v>8678</v>
      </c>
      <c r="X19" s="18" t="n">
        <v>10084</v>
      </c>
      <c r="Y19" s="18" t="n">
        <v>9469</v>
      </c>
      <c r="Z19" s="18" t="n">
        <v>8993</v>
      </c>
      <c r="AA19" s="18" t="n">
        <v>9821</v>
      </c>
      <c r="AB19" s="18" t="n">
        <v>10613</v>
      </c>
      <c r="AC19" s="18" t="n">
        <v>9076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QTL</t>
        </is>
      </c>
      <c r="B22" s="18" t="n">
        <v>1292</v>
      </c>
      <c r="C22" s="18" t="n">
        <v>1159</v>
      </c>
      <c r="D22" s="18" t="n">
        <v>1404</v>
      </c>
      <c r="E22" s="18" t="n">
        <v>1072</v>
      </c>
      <c r="F22" s="18" t="n">
        <v>1044</v>
      </c>
      <c r="G22" s="18" t="n">
        <v>1508</v>
      </c>
      <c r="H22" s="18" t="n">
        <v>1660</v>
      </c>
      <c r="I22" s="18" t="n">
        <v>1614</v>
      </c>
      <c r="J22" s="18" t="n">
        <v>1489</v>
      </c>
      <c r="K22" s="18" t="n">
        <v>1557</v>
      </c>
      <c r="L22" s="18" t="n">
        <v>1818</v>
      </c>
      <c r="M22" s="18" t="n">
        <v>1580</v>
      </c>
      <c r="N22" s="18" t="n">
        <v>1519</v>
      </c>
      <c r="O22" s="18" t="n">
        <v>1441</v>
      </c>
      <c r="P22" s="18" t="n">
        <v>1524</v>
      </c>
      <c r="Q22" s="18" t="n">
        <v>1290</v>
      </c>
      <c r="R22" s="18" t="n">
        <v>1230</v>
      </c>
      <c r="S22" s="18" t="n">
        <v>1262</v>
      </c>
      <c r="T22" s="18" t="n">
        <v>1460</v>
      </c>
      <c r="U22" s="18" t="n">
        <v>1318</v>
      </c>
      <c r="V22" s="18" t="n">
        <v>1273</v>
      </c>
      <c r="W22" s="18" t="n">
        <v>1521</v>
      </c>
      <c r="X22" s="18" t="n">
        <v>1535</v>
      </c>
      <c r="Y22" s="18" t="n">
        <v>1319</v>
      </c>
      <c r="Z22" s="18" t="n">
        <v>1318</v>
      </c>
      <c r="AA22" s="18" t="n">
        <v>1410</v>
      </c>
      <c r="AB22" s="18" t="n">
        <v>1592</v>
      </c>
      <c r="AC22" s="18" t="n">
        <v>1382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5" t="inlineStr">
        <is>
          <t xml:space="preserve">  BALANCE SHEET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Cash &amp; ST Investments</t>
        </is>
      </c>
      <c r="B26" s="18" t="n">
        <v>14358</v>
      </c>
      <c r="C26" s="18" t="n">
        <v>12260</v>
      </c>
      <c r="D26" s="18" t="n">
        <v>11423</v>
      </c>
      <c r="E26" s="18" t="n">
        <v>9946</v>
      </c>
      <c r="F26" s="18" t="n">
        <v>10600</v>
      </c>
      <c r="G26" s="18" t="n">
        <v>11214</v>
      </c>
      <c r="H26" s="18" t="n">
        <v>12298</v>
      </c>
      <c r="I26" s="18" t="n">
        <v>11526</v>
      </c>
      <c r="J26" s="18" t="n">
        <v>12907</v>
      </c>
      <c r="K26" s="18" t="n">
        <v>12414</v>
      </c>
      <c r="L26" s="18" t="n">
        <v>11310</v>
      </c>
      <c r="M26" s="18" t="n">
        <v>11546</v>
      </c>
      <c r="N26" s="18" t="n">
        <v>6848</v>
      </c>
      <c r="O26" s="18" t="n">
        <v>6382</v>
      </c>
      <c r="P26" s="18" t="n">
        <v>8238</v>
      </c>
      <c r="Q26" s="18" t="n">
        <v>6676</v>
      </c>
      <c r="R26" s="18" t="n">
        <v>8631</v>
      </c>
      <c r="S26" s="18" t="n">
        <v>11324</v>
      </c>
      <c r="T26" s="18" t="n">
        <v>12054</v>
      </c>
      <c r="U26" s="18" t="n">
        <v>13851</v>
      </c>
      <c r="V26" s="18" t="n">
        <v>13032</v>
      </c>
      <c r="W26" s="18" t="n">
        <v>13300</v>
      </c>
      <c r="X26" s="18" t="n">
        <v>14305</v>
      </c>
      <c r="Y26" s="18" t="n">
        <v>13846</v>
      </c>
      <c r="Z26" s="18" t="n">
        <v>10011</v>
      </c>
      <c r="AA26" s="18" t="n">
        <v>12478</v>
      </c>
      <c r="AB26" s="18" t="n">
        <v>11822</v>
      </c>
      <c r="AC26" s="18" t="n">
        <v>9799</v>
      </c>
    </row>
    <row r="27">
      <c r="A27" s="4" t="inlineStr">
        <is>
          <t>Total Current Assets</t>
        </is>
      </c>
      <c r="B27" s="18" t="n">
        <v>19204</v>
      </c>
      <c r="C27" s="18" t="n">
        <v>16765</v>
      </c>
      <c r="D27" s="18" t="n">
        <v>16205</v>
      </c>
      <c r="E27" s="18" t="n">
        <v>15313</v>
      </c>
      <c r="F27" s="18" t="n">
        <v>15558</v>
      </c>
      <c r="G27" s="18" t="n">
        <v>18519</v>
      </c>
      <c r="H27" s="18" t="n">
        <v>19792</v>
      </c>
      <c r="I27" s="18" t="n">
        <v>18299</v>
      </c>
      <c r="J27" s="18" t="n">
        <v>19693</v>
      </c>
      <c r="K27" s="18" t="n">
        <v>20075</v>
      </c>
      <c r="L27" s="18" t="n">
        <v>20222</v>
      </c>
      <c r="M27" s="18" t="n">
        <v>21610</v>
      </c>
      <c r="N27" s="18" t="n">
        <v>18999</v>
      </c>
      <c r="O27" s="18" t="n">
        <v>20724</v>
      </c>
      <c r="P27" s="18" t="n">
        <v>21098</v>
      </c>
      <c r="Q27" s="18" t="n">
        <v>19073</v>
      </c>
      <c r="R27" s="18" t="n">
        <v>20476</v>
      </c>
      <c r="S27" s="18" t="n">
        <v>22464</v>
      </c>
      <c r="T27" s="18" t="n">
        <v>23439</v>
      </c>
      <c r="U27" s="18" t="n">
        <v>24232</v>
      </c>
      <c r="V27" s="18" t="n">
        <v>23332</v>
      </c>
      <c r="W27" s="18" t="n">
        <v>25231</v>
      </c>
      <c r="X27" s="18" t="n">
        <v>26065</v>
      </c>
      <c r="Y27" s="18" t="n">
        <v>26080</v>
      </c>
      <c r="Z27" s="18" t="n">
        <v>24913</v>
      </c>
      <c r="AA27" s="18" t="n">
        <v>25754</v>
      </c>
      <c r="AB27" s="18" t="n">
        <v>24608</v>
      </c>
      <c r="AC27" s="18" t="n">
        <v>23112</v>
      </c>
    </row>
    <row r="28">
      <c r="A28" s="4" t="inlineStr">
        <is>
          <t>PP&amp;E (net)</t>
        </is>
      </c>
      <c r="B28" s="18" t="n">
        <v>3037</v>
      </c>
      <c r="C28" s="18" t="n">
        <v>3081</v>
      </c>
      <c r="D28" s="18" t="n">
        <v>3171</v>
      </c>
      <c r="E28" s="18" t="n">
        <v>3358</v>
      </c>
      <c r="F28" s="18" t="n">
        <v>3487</v>
      </c>
      <c r="G28" s="18" t="n">
        <v>3711</v>
      </c>
      <c r="H28" s="18" t="n">
        <v>4033</v>
      </c>
      <c r="I28" s="18" t="n">
        <v>4186</v>
      </c>
      <c r="J28" s="18" t="n">
        <v>4424</v>
      </c>
      <c r="K28" s="18" t="n">
        <v>4559</v>
      </c>
      <c r="L28" s="18" t="n">
        <v>4723</v>
      </c>
      <c r="M28" s="18" t="n">
        <v>4893</v>
      </c>
      <c r="N28" s="18" t="n">
        <v>5038</v>
      </c>
      <c r="O28" s="18" t="n">
        <v>5168</v>
      </c>
      <c r="P28" s="18" t="n">
        <v>5215</v>
      </c>
      <c r="Q28" s="18" t="n">
        <v>5281</v>
      </c>
      <c r="R28" s="18" t="n">
        <v>5216</v>
      </c>
      <c r="S28" s="18" t="n">
        <v>5042</v>
      </c>
      <c r="T28" s="18" t="n">
        <v>4907</v>
      </c>
      <c r="U28" s="18" t="n">
        <v>4724</v>
      </c>
      <c r="V28" s="18" t="n">
        <v>4744</v>
      </c>
      <c r="W28" s="18" t="n">
        <v>4665</v>
      </c>
      <c r="X28" s="18" t="n">
        <v>4460</v>
      </c>
      <c r="Y28" s="18" t="n">
        <v>4410</v>
      </c>
      <c r="Z28" s="18" t="n">
        <v>4496</v>
      </c>
      <c r="AA28" s="18" t="n">
        <v>4690</v>
      </c>
      <c r="AB28" s="18" t="n">
        <v>4893</v>
      </c>
      <c r="AC28" s="18" t="n">
        <v>5071</v>
      </c>
    </row>
    <row r="29">
      <c r="A29" s="4" t="inlineStr">
        <is>
          <t>Total Assets</t>
        </is>
      </c>
      <c r="B29" s="18" t="n">
        <v>34133</v>
      </c>
      <c r="C29" s="18" t="n">
        <v>32957</v>
      </c>
      <c r="D29" s="18" t="n">
        <v>33111</v>
      </c>
      <c r="E29" s="18" t="n">
        <v>31938</v>
      </c>
      <c r="F29" s="18" t="n">
        <v>32328</v>
      </c>
      <c r="G29" s="18" t="n">
        <v>35594</v>
      </c>
      <c r="H29" s="18" t="n">
        <v>37479</v>
      </c>
      <c r="I29" s="18" t="n">
        <v>37168</v>
      </c>
      <c r="J29" s="18" t="n">
        <v>38769</v>
      </c>
      <c r="K29" s="18" t="n">
        <v>41240</v>
      </c>
      <c r="L29" s="18" t="n">
        <v>42820</v>
      </c>
      <c r="M29" s="18" t="n">
        <v>44302</v>
      </c>
      <c r="N29" s="18" t="n">
        <v>47020</v>
      </c>
      <c r="O29" s="18" t="n">
        <v>49014</v>
      </c>
      <c r="P29" s="18" t="n">
        <v>50014</v>
      </c>
      <c r="Q29" s="18" t="n">
        <v>48362</v>
      </c>
      <c r="R29" s="18" t="n">
        <v>49002</v>
      </c>
      <c r="S29" s="18" t="n">
        <v>51040</v>
      </c>
      <c r="T29" s="18" t="n">
        <v>52135</v>
      </c>
      <c r="U29" s="18" t="n">
        <v>53167</v>
      </c>
      <c r="V29" s="18" t="n">
        <v>52741</v>
      </c>
      <c r="W29" s="18" t="n">
        <v>55154</v>
      </c>
      <c r="X29" s="18" t="n">
        <v>55575</v>
      </c>
      <c r="Y29" s="18" t="n">
        <v>55372</v>
      </c>
      <c r="Z29" s="18" t="n">
        <v>54862</v>
      </c>
      <c r="AA29" s="18" t="n">
        <v>50143</v>
      </c>
      <c r="AB29" s="18" t="n">
        <v>53034</v>
      </c>
      <c r="AC29" s="18" t="n">
        <v>57136</v>
      </c>
    </row>
    <row r="30">
      <c r="A30" s="4" t="inlineStr">
        <is>
          <t>Total Current Liabilities</t>
        </is>
      </c>
      <c r="B30" s="18" t="n">
        <v>10853</v>
      </c>
      <c r="C30" s="18" t="n">
        <v>8935</v>
      </c>
      <c r="D30" s="18" t="n">
        <v>9194</v>
      </c>
      <c r="E30" s="18" t="n">
        <v>9774</v>
      </c>
      <c r="F30" s="18" t="n">
        <v>7914</v>
      </c>
      <c r="G30" s="18" t="n">
        <v>8672</v>
      </c>
      <c r="H30" s="18" t="n">
        <v>9223</v>
      </c>
      <c r="I30" s="18" t="n">
        <v>9070</v>
      </c>
      <c r="J30" s="18" t="n">
        <v>11460</v>
      </c>
      <c r="K30" s="18" t="n">
        <v>11951</v>
      </c>
      <c r="L30" s="18" t="n">
        <v>12273</v>
      </c>
      <c r="M30" s="18" t="n">
        <v>13432</v>
      </c>
      <c r="N30" s="18" t="n">
        <v>11829</v>
      </c>
      <c r="O30" s="18" t="n">
        <v>11866</v>
      </c>
      <c r="P30" s="18" t="n">
        <v>10081</v>
      </c>
      <c r="Q30" s="18" t="n">
        <v>7866</v>
      </c>
      <c r="R30" s="18" t="n">
        <v>8463</v>
      </c>
      <c r="S30" s="18" t="n">
        <v>9628</v>
      </c>
      <c r="T30" s="18" t="n">
        <v>9169</v>
      </c>
      <c r="U30" s="18" t="n">
        <v>9143</v>
      </c>
      <c r="V30" s="18" t="n">
        <v>9747</v>
      </c>
      <c r="W30" s="18" t="n">
        <v>10504</v>
      </c>
      <c r="X30" s="18" t="n">
        <v>9954</v>
      </c>
      <c r="Y30" s="18" t="n">
        <v>9544</v>
      </c>
      <c r="Z30" s="18" t="n">
        <v>7800</v>
      </c>
      <c r="AA30" s="18" t="n">
        <v>9144</v>
      </c>
      <c r="AB30" s="18" t="n">
        <v>9822</v>
      </c>
      <c r="AC30" s="18" t="n">
        <v>9767</v>
      </c>
    </row>
    <row r="31">
      <c r="A31" s="4" t="inlineStr">
        <is>
          <t>Long-term Debt</t>
        </is>
      </c>
      <c r="B31" s="18" t="n">
        <v>13426</v>
      </c>
      <c r="C31" s="18" t="n">
        <v>13437</v>
      </c>
      <c r="D31" s="18" t="n">
        <v>13437</v>
      </c>
      <c r="E31" s="18" t="n">
        <v>13449</v>
      </c>
      <c r="F31" s="18" t="n">
        <v>15425</v>
      </c>
      <c r="G31" s="18" t="n">
        <v>15226</v>
      </c>
      <c r="H31" s="18" t="n">
        <v>15231</v>
      </c>
      <c r="I31" s="18" t="n">
        <v>15235</v>
      </c>
      <c r="J31" s="18" t="n">
        <v>13695</v>
      </c>
      <c r="K31" s="18" t="n">
        <v>13701</v>
      </c>
      <c r="L31" s="18" t="n">
        <v>13708</v>
      </c>
      <c r="M31" s="18" t="n">
        <v>12195</v>
      </c>
      <c r="N31" s="18" t="n">
        <v>13600</v>
      </c>
      <c r="O31" s="18" t="n">
        <v>13537</v>
      </c>
      <c r="P31" s="18" t="n">
        <v>15431</v>
      </c>
      <c r="Q31" s="18" t="n">
        <v>15486</v>
      </c>
      <c r="R31" s="18" t="n">
        <v>14530</v>
      </c>
      <c r="S31" s="18" t="n">
        <v>14484</v>
      </c>
      <c r="T31" s="18" t="n">
        <v>14566</v>
      </c>
      <c r="U31" s="18" t="n">
        <v>14543</v>
      </c>
      <c r="V31" s="18" t="n">
        <v>13190</v>
      </c>
      <c r="W31" s="18" t="n">
        <v>13270</v>
      </c>
      <c r="X31" s="18" t="n">
        <v>13212</v>
      </c>
      <c r="Y31" s="18" t="n">
        <v>13258</v>
      </c>
      <c r="Z31" s="18" t="n">
        <v>14788</v>
      </c>
      <c r="AA31" s="18" t="n">
        <v>15541</v>
      </c>
      <c r="AB31" s="18" t="n">
        <v>14817</v>
      </c>
      <c r="AC31" s="18" t="n">
        <v>14772</v>
      </c>
    </row>
    <row r="32">
      <c r="A32" s="4" t="inlineStr">
        <is>
          <t>Total Equity</t>
        </is>
      </c>
      <c r="B32" s="18" t="n">
        <v>5463</v>
      </c>
      <c r="C32" s="18" t="n">
        <v>4909</v>
      </c>
      <c r="D32" s="18" t="n">
        <v>4513</v>
      </c>
      <c r="E32" s="18" t="n">
        <v>3045</v>
      </c>
      <c r="F32" s="18" t="n">
        <v>3306</v>
      </c>
      <c r="G32" s="18" t="n">
        <v>6077</v>
      </c>
      <c r="H32" s="18" t="n">
        <v>7380</v>
      </c>
      <c r="I32" s="18" t="n">
        <v>7424</v>
      </c>
      <c r="J32" s="18" t="n">
        <v>8177</v>
      </c>
      <c r="K32" s="18" t="n">
        <v>9950</v>
      </c>
      <c r="L32" s="18" t="n">
        <v>11333</v>
      </c>
      <c r="M32" s="18" t="n">
        <v>13328</v>
      </c>
      <c r="N32" s="18" t="n">
        <v>16048</v>
      </c>
      <c r="O32" s="18" t="n">
        <v>18013</v>
      </c>
      <c r="P32" s="18" t="n">
        <v>18810</v>
      </c>
      <c r="Q32" s="18" t="n">
        <v>19698</v>
      </c>
      <c r="R32" s="18" t="n">
        <v>20670</v>
      </c>
      <c r="S32" s="18" t="n">
        <v>21581</v>
      </c>
      <c r="T32" s="18" t="n">
        <v>23058</v>
      </c>
      <c r="U32" s="18" t="n">
        <v>24469</v>
      </c>
      <c r="V32" s="18" t="n">
        <v>24670</v>
      </c>
      <c r="W32" s="18" t="n">
        <v>26274</v>
      </c>
      <c r="X32" s="18" t="n">
        <v>26880</v>
      </c>
      <c r="Y32" s="18" t="n">
        <v>27728</v>
      </c>
      <c r="Z32" s="18" t="n">
        <v>27209</v>
      </c>
      <c r="AA32" s="18" t="n">
        <v>21206</v>
      </c>
      <c r="AB32" s="18" t="n">
        <v>23073</v>
      </c>
      <c r="AC32" s="18" t="n">
        <v>27278</v>
      </c>
    </row>
    <row r="33">
      <c r="A33" s="5" t="inlineStr">
        <is>
          <t xml:space="preserve">  CASH FLOW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4" t="inlineStr">
        <is>
          <t>D&amp;A</t>
        </is>
      </c>
      <c r="B34" s="18" t="n">
        <v>353</v>
      </c>
      <c r="C34" s="18" t="n">
        <v>350</v>
      </c>
      <c r="D34" s="18" t="n">
        <v>351</v>
      </c>
      <c r="E34" s="18" t="n">
        <v>340</v>
      </c>
      <c r="F34" s="18" t="n">
        <v>363</v>
      </c>
      <c r="G34" s="18" t="n">
        <v>339</v>
      </c>
      <c r="H34" s="18" t="n">
        <v>364</v>
      </c>
      <c r="I34" s="18" t="n">
        <v>387</v>
      </c>
      <c r="J34" s="18" t="n">
        <v>406</v>
      </c>
      <c r="K34" s="18" t="n">
        <v>425</v>
      </c>
      <c r="L34" s="18" t="n">
        <v>406</v>
      </c>
      <c r="M34" s="18" t="n">
        <v>428</v>
      </c>
      <c r="N34" s="18" t="n">
        <v>438</v>
      </c>
      <c r="O34" s="18" t="n">
        <v>490</v>
      </c>
      <c r="P34" s="18" t="n">
        <v>398</v>
      </c>
      <c r="Q34" s="18" t="n">
        <v>470</v>
      </c>
      <c r="R34" s="18" t="n">
        <v>479</v>
      </c>
      <c r="S34" s="18" t="n">
        <v>462</v>
      </c>
      <c r="T34" s="18" t="n">
        <v>437</v>
      </c>
      <c r="U34" s="18" t="n">
        <v>411</v>
      </c>
      <c r="V34" s="18" t="n">
        <v>419</v>
      </c>
      <c r="W34" s="18" t="n">
        <v>439</v>
      </c>
      <c r="X34" s="18" t="n">
        <v>436</v>
      </c>
      <c r="Y34" s="18" t="n">
        <v>397</v>
      </c>
      <c r="Z34" s="18" t="n">
        <v>398</v>
      </c>
      <c r="AA34" s="18" t="n">
        <v>0</v>
      </c>
      <c r="AB34" s="18" t="n">
        <v>393</v>
      </c>
      <c r="AC34" s="18" t="n">
        <v>413</v>
      </c>
    </row>
    <row r="35">
      <c r="A35" s="4" t="inlineStr">
        <is>
          <t>Stock-based Compensation</t>
        </is>
      </c>
      <c r="B35" s="18" t="n">
        <v>246</v>
      </c>
      <c r="C35" s="18" t="n">
        <v>339</v>
      </c>
      <c r="D35" s="18" t="n">
        <v>294</v>
      </c>
      <c r="E35" s="18" t="n">
        <v>309</v>
      </c>
      <c r="F35" s="18" t="n">
        <v>296</v>
      </c>
      <c r="G35" s="18" t="n">
        <v>313</v>
      </c>
      <c r="H35" s="18" t="n">
        <v>392</v>
      </c>
      <c r="I35" s="18" t="n">
        <v>422</v>
      </c>
      <c r="J35" s="18" t="n">
        <v>424</v>
      </c>
      <c r="K35" s="18" t="n">
        <v>425</v>
      </c>
      <c r="L35" s="18" t="n">
        <v>496</v>
      </c>
      <c r="M35" s="18" t="n">
        <v>498</v>
      </c>
      <c r="N35" s="18" t="n">
        <v>516</v>
      </c>
      <c r="O35" s="18" t="n">
        <v>521</v>
      </c>
      <c r="P35" s="18" t="n">
        <v>634</v>
      </c>
      <c r="Q35" s="18" t="n">
        <v>628</v>
      </c>
      <c r="R35" s="18" t="n">
        <v>614</v>
      </c>
      <c r="S35" s="18" t="n">
        <v>608</v>
      </c>
      <c r="T35" s="18" t="n">
        <v>602</v>
      </c>
      <c r="U35" s="18" t="n">
        <v>705</v>
      </c>
      <c r="V35" s="18" t="n">
        <v>644</v>
      </c>
      <c r="W35" s="18" t="n">
        <v>697</v>
      </c>
      <c r="X35" s="18" t="n">
        <v>759</v>
      </c>
      <c r="Y35" s="18" t="n">
        <v>702</v>
      </c>
      <c r="Z35" s="18" t="n">
        <v>659</v>
      </c>
      <c r="AA35" s="18" t="n">
        <v>0</v>
      </c>
      <c r="AB35" s="18" t="n">
        <v>0</v>
      </c>
      <c r="AC35" s="18" t="n">
        <v>1749</v>
      </c>
    </row>
    <row r="36">
      <c r="A36" s="4" t="inlineStr">
        <is>
          <t>Change in Working Capital</t>
        </is>
      </c>
      <c r="B36" s="18" t="n">
        <v>-697</v>
      </c>
      <c r="C36" s="18" t="n">
        <v>319</v>
      </c>
      <c r="D36" s="18" t="n">
        <v>-288</v>
      </c>
      <c r="E36" s="18" t="n">
        <v>-61</v>
      </c>
      <c r="F36" s="18" t="n">
        <v>718</v>
      </c>
      <c r="G36" s="18" t="n">
        <v>-1976</v>
      </c>
      <c r="H36" s="18" t="n">
        <v>124</v>
      </c>
      <c r="I36" s="18" t="n">
        <v>748</v>
      </c>
      <c r="J36" s="18" t="n">
        <v>841</v>
      </c>
      <c r="K36" s="18" t="n">
        <v>-2174</v>
      </c>
      <c r="L36" s="18" t="n">
        <v>-2388</v>
      </c>
      <c r="M36" s="18" t="n">
        <v>-793</v>
      </c>
      <c r="N36" s="18" t="n">
        <v>-2154</v>
      </c>
      <c r="O36" s="18" t="n">
        <v>-2465</v>
      </c>
      <c r="P36" s="18" t="n">
        <v>-4</v>
      </c>
      <c r="Q36" s="18" t="n">
        <v>-929</v>
      </c>
      <c r="R36" s="18" t="n">
        <v>380</v>
      </c>
      <c r="S36" s="18" t="n">
        <v>1701</v>
      </c>
      <c r="T36" s="18" t="n">
        <v>189</v>
      </c>
      <c r="U36" s="18" t="n">
        <v>1168</v>
      </c>
      <c r="V36" s="18" t="n">
        <v>725</v>
      </c>
      <c r="W36" s="18" t="n">
        <v>-859</v>
      </c>
      <c r="X36" s="18" t="n">
        <v>33</v>
      </c>
      <c r="Y36" s="18" t="n">
        <v>-33</v>
      </c>
      <c r="Z36" s="18" t="n">
        <v>-22</v>
      </c>
      <c r="AA36" s="18" t="n">
        <v>645</v>
      </c>
      <c r="AB36" s="18" t="n">
        <v>594</v>
      </c>
      <c r="AC36" s="18" t="n">
        <v>-76</v>
      </c>
    </row>
    <row r="37">
      <c r="A37" s="4" t="inlineStr">
        <is>
          <t>Operating Cash Flow</t>
        </is>
      </c>
      <c r="B37" s="18" t="n">
        <v>4909</v>
      </c>
      <c r="C37" s="18" t="n">
        <v>1227</v>
      </c>
      <c r="D37" s="18" t="n">
        <v>1118</v>
      </c>
      <c r="E37" s="18" t="n">
        <v>1083</v>
      </c>
      <c r="F37" s="18" t="n">
        <v>1872</v>
      </c>
      <c r="G37" s="18" t="n">
        <v>1741</v>
      </c>
      <c r="H37" s="18" t="n">
        <v>3175</v>
      </c>
      <c r="I37" s="18" t="n">
        <v>2911</v>
      </c>
      <c r="J37" s="18" t="n">
        <v>3373</v>
      </c>
      <c r="K37" s="18" t="n">
        <v>1077</v>
      </c>
      <c r="L37" s="18" t="n">
        <v>2057</v>
      </c>
      <c r="M37" s="18" t="n">
        <v>2698</v>
      </c>
      <c r="N37" s="18" t="n">
        <v>2895</v>
      </c>
      <c r="O37" s="18" t="n">
        <v>1446</v>
      </c>
      <c r="P37" s="18" t="n">
        <v>3095</v>
      </c>
      <c r="Q37" s="18" t="n">
        <v>1457</v>
      </c>
      <c r="R37" s="18" t="n">
        <v>2657</v>
      </c>
      <c r="S37" s="18" t="n">
        <v>4090</v>
      </c>
      <c r="T37" s="18" t="n">
        <v>2949</v>
      </c>
      <c r="U37" s="18" t="n">
        <v>3554</v>
      </c>
      <c r="V37" s="18" t="n">
        <v>3052</v>
      </c>
      <c r="W37" s="18" t="n">
        <v>2647</v>
      </c>
      <c r="X37" s="18" t="n">
        <v>4587</v>
      </c>
      <c r="Y37" s="18" t="n">
        <v>2554</v>
      </c>
      <c r="Z37" s="18" t="n">
        <v>2875</v>
      </c>
      <c r="AA37" s="18" t="n">
        <v>3996</v>
      </c>
      <c r="AB37" s="18" t="n">
        <v>4965</v>
      </c>
      <c r="AC37" s="18" t="n">
        <v>2449</v>
      </c>
    </row>
    <row r="38">
      <c r="A38" s="4" t="inlineStr">
        <is>
          <t>Capex</t>
        </is>
      </c>
      <c r="B38" s="18" t="n">
        <v>-248</v>
      </c>
      <c r="C38" s="18" t="n">
        <v>-317</v>
      </c>
      <c r="D38" s="18" t="n">
        <v>-296</v>
      </c>
      <c r="E38" s="18" t="n">
        <v>-345</v>
      </c>
      <c r="F38" s="18" t="n">
        <v>-418</v>
      </c>
      <c r="G38" s="18" t="n">
        <v>-348</v>
      </c>
      <c r="H38" s="18" t="n">
        <v>-469</v>
      </c>
      <c r="I38" s="18" t="n">
        <v>-483</v>
      </c>
      <c r="J38" s="18" t="n">
        <v>-506</v>
      </c>
      <c r="K38" s="18" t="n">
        <v>-430</v>
      </c>
      <c r="L38" s="18" t="n">
        <v>-583</v>
      </c>
      <c r="M38" s="18" t="n">
        <v>-491</v>
      </c>
      <c r="N38" s="18" t="n">
        <v>-554</v>
      </c>
      <c r="O38" s="18" t="n">
        <v>-634</v>
      </c>
      <c r="P38" s="18" t="n">
        <v>-398</v>
      </c>
      <c r="Q38" s="18" t="n">
        <v>-453</v>
      </c>
      <c r="R38" s="18" t="n">
        <v>-306</v>
      </c>
      <c r="S38" s="18" t="n">
        <v>-293</v>
      </c>
      <c r="T38" s="18" t="n">
        <v>-214</v>
      </c>
      <c r="U38" s="18" t="n">
        <v>-184</v>
      </c>
      <c r="V38" s="18" t="n">
        <v>-387</v>
      </c>
      <c r="W38" s="18" t="n">
        <v>-256</v>
      </c>
      <c r="X38" s="18" t="n">
        <v>-277</v>
      </c>
      <c r="Y38" s="18" t="n">
        <v>-214</v>
      </c>
      <c r="Z38" s="18" t="n">
        <v>-294</v>
      </c>
      <c r="AA38" s="18" t="n">
        <v>-407</v>
      </c>
      <c r="AB38" s="18" t="n">
        <v>-549</v>
      </c>
      <c r="AC38" s="18" t="n">
        <v>-533</v>
      </c>
    </row>
    <row r="39">
      <c r="A39" s="4" t="inlineStr">
        <is>
          <t>Free Cash Flow</t>
        </is>
      </c>
      <c r="B39" s="18" t="n">
        <v>4661</v>
      </c>
      <c r="C39" s="18" t="n">
        <v>910</v>
      </c>
      <c r="D39" s="18" t="n">
        <v>822</v>
      </c>
      <c r="E39" s="18" t="n">
        <v>738</v>
      </c>
      <c r="F39" s="18" t="n">
        <v>1454</v>
      </c>
      <c r="G39" s="18" t="n">
        <v>1393</v>
      </c>
      <c r="H39" s="18" t="n">
        <v>2706</v>
      </c>
      <c r="I39" s="18" t="n">
        <v>2428</v>
      </c>
      <c r="J39" s="18" t="n">
        <v>2867</v>
      </c>
      <c r="K39" s="18" t="n">
        <v>647</v>
      </c>
      <c r="L39" s="18" t="n">
        <v>1474</v>
      </c>
      <c r="M39" s="18" t="n">
        <v>2207</v>
      </c>
      <c r="N39" s="18" t="n">
        <v>2341</v>
      </c>
      <c r="O39" s="18" t="n">
        <v>812</v>
      </c>
      <c r="P39" s="18" t="n">
        <v>2697</v>
      </c>
      <c r="Q39" s="18" t="n">
        <v>1004</v>
      </c>
      <c r="R39" s="18" t="n">
        <v>2351</v>
      </c>
      <c r="S39" s="18" t="n">
        <v>3797</v>
      </c>
      <c r="T39" s="18" t="n">
        <v>2735</v>
      </c>
      <c r="U39" s="18" t="n">
        <v>3370</v>
      </c>
      <c r="V39" s="18" t="n">
        <v>2665</v>
      </c>
      <c r="W39" s="18" t="n">
        <v>2391</v>
      </c>
      <c r="X39" s="18" t="n">
        <v>4310</v>
      </c>
      <c r="Y39" s="18" t="n">
        <v>2340</v>
      </c>
      <c r="Z39" s="18" t="n">
        <v>2581</v>
      </c>
      <c r="AA39" s="18" t="n">
        <v>3589</v>
      </c>
      <c r="AB39" s="18" t="n">
        <v>4416</v>
      </c>
      <c r="AC39" s="18" t="n">
        <v>1916</v>
      </c>
    </row>
    <row r="41">
      <c r="A41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</row>
    <row r="4">
      <c r="A4" s="3" t="inlineStr">
        <is>
          <t>Revenue — consensus</t>
        </is>
      </c>
      <c r="B4" s="18" t="n">
        <v>42507.139997</v>
      </c>
      <c r="C4" s="18" t="n">
        <v>42578.011376</v>
      </c>
      <c r="D4" s="18" t="n">
        <v>46426.003842</v>
      </c>
      <c r="E4" s="18" t="n">
        <v>55231.9</v>
      </c>
    </row>
    <row r="5">
      <c r="A5" s="4" t="inlineStr">
        <is>
          <t xml:space="preserve">  model</t>
        </is>
      </c>
      <c r="B5" s="33">
        <f>Model!G8</f>
        <v/>
      </c>
      <c r="C5" s="33">
        <f>Model!H8</f>
        <v/>
      </c>
      <c r="D5" s="33">
        <f>Model!I8</f>
        <v/>
      </c>
      <c r="E5" s="33">
        <f>Model!J8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</row>
    <row r="8">
      <c r="A8" s="3" t="inlineStr">
        <is>
          <t>EBITDA* — consensus</t>
        </is>
      </c>
      <c r="B8" s="18" t="n">
        <v>14204.033912</v>
      </c>
      <c r="C8" s="18" t="n">
        <v>14227.716039</v>
      </c>
      <c r="D8" s="18" t="n">
        <v>15513.547442</v>
      </c>
      <c r="E8" s="18" t="n">
        <v>18456.094216</v>
      </c>
    </row>
    <row r="9">
      <c r="A9" s="4" t="inlineStr">
        <is>
          <t xml:space="preserve">  model</t>
        </is>
      </c>
      <c r="B9" s="33">
        <f>Model!G21+Model!G26</f>
        <v/>
      </c>
      <c r="C9" s="33">
        <f>Model!H21+Model!H26</f>
        <v/>
      </c>
      <c r="D9" s="33">
        <f>Model!I21+Model!I26</f>
        <v/>
      </c>
      <c r="E9" s="33">
        <f>Model!J21+Model!J26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</row>
    <row r="12">
      <c r="A12" s="3" t="inlineStr">
        <is>
          <t>EBIT* — consensus</t>
        </is>
      </c>
      <c r="B12" s="18" t="n">
        <v>12355.316452</v>
      </c>
      <c r="C12" s="18" t="n">
        <v>12375.916246</v>
      </c>
      <c r="D12" s="18" t="n">
        <v>13494.391039</v>
      </c>
      <c r="E12" s="18" t="n">
        <v>16053.952414</v>
      </c>
    </row>
    <row r="13">
      <c r="A13" s="4" t="inlineStr">
        <is>
          <t xml:space="preserve">  model</t>
        </is>
      </c>
      <c r="B13" s="33">
        <f>Model!G21</f>
        <v/>
      </c>
      <c r="C13" s="33">
        <f>Model!H21</f>
        <v/>
      </c>
      <c r="D13" s="33">
        <f>Model!I21</f>
        <v/>
      </c>
      <c r="E13" s="33">
        <f>Model!J21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</row>
    <row r="16">
      <c r="A16" s="3" t="inlineStr">
        <is>
          <t>SG&amp;A — consensus</t>
        </is>
      </c>
      <c r="B16" s="18" t="n">
        <v>2875.08376</v>
      </c>
      <c r="C16" s="18" t="n">
        <v>2879.877335</v>
      </c>
      <c r="D16" s="18" t="n">
        <v>3140.146566</v>
      </c>
      <c r="E16" s="18" t="n">
        <v>3735.756834</v>
      </c>
    </row>
    <row r="17">
      <c r="A17" s="4" t="inlineStr">
        <is>
          <t xml:space="preserve">  model</t>
        </is>
      </c>
      <c r="B17" s="33">
        <f>Model!G16</f>
        <v/>
      </c>
      <c r="C17" s="33">
        <f>Model!H16</f>
        <v/>
      </c>
      <c r="D17" s="33">
        <f>Model!I16</f>
        <v/>
      </c>
      <c r="E17" s="33">
        <f>Model!J16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</row>
    <row r="20">
      <c r="A20" s="3" t="inlineStr">
        <is>
          <t>Net income (NOPAT) — consensus</t>
        </is>
      </c>
      <c r="B20" s="18" t="n">
        <v>12235.3003605</v>
      </c>
      <c r="C20" s="18" t="n">
        <v>12174.5143105</v>
      </c>
      <c r="D20" s="18" t="n">
        <v>13062.7409365</v>
      </c>
      <c r="E20" s="18" t="n">
        <v>16552.900014</v>
      </c>
    </row>
    <row r="21">
      <c r="A21" s="4" t="inlineStr">
        <is>
          <t xml:space="preserve">  model</t>
        </is>
      </c>
      <c r="B21" s="33">
        <f>Model!G25</f>
        <v/>
      </c>
      <c r="C21" s="33">
        <f>Model!H25</f>
        <v/>
      </c>
      <c r="D21" s="33">
        <f>Model!I25</f>
        <v/>
      </c>
      <c r="E21" s="33">
        <f>Model!J25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</row>
    <row r="24">
      <c r="A24" s="3" t="inlineStr">
        <is>
          <t>EPS — consensus</t>
        </is>
      </c>
      <c r="B24" s="47" t="n">
        <v>10.73442</v>
      </c>
      <c r="C24" s="47" t="n">
        <v>10.54373</v>
      </c>
      <c r="D24" s="47" t="n">
        <v>11.86172</v>
      </c>
      <c r="E24" s="47" t="n">
        <v>14.98</v>
      </c>
    </row>
    <row r="25">
      <c r="A25" s="4" t="inlineStr">
        <is>
          <t xml:space="preserve">  model</t>
        </is>
      </c>
      <c r="B25" s="8">
        <f>Model!G25/Financials!AC17</f>
        <v/>
      </c>
      <c r="C25" s="8">
        <f>Model!H25/Financials!AC17</f>
        <v/>
      </c>
      <c r="D25" s="8">
        <f>Model!I25/Financials!AC17</f>
        <v/>
      </c>
      <c r="E25" s="8">
        <f>Model!J25/Financials!AC17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QUALCOMM Incorporated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Model!G33</f>
        <v/>
      </c>
      <c r="D12" s="33">
        <f>Model!H33</f>
        <v/>
      </c>
      <c r="E12" s="33">
        <f>Model!I33</f>
        <v/>
      </c>
      <c r="F12" s="33">
        <f>Model!J33</f>
        <v/>
      </c>
      <c r="G12" s="33">
        <f>Model!K33</f>
        <v/>
      </c>
      <c r="H12" s="33">
        <f>Model!L33</f>
        <v/>
      </c>
      <c r="I12" s="33">
        <f>Model!M33</f>
        <v/>
      </c>
      <c r="J12" s="33">
        <f>Model!N33</f>
        <v/>
      </c>
      <c r="K12" s="33">
        <f>Model!O33</f>
        <v/>
      </c>
      <c r="L12" s="33">
        <f>Model!P33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Model!P8</f>
        <v/>
      </c>
    </row>
    <row r="21">
      <c r="A21" s="4" t="inlineStr">
        <is>
          <t>Terminal EBIT</t>
        </is>
      </c>
      <c r="B21" s="33">
        <f>Model!P21</f>
        <v/>
      </c>
    </row>
    <row r="22">
      <c r="A22" s="4" t="inlineStr">
        <is>
          <t>Terminal EBITDA (SBC-burdened)</t>
        </is>
      </c>
      <c r="B22" s="33">
        <f>Model!P21+Model!P26-Model!P27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Financials!AC26</f>
        <v/>
      </c>
    </row>
    <row r="33">
      <c r="A33" s="4" t="inlineStr">
        <is>
          <t>- Long-term debt</t>
        </is>
      </c>
      <c r="B33" s="33">
        <f>-Financials!AC31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0.1001205588453258</v>
      </c>
      <c r="C4" s="51" t="n">
        <v>0.1051205588453258</v>
      </c>
      <c r="D4" s="51" t="n">
        <v>0.1101205588453258</v>
      </c>
      <c r="E4" s="51" t="n">
        <v>0.1151205588453258</v>
      </c>
      <c r="F4" s="51" t="n">
        <v>0.1201205588453258</v>
      </c>
      <c r="G4" s="51" t="n">
        <v>0.1251205588453258</v>
      </c>
      <c r="H4" s="51" t="n">
        <v>0.1301205588453258</v>
      </c>
    </row>
    <row r="5">
      <c r="A5" s="52" t="n">
        <v>9</v>
      </c>
      <c r="B5" s="53" t="n">
        <v>175.6574340500545</v>
      </c>
      <c r="C5" s="53" t="n">
        <v>169.4959420913367</v>
      </c>
      <c r="D5" s="53" t="n">
        <v>163.6049774481396</v>
      </c>
      <c r="E5" s="53" t="n">
        <v>157.971011539866</v>
      </c>
      <c r="F5" s="53" t="n">
        <v>152.5812605131121</v>
      </c>
      <c r="G5" s="53" t="n">
        <v>147.4236408182115</v>
      </c>
      <c r="H5" s="53" t="n">
        <v>142.4867276300699</v>
      </c>
    </row>
    <row r="6">
      <c r="A6" s="52" t="n">
        <v>10</v>
      </c>
      <c r="B6" s="8" t="n">
        <v>186.0263879251789</v>
      </c>
      <c r="C6" s="8" t="n">
        <v>179.4052008105606</v>
      </c>
      <c r="D6" s="53" t="n">
        <v>173.0768597742731</v>
      </c>
      <c r="E6" s="53" t="n">
        <v>167.0266593347197</v>
      </c>
      <c r="F6" s="53" t="n">
        <v>161.2407056737489</v>
      </c>
      <c r="G6" s="53" t="n">
        <v>155.7058681312688</v>
      </c>
      <c r="H6" s="53" t="n">
        <v>150.409733809698</v>
      </c>
    </row>
    <row r="7">
      <c r="A7" s="52" t="n">
        <v>11</v>
      </c>
      <c r="B7" s="8" t="n">
        <v>196.3953418003033</v>
      </c>
      <c r="C7" s="8" t="n">
        <v>189.3144595297846</v>
      </c>
      <c r="D7" s="8" t="n">
        <v>182.5487421004065</v>
      </c>
      <c r="E7" s="53" t="n">
        <v>176.0823071295734</v>
      </c>
      <c r="F7" s="53" t="n">
        <v>169.9001508343858</v>
      </c>
      <c r="G7" s="53" t="n">
        <v>163.9880954443261</v>
      </c>
      <c r="H7" s="53" t="n">
        <v>158.3327399893261</v>
      </c>
    </row>
    <row r="8">
      <c r="A8" s="52" t="n">
        <v>12</v>
      </c>
      <c r="B8" s="8" t="n">
        <v>206.7642956754276</v>
      </c>
      <c r="C8" s="8" t="n">
        <v>199.2237182490086</v>
      </c>
      <c r="D8" s="8" t="n">
        <v>192.02062442654</v>
      </c>
      <c r="E8" s="54" t="n">
        <v>185.1379549244271</v>
      </c>
      <c r="F8" s="8" t="n">
        <v>178.5595959950227</v>
      </c>
      <c r="G8" s="53" t="n">
        <v>172.2703227573835</v>
      </c>
      <c r="H8" s="53" t="n">
        <v>166.2557461689542</v>
      </c>
    </row>
    <row r="9">
      <c r="A9" s="52" t="n">
        <v>13</v>
      </c>
      <c r="B9" s="8" t="n">
        <v>217.133249550552</v>
      </c>
      <c r="C9" s="8" t="n">
        <v>209.1329769682326</v>
      </c>
      <c r="D9" s="8" t="n">
        <v>201.4925067526734</v>
      </c>
      <c r="E9" s="8" t="n">
        <v>194.1936027192808</v>
      </c>
      <c r="F9" s="8" t="n">
        <v>187.2190411556596</v>
      </c>
      <c r="G9" s="8" t="n">
        <v>180.5525500704409</v>
      </c>
      <c r="H9" s="53" t="n">
        <v>174.1787523485824</v>
      </c>
    </row>
    <row r="10">
      <c r="A10" s="52" t="n">
        <v>14</v>
      </c>
      <c r="B10" s="8" t="n">
        <v>227.5022034256764</v>
      </c>
      <c r="C10" s="8" t="n">
        <v>219.0422356874565</v>
      </c>
      <c r="D10" s="8" t="n">
        <v>210.9643890788069</v>
      </c>
      <c r="E10" s="8" t="n">
        <v>203.2492505141345</v>
      </c>
      <c r="F10" s="8" t="n">
        <v>195.8784863162964</v>
      </c>
      <c r="G10" s="8" t="n">
        <v>188.8347773834982</v>
      </c>
      <c r="H10" s="8" t="n">
        <v>182.1017585282105</v>
      </c>
    </row>
    <row r="11">
      <c r="A11" s="52" t="n">
        <v>15</v>
      </c>
      <c r="B11" s="8" t="n">
        <v>237.8711573008007</v>
      </c>
      <c r="C11" s="8" t="n">
        <v>228.9514944066804</v>
      </c>
      <c r="D11" s="8" t="n">
        <v>220.4362714049404</v>
      </c>
      <c r="E11" s="8" t="n">
        <v>212.3048983089882</v>
      </c>
      <c r="F11" s="8" t="n">
        <v>204.5379314769333</v>
      </c>
      <c r="G11" s="8" t="n">
        <v>197.1170046965555</v>
      </c>
      <c r="H11" s="8" t="n">
        <v>190.0247647078386</v>
      </c>
    </row>
    <row r="13">
      <c r="A13" s="3" t="inlineStr">
        <is>
          <t>Current price</t>
        </is>
      </c>
      <c r="B13" s="53" t="n">
        <v>176.25</v>
      </c>
    </row>
    <row r="14">
      <c r="A14" s="3" t="inlineStr">
        <is>
          <t>Base WACC / multiple</t>
        </is>
      </c>
      <c r="B14" s="55" t="n">
        <v>0.1151205588453258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Model!F8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Model!F22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0.0277978502393641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1.109675108563661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(Model!P8/Model!F8)^(1/10)-1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0.9772613688294531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Financials!AC26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Financials!AC31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2026-07-08T07:04:07Z</dcterms:created>
  <dcterms:modified xmlns:dcterms="http://purl.org/dc/terms/" xmlns:xsi="http://www.w3.org/2001/XMLSchema-instance" xsi:type="dcterms:W3CDTF">2026-07-08T07:04:07Z</dcterms:modified>
</cp:coreProperties>
</file>