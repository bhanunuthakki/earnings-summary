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20.0%</t>
      </text>
    </comment>
    <comment ref="C20" authorId="0" shapeId="0">
      <text>
        <t>Opus: 5.0%</t>
      </text>
    </comment>
    <comment ref="B29" authorId="0" shapeId="0">
      <text>
        <t>Opus: 8.3%</t>
      </text>
    </comment>
    <comment ref="B30" authorId="0" shapeId="0">
      <text>
        <t>Opus: 22.4%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1.811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DoorDash, Inc. (DASH)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2026-07-04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DoorDash, Inc. (DASH)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0.1999323590485545</v>
      </c>
      <c r="C20" s="15" t="n">
        <v>0.05</v>
      </c>
      <c r="D20" s="16" t="n">
        <v>0.1999323590485545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0.08281662740309131</v>
      </c>
      <c r="D29" s="16" t="n">
        <v>0.08281662740309131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0.2235708350444837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665.5</v>
      </c>
      <c r="D34" s="18" t="n">
        <v>665.5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1.811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192.0099945068359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117.3799510280373</v>
      </c>
      <c r="C58" s="28" t="n">
        <v>161.9007980422153</v>
      </c>
      <c r="D58" s="28" t="n">
        <v>83.56860529160204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0.05649923452649996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0.03389954071589998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DASH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2026-07-04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20.0%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Opus</t>
        </is>
      </c>
      <c r="E10" t="inlineStr">
        <is>
          <t>8.3%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Opus</t>
        </is>
      </c>
      <c r="E11" t="inlineStr">
        <is>
          <t>22.4%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Opus</t>
        </is>
      </c>
      <c r="E12" t="inlineStr">
        <is>
          <t>24.0%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Opus</t>
        </is>
      </c>
      <c r="E13" t="inlineStr">
        <is>
          <t>1.1x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Opus</t>
        </is>
      </c>
      <c r="E16" t="inlineStr">
        <is>
          <t>1.811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Opus</t>
        </is>
      </c>
      <c r="E17" t="inlineStr">
        <is>
          <t>4.5%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Opus</t>
        </is>
      </c>
      <c r="E18" t="inlineStr">
        <is>
          <t>Exit multiple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Opus</t>
        </is>
      </c>
      <c r="E19" t="inlineStr">
        <is>
          <t>EV/EBITDA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12.0x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Opus</t>
        </is>
      </c>
      <c r="E21" t="inlineStr">
        <is>
          <t>4.5%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0.4912152803091055</v>
      </c>
      <c r="H11" s="15" t="n">
        <v>0.4912152803091055</v>
      </c>
      <c r="I11" s="15" t="n">
        <v>0.4912152803091055</v>
      </c>
      <c r="J11" s="15" t="n">
        <v>0.4912152803091055</v>
      </c>
      <c r="K11" s="15" t="n">
        <v>0.4912152803091055</v>
      </c>
      <c r="L11" s="15" t="n">
        <v>0.4912152803091055</v>
      </c>
      <c r="M11" s="15" t="n">
        <v>0.4912152803091055</v>
      </c>
      <c r="N11" s="15" t="n">
        <v>0.4912152803091055</v>
      </c>
      <c r="O11" s="15" t="n">
        <v>0.4912152803091055</v>
      </c>
      <c r="P11" s="15" t="n">
        <v>0.4912152803091055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0.1043231027192535</v>
      </c>
      <c r="H13" s="15" t="n">
        <v>0.1043231027192535</v>
      </c>
      <c r="I13" s="15" t="n">
        <v>0.1043231027192535</v>
      </c>
      <c r="J13" s="15" t="n">
        <v>0.1043231027192535</v>
      </c>
      <c r="K13" s="15" t="n">
        <v>0.1043231027192535</v>
      </c>
      <c r="L13" s="15" t="n">
        <v>0.1043231027192535</v>
      </c>
      <c r="M13" s="15" t="n">
        <v>0.1043231027192535</v>
      </c>
      <c r="N13" s="15" t="n">
        <v>0.1043231027192535</v>
      </c>
      <c r="O13" s="15" t="n">
        <v>0.1043231027192535</v>
      </c>
      <c r="P13" s="15" t="n">
        <v>0.1043231027192535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0.2971495224903404</v>
      </c>
      <c r="H15" s="15" t="n">
        <v>0.2971495224903404</v>
      </c>
      <c r="I15" s="15" t="n">
        <v>0.2971495224903404</v>
      </c>
      <c r="J15" s="15" t="n">
        <v>0.2971495224903404</v>
      </c>
      <c r="K15" s="15" t="n">
        <v>0.2971495224903404</v>
      </c>
      <c r="L15" s="15" t="n">
        <v>0.2971495224903404</v>
      </c>
      <c r="M15" s="15" t="n">
        <v>0.2971495224903404</v>
      </c>
      <c r="N15" s="15" t="n">
        <v>0.2971495224903404</v>
      </c>
      <c r="O15" s="15" t="n">
        <v>0.2971495224903404</v>
      </c>
      <c r="P15" s="15" t="n">
        <v>0.2971495224903404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SUM(Financials!I34:L34)</f>
        <v/>
      </c>
      <c r="C24" s="33">
        <f>SUM(Financials!M34:P34)</f>
        <v/>
      </c>
      <c r="D24" s="33">
        <f>SUM(Financials!Q34:T34)</f>
        <v/>
      </c>
      <c r="E24" s="33">
        <f>SUM(Financials!U34:X34)</f>
        <v/>
      </c>
      <c r="F24" s="33">
        <f>SUM(Financials!Y34:AB34)</f>
        <v/>
      </c>
      <c r="G24" s="41">
        <f>G6*0.0545</f>
        <v/>
      </c>
      <c r="H24" s="41">
        <f>H6*0.0545</f>
        <v/>
      </c>
      <c r="I24" s="41">
        <f>I6*0.0545</f>
        <v/>
      </c>
      <c r="J24" s="41">
        <f>J6*0.0545</f>
        <v/>
      </c>
      <c r="K24" s="41">
        <f>K6*0.0545</f>
        <v/>
      </c>
      <c r="L24" s="41">
        <f>L6*0.0545</f>
        <v/>
      </c>
      <c r="M24" s="41">
        <f>M6*0.0545</f>
        <v/>
      </c>
      <c r="N24" s="41">
        <f>N6*0.0545</f>
        <v/>
      </c>
      <c r="O24" s="41">
        <f>O6*0.0545</f>
        <v/>
      </c>
      <c r="P24" s="41">
        <f>P6*0.0545</f>
        <v/>
      </c>
    </row>
    <row r="25">
      <c r="A25" s="4" t="inlineStr">
        <is>
          <t>+ SBC (non-cash)</t>
        </is>
      </c>
      <c r="B25" s="33">
        <f>SUM(Financials!I35:L35)</f>
        <v/>
      </c>
      <c r="C25" s="33">
        <f>SUM(Financials!M35:P35)</f>
        <v/>
      </c>
      <c r="D25" s="33">
        <f>SUM(Financials!Q35:T35)</f>
        <v/>
      </c>
      <c r="E25" s="33">
        <f>SUM(Financials!U35:X35)</f>
        <v/>
      </c>
      <c r="F25" s="33">
        <f>SUM(Financials!Y35:AB35)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-SUM(Financials!I38:L38)</f>
        <v/>
      </c>
      <c r="C27" s="33">
        <f>-SUM(Financials!M38:P38)</f>
        <v/>
      </c>
      <c r="D27" s="33">
        <f>-SUM(Financials!Q38:T38)</f>
        <v/>
      </c>
      <c r="E27" s="33">
        <f>-SUM(Financials!U38:X38)</f>
        <v/>
      </c>
      <c r="F27" s="33">
        <f>-SUM(Financials!Y38:AB38)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Financials!L32+Financials!L31-Financials!L26</f>
        <v/>
      </c>
      <c r="C34" s="33">
        <f>Financials!P32+Financials!P31-Financials!P26</f>
        <v/>
      </c>
      <c r="D34" s="33">
        <f>Financials!T32+Financials!T31-Financials!T26</f>
        <v/>
      </c>
      <c r="E34" s="33">
        <f>Financials!X32+Financials!X31-Financials!X26</f>
        <v/>
      </c>
      <c r="F34" s="33">
        <f>Financials!AB32+Financials!AB31-Financials!AB26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Financials!L32</f>
        <v/>
      </c>
      <c r="C35" s="33">
        <f>Financials!P32</f>
        <v/>
      </c>
      <c r="D35" s="33">
        <f>Financials!T32</f>
        <v/>
      </c>
      <c r="E35" s="33">
        <f>Financials!X32</f>
        <v/>
      </c>
      <c r="F35" s="33">
        <f>Financials!AB32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215</v>
      </c>
      <c r="C3" s="18" t="n">
        <v>239</v>
      </c>
      <c r="D3" s="18" t="n">
        <v>298</v>
      </c>
      <c r="E3" s="18" t="n">
        <v>362</v>
      </c>
      <c r="F3" s="18" t="n">
        <v>675</v>
      </c>
      <c r="G3" s="18" t="n">
        <v>879</v>
      </c>
      <c r="H3" s="18" t="n">
        <v>970</v>
      </c>
      <c r="I3" s="18" t="n">
        <v>1077</v>
      </c>
      <c r="J3" s="18" t="n">
        <v>1236</v>
      </c>
      <c r="K3" s="18" t="n">
        <v>1275</v>
      </c>
      <c r="L3" s="18" t="n">
        <v>1300</v>
      </c>
      <c r="M3" s="18" t="n">
        <v>1456</v>
      </c>
      <c r="N3" s="18" t="n">
        <v>1608</v>
      </c>
      <c r="O3" s="18" t="n">
        <v>1701</v>
      </c>
      <c r="P3" s="18" t="n">
        <v>1818</v>
      </c>
      <c r="Q3" s="18" t="n">
        <v>2035</v>
      </c>
      <c r="R3" s="18" t="n">
        <v>2133</v>
      </c>
      <c r="S3" s="18" t="n">
        <v>2164</v>
      </c>
      <c r="T3" s="18" t="n">
        <v>2303</v>
      </c>
      <c r="U3" s="18" t="n">
        <v>2513</v>
      </c>
      <c r="V3" s="18" t="n">
        <v>2630</v>
      </c>
      <c r="W3" s="18" t="n">
        <v>2706</v>
      </c>
      <c r="X3" s="18" t="n">
        <v>2873</v>
      </c>
      <c r="Y3" s="18" t="n">
        <v>3032</v>
      </c>
      <c r="Z3" s="18" t="n">
        <v>3284</v>
      </c>
      <c r="AA3" s="18" t="n">
        <v>3446</v>
      </c>
      <c r="AB3" s="18" t="n">
        <v>3955</v>
      </c>
      <c r="AC3" s="18" t="n">
        <v>4036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127</v>
      </c>
      <c r="C5" s="18" t="n">
        <v>140</v>
      </c>
      <c r="D5" s="18" t="n">
        <v>170</v>
      </c>
      <c r="E5" s="18" t="n">
        <v>194</v>
      </c>
      <c r="F5" s="18" t="n">
        <v>323</v>
      </c>
      <c r="G5" s="18" t="n">
        <v>382</v>
      </c>
      <c r="H5" s="18" t="n">
        <v>469</v>
      </c>
      <c r="I5" s="18" t="n">
        <v>563</v>
      </c>
      <c r="J5" s="18" t="n">
        <v>555</v>
      </c>
      <c r="K5" s="18" t="n">
        <v>585</v>
      </c>
      <c r="L5" s="18" t="n">
        <v>635</v>
      </c>
      <c r="M5" s="18" t="n">
        <v>763</v>
      </c>
      <c r="N5" s="18" t="n">
        <v>880</v>
      </c>
      <c r="O5" s="18" t="n">
        <v>931</v>
      </c>
      <c r="P5" s="18" t="n">
        <v>1014</v>
      </c>
      <c r="Q5" s="18" t="n">
        <v>1069</v>
      </c>
      <c r="R5" s="18" t="n">
        <v>1135</v>
      </c>
      <c r="S5" s="18" t="n">
        <v>1156</v>
      </c>
      <c r="T5" s="18" t="n">
        <v>1229</v>
      </c>
      <c r="U5" s="18" t="n">
        <v>1330</v>
      </c>
      <c r="V5" s="18" t="n">
        <v>1385</v>
      </c>
      <c r="W5" s="18" t="n">
        <v>1374</v>
      </c>
      <c r="X5" s="18" t="n">
        <v>1453</v>
      </c>
      <c r="Y5" s="18" t="n">
        <v>1500</v>
      </c>
      <c r="Z5" s="18" t="n">
        <v>1616</v>
      </c>
      <c r="AA5" s="18" t="n">
        <v>1687</v>
      </c>
      <c r="AB5" s="18" t="n">
        <v>1935</v>
      </c>
      <c r="AC5" s="18" t="n">
        <v>1992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25</v>
      </c>
      <c r="C7" s="18" t="n">
        <v>28</v>
      </c>
      <c r="D7" s="18" t="n">
        <v>34</v>
      </c>
      <c r="E7" s="18" t="n">
        <v>33</v>
      </c>
      <c r="F7" s="18" t="n">
        <v>38</v>
      </c>
      <c r="G7" s="18" t="n">
        <v>41</v>
      </c>
      <c r="H7" s="18" t="n">
        <v>209</v>
      </c>
      <c r="I7" s="18" t="n">
        <v>82</v>
      </c>
      <c r="J7" s="18" t="n">
        <v>100</v>
      </c>
      <c r="K7" s="18" t="n">
        <v>115</v>
      </c>
      <c r="L7" s="18" t="n">
        <v>133</v>
      </c>
      <c r="M7" s="18" t="n">
        <v>148</v>
      </c>
      <c r="N7" s="18" t="n">
        <v>205</v>
      </c>
      <c r="O7" s="18" t="n">
        <v>226</v>
      </c>
      <c r="P7" s="18" t="n">
        <v>250</v>
      </c>
      <c r="Q7" s="18" t="n">
        <v>231</v>
      </c>
      <c r="R7" s="18" t="n">
        <v>269</v>
      </c>
      <c r="S7" s="18" t="n">
        <v>250</v>
      </c>
      <c r="T7" s="18" t="n">
        <v>253</v>
      </c>
      <c r="U7" s="18" t="n">
        <v>279</v>
      </c>
      <c r="V7" s="18" t="n">
        <v>303</v>
      </c>
      <c r="W7" s="18" t="n">
        <v>289</v>
      </c>
      <c r="X7" s="18" t="n">
        <v>297</v>
      </c>
      <c r="Y7" s="18" t="n">
        <v>306</v>
      </c>
      <c r="Z7" s="18" t="n">
        <v>351</v>
      </c>
      <c r="AA7" s="18" t="n">
        <v>355</v>
      </c>
      <c r="AB7" s="18" t="n">
        <v>419</v>
      </c>
      <c r="AC7" s="18" t="n">
        <v>398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191</v>
      </c>
      <c r="C9" s="18" t="n">
        <v>228</v>
      </c>
      <c r="D9" s="18" t="n">
        <v>215</v>
      </c>
      <c r="E9" s="18" t="n">
        <v>234</v>
      </c>
      <c r="F9" s="18" t="n">
        <v>256</v>
      </c>
      <c r="G9" s="18" t="n">
        <v>457</v>
      </c>
      <c r="H9" s="18" t="n">
        <v>566</v>
      </c>
      <c r="I9" s="18" t="n">
        <v>502</v>
      </c>
      <c r="J9" s="18" t="n">
        <v>643</v>
      </c>
      <c r="K9" s="18" t="n">
        <v>634</v>
      </c>
      <c r="L9" s="18" t="n">
        <v>637</v>
      </c>
      <c r="M9" s="18" t="n">
        <v>659</v>
      </c>
      <c r="N9" s="18" t="n">
        <v>715</v>
      </c>
      <c r="O9" s="18" t="n">
        <v>734</v>
      </c>
      <c r="P9" s="18" t="n">
        <v>721</v>
      </c>
      <c r="Q9" s="18" t="n">
        <v>781</v>
      </c>
      <c r="R9" s="18" t="n">
        <v>812</v>
      </c>
      <c r="S9" s="18" t="n">
        <v>738</v>
      </c>
      <c r="T9" s="18" t="n">
        <v>780</v>
      </c>
      <c r="U9" s="18" t="n">
        <v>823</v>
      </c>
      <c r="V9" s="18" t="n">
        <v>1003</v>
      </c>
      <c r="W9" s="18" t="n">
        <v>798</v>
      </c>
      <c r="X9" s="18" t="n">
        <v>865</v>
      </c>
      <c r="Y9" s="18" t="n">
        <v>918</v>
      </c>
      <c r="Z9" s="18" t="n">
        <v>995</v>
      </c>
      <c r="AA9" s="18" t="n">
        <v>976</v>
      </c>
      <c r="AB9" s="18" t="n">
        <v>1187</v>
      </c>
      <c r="AC9" s="18" t="n">
        <v>1178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88</v>
      </c>
      <c r="C11" s="18" t="n">
        <v>99</v>
      </c>
      <c r="D11" s="18" t="n">
        <v>128</v>
      </c>
      <c r="E11" s="18" t="n">
        <v>168</v>
      </c>
      <c r="F11" s="18" t="n">
        <v>352</v>
      </c>
      <c r="G11" s="18" t="n">
        <v>497</v>
      </c>
      <c r="H11" s="18" t="n">
        <v>501</v>
      </c>
      <c r="I11" s="18" t="n">
        <v>514</v>
      </c>
      <c r="J11" s="18" t="n">
        <v>681</v>
      </c>
      <c r="K11" s="18" t="n">
        <v>690</v>
      </c>
      <c r="L11" s="18" t="n">
        <v>665</v>
      </c>
      <c r="M11" s="18" t="n">
        <v>693</v>
      </c>
      <c r="N11" s="18" t="n">
        <v>728</v>
      </c>
      <c r="O11" s="18" t="n">
        <v>770</v>
      </c>
      <c r="P11" s="18" t="n">
        <v>804</v>
      </c>
      <c r="Q11" s="18" t="n">
        <v>966</v>
      </c>
      <c r="R11" s="18" t="n">
        <v>998</v>
      </c>
      <c r="S11" s="18" t="n">
        <v>1008</v>
      </c>
      <c r="T11" s="18" t="n">
        <v>1074</v>
      </c>
      <c r="U11" s="18" t="n">
        <v>1183</v>
      </c>
      <c r="V11" s="18" t="n">
        <v>1245</v>
      </c>
      <c r="W11" s="18" t="n">
        <v>1332</v>
      </c>
      <c r="X11" s="18" t="n">
        <v>1420</v>
      </c>
      <c r="Y11" s="18" t="n">
        <v>1532</v>
      </c>
      <c r="Z11" s="18" t="n">
        <v>1668</v>
      </c>
      <c r="AA11" s="18" t="n">
        <v>1759</v>
      </c>
      <c r="AB11" s="18" t="n">
        <v>2020</v>
      </c>
      <c r="AC11" s="18" t="n">
        <v>2044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-128</v>
      </c>
      <c r="C13" s="18" t="n">
        <v>-157</v>
      </c>
      <c r="D13" s="18" t="n">
        <v>-137</v>
      </c>
      <c r="E13" s="18" t="n">
        <v>-123</v>
      </c>
      <c r="F13" s="18" t="n">
        <v>27</v>
      </c>
      <c r="G13" s="18" t="n">
        <v>-35</v>
      </c>
      <c r="H13" s="18" t="n">
        <v>-305</v>
      </c>
      <c r="I13" s="18" t="n">
        <v>-99</v>
      </c>
      <c r="J13" s="18" t="n">
        <v>-99</v>
      </c>
      <c r="K13" s="18" t="n">
        <v>-100</v>
      </c>
      <c r="L13" s="18" t="n">
        <v>-154</v>
      </c>
      <c r="M13" s="18" t="n">
        <v>-173</v>
      </c>
      <c r="N13" s="18" t="n">
        <v>-273</v>
      </c>
      <c r="O13" s="18" t="n">
        <v>-308</v>
      </c>
      <c r="P13" s="18" t="n">
        <v>-370</v>
      </c>
      <c r="Q13" s="18" t="n">
        <v>-171</v>
      </c>
      <c r="R13" s="18" t="n">
        <v>-211</v>
      </c>
      <c r="S13" s="18" t="n">
        <v>-108</v>
      </c>
      <c r="T13" s="18" t="n">
        <v>-89</v>
      </c>
      <c r="U13" s="18" t="n">
        <v>-61</v>
      </c>
      <c r="V13" s="18" t="n">
        <v>-201</v>
      </c>
      <c r="W13" s="18" t="n">
        <v>107</v>
      </c>
      <c r="X13" s="18" t="n">
        <v>117</v>
      </c>
      <c r="Y13" s="18" t="n">
        <v>155</v>
      </c>
      <c r="Z13" s="18" t="n">
        <v>163</v>
      </c>
      <c r="AA13" s="18" t="n">
        <v>258</v>
      </c>
      <c r="AB13" s="18" t="n">
        <v>147</v>
      </c>
      <c r="AC13" s="18" t="n">
        <v>151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-190</v>
      </c>
      <c r="C15" s="18" t="n">
        <v>-152</v>
      </c>
      <c r="D15" s="18" t="n">
        <v>-134</v>
      </c>
      <c r="E15" s="18" t="n">
        <v>-129</v>
      </c>
      <c r="F15" s="18" t="n">
        <v>23</v>
      </c>
      <c r="G15" s="18" t="n">
        <v>-43</v>
      </c>
      <c r="H15" s="18" t="n">
        <v>-312</v>
      </c>
      <c r="I15" s="18" t="n">
        <v>-110</v>
      </c>
      <c r="J15" s="18" t="n">
        <v>-102</v>
      </c>
      <c r="K15" s="18" t="n">
        <v>-101</v>
      </c>
      <c r="L15" s="18" t="n">
        <v>-155</v>
      </c>
      <c r="M15" s="18" t="n">
        <v>-167</v>
      </c>
      <c r="N15" s="18" t="n">
        <v>-263</v>
      </c>
      <c r="O15" s="18" t="n">
        <v>-295</v>
      </c>
      <c r="P15" s="18" t="n">
        <v>-640</v>
      </c>
      <c r="Q15" s="18" t="n">
        <v>-161</v>
      </c>
      <c r="R15" s="18" t="n">
        <v>-170</v>
      </c>
      <c r="S15" s="18" t="n">
        <v>-73</v>
      </c>
      <c r="T15" s="18" t="n">
        <v>-154</v>
      </c>
      <c r="U15" s="18" t="n">
        <v>-23</v>
      </c>
      <c r="V15" s="18" t="n">
        <v>-157</v>
      </c>
      <c r="W15" s="18" t="n">
        <v>162</v>
      </c>
      <c r="X15" s="18" t="n">
        <v>141</v>
      </c>
      <c r="Y15" s="18" t="n">
        <v>193</v>
      </c>
      <c r="Z15" s="18" t="n">
        <v>285</v>
      </c>
      <c r="AA15" s="18" t="n">
        <v>244</v>
      </c>
      <c r="AB15" s="18" t="n">
        <v>213</v>
      </c>
      <c r="AC15" s="18" t="n">
        <v>183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42.76</v>
      </c>
      <c r="C17" s="18" t="n">
        <v>43.045</v>
      </c>
      <c r="D17" s="18" t="n">
        <v>43.873</v>
      </c>
      <c r="E17" s="18" t="n">
        <v>44.169</v>
      </c>
      <c r="F17" s="18" t="n">
        <v>44.513</v>
      </c>
      <c r="G17" s="18" t="n">
        <v>45.016</v>
      </c>
      <c r="H17" s="18" t="n">
        <v>116.913</v>
      </c>
      <c r="I17" s="18" t="n">
        <v>327.815</v>
      </c>
      <c r="J17" s="18" t="n">
        <v>334.707</v>
      </c>
      <c r="K17" s="18" t="n">
        <v>340.169</v>
      </c>
      <c r="L17" s="18" t="n">
        <v>344.469</v>
      </c>
      <c r="M17" s="18" t="n">
        <v>349.219</v>
      </c>
      <c r="N17" s="18" t="n">
        <v>363.961</v>
      </c>
      <c r="O17" s="18" t="n">
        <v>384.756</v>
      </c>
      <c r="P17" s="18" t="n">
        <v>387.162</v>
      </c>
      <c r="Q17" s="18" t="n">
        <v>390.397</v>
      </c>
      <c r="R17" s="18" t="n">
        <v>388.737</v>
      </c>
      <c r="S17" s="18" t="n">
        <v>393.217</v>
      </c>
      <c r="T17" s="18" t="n">
        <v>399.336</v>
      </c>
      <c r="U17" s="18" t="n">
        <v>405.482</v>
      </c>
      <c r="V17" s="18" t="n">
        <v>410.482</v>
      </c>
      <c r="W17" s="18" t="n">
        <v>427.962</v>
      </c>
      <c r="X17" s="18" t="n">
        <v>417.056</v>
      </c>
      <c r="Y17" s="18" t="n">
        <v>435.563</v>
      </c>
      <c r="Z17" s="18" t="n">
        <v>438.377</v>
      </c>
      <c r="AA17" s="18" t="n">
        <v>441.812</v>
      </c>
      <c r="AB17" s="18" t="n">
        <v>442.849</v>
      </c>
      <c r="AC17" s="18" t="n">
        <v>442.326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I19" s="18" t="n">
        <v>1072</v>
      </c>
      <c r="J19" s="18" t="n">
        <v>1230</v>
      </c>
      <c r="K19" s="18" t="n">
        <v>1275</v>
      </c>
      <c r="L19" s="18" t="n">
        <v>1300</v>
      </c>
      <c r="M19" s="18" t="n">
        <v>1445</v>
      </c>
      <c r="N19" s="18" t="n">
        <v>1561</v>
      </c>
      <c r="O19" s="18" t="n">
        <v>1580</v>
      </c>
      <c r="P19" s="18" t="n">
        <v>1665</v>
      </c>
      <c r="Q19" s="18" t="n">
        <v>1846</v>
      </c>
      <c r="R19" s="18" t="n">
        <v>1939</v>
      </c>
      <c r="S19" s="18" t="n">
        <v>1953</v>
      </c>
      <c r="T19" s="18" t="n">
        <v>2043</v>
      </c>
      <c r="U19" s="18" t="n">
        <v>2222</v>
      </c>
      <c r="V19" s="18" t="n">
        <v>2318</v>
      </c>
      <c r="W19" s="18" t="n">
        <v>2361</v>
      </c>
      <c r="X19" s="18" t="n">
        <v>2502</v>
      </c>
      <c r="Y19" s="18" t="n">
        <v>2656</v>
      </c>
      <c r="Z19" s="18" t="n">
        <v>2829</v>
      </c>
      <c r="AA19" s="18" t="n">
        <v>2926</v>
      </c>
      <c r="AB19" s="18" t="n">
        <v>3049</v>
      </c>
      <c r="AC19" s="18" t="n">
        <v>3104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Non-US</t>
        </is>
      </c>
      <c r="I22" s="18" t="n">
        <v>5</v>
      </c>
      <c r="J22" s="18" t="n">
        <v>6</v>
      </c>
      <c r="K22" s="18" t="n">
        <v>4</v>
      </c>
      <c r="L22" s="18" t="n">
        <v>0</v>
      </c>
      <c r="M22" s="18" t="n">
        <v>11</v>
      </c>
      <c r="N22" s="18" t="n">
        <v>47</v>
      </c>
      <c r="O22" s="18" t="n">
        <v>121</v>
      </c>
      <c r="P22" s="18" t="n">
        <v>153</v>
      </c>
      <c r="Q22" s="18" t="n">
        <v>189</v>
      </c>
      <c r="R22" s="18" t="n">
        <v>194</v>
      </c>
      <c r="S22" s="18" t="n">
        <v>211</v>
      </c>
      <c r="T22" s="18" t="n">
        <v>260</v>
      </c>
      <c r="U22" s="18" t="n">
        <v>291</v>
      </c>
      <c r="V22" s="18" t="n">
        <v>312</v>
      </c>
      <c r="W22" s="18" t="n">
        <v>345</v>
      </c>
      <c r="X22" s="18" t="n">
        <v>371</v>
      </c>
      <c r="Y22" s="18" t="n">
        <v>376</v>
      </c>
      <c r="Z22" s="18" t="n">
        <v>455</v>
      </c>
      <c r="AA22" s="18" t="n">
        <v>520</v>
      </c>
      <c r="AB22" s="18" t="n">
        <v>906</v>
      </c>
      <c r="AC22" s="18" t="n">
        <v>932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D26" s="18" t="n">
        <v>765</v>
      </c>
      <c r="F26" s="18" t="n">
        <v>1510</v>
      </c>
      <c r="G26" s="18" t="n">
        <v>1611</v>
      </c>
      <c r="H26" s="18" t="n">
        <v>4859</v>
      </c>
      <c r="I26" s="18" t="n">
        <v>4474</v>
      </c>
      <c r="J26" s="18" t="n">
        <v>4668</v>
      </c>
      <c r="K26" s="18" t="n">
        <v>4160</v>
      </c>
      <c r="L26" s="18" t="n">
        <v>3757</v>
      </c>
      <c r="M26" s="18" t="n">
        <v>3596</v>
      </c>
      <c r="N26" s="18" t="n">
        <v>3999</v>
      </c>
      <c r="O26" s="18" t="n">
        <v>3812</v>
      </c>
      <c r="P26" s="18" t="n">
        <v>3521</v>
      </c>
      <c r="Q26" s="18" t="n">
        <v>3406</v>
      </c>
      <c r="R26" s="18" t="n">
        <v>3456</v>
      </c>
      <c r="S26" s="18" t="n">
        <v>3821</v>
      </c>
      <c r="T26" s="18" t="n">
        <v>4078</v>
      </c>
      <c r="U26" s="18" t="n">
        <v>4490</v>
      </c>
      <c r="V26" s="18" t="n">
        <v>4854</v>
      </c>
      <c r="W26" s="18" t="n">
        <v>4964</v>
      </c>
      <c r="X26" s="18" t="n">
        <v>5341</v>
      </c>
      <c r="Y26" s="18" t="n">
        <v>5817</v>
      </c>
      <c r="Z26" s="18" t="n">
        <v>4999</v>
      </c>
      <c r="AA26" s="18" t="n">
        <v>4243</v>
      </c>
      <c r="AB26" s="18" t="n">
        <v>5506</v>
      </c>
      <c r="AC26" s="18" t="n">
        <v>5533</v>
      </c>
    </row>
    <row r="27">
      <c r="A27" s="4" t="inlineStr">
        <is>
          <t>Total Current Assets</t>
        </is>
      </c>
      <c r="D27" s="18" t="n">
        <v>998</v>
      </c>
      <c r="F27" s="18" t="n">
        <v>1892</v>
      </c>
      <c r="G27" s="18" t="n">
        <v>1990</v>
      </c>
      <c r="H27" s="18" t="n">
        <v>5517</v>
      </c>
      <c r="I27" s="18" t="n">
        <v>5025</v>
      </c>
      <c r="J27" s="18" t="n">
        <v>5179</v>
      </c>
      <c r="K27" s="18" t="n">
        <v>4707</v>
      </c>
      <c r="L27" s="18" t="n">
        <v>4565</v>
      </c>
      <c r="M27" s="18" t="n">
        <v>4418</v>
      </c>
      <c r="N27" s="18" t="n">
        <v>4833</v>
      </c>
      <c r="O27" s="18" t="n">
        <v>4690</v>
      </c>
      <c r="P27" s="18" t="n">
        <v>4720</v>
      </c>
      <c r="Q27" s="18" t="n">
        <v>4587</v>
      </c>
      <c r="R27" s="18" t="n">
        <v>4605</v>
      </c>
      <c r="S27" s="18" t="n">
        <v>5142</v>
      </c>
      <c r="T27" s="18" t="n">
        <v>5597</v>
      </c>
      <c r="U27" s="18" t="n">
        <v>6130</v>
      </c>
      <c r="V27" s="18" t="n">
        <v>6617</v>
      </c>
      <c r="W27" s="18" t="n">
        <v>6760</v>
      </c>
      <c r="X27" s="18" t="n">
        <v>7386</v>
      </c>
      <c r="Y27" s="18" t="n">
        <v>7853</v>
      </c>
      <c r="Z27" s="18" t="n">
        <v>9735</v>
      </c>
      <c r="AA27" s="18" t="n">
        <v>10493</v>
      </c>
      <c r="AB27" s="18" t="n">
        <v>8643</v>
      </c>
      <c r="AC27" s="18" t="n">
        <v>8592</v>
      </c>
    </row>
    <row r="28">
      <c r="A28" s="4" t="inlineStr">
        <is>
          <t>PP&amp;E (net)</t>
        </is>
      </c>
      <c r="D28" s="18" t="n">
        <v>267</v>
      </c>
      <c r="F28" s="18" t="n">
        <v>356</v>
      </c>
      <c r="G28" s="18" t="n">
        <v>386</v>
      </c>
      <c r="H28" s="18" t="n">
        <v>413</v>
      </c>
      <c r="I28" s="18" t="n">
        <v>456</v>
      </c>
      <c r="J28" s="18" t="n">
        <v>568</v>
      </c>
      <c r="K28" s="18" t="n">
        <v>656</v>
      </c>
      <c r="L28" s="18" t="n">
        <v>738</v>
      </c>
      <c r="M28" s="18" t="n">
        <v>809</v>
      </c>
      <c r="N28" s="18" t="n">
        <v>955</v>
      </c>
      <c r="O28" s="18" t="n">
        <v>1024</v>
      </c>
      <c r="P28" s="18" t="n">
        <v>1073</v>
      </c>
      <c r="Q28" s="18" t="n">
        <v>1070</v>
      </c>
      <c r="R28" s="18" t="n">
        <v>1094</v>
      </c>
      <c r="S28" s="18" t="n">
        <v>1096</v>
      </c>
      <c r="T28" s="18" t="n">
        <v>1148</v>
      </c>
      <c r="U28" s="18" t="n">
        <v>1153</v>
      </c>
      <c r="V28" s="18" t="n">
        <v>1082</v>
      </c>
      <c r="W28" s="18" t="n">
        <v>1113</v>
      </c>
      <c r="X28" s="18" t="n">
        <v>1167</v>
      </c>
      <c r="Y28" s="18" t="n">
        <v>1230</v>
      </c>
      <c r="Z28" s="18" t="n">
        <v>1297</v>
      </c>
      <c r="AA28" s="18" t="n">
        <v>1372</v>
      </c>
      <c r="AB28" s="18" t="n">
        <v>1504</v>
      </c>
      <c r="AC28" s="18" t="n">
        <v>1579</v>
      </c>
    </row>
    <row r="29">
      <c r="A29" s="4" t="inlineStr">
        <is>
          <t>Total Assets</t>
        </is>
      </c>
      <c r="D29" s="18" t="n">
        <v>1732</v>
      </c>
      <c r="F29" s="18" t="n">
        <v>2694</v>
      </c>
      <c r="G29" s="18" t="n">
        <v>2874</v>
      </c>
      <c r="H29" s="18" t="n">
        <v>6353</v>
      </c>
      <c r="I29" s="18" t="n">
        <v>5902</v>
      </c>
      <c r="J29" s="18" t="n">
        <v>6182</v>
      </c>
      <c r="K29" s="18" t="n">
        <v>6358</v>
      </c>
      <c r="L29" s="18" t="n">
        <v>6809</v>
      </c>
      <c r="M29" s="18" t="n">
        <v>6822</v>
      </c>
      <c r="N29" s="18" t="n">
        <v>9928</v>
      </c>
      <c r="O29" s="18" t="n">
        <v>9552</v>
      </c>
      <c r="P29" s="18" t="n">
        <v>9789</v>
      </c>
      <c r="Q29" s="18" t="n">
        <v>9646</v>
      </c>
      <c r="R29" s="18" t="n">
        <v>9601</v>
      </c>
      <c r="S29" s="18" t="n">
        <v>10013</v>
      </c>
      <c r="T29" s="18" t="n">
        <v>10839</v>
      </c>
      <c r="U29" s="18" t="n">
        <v>11450</v>
      </c>
      <c r="V29" s="18" t="n">
        <v>11837</v>
      </c>
      <c r="W29" s="18" t="n">
        <v>12277</v>
      </c>
      <c r="X29" s="18" t="n">
        <v>12845</v>
      </c>
      <c r="Y29" s="18" t="n">
        <v>13572</v>
      </c>
      <c r="Z29" s="18" t="n">
        <v>16950</v>
      </c>
      <c r="AA29" s="18" t="n">
        <v>17971</v>
      </c>
      <c r="AB29" s="18" t="n">
        <v>19659</v>
      </c>
      <c r="AC29" s="18" t="n">
        <v>19711</v>
      </c>
    </row>
    <row r="30">
      <c r="A30" s="4" t="inlineStr">
        <is>
          <t>Total Current Liabilities</t>
        </is>
      </c>
      <c r="D30" s="18" t="n">
        <v>382</v>
      </c>
      <c r="F30" s="18" t="n">
        <v>637</v>
      </c>
      <c r="G30" s="18" t="n">
        <v>834</v>
      </c>
      <c r="H30" s="18" t="n">
        <v>1402</v>
      </c>
      <c r="I30" s="18" t="n">
        <v>1094</v>
      </c>
      <c r="J30" s="18" t="n">
        <v>1251</v>
      </c>
      <c r="K30" s="18" t="n">
        <v>1339</v>
      </c>
      <c r="L30" s="18" t="n">
        <v>1760</v>
      </c>
      <c r="M30" s="18" t="n">
        <v>1760</v>
      </c>
      <c r="N30" s="18" t="n">
        <v>2026</v>
      </c>
      <c r="O30" s="18" t="n">
        <v>2216</v>
      </c>
      <c r="P30" s="18" t="n">
        <v>2544</v>
      </c>
      <c r="Q30" s="18" t="n">
        <v>2651</v>
      </c>
      <c r="R30" s="18" t="n">
        <v>2726</v>
      </c>
      <c r="S30" s="18" t="n">
        <v>2986</v>
      </c>
      <c r="T30" s="18" t="n">
        <v>3410</v>
      </c>
      <c r="U30" s="18" t="n">
        <v>3743</v>
      </c>
      <c r="V30" s="18" t="n">
        <v>4028</v>
      </c>
      <c r="W30" s="18" t="n">
        <v>4094</v>
      </c>
      <c r="X30" s="18" t="n">
        <v>4438</v>
      </c>
      <c r="Y30" s="18" t="n">
        <v>4577</v>
      </c>
      <c r="Z30" s="18" t="n">
        <v>4696</v>
      </c>
      <c r="AA30" s="18" t="n">
        <v>5132</v>
      </c>
      <c r="AB30" s="18" t="n">
        <v>6147</v>
      </c>
      <c r="AC30" s="18" t="n">
        <v>6026</v>
      </c>
    </row>
    <row r="31">
      <c r="A31" s="4" t="inlineStr">
        <is>
          <t>Long-term Debt</t>
        </is>
      </c>
      <c r="D31" s="18" t="n">
        <v>0</v>
      </c>
      <c r="F31" s="18" t="n">
        <v>346</v>
      </c>
      <c r="G31" s="18" t="n">
        <v>355</v>
      </c>
      <c r="H31" s="18" t="n">
        <v>0</v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18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18" t="n">
        <v>0</v>
      </c>
      <c r="V31" s="18" t="n">
        <v>0</v>
      </c>
      <c r="W31" s="18" t="n">
        <v>0</v>
      </c>
      <c r="X31" s="18" t="n">
        <v>0</v>
      </c>
      <c r="Y31" s="18" t="n">
        <v>0</v>
      </c>
      <c r="Z31" s="18" t="n">
        <v>2721</v>
      </c>
      <c r="AA31" s="18" t="n">
        <v>2722</v>
      </c>
      <c r="AB31" s="18" t="n">
        <v>3185</v>
      </c>
      <c r="AC31" s="18" t="n">
        <v>3182</v>
      </c>
    </row>
    <row r="32">
      <c r="A32" s="4" t="inlineStr">
        <is>
          <t>Total Equity</t>
        </is>
      </c>
      <c r="D32" s="18" t="n">
        <v>1182</v>
      </c>
      <c r="F32" s="18" t="n">
        <v>1472</v>
      </c>
      <c r="G32" s="18" t="n">
        <v>1433</v>
      </c>
      <c r="H32" s="18" t="n">
        <v>4700</v>
      </c>
      <c r="I32" s="18" t="n">
        <v>4555</v>
      </c>
      <c r="J32" s="18" t="n">
        <v>4619</v>
      </c>
      <c r="K32" s="18" t="n">
        <v>4666</v>
      </c>
      <c r="L32" s="18" t="n">
        <v>4667</v>
      </c>
      <c r="M32" s="18" t="n">
        <v>4652</v>
      </c>
      <c r="N32" s="18" t="n">
        <v>7410</v>
      </c>
      <c r="O32" s="18" t="n">
        <v>6825</v>
      </c>
      <c r="P32" s="18" t="n">
        <v>6754</v>
      </c>
      <c r="Q32" s="18" t="n">
        <v>6518</v>
      </c>
      <c r="R32" s="18" t="n">
        <v>6396</v>
      </c>
      <c r="S32" s="18" t="n">
        <v>6559</v>
      </c>
      <c r="T32" s="18" t="n">
        <v>6806</v>
      </c>
      <c r="U32" s="18" t="n">
        <v>6999</v>
      </c>
      <c r="V32" s="18" t="n">
        <v>7162</v>
      </c>
      <c r="W32" s="18" t="n">
        <v>7569</v>
      </c>
      <c r="X32" s="18" t="n">
        <v>7803</v>
      </c>
      <c r="Y32" s="18" t="n">
        <v>8389</v>
      </c>
      <c r="Z32" s="18" t="n">
        <v>8923</v>
      </c>
      <c r="AA32" s="18" t="n">
        <v>9495</v>
      </c>
      <c r="AB32" s="18" t="n">
        <v>10033</v>
      </c>
      <c r="AC32" s="18" t="n">
        <v>10198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C34" s="18" t="n">
        <v>7</v>
      </c>
      <c r="D34" s="18" t="n">
        <v>16</v>
      </c>
      <c r="E34" s="18" t="n">
        <v>24</v>
      </c>
      <c r="F34" s="18" t="n">
        <v>31</v>
      </c>
      <c r="G34" s="18" t="n">
        <v>34</v>
      </c>
      <c r="H34" s="18" t="n">
        <v>31</v>
      </c>
      <c r="I34" s="18" t="n">
        <v>29</v>
      </c>
      <c r="J34" s="18" t="n">
        <v>37</v>
      </c>
      <c r="K34" s="18" t="n">
        <v>41</v>
      </c>
      <c r="L34" s="18" t="n">
        <v>49</v>
      </c>
      <c r="M34" s="18" t="n">
        <v>59</v>
      </c>
      <c r="N34" s="18" t="n">
        <v>81</v>
      </c>
      <c r="O34" s="18" t="n">
        <v>118</v>
      </c>
      <c r="P34" s="18" t="n">
        <v>111</v>
      </c>
      <c r="Q34" s="18" t="n">
        <v>123</v>
      </c>
      <c r="R34" s="18" t="n">
        <v>128</v>
      </c>
      <c r="S34" s="18" t="n">
        <v>128</v>
      </c>
      <c r="T34" s="18" t="n">
        <v>130</v>
      </c>
      <c r="U34" s="18" t="n">
        <v>142</v>
      </c>
      <c r="V34" s="18" t="n">
        <v>140</v>
      </c>
      <c r="W34" s="18" t="n">
        <v>138</v>
      </c>
      <c r="X34" s="18" t="n">
        <v>141</v>
      </c>
      <c r="Y34" s="18" t="n">
        <v>152</v>
      </c>
      <c r="Z34" s="18" t="n">
        <v>159</v>
      </c>
      <c r="AA34" s="18" t="n">
        <v>169</v>
      </c>
      <c r="AB34" s="18" t="n">
        <v>267</v>
      </c>
      <c r="AC34" s="18" t="n">
        <v>269</v>
      </c>
    </row>
    <row r="35">
      <c r="A35" s="4" t="inlineStr">
        <is>
          <t>Stock-based Compensation</t>
        </is>
      </c>
      <c r="C35" s="18" t="n">
        <v>0</v>
      </c>
      <c r="D35" s="18" t="n">
        <v>4</v>
      </c>
      <c r="E35" s="18" t="n">
        <v>5</v>
      </c>
      <c r="F35" s="18" t="n">
        <v>3</v>
      </c>
      <c r="G35" s="18" t="n">
        <v>3</v>
      </c>
      <c r="H35" s="18" t="n">
        <v>311</v>
      </c>
      <c r="I35" s="18" t="n">
        <v>97</v>
      </c>
      <c r="J35" s="18" t="n">
        <v>138</v>
      </c>
      <c r="K35" s="18" t="n">
        <v>122</v>
      </c>
      <c r="L35" s="18" t="n">
        <v>129</v>
      </c>
      <c r="M35" s="18" t="n">
        <v>129</v>
      </c>
      <c r="N35" s="18" t="n">
        <v>231</v>
      </c>
      <c r="O35" s="18" t="n">
        <v>249</v>
      </c>
      <c r="P35" s="18" t="n">
        <v>280</v>
      </c>
      <c r="Q35" s="18" t="n">
        <v>230</v>
      </c>
      <c r="R35" s="18" t="n">
        <v>311</v>
      </c>
      <c r="S35" s="18" t="n">
        <v>278</v>
      </c>
      <c r="T35" s="18" t="n">
        <v>269</v>
      </c>
      <c r="U35" s="18" t="n">
        <v>252</v>
      </c>
      <c r="V35" s="18" t="n">
        <v>302</v>
      </c>
      <c r="W35" s="18" t="n">
        <v>274</v>
      </c>
      <c r="X35" s="18" t="n">
        <v>271</v>
      </c>
      <c r="Y35" s="18" t="n">
        <v>235</v>
      </c>
      <c r="Z35" s="18" t="n">
        <v>282</v>
      </c>
      <c r="AA35" s="18" t="n">
        <v>258</v>
      </c>
      <c r="AB35" s="18" t="n">
        <v>0</v>
      </c>
      <c r="AC35" s="18" t="n">
        <v>231</v>
      </c>
    </row>
    <row r="36">
      <c r="A36" s="4" t="inlineStr">
        <is>
          <t>Change in Working Capital</t>
        </is>
      </c>
      <c r="C36" s="18" t="n">
        <v>55</v>
      </c>
      <c r="D36" s="18" t="n">
        <v>-58</v>
      </c>
      <c r="E36" s="18" t="n">
        <v>-41</v>
      </c>
      <c r="F36" s="18" t="n">
        <v>130</v>
      </c>
      <c r="G36" s="18" t="n">
        <v>209</v>
      </c>
      <c r="H36" s="18" t="n">
        <v>-106</v>
      </c>
      <c r="I36" s="18" t="n">
        <v>114</v>
      </c>
      <c r="J36" s="18" t="n">
        <v>157</v>
      </c>
      <c r="K36" s="18" t="n">
        <v>35</v>
      </c>
      <c r="L36" s="18" t="n">
        <v>129</v>
      </c>
      <c r="M36" s="18" t="n">
        <v>-46</v>
      </c>
      <c r="N36" s="18" t="n">
        <v>104</v>
      </c>
      <c r="O36" s="18" t="n">
        <v>116</v>
      </c>
      <c r="P36" s="18" t="n">
        <v>-26</v>
      </c>
      <c r="Q36" s="18" t="n">
        <v>202</v>
      </c>
      <c r="R36" s="18" t="n">
        <v>110</v>
      </c>
      <c r="S36" s="18" t="n">
        <v>68</v>
      </c>
      <c r="T36" s="18" t="n">
        <v>150</v>
      </c>
      <c r="U36" s="18" t="n">
        <v>144</v>
      </c>
      <c r="V36" s="18" t="n">
        <v>110</v>
      </c>
      <c r="W36" s="18" t="n">
        <v>31</v>
      </c>
      <c r="X36" s="18" t="n">
        <v>-33</v>
      </c>
      <c r="Y36" s="18" t="n">
        <v>5</v>
      </c>
      <c r="Z36" s="18" t="n">
        <v>-222</v>
      </c>
      <c r="AA36" s="18" t="n">
        <v>138</v>
      </c>
      <c r="AB36" s="18" t="n">
        <v>-359</v>
      </c>
      <c r="AC36" s="18" t="n">
        <v>-153</v>
      </c>
    </row>
    <row r="37">
      <c r="A37" s="4" t="inlineStr">
        <is>
          <t>Operating Cash Flow</t>
        </is>
      </c>
      <c r="C37" s="18" t="n">
        <v>-80</v>
      </c>
      <c r="D37" s="18" t="n">
        <v>-159</v>
      </c>
      <c r="E37" s="18" t="n">
        <v>-125</v>
      </c>
      <c r="F37" s="18" t="n">
        <v>210</v>
      </c>
      <c r="G37" s="18" t="n">
        <v>230</v>
      </c>
      <c r="H37" s="18" t="n">
        <v>-63</v>
      </c>
      <c r="I37" s="18" t="n">
        <v>166</v>
      </c>
      <c r="J37" s="18" t="n">
        <v>252</v>
      </c>
      <c r="K37" s="18" t="n">
        <v>107</v>
      </c>
      <c r="L37" s="18" t="n">
        <v>167</v>
      </c>
      <c r="M37" s="18" t="n">
        <v>-20</v>
      </c>
      <c r="N37" s="18" t="n">
        <v>165</v>
      </c>
      <c r="O37" s="18" t="n">
        <v>199</v>
      </c>
      <c r="P37" s="18" t="n">
        <v>23</v>
      </c>
      <c r="Q37" s="18" t="n">
        <v>397</v>
      </c>
      <c r="R37" s="18" t="n">
        <v>393</v>
      </c>
      <c r="S37" s="18" t="n">
        <v>398</v>
      </c>
      <c r="T37" s="18" t="n">
        <v>485</v>
      </c>
      <c r="U37" s="18" t="n">
        <v>553</v>
      </c>
      <c r="V37" s="18" t="n">
        <v>530</v>
      </c>
      <c r="W37" s="18" t="n">
        <v>531</v>
      </c>
      <c r="X37" s="18" t="n">
        <v>518</v>
      </c>
      <c r="Y37" s="18" t="n">
        <v>635</v>
      </c>
      <c r="Z37" s="18" t="n">
        <v>504</v>
      </c>
      <c r="AA37" s="18" t="n">
        <v>871</v>
      </c>
      <c r="AB37" s="18" t="n">
        <v>421</v>
      </c>
      <c r="AC37" s="18" t="n">
        <v>594</v>
      </c>
    </row>
    <row r="38">
      <c r="A38" s="4" t="inlineStr">
        <is>
          <t>Capex</t>
        </is>
      </c>
      <c r="C38" s="18" t="n">
        <v>-33</v>
      </c>
      <c r="D38" s="18" t="n">
        <v>-34</v>
      </c>
      <c r="E38" s="18" t="n">
        <v>-32</v>
      </c>
      <c r="F38" s="18" t="n">
        <v>-26</v>
      </c>
      <c r="G38" s="18" t="n">
        <v>-64</v>
      </c>
      <c r="H38" s="18" t="n">
        <v>-37</v>
      </c>
      <c r="I38" s="18" t="n">
        <v>-54</v>
      </c>
      <c r="J38" s="18" t="n">
        <v>-54</v>
      </c>
      <c r="K38" s="18" t="n">
        <v>-59</v>
      </c>
      <c r="L38" s="18" t="n">
        <v>-70</v>
      </c>
      <c r="M38" s="18" t="n">
        <v>-71</v>
      </c>
      <c r="N38" s="18" t="n">
        <v>-79</v>
      </c>
      <c r="O38" s="18" t="n">
        <v>-100</v>
      </c>
      <c r="P38" s="18" t="n">
        <v>-96</v>
      </c>
      <c r="Q38" s="18" t="n">
        <v>-81</v>
      </c>
      <c r="R38" s="18" t="n">
        <v>-82</v>
      </c>
      <c r="S38" s="18" t="n">
        <v>-74</v>
      </c>
      <c r="T38" s="18" t="n">
        <v>-87</v>
      </c>
      <c r="U38" s="18" t="n">
        <v>-66</v>
      </c>
      <c r="V38" s="18" t="n">
        <v>-79</v>
      </c>
      <c r="W38" s="18" t="n">
        <v>-87</v>
      </c>
      <c r="X38" s="18" t="n">
        <v>-98</v>
      </c>
      <c r="Y38" s="18" t="n">
        <v>-141</v>
      </c>
      <c r="Z38" s="18" t="n">
        <v>-149</v>
      </c>
      <c r="AA38" s="18" t="n">
        <v>-148</v>
      </c>
      <c r="AB38" s="18" t="n">
        <v>-167</v>
      </c>
      <c r="AC38" s="18" t="n">
        <v>-174</v>
      </c>
    </row>
    <row r="39">
      <c r="A39" s="4" t="inlineStr">
        <is>
          <t>Free Cash Flow</t>
        </is>
      </c>
      <c r="C39" s="18" t="n">
        <v>-113</v>
      </c>
      <c r="D39" s="18" t="n">
        <v>-193</v>
      </c>
      <c r="E39" s="18" t="n">
        <v>-157</v>
      </c>
      <c r="F39" s="18" t="n">
        <v>184</v>
      </c>
      <c r="G39" s="18" t="n">
        <v>166</v>
      </c>
      <c r="H39" s="18" t="n">
        <v>-100</v>
      </c>
      <c r="I39" s="18" t="n">
        <v>112</v>
      </c>
      <c r="J39" s="18" t="n">
        <v>198</v>
      </c>
      <c r="K39" s="18" t="n">
        <v>48</v>
      </c>
      <c r="L39" s="18" t="n">
        <v>97</v>
      </c>
      <c r="M39" s="18" t="n">
        <v>-91</v>
      </c>
      <c r="N39" s="18" t="n">
        <v>86</v>
      </c>
      <c r="O39" s="18" t="n">
        <v>99</v>
      </c>
      <c r="P39" s="18" t="n">
        <v>-73</v>
      </c>
      <c r="Q39" s="18" t="n">
        <v>316</v>
      </c>
      <c r="R39" s="18" t="n">
        <v>311</v>
      </c>
      <c r="S39" s="18" t="n">
        <v>324</v>
      </c>
      <c r="T39" s="18" t="n">
        <v>398</v>
      </c>
      <c r="U39" s="18" t="n">
        <v>487</v>
      </c>
      <c r="V39" s="18" t="n">
        <v>451</v>
      </c>
      <c r="W39" s="18" t="n">
        <v>444</v>
      </c>
      <c r="X39" s="18" t="n">
        <v>420</v>
      </c>
      <c r="Y39" s="18" t="n">
        <v>494</v>
      </c>
      <c r="Z39" s="18" t="n">
        <v>355</v>
      </c>
      <c r="AA39" s="18" t="n">
        <v>723</v>
      </c>
      <c r="AB39" s="18" t="n">
        <v>254</v>
      </c>
      <c r="AC39" s="18" t="n">
        <v>420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17649.853513</v>
      </c>
      <c r="C4" s="18" t="n">
        <v>21260.689325</v>
      </c>
      <c r="D4" s="18" t="n">
        <v>25132.951699</v>
      </c>
      <c r="E4" s="18" t="n">
        <v>29810.437277</v>
      </c>
      <c r="F4" s="18" t="n">
        <v>33987.6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5754.440421</v>
      </c>
      <c r="C8" s="18" t="n">
        <v>6931.693226</v>
      </c>
      <c r="D8" s="18" t="n">
        <v>8194.179802000001</v>
      </c>
      <c r="E8" s="18" t="n">
        <v>9719.195976000001</v>
      </c>
      <c r="F8" s="18" t="n">
        <v>11081.090226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4597.771508</v>
      </c>
      <c r="C12" s="18" t="n">
        <v>5538.3911</v>
      </c>
      <c r="D12" s="18" t="n">
        <v>6547.112085</v>
      </c>
      <c r="E12" s="18" t="n">
        <v>7765.593015</v>
      </c>
      <c r="F12" s="18" t="n">
        <v>8853.740276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6731.118043</v>
      </c>
      <c r="C16" s="18" t="n">
        <v>8108.181148</v>
      </c>
      <c r="D16" s="18" t="n">
        <v>9584.944404</v>
      </c>
      <c r="E16" s="18" t="n">
        <v>11368.795332</v>
      </c>
      <c r="F16" s="18" t="n">
        <v>12961.83832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1110.89302</v>
      </c>
      <c r="C20" s="18" t="n">
        <v>1960.35056</v>
      </c>
      <c r="D20" s="18" t="n">
        <v>3001.83943</v>
      </c>
      <c r="E20" s="18" t="n">
        <v>4542.875334</v>
      </c>
      <c r="F20" s="18" t="n">
        <v>5774.963446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2.57631</v>
      </c>
      <c r="C24" s="47" t="n">
        <v>4.49126</v>
      </c>
      <c r="D24" s="47" t="n">
        <v>7.02179</v>
      </c>
      <c r="E24" s="47" t="n">
        <v>10.33209</v>
      </c>
      <c r="F24" s="47" t="n">
        <v>13.13429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DoorDash,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Financials!AC26</f>
        <v/>
      </c>
    </row>
    <row r="33">
      <c r="A33" s="4" t="inlineStr">
        <is>
          <t>- Long-term debt</t>
        </is>
      </c>
      <c r="B33" s="33">
        <f>-Financials!AC31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0.1062342025221793</v>
      </c>
      <c r="C4" s="51" t="n">
        <v>0.1112342025221793</v>
      </c>
      <c r="D4" s="51" t="n">
        <v>0.1162342025221793</v>
      </c>
      <c r="E4" s="51" t="n">
        <v>0.1212342025221793</v>
      </c>
      <c r="F4" s="51" t="n">
        <v>0.1262342025221793</v>
      </c>
      <c r="G4" s="51" t="n">
        <v>0.1312342025221793</v>
      </c>
      <c r="H4" s="51" t="n">
        <v>0.1362342025221793</v>
      </c>
    </row>
    <row r="5">
      <c r="A5" s="52" t="n">
        <v>9</v>
      </c>
      <c r="B5" s="53" t="n">
        <v>109.6657281371058</v>
      </c>
      <c r="C5" s="53" t="n">
        <v>105.7145139909586</v>
      </c>
      <c r="D5" s="53" t="n">
        <v>101.9410331350337</v>
      </c>
      <c r="E5" s="53" t="n">
        <v>98.33633565924586</v>
      </c>
      <c r="F5" s="53" t="n">
        <v>94.89196488408551</v>
      </c>
      <c r="G5" s="53" t="n">
        <v>91.59992797944625</v>
      </c>
      <c r="H5" s="53" t="n">
        <v>88.45266845969547</v>
      </c>
    </row>
    <row r="6">
      <c r="A6" s="52" t="n">
        <v>10</v>
      </c>
      <c r="B6" s="53" t="n">
        <v>116.9288059953688</v>
      </c>
      <c r="C6" s="53" t="n">
        <v>112.6573277894616</v>
      </c>
      <c r="D6" s="53" t="n">
        <v>108.5790486355259</v>
      </c>
      <c r="E6" s="53" t="n">
        <v>104.684207448843</v>
      </c>
      <c r="F6" s="53" t="n">
        <v>100.9635822653972</v>
      </c>
      <c r="G6" s="53" t="n">
        <v>97.40845807703943</v>
      </c>
      <c r="H6" s="53" t="n">
        <v>94.0105967230257</v>
      </c>
    </row>
    <row r="7">
      <c r="A7" s="52" t="n">
        <v>11</v>
      </c>
      <c r="B7" s="53" t="n">
        <v>124.1918838536318</v>
      </c>
      <c r="C7" s="53" t="n">
        <v>119.6001415879646</v>
      </c>
      <c r="D7" s="53" t="n">
        <v>115.2170641360182</v>
      </c>
      <c r="E7" s="53" t="n">
        <v>111.0320792384401</v>
      </c>
      <c r="F7" s="53" t="n">
        <v>107.035199646709</v>
      </c>
      <c r="G7" s="53" t="n">
        <v>103.2169881746326</v>
      </c>
      <c r="H7" s="53" t="n">
        <v>99.56852498635594</v>
      </c>
    </row>
    <row r="8">
      <c r="A8" s="52" t="n">
        <v>12</v>
      </c>
      <c r="B8" s="53" t="n">
        <v>131.4549617118948</v>
      </c>
      <c r="C8" s="53" t="n">
        <v>126.5429553864676</v>
      </c>
      <c r="D8" s="53" t="n">
        <v>121.8550796365104</v>
      </c>
      <c r="E8" s="54" t="n">
        <v>117.3799510280373</v>
      </c>
      <c r="F8" s="53" t="n">
        <v>113.1068170280208</v>
      </c>
      <c r="G8" s="53" t="n">
        <v>109.0255182722258</v>
      </c>
      <c r="H8" s="53" t="n">
        <v>105.1264532496862</v>
      </c>
    </row>
    <row r="9">
      <c r="A9" s="52" t="n">
        <v>13</v>
      </c>
      <c r="B9" s="53" t="n">
        <v>138.7180395701578</v>
      </c>
      <c r="C9" s="53" t="n">
        <v>133.4857691849706</v>
      </c>
      <c r="D9" s="53" t="n">
        <v>128.4930951370027</v>
      </c>
      <c r="E9" s="53" t="n">
        <v>123.7278228176344</v>
      </c>
      <c r="F9" s="53" t="n">
        <v>119.1784344093326</v>
      </c>
      <c r="G9" s="53" t="n">
        <v>114.834048369819</v>
      </c>
      <c r="H9" s="53" t="n">
        <v>110.6843815130164</v>
      </c>
    </row>
    <row r="10">
      <c r="A10" s="52" t="n">
        <v>14</v>
      </c>
      <c r="B10" s="53" t="n">
        <v>145.9811174284208</v>
      </c>
      <c r="C10" s="53" t="n">
        <v>140.4285829834736</v>
      </c>
      <c r="D10" s="53" t="n">
        <v>135.1311106374949</v>
      </c>
      <c r="E10" s="53" t="n">
        <v>130.0756946072315</v>
      </c>
      <c r="F10" s="53" t="n">
        <v>125.2500517906443</v>
      </c>
      <c r="G10" s="53" t="n">
        <v>120.6425784674122</v>
      </c>
      <c r="H10" s="53" t="n">
        <v>116.2423097763467</v>
      </c>
    </row>
    <row r="11">
      <c r="A11" s="52" t="n">
        <v>15</v>
      </c>
      <c r="B11" s="53" t="n">
        <v>153.2441952866838</v>
      </c>
      <c r="C11" s="53" t="n">
        <v>147.3713967819766</v>
      </c>
      <c r="D11" s="53" t="n">
        <v>141.7691261379872</v>
      </c>
      <c r="E11" s="53" t="n">
        <v>136.4235663968286</v>
      </c>
      <c r="F11" s="53" t="n">
        <v>131.3216691719561</v>
      </c>
      <c r="G11" s="53" t="n">
        <v>126.4511085650054</v>
      </c>
      <c r="H11" s="53" t="n">
        <v>121.8002380396769</v>
      </c>
    </row>
    <row r="13">
      <c r="A13" s="3" t="inlineStr">
        <is>
          <t>Current price</t>
        </is>
      </c>
      <c r="B13" s="53" t="n">
        <v>192.0099945068359</v>
      </c>
    </row>
    <row r="14">
      <c r="A14" s="3" t="inlineStr">
        <is>
          <t>Base WACC / multiple</t>
        </is>
      </c>
      <c r="B14" s="55" t="n">
        <v>0.1212342025221793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0.0544579718597361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0.6923815575350105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0.01943975217809997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0.945694676263121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2026-07-08T07:03:32Z</dcterms:created>
  <dcterms:modified xmlns:dcterms="http://purl.org/dc/terms/" xmlns:xsi="http://www.w3.org/2001/XMLSchema-instance" xsi:type="dcterms:W3CDTF">2026-07-08T07:03:32Z</dcterms:modified>
</cp:coreProperties>
</file>