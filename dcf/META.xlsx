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15.0%</t>
      </text>
    </comment>
    <comment ref="C20" authorId="0" shapeId="0">
      <text>
        <t>Opus: 4.0%</t>
      </text>
    </comment>
    <comment ref="B21" authorId="0" shapeId="0">
      <text>
        <t>Opus: 5.0%</t>
      </text>
    </comment>
    <comment ref="C21" authorId="0" shapeId="0">
      <text>
        <t>Opus: 3.0%</t>
      </text>
    </comment>
    <comment ref="B29" authorId="0" shapeId="0">
      <text>
        <t>Opus: 40.0%</t>
      </text>
    </comment>
    <comment ref="B30" authorId="0" shapeId="0">
      <text>
        <t>Opus: 37.0%</t>
      </text>
    </comment>
    <comment ref="B31" authorId="0" shapeId="0">
      <text>
        <t>Opus: 17.0%</t>
      </text>
    </comment>
    <comment ref="B34" authorId="0" shapeId="0">
      <text>
        <t>Opus: —
set from Opus 32%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1.243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14.0x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Meta Platforms, Inc. (META)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META is a mature, cash-generative advertising platform whose Family of Apps engine compounds revenue at a mid-teens rate near-term—anchored to consensus (~25% in 2026 fading thereafter)—before settling toward a GDP-like terminal pace. Operating margins stay structurally high (35%+ per thesis) but fade modestly from ~41% as a multi-year AI/data-center capex cycle inflates D&amp;A and Reality Labs remains a bounded drag rather than a value driver. Free cash flow normalizes as the elevated 2026 capex (~32% of revenue) converges toward maintenance levels (capex/D&amp;A ~1.1x) by year 10.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Meta Platforms, Inc. (META)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Family of Apps</t>
        </is>
      </c>
      <c r="B20" s="15" t="n">
        <v>0.15</v>
      </c>
      <c r="C20" s="15" t="n">
        <v>0.04</v>
      </c>
      <c r="D20" s="16" t="n">
        <v>0.15</v>
      </c>
      <c r="E20" s="2" t="inlineStr"/>
    </row>
    <row r="21">
      <c r="A21" s="4" t="inlineStr">
        <is>
          <t>Reality Labs</t>
        </is>
      </c>
      <c r="B21" s="15" t="n">
        <v>0.05</v>
      </c>
      <c r="C21" s="15" t="n">
        <v>0.03</v>
      </c>
      <c r="D21" s="16" t="n">
        <v>0.05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</v>
      </c>
      <c r="D29" s="16" t="n">
        <v>0.4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80902.08624352</v>
      </c>
      <c r="D34" s="18" t="n">
        <v>80902.08624352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1.243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596.7000122070312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500.0403643142782</v>
      </c>
      <c r="C58" s="28" t="n">
        <v>708.0415151484198</v>
      </c>
      <c r="D58" s="28" t="n">
        <v>343.5785597302267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0.1016440591940925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0.06098643551645552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META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META is a mature, cash-generative advertising platform whose Family of Apps engine compounds revenue at a mid-teens rate near-term—anchored to consensus (~25% in 2026 fading thereafter)—before settling toward a GDP-like terminal pace. Operating margins stay structurally high (35%+ per thesis) but fade modestly from ~41% as a multi-year AI/data-center capex cycle inflates D&amp;A and Reality Labs remains a bounded drag rather than a value driver. Free cash flow normalizes as the elevated 2026 capex (~32% of revenue) converges toward maintenance levels (capex/D&amp;A ~1.1x) by year 10.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Street consensus then faded toward a 4% risk-free terminal rate; the key judgement is treating today's ~35% capex/revenue as a transient AI-buildout peak that converges to maintenance, which drives the FCFF recovery. Terminal op margin of 37% reflects operating leverage offsetting heavier depreciation, and the 17% tax rate sits between META's low effective rate and the 21% statutory marginal rate Damodaran favors for the terminal year.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Family of Apps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15.0%</t>
        </is>
      </c>
      <c r="F20" s="31" t="inlineStr"/>
    </row>
    <row r="21">
      <c r="A21" t="inlineStr">
        <is>
          <t>Family of Apps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Reality Labs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5.0%</t>
        </is>
      </c>
      <c r="F22" s="31" t="inlineStr"/>
    </row>
    <row r="23">
      <c r="A23" t="inlineStr">
        <is>
          <t>Reality Labs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40.0%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37.0%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17.0%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1.243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14.0x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3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32%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4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4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4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4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4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4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4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4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5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5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4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4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Family of Apps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Reality Labs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0.1800055730820139</v>
      </c>
      <c r="H13" s="15" t="n">
        <v>0.1800055730820139</v>
      </c>
      <c r="I13" s="15" t="n">
        <v>0.1800055730820139</v>
      </c>
      <c r="J13" s="15" t="n">
        <v>0.1800055730820139</v>
      </c>
      <c r="K13" s="15" t="n">
        <v>0.1800055730820139</v>
      </c>
      <c r="L13" s="15" t="n">
        <v>0.1800055730820139</v>
      </c>
      <c r="M13" s="15" t="n">
        <v>0.1800055730820139</v>
      </c>
      <c r="N13" s="15" t="n">
        <v>0.1800055730820139</v>
      </c>
      <c r="O13" s="15" t="n">
        <v>0.1800055730820139</v>
      </c>
      <c r="P13" s="15" t="n">
        <v>0.1800055730820139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0.2854811261606441</v>
      </c>
      <c r="H15" s="15" t="n">
        <v>0.2854811261606441</v>
      </c>
      <c r="I15" s="15" t="n">
        <v>0.2854811261606441</v>
      </c>
      <c r="J15" s="15" t="n">
        <v>0.2854811261606441</v>
      </c>
      <c r="K15" s="15" t="n">
        <v>0.2854811261606441</v>
      </c>
      <c r="L15" s="15" t="n">
        <v>0.2854811261606441</v>
      </c>
      <c r="M15" s="15" t="n">
        <v>0.2854811261606441</v>
      </c>
      <c r="N15" s="15" t="n">
        <v>0.2854811261606441</v>
      </c>
      <c r="O15" s="15" t="n">
        <v>0.2854811261606441</v>
      </c>
      <c r="P15" s="15" t="n">
        <v>0.2854811261606441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0.1201347491615497</v>
      </c>
      <c r="H17" s="15" t="n">
        <v>0.1201347491615497</v>
      </c>
      <c r="I17" s="15" t="n">
        <v>0.1201347491615497</v>
      </c>
      <c r="J17" s="15" t="n">
        <v>0.1201347491615497</v>
      </c>
      <c r="K17" s="15" t="n">
        <v>0.1201347491615497</v>
      </c>
      <c r="L17" s="15" t="n">
        <v>0.1201347491615497</v>
      </c>
      <c r="M17" s="15" t="n">
        <v>0.1201347491615497</v>
      </c>
      <c r="N17" s="15" t="n">
        <v>0.1201347491615497</v>
      </c>
      <c r="O17" s="15" t="n">
        <v>0.1201347491615497</v>
      </c>
      <c r="P17" s="15" t="n">
        <v>0.1201347491615497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SUM(Financials!I47:L47)</f>
        <v/>
      </c>
      <c r="C26" s="33">
        <f>SUM(Financials!M47:P47)</f>
        <v/>
      </c>
      <c r="D26" s="33">
        <f>SUM(Financials!Q47:T47)</f>
        <v/>
      </c>
      <c r="E26" s="33">
        <f>SUM(Financials!U47:X47)</f>
        <v/>
      </c>
      <c r="F26" s="33">
        <f>SUM(Financials!Y47:AB47)</f>
        <v/>
      </c>
      <c r="G26" s="41">
        <f>G8*0.0926</f>
        <v/>
      </c>
      <c r="H26" s="41">
        <f>H8*0.0926</f>
        <v/>
      </c>
      <c r="I26" s="41">
        <f>I8*0.0926</f>
        <v/>
      </c>
      <c r="J26" s="41">
        <f>J8*0.0926</f>
        <v/>
      </c>
      <c r="K26" s="41">
        <f>K8*0.0926</f>
        <v/>
      </c>
      <c r="L26" s="41">
        <f>L8*0.0926</f>
        <v/>
      </c>
      <c r="M26" s="41">
        <f>M8*0.0926</f>
        <v/>
      </c>
      <c r="N26" s="41">
        <f>N8*0.0926</f>
        <v/>
      </c>
      <c r="O26" s="41">
        <f>O8*0.0926</f>
        <v/>
      </c>
      <c r="P26" s="41">
        <f>P8*0.0926</f>
        <v/>
      </c>
    </row>
    <row r="27">
      <c r="A27" s="4" t="inlineStr">
        <is>
          <t>+ SBC (non-cash)</t>
        </is>
      </c>
      <c r="B27" s="33">
        <f>SUM(Financials!I48:L48)</f>
        <v/>
      </c>
      <c r="C27" s="33">
        <f>SUM(Financials!M48:P48)</f>
        <v/>
      </c>
      <c r="D27" s="33">
        <f>SUM(Financials!Q48:T48)</f>
        <v/>
      </c>
      <c r="E27" s="33">
        <f>SUM(Financials!U48:X48)</f>
        <v/>
      </c>
      <c r="F27" s="33">
        <f>SUM(Financials!Y48:AB48)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-SUM(Financials!I51:L51)</f>
        <v/>
      </c>
      <c r="C29" s="33">
        <f>-SUM(Financials!M51:P51)</f>
        <v/>
      </c>
      <c r="D29" s="33">
        <f>-SUM(Financials!Q51:T51)</f>
        <v/>
      </c>
      <c r="E29" s="33">
        <f>-SUM(Financials!U51:X51)</f>
        <v/>
      </c>
      <c r="F29" s="33">
        <f>-SUM(Financials!Y51:AB51)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Financials!L45+Financials!L44-Financials!L39</f>
        <v/>
      </c>
      <c r="C36" s="33">
        <f>Financials!P45+Financials!P44-Financials!P39</f>
        <v/>
      </c>
      <c r="D36" s="33">
        <f>Financials!T45+Financials!T44-Financials!T39</f>
        <v/>
      </c>
      <c r="E36" s="33">
        <f>Financials!X45+Financials!X44-Financials!X39</f>
        <v/>
      </c>
      <c r="F36" s="33">
        <f>Financials!AB45+Financials!AB44-Financials!AB39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Financials!L45</f>
        <v/>
      </c>
      <c r="C37" s="33">
        <f>Financials!P45</f>
        <v/>
      </c>
      <c r="D37" s="33">
        <f>Financials!T45</f>
        <v/>
      </c>
      <c r="E37" s="33">
        <f>Financials!X45</f>
        <v/>
      </c>
      <c r="F37" s="33">
        <f>Financials!AB45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16886</v>
      </c>
      <c r="C3" s="18" t="n">
        <v>17652</v>
      </c>
      <c r="D3" s="18" t="n">
        <v>21082</v>
      </c>
      <c r="E3" s="18" t="n">
        <v>17737</v>
      </c>
      <c r="F3" s="18" t="n">
        <v>18687</v>
      </c>
      <c r="G3" s="18" t="n">
        <v>21470</v>
      </c>
      <c r="H3" s="18" t="n">
        <v>28072</v>
      </c>
      <c r="I3" s="18" t="n">
        <v>26171</v>
      </c>
      <c r="J3" s="18" t="n">
        <v>29077</v>
      </c>
      <c r="K3" s="18" t="n">
        <v>29010</v>
      </c>
      <c r="L3" s="18" t="n">
        <v>33671</v>
      </c>
      <c r="M3" s="18" t="n">
        <v>27908</v>
      </c>
      <c r="N3" s="18" t="n">
        <v>28822</v>
      </c>
      <c r="O3" s="18" t="n">
        <v>27714</v>
      </c>
      <c r="P3" s="18" t="n">
        <v>32165</v>
      </c>
      <c r="Q3" s="18" t="n">
        <v>28645</v>
      </c>
      <c r="R3" s="18" t="n">
        <v>31999</v>
      </c>
      <c r="S3" s="18" t="n">
        <v>34146</v>
      </c>
      <c r="T3" s="18" t="n">
        <v>40111</v>
      </c>
      <c r="U3" s="18" t="n">
        <v>36455</v>
      </c>
      <c r="V3" s="18" t="n">
        <v>39071</v>
      </c>
      <c r="W3" s="18" t="n">
        <v>40589</v>
      </c>
      <c r="X3" s="18" t="n">
        <v>48385</v>
      </c>
      <c r="Y3" s="18" t="n">
        <v>42314</v>
      </c>
      <c r="Z3" s="18" t="n">
        <v>47516</v>
      </c>
      <c r="AA3" s="18" t="n">
        <v>51242</v>
      </c>
      <c r="AB3" s="18" t="n">
        <v>59894</v>
      </c>
      <c r="AC3" s="18" t="n">
        <v>56311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3307</v>
      </c>
      <c r="C5" s="18" t="n">
        <v>3155</v>
      </c>
      <c r="D5" s="18" t="n">
        <v>3492</v>
      </c>
      <c r="E5" s="18" t="n">
        <v>3459</v>
      </c>
      <c r="F5" s="18" t="n">
        <v>3829</v>
      </c>
      <c r="G5" s="18" t="n">
        <v>4194</v>
      </c>
      <c r="H5" s="18" t="n">
        <v>5210</v>
      </c>
      <c r="I5" s="18" t="n">
        <v>5131</v>
      </c>
      <c r="J5" s="18" t="n">
        <v>5399</v>
      </c>
      <c r="K5" s="18" t="n">
        <v>5771</v>
      </c>
      <c r="L5" s="18" t="n">
        <v>6348</v>
      </c>
      <c r="M5" s="18" t="n">
        <v>6005</v>
      </c>
      <c r="N5" s="18" t="n">
        <v>5192</v>
      </c>
      <c r="O5" s="18" t="n">
        <v>5716</v>
      </c>
      <c r="P5" s="18" t="n">
        <v>8336</v>
      </c>
      <c r="Q5" s="18" t="n">
        <v>6108</v>
      </c>
      <c r="R5" s="18" t="n">
        <v>5945</v>
      </c>
      <c r="S5" s="18" t="n">
        <v>6210</v>
      </c>
      <c r="T5" s="18" t="n">
        <v>7695</v>
      </c>
      <c r="U5" s="18" t="n">
        <v>6640</v>
      </c>
      <c r="V5" s="18" t="n">
        <v>7308</v>
      </c>
      <c r="W5" s="18" t="n">
        <v>7375</v>
      </c>
      <c r="X5" s="18" t="n">
        <v>8839</v>
      </c>
      <c r="Y5" s="18" t="n">
        <v>7572</v>
      </c>
      <c r="Z5" s="18" t="n">
        <v>8491</v>
      </c>
      <c r="AA5" s="18" t="n">
        <v>9206</v>
      </c>
      <c r="AB5" s="18" t="n">
        <v>10906</v>
      </c>
      <c r="AC5" s="18" t="n">
        <v>10218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3315</v>
      </c>
      <c r="C7" s="18" t="n">
        <v>3548</v>
      </c>
      <c r="D7" s="18" t="n">
        <v>3877</v>
      </c>
      <c r="E7" s="18" t="n">
        <v>4015</v>
      </c>
      <c r="F7" s="18" t="n">
        <v>4462</v>
      </c>
      <c r="G7" s="18" t="n">
        <v>4763</v>
      </c>
      <c r="H7" s="18" t="n">
        <v>5208</v>
      </c>
      <c r="I7" s="18" t="n">
        <v>5197</v>
      </c>
      <c r="J7" s="18" t="n">
        <v>6096</v>
      </c>
      <c r="K7" s="18" t="n">
        <v>6316</v>
      </c>
      <c r="L7" s="18" t="n">
        <v>7046</v>
      </c>
      <c r="M7" s="18" t="n">
        <v>7707</v>
      </c>
      <c r="N7" s="18" t="n">
        <v>8690</v>
      </c>
      <c r="O7" s="18" t="n">
        <v>9170</v>
      </c>
      <c r="P7" s="18" t="n">
        <v>9771</v>
      </c>
      <c r="Q7" s="18" t="n">
        <v>9381</v>
      </c>
      <c r="R7" s="18" t="n">
        <v>9344</v>
      </c>
      <c r="S7" s="18" t="n">
        <v>9241</v>
      </c>
      <c r="T7" s="18" t="n">
        <v>10517</v>
      </c>
      <c r="U7" s="18" t="n">
        <v>9978</v>
      </c>
      <c r="V7" s="18" t="n">
        <v>10537</v>
      </c>
      <c r="W7" s="18" t="n">
        <v>11177</v>
      </c>
      <c r="X7" s="18" t="n">
        <v>12180</v>
      </c>
      <c r="Y7" s="18" t="n">
        <v>12150</v>
      </c>
      <c r="Z7" s="18" t="n">
        <v>12942</v>
      </c>
      <c r="AA7" s="18" t="n">
        <v>15144</v>
      </c>
      <c r="AB7" s="18" t="n">
        <v>17136</v>
      </c>
      <c r="AC7" s="18" t="n">
        <v>17699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5638</v>
      </c>
      <c r="C9" s="18" t="n">
        <v>3764</v>
      </c>
      <c r="D9" s="18" t="n">
        <v>4855</v>
      </c>
      <c r="E9" s="18" t="n">
        <v>4370</v>
      </c>
      <c r="F9" s="18" t="n">
        <v>4433</v>
      </c>
      <c r="G9" s="18" t="n">
        <v>4473</v>
      </c>
      <c r="H9" s="18" t="n">
        <v>4879</v>
      </c>
      <c r="I9" s="18" t="n">
        <v>4465</v>
      </c>
      <c r="J9" s="18" t="n">
        <v>5215</v>
      </c>
      <c r="K9" s="18" t="n">
        <v>6500</v>
      </c>
      <c r="L9" s="18" t="n">
        <v>7692</v>
      </c>
      <c r="M9" s="18" t="n">
        <v>5672</v>
      </c>
      <c r="N9" s="18" t="n">
        <v>6582</v>
      </c>
      <c r="O9" s="18" t="n">
        <v>7164</v>
      </c>
      <c r="P9" s="18" t="n">
        <v>7659</v>
      </c>
      <c r="Q9" s="18" t="n">
        <v>5929</v>
      </c>
      <c r="R9" s="18" t="n">
        <v>7318</v>
      </c>
      <c r="S9" s="18" t="n">
        <v>4947</v>
      </c>
      <c r="T9" s="18" t="n">
        <v>5515</v>
      </c>
      <c r="U9" s="18" t="n">
        <v>6019</v>
      </c>
      <c r="V9" s="18" t="n">
        <v>6379</v>
      </c>
      <c r="W9" s="18" t="n">
        <v>4687</v>
      </c>
      <c r="X9" s="18" t="n">
        <v>4002</v>
      </c>
      <c r="Y9" s="18" t="n">
        <v>5037</v>
      </c>
      <c r="Z9" s="18" t="n">
        <v>5642</v>
      </c>
      <c r="AA9" s="18" t="n">
        <v>6357</v>
      </c>
      <c r="AB9" s="18" t="n">
        <v>7107</v>
      </c>
      <c r="AC9" s="18" t="n">
        <v>5522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13579</v>
      </c>
      <c r="C11" s="18" t="n">
        <v>14497</v>
      </c>
      <c r="D11" s="18" t="n">
        <v>17590</v>
      </c>
      <c r="E11" s="18" t="n">
        <v>14278</v>
      </c>
      <c r="F11" s="18" t="n">
        <v>14858</v>
      </c>
      <c r="G11" s="18" t="n">
        <v>17276</v>
      </c>
      <c r="H11" s="18" t="n">
        <v>22862</v>
      </c>
      <c r="I11" s="18" t="n">
        <v>21040</v>
      </c>
      <c r="J11" s="18" t="n">
        <v>23678</v>
      </c>
      <c r="K11" s="18" t="n">
        <v>23239</v>
      </c>
      <c r="L11" s="18" t="n">
        <v>27323</v>
      </c>
      <c r="M11" s="18" t="n">
        <v>21903</v>
      </c>
      <c r="N11" s="18" t="n">
        <v>23630</v>
      </c>
      <c r="O11" s="18" t="n">
        <v>21998</v>
      </c>
      <c r="P11" s="18" t="n">
        <v>23829</v>
      </c>
      <c r="Q11" s="18" t="n">
        <v>22537</v>
      </c>
      <c r="R11" s="18" t="n">
        <v>26054</v>
      </c>
      <c r="S11" s="18" t="n">
        <v>27936</v>
      </c>
      <c r="T11" s="18" t="n">
        <v>32416</v>
      </c>
      <c r="U11" s="18" t="n">
        <v>29815</v>
      </c>
      <c r="V11" s="18" t="n">
        <v>31763</v>
      </c>
      <c r="W11" s="18" t="n">
        <v>33214</v>
      </c>
      <c r="X11" s="18" t="n">
        <v>39546</v>
      </c>
      <c r="Y11" s="18" t="n">
        <v>34742</v>
      </c>
      <c r="Z11" s="18" t="n">
        <v>39025</v>
      </c>
      <c r="AA11" s="18" t="n">
        <v>42036</v>
      </c>
      <c r="AB11" s="18" t="n">
        <v>48988</v>
      </c>
      <c r="AC11" s="18" t="n">
        <v>46093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4626</v>
      </c>
      <c r="C13" s="18" t="n">
        <v>7185</v>
      </c>
      <c r="D13" s="18" t="n">
        <v>8858</v>
      </c>
      <c r="E13" s="18" t="n">
        <v>5893</v>
      </c>
      <c r="F13" s="18" t="n">
        <v>5963</v>
      </c>
      <c r="G13" s="18" t="n">
        <v>8040</v>
      </c>
      <c r="H13" s="18" t="n">
        <v>12775</v>
      </c>
      <c r="I13" s="18" t="n">
        <v>11378</v>
      </c>
      <c r="J13" s="18" t="n">
        <v>12367</v>
      </c>
      <c r="K13" s="18" t="n">
        <v>10423</v>
      </c>
      <c r="L13" s="18" t="n">
        <v>12585</v>
      </c>
      <c r="M13" s="18" t="n">
        <v>8524</v>
      </c>
      <c r="N13" s="18" t="n">
        <v>8358</v>
      </c>
      <c r="O13" s="18" t="n">
        <v>5664</v>
      </c>
      <c r="P13" s="18" t="n">
        <v>6399</v>
      </c>
      <c r="Q13" s="18" t="n">
        <v>7227</v>
      </c>
      <c r="R13" s="18" t="n">
        <v>9392</v>
      </c>
      <c r="S13" s="18" t="n">
        <v>13748</v>
      </c>
      <c r="T13" s="18" t="n">
        <v>16384</v>
      </c>
      <c r="U13" s="18" t="n">
        <v>13818</v>
      </c>
      <c r="V13" s="18" t="n">
        <v>14847</v>
      </c>
      <c r="W13" s="18" t="n">
        <v>17350</v>
      </c>
      <c r="X13" s="18" t="n">
        <v>23364</v>
      </c>
      <c r="Y13" s="18" t="n">
        <v>17555</v>
      </c>
      <c r="Z13" s="18" t="n">
        <v>20441</v>
      </c>
      <c r="AA13" s="18" t="n">
        <v>20535</v>
      </c>
      <c r="AB13" s="18" t="n">
        <v>24745</v>
      </c>
      <c r="AC13" s="18" t="n">
        <v>22872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2616</v>
      </c>
      <c r="C15" s="18" t="n">
        <v>6091</v>
      </c>
      <c r="D15" s="18" t="n">
        <v>7349</v>
      </c>
      <c r="E15" s="18" t="n">
        <v>4902</v>
      </c>
      <c r="F15" s="18" t="n">
        <v>5178</v>
      </c>
      <c r="G15" s="18" t="n">
        <v>7846</v>
      </c>
      <c r="H15" s="18" t="n">
        <v>11219</v>
      </c>
      <c r="I15" s="18" t="n">
        <v>9497</v>
      </c>
      <c r="J15" s="18" t="n">
        <v>10394</v>
      </c>
      <c r="K15" s="18" t="n">
        <v>9194</v>
      </c>
      <c r="L15" s="18" t="n">
        <v>10285</v>
      </c>
      <c r="M15" s="18" t="n">
        <v>7465</v>
      </c>
      <c r="N15" s="18" t="n">
        <v>6687</v>
      </c>
      <c r="O15" s="18" t="n">
        <v>4395</v>
      </c>
      <c r="P15" s="18" t="n">
        <v>4653</v>
      </c>
      <c r="Q15" s="18" t="n">
        <v>5709</v>
      </c>
      <c r="R15" s="18" t="n">
        <v>7788</v>
      </c>
      <c r="S15" s="18" t="n">
        <v>11583</v>
      </c>
      <c r="T15" s="18" t="n">
        <v>14017</v>
      </c>
      <c r="U15" s="18" t="n">
        <v>12369</v>
      </c>
      <c r="V15" s="18" t="n">
        <v>13465</v>
      </c>
      <c r="W15" s="18" t="n">
        <v>15688</v>
      </c>
      <c r="X15" s="18" t="n">
        <v>20838</v>
      </c>
      <c r="Y15" s="18" t="n">
        <v>16644</v>
      </c>
      <c r="Z15" s="18" t="n">
        <v>18337</v>
      </c>
      <c r="AA15" s="18" t="n">
        <v>2709</v>
      </c>
      <c r="AB15" s="18" t="n">
        <v>22768</v>
      </c>
      <c r="AC15" s="18" t="n">
        <v>26773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2875</v>
      </c>
      <c r="C17" s="18" t="n">
        <v>2874</v>
      </c>
      <c r="D17" s="18" t="n">
        <v>2871</v>
      </c>
      <c r="E17" s="18" t="n">
        <v>2868</v>
      </c>
      <c r="F17" s="18" t="n">
        <v>2879</v>
      </c>
      <c r="G17" s="18" t="n">
        <v>2895.203</v>
      </c>
      <c r="H17" s="18" t="n">
        <v>2892.924</v>
      </c>
      <c r="I17" s="18" t="n">
        <v>2882</v>
      </c>
      <c r="J17" s="18" t="n">
        <v>2879.224</v>
      </c>
      <c r="K17" s="18" t="n">
        <v>2859</v>
      </c>
      <c r="L17" s="18" t="n">
        <v>2799</v>
      </c>
      <c r="M17" s="18" t="n">
        <v>2742</v>
      </c>
      <c r="N17" s="18" t="n">
        <v>2713</v>
      </c>
      <c r="O17" s="18" t="n">
        <v>2687</v>
      </c>
      <c r="P17" s="18" t="n">
        <v>2640</v>
      </c>
      <c r="Q17" s="18" t="n">
        <v>2596</v>
      </c>
      <c r="R17" s="18" t="n">
        <v>2612</v>
      </c>
      <c r="S17" s="18" t="n">
        <v>2641</v>
      </c>
      <c r="T17" s="18" t="n">
        <v>2630</v>
      </c>
      <c r="U17" s="18" t="n">
        <v>2625</v>
      </c>
      <c r="V17" s="18" t="n">
        <v>2610</v>
      </c>
      <c r="W17" s="18" t="n">
        <v>2600</v>
      </c>
      <c r="X17" s="18" t="n">
        <v>2614</v>
      </c>
      <c r="Y17" s="18" t="n">
        <v>2590</v>
      </c>
      <c r="Z17" s="18" t="n">
        <v>2570</v>
      </c>
      <c r="AA17" s="18" t="n">
        <v>2572</v>
      </c>
      <c r="AB17" s="18" t="n">
        <v>2574</v>
      </c>
      <c r="AC17" s="18" t="n">
        <v>2564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Family of Apps</t>
        </is>
      </c>
      <c r="L19" s="18" t="n">
        <v>31397</v>
      </c>
      <c r="M19" s="18" t="n">
        <v>27213</v>
      </c>
      <c r="N19" s="18" t="n">
        <v>28370</v>
      </c>
      <c r="O19" s="18" t="n">
        <v>27429</v>
      </c>
      <c r="P19" s="18" t="n">
        <v>31438</v>
      </c>
      <c r="Q19" s="18" t="n">
        <v>28306</v>
      </c>
      <c r="R19" s="18" t="n">
        <v>31723</v>
      </c>
      <c r="S19" s="18" t="n">
        <v>33936</v>
      </c>
      <c r="T19" s="18" t="n">
        <v>39041</v>
      </c>
      <c r="U19" s="18" t="n">
        <v>36015</v>
      </c>
      <c r="V19" s="18" t="n">
        <v>38718</v>
      </c>
      <c r="W19" s="18" t="n">
        <v>40319</v>
      </c>
      <c r="X19" s="18" t="n">
        <v>47303</v>
      </c>
      <c r="Y19" s="18" t="n">
        <v>41902</v>
      </c>
      <c r="Z19" s="18" t="n">
        <v>47146</v>
      </c>
      <c r="AA19" s="18" t="n">
        <v>50772</v>
      </c>
      <c r="AB19" s="18" t="n">
        <v>58939</v>
      </c>
      <c r="AC19" s="18" t="n">
        <v>55909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Reality Labs</t>
        </is>
      </c>
      <c r="M22" s="18" t="n">
        <v>695</v>
      </c>
      <c r="N22" s="18" t="n">
        <v>452</v>
      </c>
      <c r="O22" s="18" t="n">
        <v>285</v>
      </c>
      <c r="P22" s="18" t="n">
        <v>727</v>
      </c>
      <c r="Q22" s="18" t="n">
        <v>339</v>
      </c>
      <c r="R22" s="18" t="n">
        <v>276</v>
      </c>
      <c r="S22" s="18" t="n">
        <v>210</v>
      </c>
      <c r="T22" s="18" t="n">
        <v>1071</v>
      </c>
      <c r="U22" s="18" t="n">
        <v>440</v>
      </c>
      <c r="V22" s="18" t="n">
        <v>353</v>
      </c>
      <c r="W22" s="18" t="n">
        <v>270</v>
      </c>
      <c r="X22" s="18" t="n">
        <v>1083</v>
      </c>
      <c r="Y22" s="18" t="n">
        <v>412</v>
      </c>
      <c r="Z22" s="18" t="n">
        <v>370</v>
      </c>
      <c r="AA22" s="18" t="n">
        <v>470</v>
      </c>
      <c r="AB22" s="18" t="n">
        <v>955</v>
      </c>
      <c r="AC22" s="18" t="n">
        <v>402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US &amp; Canada</t>
        </is>
      </c>
      <c r="B26" s="18" t="n">
        <v>7632</v>
      </c>
      <c r="C26" s="18" t="n">
        <v>8026</v>
      </c>
      <c r="D26" s="18" t="n">
        <v>9771</v>
      </c>
      <c r="E26" s="18" t="n">
        <v>8012</v>
      </c>
      <c r="F26" s="18" t="n">
        <v>8292</v>
      </c>
      <c r="G26" s="18" t="n">
        <v>9229</v>
      </c>
      <c r="H26" s="18" t="n">
        <v>12900</v>
      </c>
      <c r="I26" s="18" t="n">
        <v>11436</v>
      </c>
      <c r="J26" s="18" t="n">
        <v>12612</v>
      </c>
      <c r="K26" s="18" t="n">
        <v>12668</v>
      </c>
      <c r="L26" s="18" t="n">
        <v>14825</v>
      </c>
      <c r="M26" s="18" t="n">
        <v>11780</v>
      </c>
      <c r="N26" s="18" t="n">
        <v>12186</v>
      </c>
      <c r="O26" s="18" t="n">
        <v>11966</v>
      </c>
      <c r="P26" s="18" t="n">
        <v>14218</v>
      </c>
      <c r="Q26" s="18" t="n">
        <v>11449</v>
      </c>
      <c r="R26" s="18" t="n">
        <v>12404</v>
      </c>
      <c r="S26" s="18" t="n">
        <v>12908</v>
      </c>
      <c r="T26" s="18" t="n">
        <v>16127</v>
      </c>
      <c r="U26" s="18" t="n">
        <v>13646</v>
      </c>
      <c r="V26" s="18" t="n">
        <v>14640</v>
      </c>
      <c r="W26" s="18" t="n">
        <v>15619</v>
      </c>
      <c r="X26" s="18" t="n">
        <v>19302</v>
      </c>
      <c r="Y26" s="18" t="n">
        <v>16869</v>
      </c>
      <c r="Z26" s="18" t="n">
        <v>18454</v>
      </c>
      <c r="AA26" s="18" t="n">
        <v>19708</v>
      </c>
      <c r="AB26" s="18" t="n">
        <v>23835</v>
      </c>
      <c r="AC26" s="18" t="n">
        <v>21267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Asia Pacific</t>
        </is>
      </c>
      <c r="B29" s="18" t="n">
        <v>3628</v>
      </c>
      <c r="C29" s="18" t="n">
        <v>3958</v>
      </c>
      <c r="D29" s="18" t="n">
        <v>4483</v>
      </c>
      <c r="E29" s="18" t="n">
        <v>3971</v>
      </c>
      <c r="F29" s="18" t="n">
        <v>4611</v>
      </c>
      <c r="G29" s="18" t="n">
        <v>5311</v>
      </c>
      <c r="H29" s="18" t="n">
        <v>5955</v>
      </c>
      <c r="I29" s="18" t="n">
        <v>6101</v>
      </c>
      <c r="J29" s="18" t="n">
        <v>6677</v>
      </c>
      <c r="K29" s="18" t="n">
        <v>6592</v>
      </c>
      <c r="L29" s="18" t="n">
        <v>7369</v>
      </c>
      <c r="M29" s="18" t="n">
        <v>6722</v>
      </c>
      <c r="N29" s="18" t="n">
        <v>6960</v>
      </c>
      <c r="O29" s="18" t="n">
        <v>6797</v>
      </c>
      <c r="P29" s="18" t="n">
        <v>7281</v>
      </c>
      <c r="Q29" s="18" t="n">
        <v>7292</v>
      </c>
      <c r="R29" s="18" t="n">
        <v>8551</v>
      </c>
      <c r="S29" s="18" t="n">
        <v>9790</v>
      </c>
      <c r="T29" s="18" t="n">
        <v>10521</v>
      </c>
      <c r="U29" s="18" t="n">
        <v>10312</v>
      </c>
      <c r="V29" s="18" t="n">
        <v>10967</v>
      </c>
      <c r="W29" s="18" t="n">
        <v>11243</v>
      </c>
      <c r="X29" s="18" t="n">
        <v>12487</v>
      </c>
      <c r="Y29" s="18" t="n">
        <v>11239</v>
      </c>
      <c r="Z29" s="18" t="n">
        <v>12858</v>
      </c>
      <c r="AA29" s="18" t="n">
        <v>14304</v>
      </c>
      <c r="AB29" s="18" t="n">
        <v>15416</v>
      </c>
      <c r="AC29" s="18" t="n">
        <v>15445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Europe</t>
        </is>
      </c>
      <c r="B32" s="18" t="n">
        <v>4097</v>
      </c>
      <c r="C32" s="18" t="n">
        <v>4053</v>
      </c>
      <c r="D32" s="18" t="n">
        <v>5052</v>
      </c>
      <c r="E32" s="18" t="n">
        <v>4150</v>
      </c>
      <c r="F32" s="18" t="n">
        <v>4249</v>
      </c>
      <c r="G32" s="18" t="n">
        <v>5055</v>
      </c>
      <c r="H32" s="18" t="n">
        <v>6895</v>
      </c>
      <c r="I32" s="18" t="n">
        <v>6384</v>
      </c>
      <c r="J32" s="18" t="n">
        <v>7220</v>
      </c>
      <c r="K32" s="18" t="n">
        <v>7018</v>
      </c>
      <c r="L32" s="18" t="n">
        <v>8435</v>
      </c>
      <c r="M32" s="18" t="n">
        <v>6638</v>
      </c>
      <c r="N32" s="18" t="n">
        <v>6650</v>
      </c>
      <c r="O32" s="18" t="n">
        <v>5996</v>
      </c>
      <c r="P32" s="18" t="n">
        <v>7397</v>
      </c>
      <c r="Q32" s="18" t="n">
        <v>6759</v>
      </c>
      <c r="R32" s="18" t="n">
        <v>7515</v>
      </c>
      <c r="S32" s="18" t="n">
        <v>7578</v>
      </c>
      <c r="T32" s="18" t="n">
        <v>9358</v>
      </c>
      <c r="U32" s="18" t="n">
        <v>8404</v>
      </c>
      <c r="V32" s="18" t="n">
        <v>9153</v>
      </c>
      <c r="W32" s="18" t="n">
        <v>9205</v>
      </c>
      <c r="X32" s="18" t="n">
        <v>11599</v>
      </c>
      <c r="Y32" s="18" t="n">
        <v>9621</v>
      </c>
      <c r="Z32" s="18" t="n">
        <v>11128</v>
      </c>
      <c r="AA32" s="18" t="n">
        <v>11566</v>
      </c>
      <c r="AB32" s="18" t="n">
        <v>14254</v>
      </c>
      <c r="AC32" s="18" t="n">
        <v>13240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Rest Of World</t>
        </is>
      </c>
      <c r="B35" s="18" t="n">
        <v>1529</v>
      </c>
      <c r="C35" s="18" t="n">
        <v>1615</v>
      </c>
      <c r="D35" s="18" t="n">
        <v>1776</v>
      </c>
      <c r="E35" s="18" t="n">
        <v>1604</v>
      </c>
      <c r="F35" s="18" t="n">
        <v>1535</v>
      </c>
      <c r="G35" s="18" t="n">
        <v>1875</v>
      </c>
      <c r="H35" s="18" t="n">
        <v>2321</v>
      </c>
      <c r="I35" s="18" t="n">
        <v>2250</v>
      </c>
      <c r="J35" s="18" t="n">
        <v>2568</v>
      </c>
      <c r="K35" s="18" t="n">
        <v>2732</v>
      </c>
      <c r="L35" s="18" t="n">
        <v>3042</v>
      </c>
      <c r="M35" s="18" t="n">
        <v>2768</v>
      </c>
      <c r="N35" s="18" t="n">
        <v>3026</v>
      </c>
      <c r="O35" s="18" t="n">
        <v>2955</v>
      </c>
      <c r="P35" s="18" t="n">
        <v>3269</v>
      </c>
      <c r="Q35" s="18" t="n">
        <v>3145</v>
      </c>
      <c r="R35" s="18" t="n">
        <v>3529</v>
      </c>
      <c r="S35" s="18" t="n">
        <v>3870</v>
      </c>
      <c r="T35" s="18" t="n">
        <v>4106</v>
      </c>
      <c r="U35" s="18" t="n">
        <v>4093</v>
      </c>
      <c r="V35" s="18" t="n">
        <v>4311</v>
      </c>
      <c r="W35" s="18" t="n">
        <v>4522</v>
      </c>
      <c r="X35" s="18" t="n">
        <v>4998</v>
      </c>
      <c r="Y35" s="18" t="n">
        <v>4585</v>
      </c>
      <c r="Z35" s="18" t="n">
        <v>5076</v>
      </c>
      <c r="AA35" s="18" t="n">
        <v>5664</v>
      </c>
      <c r="AB35" s="18" t="n">
        <v>6389</v>
      </c>
      <c r="AC35" s="18" t="n">
        <v>6359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48596</v>
      </c>
      <c r="C39" s="18" t="n">
        <v>52269</v>
      </c>
      <c r="D39" s="18" t="n">
        <v>54855</v>
      </c>
      <c r="E39" s="18" t="n">
        <v>60289</v>
      </c>
      <c r="F39" s="18" t="n">
        <v>58240</v>
      </c>
      <c r="G39" s="18" t="n">
        <v>55620</v>
      </c>
      <c r="H39" s="18" t="n">
        <v>61954</v>
      </c>
      <c r="I39" s="18" t="n">
        <v>64219</v>
      </c>
      <c r="J39" s="18" t="n">
        <v>64080</v>
      </c>
      <c r="K39" s="18" t="n">
        <v>58075</v>
      </c>
      <c r="L39" s="18" t="n">
        <v>47998</v>
      </c>
      <c r="M39" s="18" t="n">
        <v>43890</v>
      </c>
      <c r="N39" s="18" t="n">
        <v>40489</v>
      </c>
      <c r="O39" s="18" t="n">
        <v>41776</v>
      </c>
      <c r="P39" s="18" t="n">
        <v>40738</v>
      </c>
      <c r="Q39" s="18" t="n">
        <v>37439</v>
      </c>
      <c r="R39" s="18" t="n">
        <v>53446</v>
      </c>
      <c r="S39" s="18" t="n">
        <v>61123</v>
      </c>
      <c r="T39" s="18" t="n">
        <v>65403</v>
      </c>
      <c r="U39" s="18" t="n">
        <v>58120</v>
      </c>
      <c r="V39" s="18" t="n">
        <v>58080</v>
      </c>
      <c r="W39" s="18" t="n">
        <v>70900</v>
      </c>
      <c r="X39" s="18" t="n">
        <v>77815</v>
      </c>
      <c r="Y39" s="18" t="n">
        <v>70230</v>
      </c>
      <c r="Z39" s="18" t="n">
        <v>47071</v>
      </c>
      <c r="AA39" s="18" t="n">
        <v>44448</v>
      </c>
      <c r="AB39" s="18" t="n">
        <v>81592</v>
      </c>
      <c r="AC39" s="18" t="n">
        <v>81180</v>
      </c>
    </row>
    <row r="40">
      <c r="A40" s="4" t="inlineStr">
        <is>
          <t>Total Current Assets</t>
        </is>
      </c>
      <c r="B40" s="18" t="n">
        <v>57961</v>
      </c>
      <c r="C40" s="18" t="n">
        <v>62079</v>
      </c>
      <c r="D40" s="18" t="n">
        <v>66225</v>
      </c>
      <c r="E40" s="18" t="n">
        <v>69349</v>
      </c>
      <c r="F40" s="18" t="n">
        <v>68130</v>
      </c>
      <c r="G40" s="18" t="n">
        <v>65799</v>
      </c>
      <c r="H40" s="18" t="n">
        <v>75670</v>
      </c>
      <c r="I40" s="18" t="n">
        <v>77322</v>
      </c>
      <c r="J40" s="18" t="n">
        <v>80697</v>
      </c>
      <c r="K40" s="18" t="n">
        <v>75421</v>
      </c>
      <c r="L40" s="18" t="n">
        <v>66666</v>
      </c>
      <c r="M40" s="18" t="n">
        <v>59265</v>
      </c>
      <c r="N40" s="18" t="n">
        <v>55987</v>
      </c>
      <c r="O40" s="18" t="n">
        <v>58315</v>
      </c>
      <c r="P40" s="18" t="n">
        <v>59549</v>
      </c>
      <c r="Q40" s="18" t="n">
        <v>52483</v>
      </c>
      <c r="R40" s="18" t="n">
        <v>69560</v>
      </c>
      <c r="S40" s="18" t="n">
        <v>78378</v>
      </c>
      <c r="T40" s="18" t="n">
        <v>85365</v>
      </c>
      <c r="U40" s="18" t="n">
        <v>75330</v>
      </c>
      <c r="V40" s="18" t="n">
        <v>76431</v>
      </c>
      <c r="W40" s="18" t="n">
        <v>91067</v>
      </c>
      <c r="X40" s="18" t="n">
        <v>100045</v>
      </c>
      <c r="Y40" s="18" t="n">
        <v>90227</v>
      </c>
      <c r="Z40" s="18" t="n">
        <v>73613</v>
      </c>
      <c r="AA40" s="18" t="n">
        <v>73118</v>
      </c>
      <c r="AB40" s="18" t="n">
        <v>108722</v>
      </c>
      <c r="AC40" s="18" t="n">
        <v>109765</v>
      </c>
    </row>
    <row r="41">
      <c r="A41" s="4" t="inlineStr">
        <is>
          <t>PP&amp;E (net)</t>
        </is>
      </c>
      <c r="B41" s="18" t="n">
        <v>37271</v>
      </c>
      <c r="C41" s="18" t="n">
        <v>40687</v>
      </c>
      <c r="D41" s="18" t="n">
        <v>44783</v>
      </c>
      <c r="E41" s="18" t="n">
        <v>46486</v>
      </c>
      <c r="F41" s="18" t="n">
        <v>48435</v>
      </c>
      <c r="G41" s="18" t="n">
        <v>51730</v>
      </c>
      <c r="H41" s="18" t="n">
        <v>54981</v>
      </c>
      <c r="I41" s="18" t="n">
        <v>57922</v>
      </c>
      <c r="J41" s="18" t="n">
        <v>61434</v>
      </c>
      <c r="K41" s="18" t="n">
        <v>64789</v>
      </c>
      <c r="L41" s="18" t="n">
        <v>69964</v>
      </c>
      <c r="M41" s="18" t="n">
        <v>73823</v>
      </c>
      <c r="N41" s="18" t="n">
        <v>81718</v>
      </c>
      <c r="O41" s="18" t="n">
        <v>87379</v>
      </c>
      <c r="P41" s="18" t="n">
        <v>92191</v>
      </c>
      <c r="Q41" s="18" t="n">
        <v>97055</v>
      </c>
      <c r="R41" s="18" t="n">
        <v>100904</v>
      </c>
      <c r="S41" s="18" t="n">
        <v>104805</v>
      </c>
      <c r="T41" s="18" t="n">
        <v>109881</v>
      </c>
      <c r="U41" s="18" t="n">
        <v>112463</v>
      </c>
      <c r="V41" s="18" t="n">
        <v>117017</v>
      </c>
      <c r="W41" s="18" t="n">
        <v>126974</v>
      </c>
      <c r="X41" s="18" t="n">
        <v>136268</v>
      </c>
      <c r="Y41" s="18" t="n">
        <v>149072</v>
      </c>
      <c r="Z41" s="18" t="n">
        <v>162701</v>
      </c>
      <c r="AA41" s="18" t="n">
        <v>177642</v>
      </c>
      <c r="AB41" s="18" t="n">
        <v>196804</v>
      </c>
      <c r="AC41" s="18" t="n">
        <v>218044</v>
      </c>
    </row>
    <row r="42">
      <c r="A42" s="4" t="inlineStr">
        <is>
          <t>Total Assets</t>
        </is>
      </c>
      <c r="B42" s="18" t="n">
        <v>117006</v>
      </c>
      <c r="C42" s="18" t="n">
        <v>124418</v>
      </c>
      <c r="D42" s="18" t="n">
        <v>133376</v>
      </c>
      <c r="E42" s="18" t="n">
        <v>138371</v>
      </c>
      <c r="F42" s="18" t="n">
        <v>139691</v>
      </c>
      <c r="G42" s="18" t="n">
        <v>146437</v>
      </c>
      <c r="H42" s="18" t="n">
        <v>159316</v>
      </c>
      <c r="I42" s="18" t="n">
        <v>163523</v>
      </c>
      <c r="J42" s="18" t="n">
        <v>170609</v>
      </c>
      <c r="K42" s="18" t="n">
        <v>169585</v>
      </c>
      <c r="L42" s="18" t="n">
        <v>165987</v>
      </c>
      <c r="M42" s="18" t="n">
        <v>164218</v>
      </c>
      <c r="N42" s="18" t="n">
        <v>169779</v>
      </c>
      <c r="O42" s="18" t="n">
        <v>178894</v>
      </c>
      <c r="P42" s="18" t="n">
        <v>185727</v>
      </c>
      <c r="Q42" s="18" t="n">
        <v>184491</v>
      </c>
      <c r="R42" s="18" t="n">
        <v>206688</v>
      </c>
      <c r="S42" s="18" t="n">
        <v>216274</v>
      </c>
      <c r="T42" s="18" t="n">
        <v>229623</v>
      </c>
      <c r="U42" s="18" t="n">
        <v>222844</v>
      </c>
      <c r="V42" s="18" t="n">
        <v>230238</v>
      </c>
      <c r="W42" s="18" t="n">
        <v>256408</v>
      </c>
      <c r="X42" s="18" t="n">
        <v>276054</v>
      </c>
      <c r="Y42" s="18" t="n">
        <v>280213</v>
      </c>
      <c r="Z42" s="18" t="n">
        <v>294744</v>
      </c>
      <c r="AA42" s="18" t="n">
        <v>303844</v>
      </c>
      <c r="AB42" s="18" t="n">
        <v>366021</v>
      </c>
      <c r="AC42" s="18" t="n">
        <v>395250</v>
      </c>
    </row>
    <row r="43">
      <c r="A43" s="4" t="inlineStr">
        <is>
          <t>Total Current Liabilities</t>
        </is>
      </c>
      <c r="B43" s="18" t="n">
        <v>12979</v>
      </c>
      <c r="C43" s="18" t="n">
        <v>13328</v>
      </c>
      <c r="D43" s="18" t="n">
        <v>15053</v>
      </c>
      <c r="E43" s="18" t="n">
        <v>15069</v>
      </c>
      <c r="F43" s="18" t="n">
        <v>11308</v>
      </c>
      <c r="G43" s="18" t="n">
        <v>11944</v>
      </c>
      <c r="H43" s="18" t="n">
        <v>14981</v>
      </c>
      <c r="I43" s="18" t="n">
        <v>12717</v>
      </c>
      <c r="J43" s="18" t="n">
        <v>14874</v>
      </c>
      <c r="K43" s="18" t="n">
        <v>17812</v>
      </c>
      <c r="L43" s="18" t="n">
        <v>21135</v>
      </c>
      <c r="M43" s="18" t="n">
        <v>21086</v>
      </c>
      <c r="N43" s="18" t="n">
        <v>22217</v>
      </c>
      <c r="O43" s="18" t="n">
        <v>22687</v>
      </c>
      <c r="P43" s="18" t="n">
        <v>27026</v>
      </c>
      <c r="Q43" s="18" t="n">
        <v>25381</v>
      </c>
      <c r="R43" s="18" t="n">
        <v>29921</v>
      </c>
      <c r="S43" s="18" t="n">
        <v>30531</v>
      </c>
      <c r="T43" s="18" t="n">
        <v>31960</v>
      </c>
      <c r="U43" s="18" t="n">
        <v>28101</v>
      </c>
      <c r="V43" s="18" t="n">
        <v>27004</v>
      </c>
      <c r="W43" s="18" t="n">
        <v>33330</v>
      </c>
      <c r="X43" s="18" t="n">
        <v>33596</v>
      </c>
      <c r="Y43" s="18" t="n">
        <v>33890</v>
      </c>
      <c r="Z43" s="18" t="n">
        <v>37305</v>
      </c>
      <c r="AA43" s="18" t="n">
        <v>36958</v>
      </c>
      <c r="AB43" s="18" t="n">
        <v>41836</v>
      </c>
      <c r="AC43" s="18" t="n">
        <v>46753</v>
      </c>
    </row>
    <row r="44">
      <c r="A44" s="4" t="inlineStr">
        <is>
          <t>Long-term Debt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18" t="n">
        <v>0</v>
      </c>
      <c r="L44" s="18" t="n">
        <v>0</v>
      </c>
      <c r="M44" s="18" t="n">
        <v>0</v>
      </c>
      <c r="N44" s="18" t="n">
        <v>0</v>
      </c>
      <c r="O44" s="18" t="n">
        <v>9922</v>
      </c>
      <c r="P44" s="18" t="n">
        <v>9923</v>
      </c>
      <c r="Q44" s="18" t="n">
        <v>9925</v>
      </c>
      <c r="R44" s="18" t="n">
        <v>18382</v>
      </c>
      <c r="S44" s="18" t="n">
        <v>18383</v>
      </c>
      <c r="T44" s="18" t="n">
        <v>18385</v>
      </c>
      <c r="U44" s="18" t="n">
        <v>18387</v>
      </c>
      <c r="V44" s="18" t="n">
        <v>18389</v>
      </c>
      <c r="W44" s="18" t="n">
        <v>28823</v>
      </c>
      <c r="X44" s="18" t="n">
        <v>28826</v>
      </c>
      <c r="Y44" s="18" t="n">
        <v>28829</v>
      </c>
      <c r="Z44" s="18" t="n">
        <v>28832</v>
      </c>
      <c r="AA44" s="18" t="n">
        <v>28834</v>
      </c>
      <c r="AB44" s="18" t="n">
        <v>58744</v>
      </c>
      <c r="AC44" s="18" t="n">
        <v>58748</v>
      </c>
    </row>
    <row r="45">
      <c r="A45" s="4" t="inlineStr">
        <is>
          <t>Total Equity</t>
        </is>
      </c>
      <c r="B45" s="18" t="n">
        <v>88762</v>
      </c>
      <c r="C45" s="18" t="n">
        <v>93999</v>
      </c>
      <c r="D45" s="18" t="n">
        <v>101054</v>
      </c>
      <c r="E45" s="18" t="n">
        <v>105304</v>
      </c>
      <c r="F45" s="18" t="n">
        <v>110447</v>
      </c>
      <c r="G45" s="18" t="n">
        <v>117731</v>
      </c>
      <c r="H45" s="18" t="n">
        <v>128290</v>
      </c>
      <c r="I45" s="18" t="n">
        <v>133657</v>
      </c>
      <c r="J45" s="18" t="n">
        <v>138227</v>
      </c>
      <c r="K45" s="18" t="n">
        <v>133360</v>
      </c>
      <c r="L45" s="18" t="n">
        <v>124879</v>
      </c>
      <c r="M45" s="18" t="n">
        <v>123228</v>
      </c>
      <c r="N45" s="18" t="n">
        <v>125767</v>
      </c>
      <c r="O45" s="18" t="n">
        <v>124094</v>
      </c>
      <c r="P45" s="18" t="n">
        <v>125713</v>
      </c>
      <c r="Q45" s="18" t="n">
        <v>124795</v>
      </c>
      <c r="R45" s="18" t="n">
        <v>134033</v>
      </c>
      <c r="S45" s="18" t="n">
        <v>142873</v>
      </c>
      <c r="T45" s="18" t="n">
        <v>153168</v>
      </c>
      <c r="U45" s="18" t="n">
        <v>149529</v>
      </c>
      <c r="V45" s="18" t="n">
        <v>156763</v>
      </c>
      <c r="W45" s="18" t="n">
        <v>164529</v>
      </c>
      <c r="X45" s="18" t="n">
        <v>182637</v>
      </c>
      <c r="Y45" s="18" t="n">
        <v>185029</v>
      </c>
      <c r="Z45" s="18" t="n">
        <v>195070</v>
      </c>
      <c r="AA45" s="18" t="n">
        <v>194066</v>
      </c>
      <c r="AB45" s="18" t="n">
        <v>217243</v>
      </c>
      <c r="AC45" s="18" t="n">
        <v>243681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1502</v>
      </c>
      <c r="C47" s="18" t="n">
        <v>1416</v>
      </c>
      <c r="D47" s="18" t="n">
        <v>1468</v>
      </c>
      <c r="E47" s="18" t="n">
        <v>1597</v>
      </c>
      <c r="F47" s="18" t="n">
        <v>1704</v>
      </c>
      <c r="G47" s="18" t="n">
        <v>1698</v>
      </c>
      <c r="H47" s="18" t="n">
        <v>1863</v>
      </c>
      <c r="I47" s="18" t="n">
        <v>1972</v>
      </c>
      <c r="J47" s="18" t="n">
        <v>1985</v>
      </c>
      <c r="K47" s="18" t="n">
        <v>1995</v>
      </c>
      <c r="L47" s="18" t="n">
        <v>2014</v>
      </c>
      <c r="M47" s="18" t="n">
        <v>2156</v>
      </c>
      <c r="N47" s="18" t="n">
        <v>1979</v>
      </c>
      <c r="O47" s="18" t="n">
        <v>2175</v>
      </c>
      <c r="P47" s="18" t="n">
        <v>2376</v>
      </c>
      <c r="Q47" s="18" t="n">
        <v>2524</v>
      </c>
      <c r="R47" s="18" t="n">
        <v>2623</v>
      </c>
      <c r="S47" s="18" t="n">
        <v>2859</v>
      </c>
      <c r="T47" s="18" t="n">
        <v>3172</v>
      </c>
      <c r="U47" s="18" t="n">
        <v>3374</v>
      </c>
      <c r="V47" s="18" t="n">
        <v>3637</v>
      </c>
      <c r="W47" s="18" t="n">
        <v>4027</v>
      </c>
      <c r="X47" s="18" t="n">
        <v>4460</v>
      </c>
      <c r="Y47" s="18" t="n">
        <v>3900</v>
      </c>
      <c r="Z47" s="18" t="n">
        <v>4342</v>
      </c>
      <c r="AA47" s="18" t="n">
        <v>4963</v>
      </c>
      <c r="AB47" s="18" t="n">
        <v>5411</v>
      </c>
      <c r="AC47" s="18" t="n">
        <v>5999</v>
      </c>
    </row>
    <row r="48">
      <c r="A48" s="4" t="inlineStr">
        <is>
          <t>Stock-based Compensation</t>
        </is>
      </c>
      <c r="B48" s="18" t="n">
        <v>1303</v>
      </c>
      <c r="C48" s="18" t="n">
        <v>1249</v>
      </c>
      <c r="D48" s="18" t="n">
        <v>1273</v>
      </c>
      <c r="E48" s="18" t="n">
        <v>1335</v>
      </c>
      <c r="F48" s="18" t="n">
        <v>1695</v>
      </c>
      <c r="G48" s="18" t="n">
        <v>1722</v>
      </c>
      <c r="H48" s="18" t="n">
        <v>1784</v>
      </c>
      <c r="I48" s="18" t="n">
        <v>1830</v>
      </c>
      <c r="J48" s="18" t="n">
        <v>2548</v>
      </c>
      <c r="K48" s="18" t="n">
        <v>2379</v>
      </c>
      <c r="L48" s="18" t="n">
        <v>2406</v>
      </c>
      <c r="M48" s="18" t="n">
        <v>2498</v>
      </c>
      <c r="N48" s="18" t="n">
        <v>3351</v>
      </c>
      <c r="O48" s="18" t="n">
        <v>3134</v>
      </c>
      <c r="P48" s="18" t="n">
        <v>3008</v>
      </c>
      <c r="Q48" s="18" t="n">
        <v>3051</v>
      </c>
      <c r="R48" s="18" t="n">
        <v>4060</v>
      </c>
      <c r="S48" s="18" t="n">
        <v>3492</v>
      </c>
      <c r="T48" s="18" t="n">
        <v>3424</v>
      </c>
      <c r="U48" s="18" t="n">
        <v>3562</v>
      </c>
      <c r="V48" s="18" t="n">
        <v>4616</v>
      </c>
      <c r="W48" s="18" t="n">
        <v>4250</v>
      </c>
      <c r="X48" s="18" t="n">
        <v>4262</v>
      </c>
      <c r="Y48" s="18" t="n">
        <v>4147</v>
      </c>
      <c r="Z48" s="18" t="n">
        <v>4834</v>
      </c>
      <c r="AA48" s="18" t="n">
        <v>5556</v>
      </c>
      <c r="AB48" s="18" t="n">
        <v>5890</v>
      </c>
      <c r="AC48" s="18" t="n">
        <v>6032</v>
      </c>
    </row>
    <row r="49">
      <c r="A49" s="4" t="inlineStr">
        <is>
          <t>Change in Working Capital</t>
        </is>
      </c>
      <c r="B49" s="18" t="n">
        <v>3184</v>
      </c>
      <c r="C49" s="18" t="n">
        <v>346</v>
      </c>
      <c r="D49" s="18" t="n">
        <v>-606</v>
      </c>
      <c r="E49" s="18" t="n">
        <v>2684</v>
      </c>
      <c r="F49" s="18" t="n">
        <v>-4956</v>
      </c>
      <c r="G49" s="18" t="n">
        <v>62</v>
      </c>
      <c r="H49" s="18" t="n">
        <v>-511</v>
      </c>
      <c r="I49" s="18" t="n">
        <v>-1409</v>
      </c>
      <c r="J49" s="18" t="n">
        <v>-1889</v>
      </c>
      <c r="K49" s="18" t="n">
        <v>1382</v>
      </c>
      <c r="L49" s="18" t="n">
        <v>2616</v>
      </c>
      <c r="M49" s="18" t="n">
        <v>2741</v>
      </c>
      <c r="N49" s="18" t="n">
        <v>444</v>
      </c>
      <c r="O49" s="18" t="n">
        <v>567</v>
      </c>
      <c r="P49" s="18" t="n">
        <v>1930</v>
      </c>
      <c r="Q49" s="18" t="n">
        <v>2571</v>
      </c>
      <c r="R49" s="18" t="n">
        <v>3531</v>
      </c>
      <c r="S49" s="18" t="n">
        <v>-995</v>
      </c>
      <c r="T49" s="18" t="n">
        <v>-1271</v>
      </c>
      <c r="U49" s="18" t="n">
        <v>223</v>
      </c>
      <c r="V49" s="18" t="n">
        <v>-741</v>
      </c>
      <c r="W49" s="18" t="n">
        <v>2070</v>
      </c>
      <c r="X49" s="18" t="n">
        <v>-504</v>
      </c>
      <c r="Y49" s="18" t="n">
        <v>559</v>
      </c>
      <c r="Z49" s="18" t="n">
        <v>-957</v>
      </c>
      <c r="AA49" s="18" t="n">
        <v>-2151</v>
      </c>
      <c r="AB49" s="18" t="n">
        <v>1664</v>
      </c>
      <c r="AC49" s="18" t="n">
        <v>-7747</v>
      </c>
    </row>
    <row r="50">
      <c r="A50" s="4" t="inlineStr">
        <is>
          <t>Operating Cash Flow</t>
        </is>
      </c>
      <c r="B50" s="18" t="n">
        <v>8615</v>
      </c>
      <c r="C50" s="18" t="n">
        <v>9307</v>
      </c>
      <c r="D50" s="18" t="n">
        <v>9083</v>
      </c>
      <c r="E50" s="18" t="n">
        <v>11001</v>
      </c>
      <c r="F50" s="18" t="n">
        <v>3878</v>
      </c>
      <c r="G50" s="18" t="n">
        <v>9828</v>
      </c>
      <c r="H50" s="18" t="n">
        <v>14040</v>
      </c>
      <c r="I50" s="18" t="n">
        <v>12242</v>
      </c>
      <c r="J50" s="18" t="n">
        <v>13246</v>
      </c>
      <c r="K50" s="18" t="n">
        <v>14091</v>
      </c>
      <c r="L50" s="18" t="n">
        <v>18104</v>
      </c>
      <c r="M50" s="18" t="n">
        <v>14076</v>
      </c>
      <c r="N50" s="18" t="n">
        <v>12197</v>
      </c>
      <c r="O50" s="18" t="n">
        <v>9691</v>
      </c>
      <c r="P50" s="18" t="n">
        <v>14511</v>
      </c>
      <c r="Q50" s="18" t="n">
        <v>13998</v>
      </c>
      <c r="R50" s="18" t="n">
        <v>17309</v>
      </c>
      <c r="S50" s="18" t="n">
        <v>20402</v>
      </c>
      <c r="T50" s="18" t="n">
        <v>19404</v>
      </c>
      <c r="U50" s="18" t="n">
        <v>19246</v>
      </c>
      <c r="V50" s="18" t="n">
        <v>19370</v>
      </c>
      <c r="W50" s="18" t="n">
        <v>24724</v>
      </c>
      <c r="X50" s="18" t="n">
        <v>27988</v>
      </c>
      <c r="Y50" s="18" t="n">
        <v>24026</v>
      </c>
      <c r="Z50" s="18" t="n">
        <v>25561</v>
      </c>
      <c r="AA50" s="18" t="n">
        <v>29999</v>
      </c>
      <c r="AB50" s="18" t="n">
        <v>36214</v>
      </c>
      <c r="AC50" s="18" t="n">
        <v>32226</v>
      </c>
    </row>
    <row r="51">
      <c r="A51" s="4" t="inlineStr">
        <is>
          <t>Capex</t>
        </is>
      </c>
      <c r="B51" s="18" t="n">
        <v>-3633</v>
      </c>
      <c r="C51" s="18" t="n">
        <v>-3532</v>
      </c>
      <c r="D51" s="18" t="n">
        <v>-4100</v>
      </c>
      <c r="E51" s="18" t="n">
        <v>-3558</v>
      </c>
      <c r="F51" s="18" t="n">
        <v>-3255</v>
      </c>
      <c r="G51" s="18" t="n">
        <v>-3689</v>
      </c>
      <c r="H51" s="18" t="n">
        <v>-4613</v>
      </c>
      <c r="I51" s="18" t="n">
        <v>-4272</v>
      </c>
      <c r="J51" s="18" t="n">
        <v>-4612</v>
      </c>
      <c r="K51" s="18" t="n">
        <v>-4313</v>
      </c>
      <c r="L51" s="18" t="n">
        <v>-5370</v>
      </c>
      <c r="M51" s="18" t="n">
        <v>-5441</v>
      </c>
      <c r="N51" s="18" t="n">
        <v>-7572</v>
      </c>
      <c r="O51" s="18" t="n">
        <v>-9375</v>
      </c>
      <c r="P51" s="18" t="n">
        <v>-9043</v>
      </c>
      <c r="Q51" s="18" t="n">
        <v>-6842</v>
      </c>
      <c r="R51" s="18" t="n">
        <v>-6216</v>
      </c>
      <c r="S51" s="18" t="n">
        <v>-6543</v>
      </c>
      <c r="T51" s="18" t="n">
        <v>-7665</v>
      </c>
      <c r="U51" s="18" t="n">
        <v>-6400</v>
      </c>
      <c r="V51" s="18" t="n">
        <v>-8173</v>
      </c>
      <c r="W51" s="18" t="n">
        <v>-8258</v>
      </c>
      <c r="X51" s="18" t="n">
        <v>-14425</v>
      </c>
      <c r="Y51" s="18" t="n">
        <v>-12941</v>
      </c>
      <c r="Z51" s="18" t="n">
        <v>-16538</v>
      </c>
      <c r="AA51" s="18" t="n">
        <v>-18829</v>
      </c>
      <c r="AB51" s="18" t="n">
        <v>-21383</v>
      </c>
      <c r="AC51" s="18" t="n">
        <v>-18997</v>
      </c>
    </row>
    <row r="52">
      <c r="A52" s="4" t="inlineStr">
        <is>
          <t>Free Cash Flow</t>
        </is>
      </c>
      <c r="B52" s="18" t="n">
        <v>4982</v>
      </c>
      <c r="C52" s="18" t="n">
        <v>5775</v>
      </c>
      <c r="D52" s="18" t="n">
        <v>4983</v>
      </c>
      <c r="E52" s="18" t="n">
        <v>7443</v>
      </c>
      <c r="F52" s="18" t="n">
        <v>623</v>
      </c>
      <c r="G52" s="18" t="n">
        <v>6139</v>
      </c>
      <c r="H52" s="18" t="n">
        <v>9427</v>
      </c>
      <c r="I52" s="18" t="n">
        <v>7970</v>
      </c>
      <c r="J52" s="18" t="n">
        <v>8634</v>
      </c>
      <c r="K52" s="18" t="n">
        <v>9778</v>
      </c>
      <c r="L52" s="18" t="n">
        <v>12734</v>
      </c>
      <c r="M52" s="18" t="n">
        <v>8635</v>
      </c>
      <c r="N52" s="18" t="n">
        <v>4625</v>
      </c>
      <c r="O52" s="18" t="n">
        <v>316</v>
      </c>
      <c r="P52" s="18" t="n">
        <v>5468</v>
      </c>
      <c r="Q52" s="18" t="n">
        <v>7156</v>
      </c>
      <c r="R52" s="18" t="n">
        <v>11093</v>
      </c>
      <c r="S52" s="18" t="n">
        <v>13859</v>
      </c>
      <c r="T52" s="18" t="n">
        <v>11739</v>
      </c>
      <c r="U52" s="18" t="n">
        <v>12846</v>
      </c>
      <c r="V52" s="18" t="n">
        <v>11197</v>
      </c>
      <c r="W52" s="18" t="n">
        <v>16466</v>
      </c>
      <c r="X52" s="18" t="n">
        <v>13563</v>
      </c>
      <c r="Y52" s="18" t="n">
        <v>11085</v>
      </c>
      <c r="Z52" s="18" t="n">
        <v>9023</v>
      </c>
      <c r="AA52" s="18" t="n">
        <v>11170</v>
      </c>
      <c r="AB52" s="18" t="n">
        <v>14831</v>
      </c>
      <c r="AC52" s="18" t="n">
        <v>13229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252819.019511</v>
      </c>
      <c r="C4" s="18" t="n">
        <v>301217.975629</v>
      </c>
      <c r="D4" s="18" t="n">
        <v>351183.976358</v>
      </c>
      <c r="E4" s="18" t="n">
        <v>405634.630348</v>
      </c>
      <c r="F4" s="18" t="n">
        <v>465074.757143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115184.76559</v>
      </c>
      <c r="C8" s="18" t="n">
        <v>137235.410459</v>
      </c>
      <c r="D8" s="18" t="n">
        <v>160000.003457</v>
      </c>
      <c r="E8" s="18" t="n">
        <v>184807.811937</v>
      </c>
      <c r="F8" s="18" t="n">
        <v>211888.832522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94365.080225</v>
      </c>
      <c r="C12" s="18" t="n">
        <v>112430.06357</v>
      </c>
      <c r="D12" s="18" t="n">
        <v>131079.948679</v>
      </c>
      <c r="E12" s="18" t="n">
        <v>151403.73738</v>
      </c>
      <c r="F12" s="18" t="n">
        <v>173589.854328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43419.696088</v>
      </c>
      <c r="C16" s="18" t="n">
        <v>51731.839571</v>
      </c>
      <c r="D16" s="18" t="n">
        <v>60313.110753</v>
      </c>
      <c r="E16" s="18" t="n">
        <v>69664.58617900001</v>
      </c>
      <c r="F16" s="18" t="n">
        <v>79872.96467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84763.126</v>
      </c>
      <c r="C20" s="18" t="n">
        <v>89831.70049</v>
      </c>
      <c r="D20" s="18" t="n">
        <v>104599.41352</v>
      </c>
      <c r="E20" s="18" t="n">
        <v>123842.604648</v>
      </c>
      <c r="F20" s="18" t="n">
        <v>145206.701696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32.8052</v>
      </c>
      <c r="C24" s="47" t="n">
        <v>34.85317</v>
      </c>
      <c r="D24" s="47" t="n">
        <v>40.08727</v>
      </c>
      <c r="E24" s="47" t="n">
        <v>48.1129</v>
      </c>
      <c r="F24" s="47" t="n">
        <v>56.41286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Meta Platforms,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0.08165765023620665</v>
      </c>
      <c r="C4" s="51" t="n">
        <v>0.08665765023620665</v>
      </c>
      <c r="D4" s="51" t="n">
        <v>0.09165765023620664</v>
      </c>
      <c r="E4" s="51" t="n">
        <v>0.09665765023620665</v>
      </c>
      <c r="F4" s="51" t="n">
        <v>0.1016576502362067</v>
      </c>
      <c r="G4" s="51" t="n">
        <v>0.1066576502362066</v>
      </c>
      <c r="H4" s="51" t="n">
        <v>0.1116576502362066</v>
      </c>
    </row>
    <row r="5">
      <c r="A5" s="52" t="n">
        <v>11</v>
      </c>
      <c r="B5" s="53" t="n">
        <v>471.5306645380952</v>
      </c>
      <c r="C5" s="53" t="n">
        <v>451.8138531934233</v>
      </c>
      <c r="D5" s="53" t="n">
        <v>433.0397390073678</v>
      </c>
      <c r="E5" s="53" t="n">
        <v>415.1588032642594</v>
      </c>
      <c r="F5" s="53" t="n">
        <v>398.1243501804601</v>
      </c>
      <c r="G5" s="53" t="n">
        <v>381.8923337196999</v>
      </c>
      <c r="H5" s="53" t="n">
        <v>366.4211957691781</v>
      </c>
    </row>
    <row r="6">
      <c r="A6" s="52" t="n">
        <v>12</v>
      </c>
      <c r="B6" s="53" t="n">
        <v>504.0023301935278</v>
      </c>
      <c r="C6" s="53" t="n">
        <v>482.8219713839529</v>
      </c>
      <c r="D6" s="53" t="n">
        <v>462.6565438142843</v>
      </c>
      <c r="E6" s="53" t="n">
        <v>443.452656947599</v>
      </c>
      <c r="F6" s="53" t="n">
        <v>425.159967003982</v>
      </c>
      <c r="G6" s="53" t="n">
        <v>407.7309899034129</v>
      </c>
      <c r="H6" s="53" t="n">
        <v>391.1209264865596</v>
      </c>
    </row>
    <row r="7">
      <c r="A7" s="52" t="n">
        <v>13</v>
      </c>
      <c r="B7" s="53" t="n">
        <v>536.4739958489603</v>
      </c>
      <c r="C7" s="53" t="n">
        <v>513.8300895744825</v>
      </c>
      <c r="D7" s="53" t="n">
        <v>492.2733486212007</v>
      </c>
      <c r="E7" s="53" t="n">
        <v>471.7465106309386</v>
      </c>
      <c r="F7" s="53" t="n">
        <v>452.1955838275039</v>
      </c>
      <c r="G7" s="53" t="n">
        <v>433.5696460871259</v>
      </c>
      <c r="H7" s="53" t="n">
        <v>415.8206572039412</v>
      </c>
    </row>
    <row r="8">
      <c r="A8" s="52" t="n">
        <v>14</v>
      </c>
      <c r="B8" s="53" t="n">
        <v>568.9456615043928</v>
      </c>
      <c r="C8" s="53" t="n">
        <v>544.838207765012</v>
      </c>
      <c r="D8" s="53" t="n">
        <v>521.8901534281172</v>
      </c>
      <c r="E8" s="54" t="n">
        <v>500.0403643142782</v>
      </c>
      <c r="F8" s="53" t="n">
        <v>479.2312006510257</v>
      </c>
      <c r="G8" s="53" t="n">
        <v>459.4083022708388</v>
      </c>
      <c r="H8" s="53" t="n">
        <v>440.5203879213227</v>
      </c>
    </row>
    <row r="9">
      <c r="A9" s="52" t="n">
        <v>15</v>
      </c>
      <c r="B9" s="8" t="n">
        <v>601.4173271598254</v>
      </c>
      <c r="C9" s="53" t="n">
        <v>575.8463259555416</v>
      </c>
      <c r="D9" s="53" t="n">
        <v>551.5069582350336</v>
      </c>
      <c r="E9" s="53" t="n">
        <v>528.3342179976178</v>
      </c>
      <c r="F9" s="53" t="n">
        <v>506.2668174745477</v>
      </c>
      <c r="G9" s="53" t="n">
        <v>485.2469584545518</v>
      </c>
      <c r="H9" s="53" t="n">
        <v>465.2201186387042</v>
      </c>
    </row>
    <row r="10">
      <c r="A10" s="52" t="n">
        <v>16</v>
      </c>
      <c r="B10" s="8" t="n">
        <v>633.8889928152579</v>
      </c>
      <c r="C10" s="8" t="n">
        <v>606.8544441460713</v>
      </c>
      <c r="D10" s="53" t="n">
        <v>581.12376304195</v>
      </c>
      <c r="E10" s="53" t="n">
        <v>556.6280716809574</v>
      </c>
      <c r="F10" s="53" t="n">
        <v>533.3024342980697</v>
      </c>
      <c r="G10" s="53" t="n">
        <v>511.0856146382649</v>
      </c>
      <c r="H10" s="53" t="n">
        <v>489.9198493560858</v>
      </c>
    </row>
    <row r="11">
      <c r="A11" s="52" t="n">
        <v>17</v>
      </c>
      <c r="B11" s="8" t="n">
        <v>666.3606584706904</v>
      </c>
      <c r="C11" s="8" t="n">
        <v>637.8625623366009</v>
      </c>
      <c r="D11" s="8" t="n">
        <v>610.7405678488664</v>
      </c>
      <c r="E11" s="53" t="n">
        <v>584.9219253642971</v>
      </c>
      <c r="F11" s="53" t="n">
        <v>560.3380511215914</v>
      </c>
      <c r="G11" s="53" t="n">
        <v>536.9242708219778</v>
      </c>
      <c r="H11" s="53" t="n">
        <v>514.6195800734673</v>
      </c>
    </row>
    <row r="13">
      <c r="A13" s="3" t="inlineStr">
        <is>
          <t>Current price</t>
        </is>
      </c>
      <c r="B13" s="53" t="n">
        <v>596.7000122070312</v>
      </c>
    </row>
    <row r="14">
      <c r="A14" s="3" t="inlineStr">
        <is>
          <t>Base WACC / multiple</t>
        </is>
      </c>
      <c r="B14" s="55" t="n">
        <v>0.09665765023620665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0.09263258461630325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3.454507950150409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0.7628847987077934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2026-07-06T20:35:11Z</dcterms:created>
  <dcterms:modified xmlns:dcterms="http://purl.org/dc/terms/" xmlns:xsi="http://www.w3.org/2001/XMLSchema-instance" xsi:type="dcterms:W3CDTF">2026-07-06T20:35:11Z</dcterms:modified>
</cp:coreProperties>
</file>