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Opus: 15.0%</t>
      </text>
    </comment>
    <comment ref="C20" authorId="0" shapeId="0">
      <text>
        <t>Opus: 4.0%</t>
      </text>
    </comment>
    <comment ref="B21" authorId="0" shapeId="0">
      <text>
        <t>Opus: 5.0%</t>
      </text>
    </comment>
    <comment ref="C21" authorId="0" shapeId="0">
      <text>
        <t>Opus: 3.0%</t>
      </text>
    </comment>
    <comment ref="B29" authorId="0" shapeId="0">
      <text>
        <t>Opus: 40.0%</t>
      </text>
    </comment>
    <comment ref="B30" authorId="0" shapeId="0">
      <text>
        <t>Opus: 37.0%</t>
      </text>
    </comment>
    <comment ref="B31" authorId="0" shapeId="0">
      <text>
        <t>Opus: 17.0%</t>
      </text>
    </comment>
    <comment ref="B34" authorId="0" shapeId="0">
      <text>
        <t>Opus: —
set from Opus 32% of FY1E revenue; edits not tracked (unit differs from the JSON)</t>
      </text>
    </comment>
    <comment ref="B35" authorId="0" shapeId="0">
      <text>
        <t>Opus: 1.1x</t>
      </text>
    </comment>
    <comment ref="B38" authorId="0" shapeId="0">
      <text>
        <t>Opus: 4.3%</t>
      </text>
    </comment>
    <comment ref="B39" authorId="0" shapeId="0">
      <text>
        <t>Opus: 4.5%</t>
      </text>
    </comment>
    <comment ref="B40" authorId="0" shapeId="0">
      <text>
        <t>Opus: 1.243</t>
      </text>
    </comment>
    <comment ref="B41" authorId="0" shapeId="0">
      <text>
        <t>Opus: 4.5%</t>
      </text>
    </comment>
    <comment ref="B43" authorId="0" shapeId="0">
      <text>
        <t>Opus: Exit multiple</t>
      </text>
    </comment>
    <comment ref="B44" authorId="0" shapeId="0">
      <text>
        <t>Opus: EV/EBIT</t>
      </text>
    </comment>
    <comment ref="B45" authorId="0" shapeId="0">
      <text>
        <t>Opus: 14.0x</t>
      </text>
    </comment>
    <comment ref="B46" authorId="0" shapeId="0">
      <text>
        <t>Opus: 4.0%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Meta Platforms, Inc. (META)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values as of 2026-06-11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META is a mature, cash-generative advertising platform whose Family of Apps engine compounds revenue at a mid-teens rate near-term—anchored to consensus (~25% in 2026 fading thereafter)—before settling toward a GDP-like terminal pace. Operating margins stay structurally high (35%+ per thesis) but fade modestly from ~41% as a multi-year AI/data-center capex cycle inflates D&amp;A and Reality Labs remains a bounded drag rather than a value driver. Free cash flow normalizes as the elevated 2026 capex (~32% of revenue) converges toward maintenance levels (capex/D&amp;A ~1.1x) by year 10.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Meta Platforms, Inc. (META)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IF(Model!F36&lt;=0,"n/a (neg. capital)",Model!G38-WACC!B15)</f>
        <v/>
      </c>
      <c r="C15" s="10">
        <f>IF(Model!F36&lt;=0,"n/a",IF(Model!G38-WACC!B15&lt;0,"!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Family of Apps</t>
        </is>
      </c>
      <c r="B20" s="15" t="n">
        <v>0.15</v>
      </c>
      <c r="C20" s="15" t="n">
        <v>0.04</v>
      </c>
      <c r="D20" s="16" t="n">
        <v>0.15</v>
      </c>
      <c r="E20" s="2" t="inlineStr"/>
    </row>
    <row r="21">
      <c r="A21" s="4" t="inlineStr">
        <is>
          <t>Reality Labs</t>
        </is>
      </c>
      <c r="B21" s="15" t="n">
        <v>0.05</v>
      </c>
      <c r="C21" s="15" t="n">
        <v>0.03</v>
      </c>
      <c r="D21" s="16" t="n">
        <v>0.05</v>
      </c>
      <c r="E21" s="2" t="inlineStr"/>
    </row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0.4</v>
      </c>
      <c r="D29" s="16" t="n">
        <v>0.4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0.37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0.17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80902.08624352</v>
      </c>
      <c r="D34" s="18" t="n">
        <v>80902.08624352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1.243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</t>
        </is>
      </c>
    </row>
    <row r="45">
      <c r="A45" s="4" t="inlineStr">
        <is>
          <t>Exit multiple</t>
        </is>
      </c>
      <c r="B45" s="19" t="n">
        <v>14</v>
      </c>
    </row>
    <row r="46">
      <c r="A46" s="4" t="inlineStr">
        <is>
          <t>Terminal growth (g)</t>
        </is>
      </c>
      <c r="B46" s="15" t="n">
        <v>0.04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596.7000122070312</v>
      </c>
    </row>
    <row r="49">
      <c r="A49" s="4" t="inlineStr">
        <is>
          <t>Growth fade curvature</t>
        </is>
      </c>
      <c r="B49" s="20" t="n">
        <v>2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434.3485961105008</v>
      </c>
      <c r="C58" s="28" t="n">
        <v>600.8664420484578</v>
      </c>
      <c r="D58" s="28" t="n">
        <v>305.5718475611439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0.45</v>
      </c>
      <c r="C62" s="30" t="n">
        <v>0.2</v>
      </c>
      <c r="D62" s="30" t="n">
        <v>0.35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0.1016440591940925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0.06098643551645552</v>
      </c>
      <c r="E66" s="2" t="inlineStr">
        <is>
          <t>fades near-&gt;terminal; also burdens the exit-multiple EBITDA</t>
        </is>
      </c>
    </row>
  </sheetData>
  <conditionalFormatting sqref="B20:B21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META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2026-06-11 from the synced assumptions block (pass predates provenance tracking — may already include your edits)</t>
        </is>
      </c>
    </row>
    <row r="6">
      <c r="A6" s="5" t="inlineStr">
        <is>
          <t xml:space="preserve">  THE STORY (Opus narrative)</t>
        </is>
      </c>
      <c r="B6" s="6" t="n"/>
      <c r="C6" s="6" t="n"/>
      <c r="D6" s="6" t="n"/>
      <c r="E6" s="6" t="n"/>
      <c r="F6" s="6" t="n"/>
    </row>
    <row r="7">
      <c r="A7" s="31" t="inlineStr">
        <is>
          <t>META is a mature, cash-generative advertising platform whose Family of Apps engine compounds revenue at a mid-teens rate near-term—anchored to consensus (~25% in 2026 fading thereafter)—before settling toward a GDP-like terminal pace. Operating margins stay structurally high (35%+ per thesis) but fade modestly from ~41% as a multi-year AI/data-center capex cycle inflates D&amp;A and Reality Labs remains a bounded drag rather than a value driver. Free cash flow normalizes as the elevated 2026 capex (~32% of revenue) converges toward maintenance levels (capex/D&amp;A ~1.1x) by year 10.</t>
        </is>
      </c>
    </row>
    <row r="8"/>
    <row r="9"/>
    <row r="10"/>
    <row r="12">
      <c r="A12" s="5" t="inlineStr">
        <is>
          <t xml:space="preserve">  KEY JUDGMENTS (Opus reasoning)</t>
        </is>
      </c>
      <c r="B12" s="6" t="n"/>
      <c r="C12" s="6" t="n"/>
      <c r="D12" s="6" t="n"/>
      <c r="E12" s="6" t="n"/>
      <c r="F12" s="6" t="n"/>
    </row>
    <row r="13">
      <c r="A13" s="31" t="inlineStr">
        <is>
          <t>Near-term growth is anchored to Street consensus then faded toward a 4% risk-free terminal rate; the key judgement is treating today's ~35% capex/revenue as a transient AI-buildout peak that converges to maintenance, which drives the FCFF recovery. Terminal op margin of 37% reflects operating leverage offsetting heavier depreciation, and the 17% tax rate sits between META's low effective rate and the 21% statutory marginal rate Damodaran favors for the terminal year.</t>
        </is>
      </c>
    </row>
    <row r="14"/>
    <row r="15"/>
    <row r="16"/>
    <row r="18">
      <c r="A18" s="5" t="inlineStr">
        <is>
          <t xml:space="preserve">  DASHBOARD INPUTS — value · source · reasoning</t>
        </is>
      </c>
      <c r="B18" s="6" t="n"/>
      <c r="C18" s="6" t="n"/>
      <c r="D18" s="6" t="n"/>
      <c r="E18" s="6" t="n"/>
      <c r="F18" s="6" t="n"/>
    </row>
    <row r="19">
      <c r="A19" s="3" t="inlineStr">
        <is>
          <t>Input</t>
        </is>
      </c>
      <c r="B19" s="3" t="inlineStr">
        <is>
          <t>Cell</t>
        </is>
      </c>
      <c r="C19" s="3" t="inlineStr">
        <is>
          <t>Current</t>
        </is>
      </c>
      <c r="D19" s="3" t="inlineStr">
        <is>
          <t>Source</t>
        </is>
      </c>
      <c r="E19" s="3" t="inlineStr">
        <is>
          <t>Opus value</t>
        </is>
      </c>
      <c r="F19" s="3" t="inlineStr">
        <is>
          <t>Note</t>
        </is>
      </c>
    </row>
    <row r="20">
      <c r="A20" t="inlineStr">
        <is>
          <t>Family of Apps — near-term growth</t>
        </is>
      </c>
      <c r="B20" t="inlineStr">
        <is>
          <t>B20</t>
        </is>
      </c>
      <c r="C20" s="11">
        <f>Dashboard!B20</f>
        <v/>
      </c>
      <c r="D20" t="inlineStr">
        <is>
          <t>Opus</t>
        </is>
      </c>
      <c r="E20" t="inlineStr">
        <is>
          <t>15.0%</t>
        </is>
      </c>
      <c r="F20" s="31" t="inlineStr"/>
    </row>
    <row r="21">
      <c r="A21" t="inlineStr">
        <is>
          <t>Family of Apps — terminal growth</t>
        </is>
      </c>
      <c r="B21" t="inlineStr">
        <is>
          <t>C20</t>
        </is>
      </c>
      <c r="C21" s="11">
        <f>Dashboard!C20</f>
        <v/>
      </c>
      <c r="D21" t="inlineStr">
        <is>
          <t>Opus</t>
        </is>
      </c>
      <c r="E21" t="inlineStr">
        <is>
          <t>4.0%</t>
        </is>
      </c>
      <c r="F21" s="31" t="inlineStr"/>
    </row>
    <row r="22">
      <c r="A22" t="inlineStr">
        <is>
          <t>Reality Labs — near-term growth</t>
        </is>
      </c>
      <c r="B22" t="inlineStr">
        <is>
          <t>B21</t>
        </is>
      </c>
      <c r="C22" s="11">
        <f>Dashboard!B21</f>
        <v/>
      </c>
      <c r="D22" t="inlineStr">
        <is>
          <t>Opus</t>
        </is>
      </c>
      <c r="E22" t="inlineStr">
        <is>
          <t>5.0%</t>
        </is>
      </c>
      <c r="F22" s="31" t="inlineStr"/>
    </row>
    <row r="23">
      <c r="A23" t="inlineStr">
        <is>
          <t>Reality Labs — terminal growth</t>
        </is>
      </c>
      <c r="B23" t="inlineStr">
        <is>
          <t>C21</t>
        </is>
      </c>
      <c r="C23" s="11">
        <f>Dashboard!C21</f>
        <v/>
      </c>
      <c r="D23" t="inlineStr">
        <is>
          <t>Opus</t>
        </is>
      </c>
      <c r="E23" t="inlineStr">
        <is>
          <t>3.0%</t>
        </is>
      </c>
      <c r="F23" s="31" t="inlineStr"/>
    </row>
    <row r="24">
      <c r="A24" t="inlineStr">
        <is>
          <t>Near-term operating margin</t>
        </is>
      </c>
      <c r="B24" t="inlineStr">
        <is>
          <t>B29</t>
        </is>
      </c>
      <c r="C24" s="11">
        <f>Dashboard!B29</f>
        <v/>
      </c>
      <c r="D24" t="inlineStr">
        <is>
          <t>Opus</t>
        </is>
      </c>
      <c r="E24" t="inlineStr">
        <is>
          <t>40.0%</t>
        </is>
      </c>
      <c r="F24" s="31" t="inlineStr"/>
    </row>
    <row r="25">
      <c r="A25" t="inlineStr">
        <is>
          <t>Terminal operating margin</t>
        </is>
      </c>
      <c r="B25" t="inlineStr">
        <is>
          <t>B30</t>
        </is>
      </c>
      <c r="C25" s="11">
        <f>Dashboard!B30</f>
        <v/>
      </c>
      <c r="D25" t="inlineStr">
        <is>
          <t>Opus</t>
        </is>
      </c>
      <c r="E25" t="inlineStr">
        <is>
          <t>37.0%</t>
        </is>
      </c>
      <c r="F25" s="31" t="inlineStr"/>
    </row>
    <row r="26">
      <c r="A26" t="inlineStr">
        <is>
          <t>Tax rate</t>
        </is>
      </c>
      <c r="B26" t="inlineStr">
        <is>
          <t>B31</t>
        </is>
      </c>
      <c r="C26" s="11">
        <f>Dashboard!B31</f>
        <v/>
      </c>
      <c r="D26" t="inlineStr">
        <is>
          <t>Opus</t>
        </is>
      </c>
      <c r="E26" t="inlineStr">
        <is>
          <t>17.0%</t>
        </is>
      </c>
      <c r="F26" s="31" t="inlineStr"/>
    </row>
    <row r="27">
      <c r="A27" t="inlineStr">
        <is>
          <t>Terminal capex / D&amp;A</t>
        </is>
      </c>
      <c r="B27" t="inlineStr">
        <is>
          <t>B35</t>
        </is>
      </c>
      <c r="C27" s="13">
        <f>Dashboard!B35</f>
        <v/>
      </c>
      <c r="D27" t="inlineStr">
        <is>
          <t>Opus</t>
        </is>
      </c>
      <c r="E27" t="inlineStr">
        <is>
          <t>1.1x</t>
        </is>
      </c>
      <c r="F27" s="31" t="inlineStr"/>
    </row>
    <row r="28">
      <c r="A28" t="inlineStr">
        <is>
          <t>Risk-free rate (10Y)</t>
        </is>
      </c>
      <c r="B28" t="inlineStr">
        <is>
          <t>B38</t>
        </is>
      </c>
      <c r="C28" s="11">
        <f>Dashboard!B38</f>
        <v/>
      </c>
      <c r="D28" t="inlineStr">
        <is>
          <t>Opus</t>
        </is>
      </c>
      <c r="E28" t="inlineStr">
        <is>
          <t>4.3%</t>
        </is>
      </c>
      <c r="F28" s="31" t="inlineStr"/>
    </row>
    <row r="29">
      <c r="A29" t="inlineStr">
        <is>
          <t>Equity risk premium</t>
        </is>
      </c>
      <c r="B29" t="inlineStr">
        <is>
          <t>B39</t>
        </is>
      </c>
      <c r="C29" s="11">
        <f>Dashboard!B39</f>
        <v/>
      </c>
      <c r="D29" t="inlineStr">
        <is>
          <t>Opus</t>
        </is>
      </c>
      <c r="E29" t="inlineStr">
        <is>
          <t>4.5%</t>
        </is>
      </c>
      <c r="F29" s="31" t="inlineStr"/>
    </row>
    <row r="30">
      <c r="A30" t="inlineStr">
        <is>
          <t>Beta (levered)</t>
        </is>
      </c>
      <c r="B30" t="inlineStr">
        <is>
          <t>B40</t>
        </is>
      </c>
      <c r="C30" s="32">
        <f>Dashboard!B40</f>
        <v/>
      </c>
      <c r="D30" t="inlineStr">
        <is>
          <t>Opus</t>
        </is>
      </c>
      <c r="E30" t="inlineStr">
        <is>
          <t>1.243</t>
        </is>
      </c>
      <c r="F30" s="31" t="inlineStr"/>
    </row>
    <row r="31">
      <c r="A31" t="inlineStr">
        <is>
          <t>Pre-tax cost of debt</t>
        </is>
      </c>
      <c r="B31" t="inlineStr">
        <is>
          <t>B41</t>
        </is>
      </c>
      <c r="C31" s="11">
        <f>Dashboard!B41</f>
        <v/>
      </c>
      <c r="D31" t="inlineStr">
        <is>
          <t>Opus</t>
        </is>
      </c>
      <c r="E31" t="inlineStr">
        <is>
          <t>4.5%</t>
        </is>
      </c>
      <c r="F31" s="31" t="inlineStr"/>
    </row>
    <row r="32">
      <c r="A32" t="inlineStr">
        <is>
          <t>Terminal method</t>
        </is>
      </c>
      <c r="B32" t="inlineStr">
        <is>
          <t>B43</t>
        </is>
      </c>
      <c r="C32" s="12">
        <f>Dashboard!B43</f>
        <v/>
      </c>
      <c r="D32" t="inlineStr">
        <is>
          <t>Opus</t>
        </is>
      </c>
      <c r="E32" t="inlineStr">
        <is>
          <t>Exit multiple</t>
        </is>
      </c>
      <c r="F32" s="31" t="inlineStr"/>
    </row>
    <row r="33">
      <c r="A33" t="inlineStr">
        <is>
          <t>Exit basis</t>
        </is>
      </c>
      <c r="B33" t="inlineStr">
        <is>
          <t>B44</t>
        </is>
      </c>
      <c r="C33" s="12">
        <f>Dashboard!B44</f>
        <v/>
      </c>
      <c r="D33" t="inlineStr">
        <is>
          <t>Opus</t>
        </is>
      </c>
      <c r="E33" t="inlineStr">
        <is>
          <t>EV/EBIT</t>
        </is>
      </c>
      <c r="F33" s="31" t="inlineStr"/>
    </row>
    <row r="34">
      <c r="A34" t="inlineStr">
        <is>
          <t>Exit multiple</t>
        </is>
      </c>
      <c r="B34" t="inlineStr">
        <is>
          <t>B45</t>
        </is>
      </c>
      <c r="C34" s="13">
        <f>Dashboard!B45</f>
        <v/>
      </c>
      <c r="D34" t="inlineStr">
        <is>
          <t>Opus</t>
        </is>
      </c>
      <c r="E34" t="inlineStr">
        <is>
          <t>14.0x</t>
        </is>
      </c>
      <c r="F34" s="31" t="inlineStr"/>
    </row>
    <row r="35">
      <c r="A35" t="inlineStr">
        <is>
          <t>Terminal growth (g)</t>
        </is>
      </c>
      <c r="B35" t="inlineStr">
        <is>
          <t>B46</t>
        </is>
      </c>
      <c r="C35" s="11">
        <f>Dashboard!B46</f>
        <v/>
      </c>
      <c r="D35" t="inlineStr">
        <is>
          <t>Opus</t>
        </is>
      </c>
      <c r="E35" t="inlineStr">
        <is>
          <t>4.0%</t>
        </is>
      </c>
      <c r="F35" s="31" t="inlineStr"/>
    </row>
    <row r="36">
      <c r="A36" t="inlineStr">
        <is>
          <t>2026 capex ($M)</t>
        </is>
      </c>
      <c r="B36" t="inlineStr">
        <is>
          <t>B34</t>
        </is>
      </c>
      <c r="C36" s="33">
        <f>Dashboard!B34</f>
        <v/>
      </c>
      <c r="D36" t="inlineStr">
        <is>
          <t>Opus</t>
        </is>
      </c>
      <c r="E36" t="inlineStr">
        <is>
          <t>—</t>
        </is>
      </c>
      <c r="F36" s="31" t="inlineStr">
        <is>
          <t>set from Opus 32% of FY1E revenue; edits not tracked (unit differs from the JSON)</t>
        </is>
      </c>
    </row>
    <row r="37">
      <c r="A37" t="inlineStr">
        <is>
          <t>Bull Δ — segment growth, near-term</t>
        </is>
      </c>
      <c r="B37" t="inlineStr">
        <is>
          <t>C52</t>
        </is>
      </c>
      <c r="C37" s="34">
        <f>Dashboard!C52</f>
        <v/>
      </c>
      <c r="D37" t="inlineStr">
        <is>
          <t>seed default</t>
        </is>
      </c>
      <c r="E37" t="inlineStr">
        <is>
          <t>3.0%</t>
        </is>
      </c>
      <c r="F37" s="31" t="inlineStr"/>
    </row>
    <row r="38">
      <c r="A38" t="inlineStr">
        <is>
          <t>Bear Δ — segment growth, near-term</t>
        </is>
      </c>
      <c r="B38" t="inlineStr">
        <is>
          <t>D52</t>
        </is>
      </c>
      <c r="C38" s="34">
        <f>Dashboard!D52</f>
        <v/>
      </c>
      <c r="D38" t="inlineStr">
        <is>
          <t>seed default</t>
        </is>
      </c>
      <c r="E38" t="inlineStr">
        <is>
          <t>-3.0%</t>
        </is>
      </c>
      <c r="F38" s="31" t="inlineStr"/>
    </row>
    <row r="39">
      <c r="A39" t="inlineStr">
        <is>
          <t>Bull Δ — segment growth, terminal</t>
        </is>
      </c>
      <c r="B39" t="inlineStr">
        <is>
          <t>C53</t>
        </is>
      </c>
      <c r="C39" s="34">
        <f>Dashboard!C53</f>
        <v/>
      </c>
      <c r="D39" t="inlineStr">
        <is>
          <t>seed default</t>
        </is>
      </c>
      <c r="E39" t="inlineStr">
        <is>
          <t>1.0%</t>
        </is>
      </c>
      <c r="F39" s="31" t="inlineStr"/>
    </row>
    <row r="40">
      <c r="A40" t="inlineStr">
        <is>
          <t>Bear Δ — segment growth, terminal</t>
        </is>
      </c>
      <c r="B40" t="inlineStr">
        <is>
          <t>D53</t>
        </is>
      </c>
      <c r="C40" s="34">
        <f>Dashboard!D53</f>
        <v/>
      </c>
      <c r="D40" t="inlineStr">
        <is>
          <t>seed default</t>
        </is>
      </c>
      <c r="E40" t="inlineStr">
        <is>
          <t>-1.0%</t>
        </is>
      </c>
      <c r="F40" s="31" t="inlineStr"/>
    </row>
    <row r="41">
      <c r="A41" t="inlineStr">
        <is>
          <t>Bull Δ — operating margin, near-term</t>
        </is>
      </c>
      <c r="B41" t="inlineStr">
        <is>
          <t>C54</t>
        </is>
      </c>
      <c r="C41" s="34">
        <f>Dashboard!C54</f>
        <v/>
      </c>
      <c r="D41" t="inlineStr">
        <is>
          <t>seed default</t>
        </is>
      </c>
      <c r="E41" t="inlineStr">
        <is>
          <t>1.0%</t>
        </is>
      </c>
      <c r="F41" s="31" t="inlineStr"/>
    </row>
    <row r="42">
      <c r="A42" t="inlineStr">
        <is>
          <t>Bear Δ — operating margin, near-term</t>
        </is>
      </c>
      <c r="B42" t="inlineStr">
        <is>
          <t>D54</t>
        </is>
      </c>
      <c r="C42" s="34">
        <f>Dashboard!D54</f>
        <v/>
      </c>
      <c r="D42" t="inlineStr">
        <is>
          <t>seed default</t>
        </is>
      </c>
      <c r="E42" t="inlineStr">
        <is>
          <t>-1.0%</t>
        </is>
      </c>
      <c r="F42" s="31" t="inlineStr"/>
    </row>
    <row r="43">
      <c r="A43" t="inlineStr">
        <is>
          <t>Bull Δ — operating margin, terminal</t>
        </is>
      </c>
      <c r="B43" t="inlineStr">
        <is>
          <t>C55</t>
        </is>
      </c>
      <c r="C43" s="34">
        <f>Dashboard!C55</f>
        <v/>
      </c>
      <c r="D43" t="inlineStr">
        <is>
          <t>seed default</t>
        </is>
      </c>
      <c r="E43" t="inlineStr">
        <is>
          <t>2.0%</t>
        </is>
      </c>
      <c r="F43" s="31" t="inlineStr"/>
    </row>
    <row r="44">
      <c r="A44" t="inlineStr">
        <is>
          <t>Bear Δ — operating margin, terminal</t>
        </is>
      </c>
      <c r="B44" t="inlineStr">
        <is>
          <t>D55</t>
        </is>
      </c>
      <c r="C44" s="34">
        <f>Dashboard!D55</f>
        <v/>
      </c>
      <c r="D44" t="inlineStr">
        <is>
          <t>seed default</t>
        </is>
      </c>
      <c r="E44" t="inlineStr">
        <is>
          <t>-2.0%</t>
        </is>
      </c>
      <c r="F44" s="31" t="inlineStr"/>
    </row>
    <row r="45">
      <c r="A45" t="inlineStr">
        <is>
          <t>Bull Δ — exit multiple</t>
        </is>
      </c>
      <c r="B45" t="inlineStr">
        <is>
          <t>C56</t>
        </is>
      </c>
      <c r="C45" s="35">
        <f>Dashboard!C56</f>
        <v/>
      </c>
      <c r="D45" t="inlineStr">
        <is>
          <t>seed default</t>
        </is>
      </c>
      <c r="E45" t="inlineStr">
        <is>
          <t>2.0x</t>
        </is>
      </c>
      <c r="F45" s="31" t="inlineStr"/>
    </row>
    <row r="46">
      <c r="A46" t="inlineStr">
        <is>
          <t>Bear Δ — exit multiple</t>
        </is>
      </c>
      <c r="B46" t="inlineStr">
        <is>
          <t>D56</t>
        </is>
      </c>
      <c r="C46" s="35">
        <f>Dashboard!D56</f>
        <v/>
      </c>
      <c r="D46" t="inlineStr">
        <is>
          <t>seed default</t>
        </is>
      </c>
      <c r="E46" t="inlineStr">
        <is>
          <t>-2.0x</t>
        </is>
      </c>
      <c r="F46" s="31" t="inlineStr"/>
    </row>
    <row r="47">
      <c r="A47" t="inlineStr">
        <is>
          <t>Bull Δ — terminal growth (g)</t>
        </is>
      </c>
      <c r="B47" t="inlineStr">
        <is>
          <t>C57</t>
        </is>
      </c>
      <c r="C47" s="34">
        <f>Dashboard!C57</f>
        <v/>
      </c>
      <c r="D47" t="inlineStr">
        <is>
          <t>seed default</t>
        </is>
      </c>
      <c r="E47" t="inlineStr">
        <is>
          <t>0.5%</t>
        </is>
      </c>
      <c r="F47" s="31" t="inlineStr"/>
    </row>
    <row r="48">
      <c r="A48" t="inlineStr">
        <is>
          <t>Bear Δ — terminal growth (g)</t>
        </is>
      </c>
      <c r="B48" t="inlineStr">
        <is>
          <t>D57</t>
        </is>
      </c>
      <c r="C48" s="34">
        <f>Dashboard!D57</f>
        <v/>
      </c>
      <c r="D48" t="inlineStr">
        <is>
          <t>seed default</t>
        </is>
      </c>
      <c r="E48" t="inlineStr">
        <is>
          <t>-0.5%</t>
        </is>
      </c>
      <c r="F48" s="31" t="inlineStr"/>
    </row>
  </sheetData>
  <mergeCells count="2">
    <mergeCell ref="A13:F16"/>
    <mergeCell ref="A7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Financials!AC44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Family of Apps</t>
        </is>
      </c>
      <c r="B4" s="33">
        <f>SUM(Financials!I19:L19)</f>
        <v/>
      </c>
      <c r="C4" s="33">
        <f>SUM(Financials!M19:P19)</f>
        <v/>
      </c>
      <c r="D4" s="33">
        <f>SUM(Financials!Q19:T19)</f>
        <v/>
      </c>
      <c r="E4" s="33">
        <f>SUM(Financials!U19:X19)</f>
        <v/>
      </c>
      <c r="F4" s="33">
        <f>SUM(Financials!Y19:AB19)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Reality Labs</t>
        </is>
      </c>
      <c r="B6" s="33">
        <f>SUM(Financials!I22:L22)</f>
        <v/>
      </c>
      <c r="C6" s="33">
        <f>SUM(Financials!M22:P22)</f>
        <v/>
      </c>
      <c r="D6" s="33">
        <f>SUM(Financials!Q22:T22)</f>
        <v/>
      </c>
      <c r="E6" s="33">
        <f>SUM(Financials!U22:X22)</f>
        <v/>
      </c>
      <c r="F6" s="33">
        <f>SUM(Financials!Y22:AB22)</f>
        <v/>
      </c>
      <c r="G6" s="41">
        <f>F6*(1+G7)</f>
        <v/>
      </c>
      <c r="H6" s="41">
        <f>G6*(1+H7)</f>
        <v/>
      </c>
      <c r="I6" s="41">
        <f>H6*(1+I7)</f>
        <v/>
      </c>
      <c r="J6" s="41">
        <f>I6*(1+J7)</f>
        <v/>
      </c>
      <c r="K6" s="41">
        <f>J6*(1+K7)</f>
        <v/>
      </c>
      <c r="L6" s="41">
        <f>K6*(1+L7)</f>
        <v/>
      </c>
      <c r="M6" s="41">
        <f>L6*(1+M7)</f>
        <v/>
      </c>
      <c r="N6" s="41">
        <f>M6*(1+N7)</f>
        <v/>
      </c>
      <c r="O6" s="41">
        <f>N6*(1+O7)</f>
        <v/>
      </c>
      <c r="P6" s="41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3" t="inlineStr">
        <is>
          <t>Total revenue</t>
        </is>
      </c>
      <c r="B8" s="42">
        <f>B4+B6</f>
        <v/>
      </c>
      <c r="C8" s="42">
        <f>C4+C6</f>
        <v/>
      </c>
      <c r="D8" s="42">
        <f>D4+D6</f>
        <v/>
      </c>
      <c r="E8" s="42">
        <f>E4+E6</f>
        <v/>
      </c>
      <c r="F8" s="42">
        <f>F4+F6</f>
        <v/>
      </c>
      <c r="G8" s="42">
        <f>G4+G6</f>
        <v/>
      </c>
      <c r="H8" s="42">
        <f>H4+H6</f>
        <v/>
      </c>
      <c r="I8" s="42">
        <f>I4+I6</f>
        <v/>
      </c>
      <c r="J8" s="42">
        <f>J4+J6</f>
        <v/>
      </c>
      <c r="K8" s="42">
        <f>K4+K6</f>
        <v/>
      </c>
      <c r="L8" s="42">
        <f>L4+L6</f>
        <v/>
      </c>
      <c r="M8" s="42">
        <f>M4+M6</f>
        <v/>
      </c>
      <c r="N8" s="42">
        <f>N4+N6</f>
        <v/>
      </c>
      <c r="O8" s="42">
        <f>O4+O6</f>
        <v/>
      </c>
      <c r="P8" s="42">
        <f>P4+P6</f>
        <v/>
      </c>
    </row>
    <row r="9">
      <c r="A9" s="4" t="inlineStr">
        <is>
          <t xml:space="preserve">    growth %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25">
        <f>IFERROR(G8/F8-1,"")</f>
        <v/>
      </c>
      <c r="H9" s="25">
        <f>IFERROR(H8/G8-1,"")</f>
        <v/>
      </c>
      <c r="I9" s="25">
        <f>IFERROR(I8/H8-1,"")</f>
        <v/>
      </c>
      <c r="J9" s="25">
        <f>IFERROR(J8/I8-1,"")</f>
        <v/>
      </c>
      <c r="K9" s="25">
        <f>IFERROR(K8/J8-1,"")</f>
        <v/>
      </c>
      <c r="L9" s="25">
        <f>IFERROR(L8/K8-1,"")</f>
        <v/>
      </c>
      <c r="M9" s="25">
        <f>IFERROR(M8/L8-1,"")</f>
        <v/>
      </c>
      <c r="N9" s="25">
        <f>IFERROR(N8/M8-1,"")</f>
        <v/>
      </c>
      <c r="O9" s="25">
        <f>IFERROR(O8/N8-1,"")</f>
        <v/>
      </c>
      <c r="P9" s="25">
        <f>IFERROR(P8/O8-1,"")</f>
        <v/>
      </c>
    </row>
    <row r="11">
      <c r="A11" s="5" t="inlineStr">
        <is>
          <t xml:space="preserve">  COST STRUCTURE (yellow = % of revenue)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4" t="inlineStr">
        <is>
          <t>Cost of revenue</t>
        </is>
      </c>
      <c r="B12" s="33">
        <f>SUM(Financials!I5:L5)</f>
        <v/>
      </c>
      <c r="C12" s="33">
        <f>SUM(Financials!M5:P5)</f>
        <v/>
      </c>
      <c r="D12" s="33">
        <f>SUM(Financials!Q5:T5)</f>
        <v/>
      </c>
      <c r="E12" s="33">
        <f>SUM(Financials!U5:X5)</f>
        <v/>
      </c>
      <c r="F12" s="33">
        <f>SUM(Financials!Y5:AB5)</f>
        <v/>
      </c>
      <c r="G12" s="41">
        <f>G8*G13</f>
        <v/>
      </c>
      <c r="H12" s="41">
        <f>H8*H13</f>
        <v/>
      </c>
      <c r="I12" s="41">
        <f>I8*I13</f>
        <v/>
      </c>
      <c r="J12" s="41">
        <f>J8*J13</f>
        <v/>
      </c>
      <c r="K12" s="41">
        <f>K8*K13</f>
        <v/>
      </c>
      <c r="L12" s="41">
        <f>L8*L13</f>
        <v/>
      </c>
      <c r="M12" s="41">
        <f>M8*M13</f>
        <v/>
      </c>
      <c r="N12" s="41">
        <f>N8*N13</f>
        <v/>
      </c>
      <c r="O12" s="41">
        <f>O8*O13</f>
        <v/>
      </c>
      <c r="P12" s="41">
        <f>P8*P13</f>
        <v/>
      </c>
    </row>
    <row r="13">
      <c r="A13" s="4" t="inlineStr">
        <is>
          <t xml:space="preserve">    % of revenue</t>
        </is>
      </c>
      <c r="B13" s="25">
        <f>IFERROR(B12/B8,"")</f>
        <v/>
      </c>
      <c r="C13" s="25">
        <f>IFERROR(C12/C8,"")</f>
        <v/>
      </c>
      <c r="D13" s="25">
        <f>IFERROR(D12/D8,"")</f>
        <v/>
      </c>
      <c r="E13" s="25">
        <f>IFERROR(E12/E8,"")</f>
        <v/>
      </c>
      <c r="F13" s="25">
        <f>IFERROR(F12/F8,"")</f>
        <v/>
      </c>
      <c r="G13" s="15" t="n">
        <v>0.1800055730820139</v>
      </c>
      <c r="H13" s="15" t="n">
        <v>0.1800055730820139</v>
      </c>
      <c r="I13" s="15" t="n">
        <v>0.1800055730820139</v>
      </c>
      <c r="J13" s="15" t="n">
        <v>0.1800055730820139</v>
      </c>
      <c r="K13" s="15" t="n">
        <v>0.1800055730820139</v>
      </c>
      <c r="L13" s="15" t="n">
        <v>0.1800055730820139</v>
      </c>
      <c r="M13" s="15" t="n">
        <v>0.1800055730820139</v>
      </c>
      <c r="N13" s="15" t="n">
        <v>0.1800055730820139</v>
      </c>
      <c r="O13" s="15" t="n">
        <v>0.1800055730820139</v>
      </c>
      <c r="P13" s="15" t="n">
        <v>0.1800055730820139</v>
      </c>
    </row>
    <row r="14">
      <c r="A14" s="4" t="inlineStr">
        <is>
          <t>R&amp;D / Technology</t>
        </is>
      </c>
      <c r="B14" s="33">
        <f>SUM(Financials!I7:L7)</f>
        <v/>
      </c>
      <c r="C14" s="33">
        <f>SUM(Financials!M7:P7)</f>
        <v/>
      </c>
      <c r="D14" s="33">
        <f>SUM(Financials!Q7:T7)</f>
        <v/>
      </c>
      <c r="E14" s="33">
        <f>SUM(Financials!U7:X7)</f>
        <v/>
      </c>
      <c r="F14" s="33">
        <f>SUM(Financials!Y7:AB7)</f>
        <v/>
      </c>
      <c r="G14" s="41">
        <f>G8*G15</f>
        <v/>
      </c>
      <c r="H14" s="41">
        <f>H8*H15</f>
        <v/>
      </c>
      <c r="I14" s="41">
        <f>I8*I15</f>
        <v/>
      </c>
      <c r="J14" s="41">
        <f>J8*J15</f>
        <v/>
      </c>
      <c r="K14" s="41">
        <f>K8*K15</f>
        <v/>
      </c>
      <c r="L14" s="41">
        <f>L8*L15</f>
        <v/>
      </c>
      <c r="M14" s="41">
        <f>M8*M15</f>
        <v/>
      </c>
      <c r="N14" s="41">
        <f>N8*N15</f>
        <v/>
      </c>
      <c r="O14" s="41">
        <f>O8*O15</f>
        <v/>
      </c>
      <c r="P14" s="41">
        <f>P8*P15</f>
        <v/>
      </c>
    </row>
    <row r="15">
      <c r="A15" s="4" t="inlineStr">
        <is>
          <t xml:space="preserve">    % of revenue</t>
        </is>
      </c>
      <c r="B15" s="25">
        <f>IFERROR(B14/B8,"")</f>
        <v/>
      </c>
      <c r="C15" s="25">
        <f>IFERROR(C14/C8,"")</f>
        <v/>
      </c>
      <c r="D15" s="25">
        <f>IFERROR(D14/D8,"")</f>
        <v/>
      </c>
      <c r="E15" s="25">
        <f>IFERROR(E14/E8,"")</f>
        <v/>
      </c>
      <c r="F15" s="25">
        <f>IFERROR(F14/F8,"")</f>
        <v/>
      </c>
      <c r="G15" s="15" t="n">
        <v>0.2854811261606441</v>
      </c>
      <c r="H15" s="15" t="n">
        <v>0.2854811261606441</v>
      </c>
      <c r="I15" s="15" t="n">
        <v>0.2854811261606441</v>
      </c>
      <c r="J15" s="15" t="n">
        <v>0.2854811261606441</v>
      </c>
      <c r="K15" s="15" t="n">
        <v>0.2854811261606441</v>
      </c>
      <c r="L15" s="15" t="n">
        <v>0.2854811261606441</v>
      </c>
      <c r="M15" s="15" t="n">
        <v>0.2854811261606441</v>
      </c>
      <c r="N15" s="15" t="n">
        <v>0.2854811261606441</v>
      </c>
      <c r="O15" s="15" t="n">
        <v>0.2854811261606441</v>
      </c>
      <c r="P15" s="15" t="n">
        <v>0.2854811261606441</v>
      </c>
    </row>
    <row r="16">
      <c r="A16" s="4" t="inlineStr">
        <is>
          <t>SG&amp;A</t>
        </is>
      </c>
      <c r="B16" s="33">
        <f>SUM(Financials!I9:L9)</f>
        <v/>
      </c>
      <c r="C16" s="33">
        <f>SUM(Financials!M9:P9)</f>
        <v/>
      </c>
      <c r="D16" s="33">
        <f>SUM(Financials!Q9:T9)</f>
        <v/>
      </c>
      <c r="E16" s="33">
        <f>SUM(Financials!U9:X9)</f>
        <v/>
      </c>
      <c r="F16" s="33">
        <f>SUM(Financials!Y9:AB9)</f>
        <v/>
      </c>
      <c r="G16" s="41">
        <f>G8*G17</f>
        <v/>
      </c>
      <c r="H16" s="41">
        <f>H8*H17</f>
        <v/>
      </c>
      <c r="I16" s="41">
        <f>I8*I17</f>
        <v/>
      </c>
      <c r="J16" s="41">
        <f>J8*J17</f>
        <v/>
      </c>
      <c r="K16" s="41">
        <f>K8*K17</f>
        <v/>
      </c>
      <c r="L16" s="41">
        <f>L8*L17</f>
        <v/>
      </c>
      <c r="M16" s="41">
        <f>M8*M17</f>
        <v/>
      </c>
      <c r="N16" s="41">
        <f>N8*N17</f>
        <v/>
      </c>
      <c r="O16" s="41">
        <f>O8*O17</f>
        <v/>
      </c>
      <c r="P16" s="41">
        <f>P8*P17</f>
        <v/>
      </c>
    </row>
    <row r="17">
      <c r="A17" s="4" t="inlineStr">
        <is>
          <t xml:space="preserve">    % of revenue</t>
        </is>
      </c>
      <c r="B17" s="25">
        <f>IFERROR(B16/B8,"")</f>
        <v/>
      </c>
      <c r="C17" s="25">
        <f>IFERROR(C16/C8,"")</f>
        <v/>
      </c>
      <c r="D17" s="25">
        <f>IFERROR(D16/D8,"")</f>
        <v/>
      </c>
      <c r="E17" s="25">
        <f>IFERROR(E16/E8,"")</f>
        <v/>
      </c>
      <c r="F17" s="25">
        <f>IFERROR(F16/F8,"")</f>
        <v/>
      </c>
      <c r="G17" s="15" t="n">
        <v>0.1201347491615497</v>
      </c>
      <c r="H17" s="15" t="n">
        <v>0.1201347491615497</v>
      </c>
      <c r="I17" s="15" t="n">
        <v>0.1201347491615497</v>
      </c>
      <c r="J17" s="15" t="n">
        <v>0.1201347491615497</v>
      </c>
      <c r="K17" s="15" t="n">
        <v>0.1201347491615497</v>
      </c>
      <c r="L17" s="15" t="n">
        <v>0.1201347491615497</v>
      </c>
      <c r="M17" s="15" t="n">
        <v>0.1201347491615497</v>
      </c>
      <c r="N17" s="15" t="n">
        <v>0.1201347491615497</v>
      </c>
      <c r="O17" s="15" t="n">
        <v>0.1201347491615497</v>
      </c>
      <c r="P17" s="15" t="n">
        <v>0.1201347491615497</v>
      </c>
    </row>
    <row r="18">
      <c r="A18" s="4" t="inlineStr">
        <is>
          <t>Other opex (fulfilment, etc.)</t>
        </is>
      </c>
      <c r="B18" s="33">
        <f>B8-(B12+B14+B16)-SUM(Financials!I13:L13)</f>
        <v/>
      </c>
      <c r="C18" s="33">
        <f>C8-(C12+C14+C16)-SUM(Financials!M13:P13)</f>
        <v/>
      </c>
      <c r="D18" s="33">
        <f>D8-(D12+D14+D16)-SUM(Financials!Q13:T13)</f>
        <v/>
      </c>
      <c r="E18" s="33">
        <f>E8-(E12+E14+E16)-SUM(Financials!U13:X13)</f>
        <v/>
      </c>
      <c r="F18" s="33">
        <f>F8-(F12+F14+F16)-SUM(Financials!Y13:AB13)</f>
        <v/>
      </c>
      <c r="G18" s="33">
        <f>G8*(1-(Dashboard!$B$29+(Dashboard!$B$30-Dashboard!$B$29)*MIN(1,0/4)))-(G12+G14+G16)</f>
        <v/>
      </c>
      <c r="H18" s="33">
        <f>H8*(1-(Dashboard!$B$29+(Dashboard!$B$30-Dashboard!$B$29)*MIN(1,1/4)))-(H12+H14+H16)</f>
        <v/>
      </c>
      <c r="I18" s="33">
        <f>I8*(1-(Dashboard!$B$29+(Dashboard!$B$30-Dashboard!$B$29)*MIN(1,2/4)))-(I12+I14+I16)</f>
        <v/>
      </c>
      <c r="J18" s="33">
        <f>J8*(1-(Dashboard!$B$29+(Dashboard!$B$30-Dashboard!$B$29)*MIN(1,3/4)))-(J12+J14+J16)</f>
        <v/>
      </c>
      <c r="K18" s="33">
        <f>K8*(1-(Dashboard!$B$29+(Dashboard!$B$30-Dashboard!$B$29)*MIN(1,4/4)))-(K12+K14+K16)</f>
        <v/>
      </c>
      <c r="L18" s="33">
        <f>L8*(1-(Dashboard!$B$29+(Dashboard!$B$30-Dashboard!$B$29)*MIN(1,5/4)))-(L12+L14+L16)</f>
        <v/>
      </c>
      <c r="M18" s="33">
        <f>M8*(1-(Dashboard!$B$29+(Dashboard!$B$30-Dashboard!$B$29)*MIN(1,6/4)))-(M12+M14+M16)</f>
        <v/>
      </c>
      <c r="N18" s="33">
        <f>N8*(1-(Dashboard!$B$29+(Dashboard!$B$30-Dashboard!$B$29)*MIN(1,7/4)))-(N12+N14+N16)</f>
        <v/>
      </c>
      <c r="O18" s="33">
        <f>O8*(1-(Dashboard!$B$29+(Dashboard!$B$30-Dashboard!$B$29)*MIN(1,8/4)))-(O12+O14+O16)</f>
        <v/>
      </c>
      <c r="P18" s="33">
        <f>P8*(1-(Dashboard!$B$29+(Dashboard!$B$30-Dashboard!$B$29)*MIN(1,9/4)))-(P12+P14+P16)</f>
        <v/>
      </c>
    </row>
    <row r="19">
      <c r="A19" s="4" t="inlineStr">
        <is>
          <t xml:space="preserve">    % of revenue</t>
        </is>
      </c>
      <c r="B19" s="25">
        <f>IFERROR(B18/B8,"")</f>
        <v/>
      </c>
      <c r="C19" s="25">
        <f>IFERROR(C18/C8,"")</f>
        <v/>
      </c>
      <c r="D19" s="25">
        <f>IFERROR(D18/D8,"")</f>
        <v/>
      </c>
      <c r="E19" s="25">
        <f>IFERROR(E18/E8,"")</f>
        <v/>
      </c>
      <c r="F19" s="25">
        <f>IFERROR(F18/F8,"")</f>
        <v/>
      </c>
      <c r="G19" s="25">
        <f>IFERROR(G18/G8,"")</f>
        <v/>
      </c>
      <c r="H19" s="25">
        <f>IFERROR(H18/H8,"")</f>
        <v/>
      </c>
      <c r="I19" s="25">
        <f>IFERROR(I18/I8,"")</f>
        <v/>
      </c>
      <c r="J19" s="25">
        <f>IFERROR(J18/J8,"")</f>
        <v/>
      </c>
      <c r="K19" s="25">
        <f>IFERROR(K18/K8,"")</f>
        <v/>
      </c>
      <c r="L19" s="25">
        <f>IFERROR(L18/L8,"")</f>
        <v/>
      </c>
      <c r="M19" s="25">
        <f>IFERROR(M18/M8,"")</f>
        <v/>
      </c>
      <c r="N19" s="25">
        <f>IFERROR(N18/N8,"")</f>
        <v/>
      </c>
      <c r="O19" s="25">
        <f>IFERROR(O18/O8,"")</f>
        <v/>
      </c>
      <c r="P19" s="25">
        <f>IFERROR(P18/P8,"")</f>
        <v/>
      </c>
    </row>
    <row r="21">
      <c r="A21" s="3" t="inlineStr">
        <is>
          <t>Operating income (EBIT)</t>
        </is>
      </c>
      <c r="B21" s="42">
        <f>B8-(B12+B14+B16)-B18</f>
        <v/>
      </c>
      <c r="C21" s="42">
        <f>C8-(C12+C14+C16)-C18</f>
        <v/>
      </c>
      <c r="D21" s="42">
        <f>D8-(D12+D14+D16)-D18</f>
        <v/>
      </c>
      <c r="E21" s="42">
        <f>E8-(E12+E14+E16)-E18</f>
        <v/>
      </c>
      <c r="F21" s="42">
        <f>F8-(F12+F14+F16)-F18</f>
        <v/>
      </c>
      <c r="G21" s="42">
        <f>G8-(G12+G14+G16)-G18</f>
        <v/>
      </c>
      <c r="H21" s="42">
        <f>H8-(H12+H14+H16)-H18</f>
        <v/>
      </c>
      <c r="I21" s="42">
        <f>I8-(I12+I14+I16)-I18</f>
        <v/>
      </c>
      <c r="J21" s="42">
        <f>J8-(J12+J14+J16)-J18</f>
        <v/>
      </c>
      <c r="K21" s="42">
        <f>K8-(K12+K14+K16)-K18</f>
        <v/>
      </c>
      <c r="L21" s="42">
        <f>L8-(L12+L14+L16)-L18</f>
        <v/>
      </c>
      <c r="M21" s="42">
        <f>M8-(M12+M14+M16)-M18</f>
        <v/>
      </c>
      <c r="N21" s="42">
        <f>N8-(N12+N14+N16)-N18</f>
        <v/>
      </c>
      <c r="O21" s="42">
        <f>O8-(O12+O14+O16)-O18</f>
        <v/>
      </c>
      <c r="P21" s="42">
        <f>P8-(P12+P14+P16)-P18</f>
        <v/>
      </c>
    </row>
    <row r="22">
      <c r="A22" s="4" t="inlineStr">
        <is>
          <t xml:space="preserve">    operating margin</t>
        </is>
      </c>
      <c r="B22" s="25">
        <f>IFERROR(B21/B8,"")</f>
        <v/>
      </c>
      <c r="C22" s="25">
        <f>IFERROR(C21/C8,"")</f>
        <v/>
      </c>
      <c r="D22" s="25">
        <f>IFERROR(D21/D8,"")</f>
        <v/>
      </c>
      <c r="E22" s="25">
        <f>IFERROR(E21/E8,"")</f>
        <v/>
      </c>
      <c r="F22" s="25">
        <f>IFERROR(F21/F8,"")</f>
        <v/>
      </c>
      <c r="G22" s="25">
        <f>IFERROR(G21/G8,"")</f>
        <v/>
      </c>
      <c r="H22" s="25">
        <f>IFERROR(H21/H8,"")</f>
        <v/>
      </c>
      <c r="I22" s="25">
        <f>IFERROR(I21/I8,"")</f>
        <v/>
      </c>
      <c r="J22" s="25">
        <f>IFERROR(J21/J8,"")</f>
        <v/>
      </c>
      <c r="K22" s="25">
        <f>IFERROR(K21/K8,"")</f>
        <v/>
      </c>
      <c r="L22" s="25">
        <f>IFERROR(L21/L8,"")</f>
        <v/>
      </c>
      <c r="M22" s="25">
        <f>IFERROR(M21/M8,"")</f>
        <v/>
      </c>
      <c r="N22" s="25">
        <f>IFERROR(N21/N8,"")</f>
        <v/>
      </c>
      <c r="O22" s="25">
        <f>IFERROR(O21/O8,"")</f>
        <v/>
      </c>
      <c r="P22" s="25">
        <f>IFERROR(P21/P8,"")</f>
        <v/>
      </c>
    </row>
    <row r="24">
      <c r="A24" s="5" t="inlineStr">
        <is>
          <t xml:space="preserve">  FCF BRIDGE (NOPAT + D&amp;A + SBC - dNWC - Capex)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4" t="inlineStr">
        <is>
          <t>NOPAT = EBIT x (1 - tax)</t>
        </is>
      </c>
      <c r="B25" s="33">
        <f>B21*(1-Valuation!$B$5)</f>
        <v/>
      </c>
      <c r="C25" s="33">
        <f>C21*(1-Valuation!$B$5)</f>
        <v/>
      </c>
      <c r="D25" s="33">
        <f>D21*(1-Valuation!$B$5)</f>
        <v/>
      </c>
      <c r="E25" s="33">
        <f>E21*(1-Valuation!$B$5)</f>
        <v/>
      </c>
      <c r="F25" s="33">
        <f>F21*(1-Valuation!$B$5)</f>
        <v/>
      </c>
      <c r="G25" s="33">
        <f>G21*(1-Valuation!$B$5)</f>
        <v/>
      </c>
      <c r="H25" s="33">
        <f>H21*(1-Valuation!$B$5)</f>
        <v/>
      </c>
      <c r="I25" s="33">
        <f>I21*(1-Valuation!$B$5)</f>
        <v/>
      </c>
      <c r="J25" s="33">
        <f>J21*(1-Valuation!$B$5)</f>
        <v/>
      </c>
      <c r="K25" s="33">
        <f>K21*(1-Valuation!$B$5)</f>
        <v/>
      </c>
      <c r="L25" s="33">
        <f>L21*(1-Valuation!$B$5)</f>
        <v/>
      </c>
      <c r="M25" s="33">
        <f>M21*(1-Valuation!$B$5)</f>
        <v/>
      </c>
      <c r="N25" s="33">
        <f>N21*(1-Valuation!$B$5)</f>
        <v/>
      </c>
      <c r="O25" s="33">
        <f>O21*(1-Valuation!$B$5)</f>
        <v/>
      </c>
      <c r="P25" s="33">
        <f>P21*(1-Valuation!$B$5)</f>
        <v/>
      </c>
    </row>
    <row r="26">
      <c r="A26" s="4" t="inlineStr">
        <is>
          <t>+ D&amp;A</t>
        </is>
      </c>
      <c r="B26" s="33">
        <f>SUM(Financials!I47:L47)</f>
        <v/>
      </c>
      <c r="C26" s="33">
        <f>SUM(Financials!M47:P47)</f>
        <v/>
      </c>
      <c r="D26" s="33">
        <f>SUM(Financials!Q47:T47)</f>
        <v/>
      </c>
      <c r="E26" s="33">
        <f>SUM(Financials!U47:X47)</f>
        <v/>
      </c>
      <c r="F26" s="33">
        <f>SUM(Financials!Y47:AB47)</f>
        <v/>
      </c>
      <c r="G26" s="41">
        <f>G8*0.0926</f>
        <v/>
      </c>
      <c r="H26" s="41">
        <f>H8*0.0926</f>
        <v/>
      </c>
      <c r="I26" s="41">
        <f>I8*0.0926</f>
        <v/>
      </c>
      <c r="J26" s="41">
        <f>J8*0.0926</f>
        <v/>
      </c>
      <c r="K26" s="41">
        <f>K8*0.0926</f>
        <v/>
      </c>
      <c r="L26" s="41">
        <f>L8*0.0926</f>
        <v/>
      </c>
      <c r="M26" s="41">
        <f>M8*0.0926</f>
        <v/>
      </c>
      <c r="N26" s="41">
        <f>N8*0.0926</f>
        <v/>
      </c>
      <c r="O26" s="41">
        <f>O8*0.0926</f>
        <v/>
      </c>
      <c r="P26" s="41">
        <f>P8*0.0926</f>
        <v/>
      </c>
    </row>
    <row r="27">
      <c r="A27" s="4" t="inlineStr">
        <is>
          <t>+ SBC (non-cash)</t>
        </is>
      </c>
      <c r="B27" s="33">
        <f>SUM(Financials!I48:L48)</f>
        <v/>
      </c>
      <c r="C27" s="33">
        <f>SUM(Financials!M48:P48)</f>
        <v/>
      </c>
      <c r="D27" s="33">
        <f>SUM(Financials!Q48:T48)</f>
        <v/>
      </c>
      <c r="E27" s="33">
        <f>SUM(Financials!U48:X48)</f>
        <v/>
      </c>
      <c r="F27" s="33">
        <f>SUM(Financials!Y48:AB48)</f>
        <v/>
      </c>
      <c r="G27" s="33">
        <f>G8*(Dashboard!$B$65+(Dashboard!$B$66-Dashboard!$B$65)*0/9)</f>
        <v/>
      </c>
      <c r="H27" s="33">
        <f>H8*(Dashboard!$B$65+(Dashboard!$B$66-Dashboard!$B$65)*1/9)</f>
        <v/>
      </c>
      <c r="I27" s="33">
        <f>I8*(Dashboard!$B$65+(Dashboard!$B$66-Dashboard!$B$65)*2/9)</f>
        <v/>
      </c>
      <c r="J27" s="33">
        <f>J8*(Dashboard!$B$65+(Dashboard!$B$66-Dashboard!$B$65)*3/9)</f>
        <v/>
      </c>
      <c r="K27" s="33">
        <f>K8*(Dashboard!$B$65+(Dashboard!$B$66-Dashboard!$B$65)*4/9)</f>
        <v/>
      </c>
      <c r="L27" s="33">
        <f>L8*(Dashboard!$B$65+(Dashboard!$B$66-Dashboard!$B$65)*5/9)</f>
        <v/>
      </c>
      <c r="M27" s="33">
        <f>M8*(Dashboard!$B$65+(Dashboard!$B$66-Dashboard!$B$65)*6/9)</f>
        <v/>
      </c>
      <c r="N27" s="33">
        <f>N8*(Dashboard!$B$65+(Dashboard!$B$66-Dashboard!$B$65)*7/9)</f>
        <v/>
      </c>
      <c r="O27" s="33">
        <f>O8*(Dashboard!$B$65+(Dashboard!$B$66-Dashboard!$B$65)*8/9)</f>
        <v/>
      </c>
      <c r="P27" s="33">
        <f>P8*(Dashboard!$B$65+(Dashboard!$B$66-Dashboard!$B$65)*9/9)</f>
        <v/>
      </c>
    </row>
    <row r="28">
      <c r="A28" s="4" t="inlineStr">
        <is>
          <t>- dNWC</t>
        </is>
      </c>
      <c r="G28" s="41">
        <f>(G8-F8)*0.0050</f>
        <v/>
      </c>
      <c r="H28" s="41">
        <f>(H8-G8)*0.0050</f>
        <v/>
      </c>
      <c r="I28" s="41">
        <f>(I8-H8)*0.0050</f>
        <v/>
      </c>
      <c r="J28" s="41">
        <f>(J8-I8)*0.0050</f>
        <v/>
      </c>
      <c r="K28" s="41">
        <f>(K8-J8)*0.0050</f>
        <v/>
      </c>
      <c r="L28" s="41">
        <f>(L8-K8)*0.0050</f>
        <v/>
      </c>
      <c r="M28" s="41">
        <f>(M8-L8)*0.0050</f>
        <v/>
      </c>
      <c r="N28" s="41">
        <f>(N8-M8)*0.0050</f>
        <v/>
      </c>
      <c r="O28" s="41">
        <f>(O8-N8)*0.0050</f>
        <v/>
      </c>
      <c r="P28" s="41">
        <f>(P8-O8)*0.0050</f>
        <v/>
      </c>
    </row>
    <row r="29">
      <c r="A29" s="4" t="inlineStr">
        <is>
          <t>- Capex</t>
        </is>
      </c>
      <c r="B29" s="33">
        <f>-SUM(Financials!I51:L51)</f>
        <v/>
      </c>
      <c r="C29" s="33">
        <f>-SUM(Financials!M51:P51)</f>
        <v/>
      </c>
      <c r="D29" s="33">
        <f>-SUM(Financials!Q51:T51)</f>
        <v/>
      </c>
      <c r="E29" s="33">
        <f>-SUM(Financials!U51:X51)</f>
        <v/>
      </c>
      <c r="F29" s="33">
        <f>-SUM(Financials!Y51:AB51)</f>
        <v/>
      </c>
      <c r="G29" s="41">
        <f>G26*G30</f>
        <v/>
      </c>
      <c r="H29" s="41">
        <f>H26*H30</f>
        <v/>
      </c>
      <c r="I29" s="41">
        <f>I26*I30</f>
        <v/>
      </c>
      <c r="J29" s="41">
        <f>J26*J30</f>
        <v/>
      </c>
      <c r="K29" s="41">
        <f>K26*K30</f>
        <v/>
      </c>
      <c r="L29" s="41">
        <f>L26*L30</f>
        <v/>
      </c>
      <c r="M29" s="41">
        <f>M26*M30</f>
        <v/>
      </c>
      <c r="N29" s="41">
        <f>N26*N30</f>
        <v/>
      </c>
      <c r="O29" s="41">
        <f>O26*O30</f>
        <v/>
      </c>
      <c r="P29" s="41">
        <f>P26*P30</f>
        <v/>
      </c>
    </row>
    <row r="30">
      <c r="A30" s="4" t="inlineStr">
        <is>
          <t xml:space="preserve">    Capex / D&amp;A  (from Dashboard: $cap'26 -&gt; terminal)</t>
        </is>
      </c>
      <c r="B30" s="26">
        <f>IFERROR(B29/B26,"")</f>
        <v/>
      </c>
      <c r="C30" s="26">
        <f>IFERROR(C29/C26,"")</f>
        <v/>
      </c>
      <c r="D30" s="26">
        <f>IFERROR(D29/D26,"")</f>
        <v/>
      </c>
      <c r="E30" s="26">
        <f>IFERROR(E29/E26,"")</f>
        <v/>
      </c>
      <c r="F30" s="26">
        <f>IFERROR(F29/F26,"")</f>
        <v/>
      </c>
      <c r="G30" s="13">
        <f>(Dashboard!$B$34/G26)+(Dashboard!$B$35-(Dashboard!$B$34/G26))*0/9</f>
        <v/>
      </c>
      <c r="H30" s="13">
        <f>(Dashboard!$B$34/G26)+(Dashboard!$B$35-(Dashboard!$B$34/G26))*1/9</f>
        <v/>
      </c>
      <c r="I30" s="13">
        <f>(Dashboard!$B$34/G26)+(Dashboard!$B$35-(Dashboard!$B$34/G26))*2/9</f>
        <v/>
      </c>
      <c r="J30" s="13">
        <f>(Dashboard!$B$34/G26)+(Dashboard!$B$35-(Dashboard!$B$34/G26))*3/9</f>
        <v/>
      </c>
      <c r="K30" s="13">
        <f>(Dashboard!$B$34/G26)+(Dashboard!$B$35-(Dashboard!$B$34/G26))*4/9</f>
        <v/>
      </c>
      <c r="L30" s="13">
        <f>(Dashboard!$B$34/G26)+(Dashboard!$B$35-(Dashboard!$B$34/G26))*5/9</f>
        <v/>
      </c>
      <c r="M30" s="13">
        <f>(Dashboard!$B$34/G26)+(Dashboard!$B$35-(Dashboard!$B$34/G26))*6/9</f>
        <v/>
      </c>
      <c r="N30" s="13">
        <f>(Dashboard!$B$34/G26)+(Dashboard!$B$35-(Dashboard!$B$34/G26))*7/9</f>
        <v/>
      </c>
      <c r="O30" s="13">
        <f>(Dashboard!$B$34/G26)+(Dashboard!$B$35-(Dashboard!$B$34/G26))*8/9</f>
        <v/>
      </c>
      <c r="P30" s="13">
        <f>(Dashboard!$B$34/G26)+(Dashboard!$B$35-(Dashboard!$B$34/G26))*9/9</f>
        <v/>
      </c>
    </row>
    <row r="32">
      <c r="A32" s="3" t="inlineStr">
        <is>
          <t>FCFF (firm)</t>
        </is>
      </c>
      <c r="B32" s="42">
        <f>B25+B26+B27-B28-B29</f>
        <v/>
      </c>
      <c r="C32" s="42">
        <f>C25+C26+C27-C28-C29</f>
        <v/>
      </c>
      <c r="D32" s="42">
        <f>D25+D26+D27-D28-D29</f>
        <v/>
      </c>
      <c r="E32" s="42">
        <f>E25+E26+E27-E28-E29</f>
        <v/>
      </c>
      <c r="F32" s="42">
        <f>F25+F26+F27-F28-F29</f>
        <v/>
      </c>
      <c r="G32" s="42">
        <f>G25+G26+G27-G28-G29</f>
        <v/>
      </c>
      <c r="H32" s="42">
        <f>H25+H26+H27-H28-H29</f>
        <v/>
      </c>
      <c r="I32" s="42">
        <f>I25+I26+I27-I28-I29</f>
        <v/>
      </c>
      <c r="J32" s="42">
        <f>J25+J26+J27-J28-J29</f>
        <v/>
      </c>
      <c r="K32" s="42">
        <f>K25+K26+K27-K28-K29</f>
        <v/>
      </c>
      <c r="L32" s="42">
        <f>L25+L26+L27-L28-L29</f>
        <v/>
      </c>
      <c r="M32" s="42">
        <f>M25+M26+M27-M28-M29</f>
        <v/>
      </c>
      <c r="N32" s="42">
        <f>N25+N26+N27-N28-N29</f>
        <v/>
      </c>
      <c r="O32" s="42">
        <f>O25+O26+O27-O28-O29</f>
        <v/>
      </c>
      <c r="P32" s="42">
        <f>P25+P26+P27-P28-P29</f>
        <v/>
      </c>
    </row>
    <row r="33">
      <c r="A33" s="3" t="inlineStr">
        <is>
          <t>Valuation FCF (NOPAT + D&amp;A - dNWC - Capex - after-tax SBC)</t>
        </is>
      </c>
      <c r="B33" s="43">
        <f>B32-B27-B27*(1-Valuation!$B$5)</f>
        <v/>
      </c>
      <c r="C33" s="43">
        <f>C32-C27-C27*(1-Valuation!$B$5)</f>
        <v/>
      </c>
      <c r="D33" s="43">
        <f>D32-D27-D27*(1-Valuation!$B$5)</f>
        <v/>
      </c>
      <c r="E33" s="43">
        <f>E32-E27-E27*(1-Valuation!$B$5)</f>
        <v/>
      </c>
      <c r="F33" s="43">
        <f>F32-F27-F27*(1-Valuation!$B$5)</f>
        <v/>
      </c>
      <c r="G33" s="43">
        <f>G32-G27-G27*(1-Valuation!$B$5)</f>
        <v/>
      </c>
      <c r="H33" s="43">
        <f>H32-H27-H27*(1-Valuation!$B$5)</f>
        <v/>
      </c>
      <c r="I33" s="43">
        <f>I32-I27-I27*(1-Valuation!$B$5)</f>
        <v/>
      </c>
      <c r="J33" s="43">
        <f>J32-J27-J27*(1-Valuation!$B$5)</f>
        <v/>
      </c>
      <c r="K33" s="43">
        <f>K32-K27-K27*(1-Valuation!$B$5)</f>
        <v/>
      </c>
      <c r="L33" s="43">
        <f>L32-L27-L27*(1-Valuation!$B$5)</f>
        <v/>
      </c>
      <c r="M33" s="43">
        <f>M32-M27-M27*(1-Valuation!$B$5)</f>
        <v/>
      </c>
      <c r="N33" s="43">
        <f>N32-N27-N27*(1-Valuation!$B$5)</f>
        <v/>
      </c>
      <c r="O33" s="43">
        <f>O32-O27-O27*(1-Valuation!$B$5)</f>
        <v/>
      </c>
      <c r="P33" s="43">
        <f>P32-P27-P27*(1-Valuation!$B$5)</f>
        <v/>
      </c>
    </row>
    <row r="35">
      <c r="A35" s="5" t="inlineStr">
        <is>
          <t xml:space="preserve">  RETURNS ON CAPITAL &amp; EFFICIENCY  (is new revenue/capital earning its keep?)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4" t="inlineStr">
        <is>
          <t>Invested capital (debt + equity - cash)</t>
        </is>
      </c>
      <c r="B36" s="33">
        <f>Financials!L45+Financials!L44-Financials!L39</f>
        <v/>
      </c>
      <c r="C36" s="33">
        <f>Financials!P45+Financials!P44-Financials!P39</f>
        <v/>
      </c>
      <c r="D36" s="33">
        <f>Financials!T45+Financials!T44-Financials!T39</f>
        <v/>
      </c>
      <c r="E36" s="33">
        <f>Financials!X45+Financials!X44-Financials!X39</f>
        <v/>
      </c>
      <c r="F36" s="33">
        <f>Financials!AB45+Financials!AB44-Financials!AB39</f>
        <v/>
      </c>
      <c r="G36" s="41">
        <f>F36+G29-G26+G28</f>
        <v/>
      </c>
      <c r="H36" s="41">
        <f>G36+H29-H26+H28</f>
        <v/>
      </c>
      <c r="I36" s="41">
        <f>H36+I29-I26+I28</f>
        <v/>
      </c>
      <c r="J36" s="41">
        <f>I36+J29-J26+J28</f>
        <v/>
      </c>
      <c r="K36" s="41">
        <f>J36+K29-K26+K28</f>
        <v/>
      </c>
      <c r="L36" s="41">
        <f>K36+L29-L26+L28</f>
        <v/>
      </c>
      <c r="M36" s="41">
        <f>L36+M29-M26+M28</f>
        <v/>
      </c>
      <c r="N36" s="41">
        <f>M36+N29-N26+N28</f>
        <v/>
      </c>
      <c r="O36" s="41">
        <f>N36+O29-O26+O28</f>
        <v/>
      </c>
      <c r="P36" s="41">
        <f>O36+P29-P26+P28</f>
        <v/>
      </c>
    </row>
    <row r="37">
      <c r="A37" s="4" t="inlineStr">
        <is>
          <t>Book equity (year-end)</t>
        </is>
      </c>
      <c r="B37" s="33">
        <f>Financials!L45</f>
        <v/>
      </c>
      <c r="C37" s="33">
        <f>Financials!P45</f>
        <v/>
      </c>
      <c r="D37" s="33">
        <f>Financials!T45</f>
        <v/>
      </c>
      <c r="E37" s="33">
        <f>Financials!X45</f>
        <v/>
      </c>
      <c r="F37" s="33">
        <f>Financials!AB45</f>
        <v/>
      </c>
      <c r="G37" s="41">
        <f>F37+G25</f>
        <v/>
      </c>
      <c r="H37" s="41">
        <f>G37+H25</f>
        <v/>
      </c>
      <c r="I37" s="41">
        <f>H37+I25</f>
        <v/>
      </c>
      <c r="J37" s="41">
        <f>I37+J25</f>
        <v/>
      </c>
      <c r="K37" s="41">
        <f>J37+K25</f>
        <v/>
      </c>
      <c r="L37" s="41">
        <f>K37+L25</f>
        <v/>
      </c>
      <c r="M37" s="41">
        <f>L37+M25</f>
        <v/>
      </c>
      <c r="N37" s="41">
        <f>M37+N25</f>
        <v/>
      </c>
      <c r="O37" s="41">
        <f>N37+O25</f>
        <v/>
      </c>
      <c r="P37" s="41">
        <f>O37+P25</f>
        <v/>
      </c>
    </row>
    <row r="38">
      <c r="A38" s="3" t="inlineStr">
        <is>
          <t xml:space="preserve">  ROIC (NOPAT / beg. invested capital)</t>
        </is>
      </c>
      <c r="C38" s="25">
        <f>IFERROR(C25/B36,"")</f>
        <v/>
      </c>
      <c r="D38" s="25">
        <f>IFERROR(D25/C36,"")</f>
        <v/>
      </c>
      <c r="E38" s="25">
        <f>IFERROR(E25/D36,"")</f>
        <v/>
      </c>
      <c r="F38" s="25">
        <f>IFERROR(F25/E36,"")</f>
        <v/>
      </c>
      <c r="G38" s="25">
        <f>IFERROR(G25/F36,"")</f>
        <v/>
      </c>
      <c r="H38" s="25">
        <f>IFERROR(H25/G36,"")</f>
        <v/>
      </c>
      <c r="I38" s="25">
        <f>IFERROR(I25/H36,"")</f>
        <v/>
      </c>
      <c r="J38" s="25">
        <f>IFERROR(J25/I36,"")</f>
        <v/>
      </c>
      <c r="K38" s="25">
        <f>IFERROR(K25/J36,"")</f>
        <v/>
      </c>
      <c r="L38" s="25">
        <f>IFERROR(L25/K36,"")</f>
        <v/>
      </c>
      <c r="M38" s="25">
        <f>IFERROR(M25/L36,"")</f>
        <v/>
      </c>
      <c r="N38" s="25">
        <f>IFERROR(N25/M36,"")</f>
        <v/>
      </c>
      <c r="O38" s="25">
        <f>IFERROR(O25/N36,"")</f>
        <v/>
      </c>
      <c r="P38" s="25">
        <f>IFERROR(P25/O36,"")</f>
        <v/>
      </c>
    </row>
    <row r="39">
      <c r="A39" s="3" t="inlineStr">
        <is>
          <t xml:space="preserve">  ROE (earnings / beg. equity)</t>
        </is>
      </c>
      <c r="C39" s="11">
        <f>IFERROR(SUM(Financials!M15:P15)/B37,"")</f>
        <v/>
      </c>
      <c r="D39" s="11">
        <f>IFERROR(SUM(Financials!Q15:T15)/C37,"")</f>
        <v/>
      </c>
      <c r="E39" s="11">
        <f>IFERROR(SUM(Financials!U15:X15)/D37,"")</f>
        <v/>
      </c>
      <c r="F39" s="11">
        <f>IFERROR(SUM(Financials!Y15:AB15)/E37,"")</f>
        <v/>
      </c>
      <c r="G39" s="25">
        <f>IFERROR(G25/F37,"")</f>
        <v/>
      </c>
      <c r="H39" s="25">
        <f>IFERROR(H25/G37,"")</f>
        <v/>
      </c>
      <c r="I39" s="25">
        <f>IFERROR(I25/H37,"")</f>
        <v/>
      </c>
      <c r="J39" s="25">
        <f>IFERROR(J25/I37,"")</f>
        <v/>
      </c>
      <c r="K39" s="25">
        <f>IFERROR(K25/J37,"")</f>
        <v/>
      </c>
      <c r="L39" s="25">
        <f>IFERROR(L25/K37,"")</f>
        <v/>
      </c>
      <c r="M39" s="25">
        <f>IFERROR(M25/L37,"")</f>
        <v/>
      </c>
      <c r="N39" s="25">
        <f>IFERROR(N25/M37,"")</f>
        <v/>
      </c>
      <c r="O39" s="25">
        <f>IFERROR(O25/N37,"")</f>
        <v/>
      </c>
      <c r="P39" s="25">
        <f>IFERROR(P25/O37,"")</f>
        <v/>
      </c>
    </row>
    <row r="40">
      <c r="A40" s="4" t="inlineStr">
        <is>
          <t xml:space="preserve">  ROIC - WACC spread (value created)</t>
        </is>
      </c>
      <c r="C40" s="11">
        <f>IFERROR(C38-WACC!$B$15,"")</f>
        <v/>
      </c>
      <c r="D40" s="11">
        <f>IFERROR(D38-WACC!$B$15,"")</f>
        <v/>
      </c>
      <c r="E40" s="11">
        <f>IFERROR(E38-WACC!$B$15,"")</f>
        <v/>
      </c>
      <c r="F40" s="11">
        <f>IFERROR(F38-WACC!$B$15,"")</f>
        <v/>
      </c>
      <c r="G40" s="11">
        <f>IFERROR(G38-WACC!$B$15,"")</f>
        <v/>
      </c>
      <c r="H40" s="11">
        <f>IFERROR(H38-WACC!$B$15,"")</f>
        <v/>
      </c>
      <c r="I40" s="11">
        <f>IFERROR(I38-WACC!$B$15,"")</f>
        <v/>
      </c>
      <c r="J40" s="11">
        <f>IFERROR(J38-WACC!$B$15,"")</f>
        <v/>
      </c>
      <c r="K40" s="11">
        <f>IFERROR(K38-WACC!$B$15,"")</f>
        <v/>
      </c>
      <c r="L40" s="11">
        <f>IFERROR(L38-WACC!$B$15,"")</f>
        <v/>
      </c>
      <c r="M40" s="11">
        <f>IFERROR(M38-WACC!$B$15,"")</f>
        <v/>
      </c>
      <c r="N40" s="11">
        <f>IFERROR(N38-WACC!$B$15,"")</f>
        <v/>
      </c>
      <c r="O40" s="11">
        <f>IFERROR(O38-WACC!$B$15,"")</f>
        <v/>
      </c>
      <c r="P40" s="11">
        <f>IFERROR(P38-WACC!$B$15,"")</f>
        <v/>
      </c>
    </row>
    <row r="41">
      <c r="A41" s="4" t="inlineStr">
        <is>
          <t xml:space="preserve">  Incremental op margin (ΔEBIT / ΔRev)</t>
        </is>
      </c>
      <c r="C41" s="25">
        <f>IFERROR((C21-B21)/(C8-B8),"")</f>
        <v/>
      </c>
      <c r="D41" s="25">
        <f>IFERROR((D21-C21)/(D8-C8),"")</f>
        <v/>
      </c>
      <c r="E41" s="25">
        <f>IFERROR((E21-D21)/(E8-D8),"")</f>
        <v/>
      </c>
      <c r="F41" s="25">
        <f>IFERROR((F21-E21)/(F8-E8),"")</f>
        <v/>
      </c>
      <c r="G41" s="25">
        <f>IFERROR((G21-F21)/(G8-F8),"")</f>
        <v/>
      </c>
      <c r="H41" s="25">
        <f>IFERROR((H21-G21)/(H8-G8),"")</f>
        <v/>
      </c>
      <c r="I41" s="25">
        <f>IFERROR((I21-H21)/(I8-H8),"")</f>
        <v/>
      </c>
      <c r="J41" s="25">
        <f>IFERROR((J21-I21)/(J8-I8),"")</f>
        <v/>
      </c>
      <c r="K41" s="25">
        <f>IFERROR((K21-J21)/(K8-J8),"")</f>
        <v/>
      </c>
      <c r="L41" s="25">
        <f>IFERROR((L21-K21)/(L8-K8),"")</f>
        <v/>
      </c>
      <c r="M41" s="25">
        <f>IFERROR((M21-L21)/(M8-L8),"")</f>
        <v/>
      </c>
      <c r="N41" s="25">
        <f>IFERROR((N21-M21)/(N8-M8),"")</f>
        <v/>
      </c>
      <c r="O41" s="25">
        <f>IFERROR((O21-N21)/(O8-N8),"")</f>
        <v/>
      </c>
      <c r="P41" s="25">
        <f>IFERROR((P21-O21)/(P8-O8),"")</f>
        <v/>
      </c>
    </row>
    <row r="42">
      <c r="A42" s="3" t="inlineStr">
        <is>
          <t xml:space="preserve">  ROIIC (ΔNOPAT / ΔInvested capital)</t>
        </is>
      </c>
      <c r="C42" s="25">
        <f>IFERROR((C25-B25)/(C36-B36),"")</f>
        <v/>
      </c>
      <c r="D42" s="25">
        <f>IFERROR((D25-C25)/(D36-C36),"")</f>
        <v/>
      </c>
      <c r="E42" s="25">
        <f>IFERROR((E25-D25)/(E36-D36),"")</f>
        <v/>
      </c>
      <c r="F42" s="25">
        <f>IFERROR((F25-E25)/(F36-E36),"")</f>
        <v/>
      </c>
      <c r="G42" s="25">
        <f>IFERROR((G25-F25)/(G36-F36),"")</f>
        <v/>
      </c>
      <c r="H42" s="25">
        <f>IFERROR((H25-G25)/(H36-G36),"")</f>
        <v/>
      </c>
      <c r="I42" s="25">
        <f>IFERROR((I25-H25)/(I36-H36),"")</f>
        <v/>
      </c>
      <c r="J42" s="25">
        <f>IFERROR((J25-I25)/(J36-I36),"")</f>
        <v/>
      </c>
      <c r="K42" s="25">
        <f>IFERROR((K25-J25)/(K36-J36),"")</f>
        <v/>
      </c>
      <c r="L42" s="25">
        <f>IFERROR((L25-K25)/(L36-K36),"")</f>
        <v/>
      </c>
      <c r="M42" s="25">
        <f>IFERROR((M25-L25)/(M36-L36),"")</f>
        <v/>
      </c>
      <c r="N42" s="25">
        <f>IFERROR((N25-M25)/(N36-M36),"")</f>
        <v/>
      </c>
      <c r="O42" s="25">
        <f>IFERROR((O25-N25)/(O36-N36),"")</f>
        <v/>
      </c>
      <c r="P42" s="25">
        <f>IFERROR((P25-O25)/(P36-O36),"")</f>
        <v/>
      </c>
    </row>
    <row r="43">
      <c r="A43" s="4" t="inlineStr">
        <is>
          <t xml:space="preserve">  Sales-to-capital (ΔRev / ΔInvested capital)</t>
        </is>
      </c>
      <c r="C43" s="44">
        <f>IFERROR((C8-B8)/(C36-B36),"")</f>
        <v/>
      </c>
      <c r="D43" s="44">
        <f>IFERROR((D8-C8)/(D36-C36),"")</f>
        <v/>
      </c>
      <c r="E43" s="44">
        <f>IFERROR((E8-D8)/(E36-D36),"")</f>
        <v/>
      </c>
      <c r="F43" s="44">
        <f>IFERROR((F8-E8)/(F36-E36),"")</f>
        <v/>
      </c>
      <c r="G43" s="44">
        <f>IFERROR((G8-F8)/(G36-F36),"")</f>
        <v/>
      </c>
      <c r="H43" s="44">
        <f>IFERROR((H8-G8)/(H36-G36),"")</f>
        <v/>
      </c>
      <c r="I43" s="44">
        <f>IFERROR((I8-H8)/(I36-H36),"")</f>
        <v/>
      </c>
      <c r="J43" s="44">
        <f>IFERROR((J8-I8)/(J36-I36),"")</f>
        <v/>
      </c>
      <c r="K43" s="44">
        <f>IFERROR((K8-J8)/(K36-J36),"")</f>
        <v/>
      </c>
      <c r="L43" s="44">
        <f>IFERROR((L8-K8)/(L36-K36),"")</f>
        <v/>
      </c>
      <c r="M43" s="44">
        <f>IFERROR((M8-L8)/(M36-L36),"")</f>
        <v/>
      </c>
      <c r="N43" s="44">
        <f>IFERROR((N8-M8)/(N36-M36),"")</f>
        <v/>
      </c>
      <c r="O43" s="44">
        <f>IFERROR((O8-N8)/(O36-N36),"")</f>
        <v/>
      </c>
      <c r="P43" s="44">
        <f>IFERROR((P8-O8)/(P36-O36),"")</f>
        <v/>
      </c>
    </row>
    <row r="44">
      <c r="A44" s="4" t="inlineStr">
        <is>
          <t xml:space="preserve">  Reinvestment rate (ΔInvested capital / NOPAT)</t>
        </is>
      </c>
      <c r="C44" s="25">
        <f>IFERROR((C36-B36)/C25,"")</f>
        <v/>
      </c>
      <c r="D44" s="25">
        <f>IFERROR((D36-C36)/D25,"")</f>
        <v/>
      </c>
      <c r="E44" s="25">
        <f>IFERROR((E36-D36)/E25,"")</f>
        <v/>
      </c>
      <c r="F44" s="25">
        <f>IFERROR((F36-E36)/F25,"")</f>
        <v/>
      </c>
      <c r="G44" s="25">
        <f>IFERROR((G36-F36)/G25,"")</f>
        <v/>
      </c>
      <c r="H44" s="25">
        <f>IFERROR((H36-G36)/H25,"")</f>
        <v/>
      </c>
      <c r="I44" s="25">
        <f>IFERROR((I36-H36)/I25,"")</f>
        <v/>
      </c>
      <c r="J44" s="25">
        <f>IFERROR((J36-I36)/J25,"")</f>
        <v/>
      </c>
      <c r="K44" s="25">
        <f>IFERROR((K36-J36)/K25,"")</f>
        <v/>
      </c>
      <c r="L44" s="25">
        <f>IFERROR((L36-K36)/L25,"")</f>
        <v/>
      </c>
      <c r="M44" s="25">
        <f>IFERROR((M36-L36)/M25,"")</f>
        <v/>
      </c>
      <c r="N44" s="25">
        <f>IFERROR((N36-M36)/N25,"")</f>
        <v/>
      </c>
      <c r="O44" s="25">
        <f>IFERROR((O36-N36)/O25,"")</f>
        <v/>
      </c>
      <c r="P44" s="25">
        <f>IFERROR((P36-O36)/P25,"")</f>
        <v/>
      </c>
    </row>
    <row r="46">
      <c r="A46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16886</v>
      </c>
      <c r="C3" s="18" t="n">
        <v>17652</v>
      </c>
      <c r="D3" s="18" t="n">
        <v>21082</v>
      </c>
      <c r="E3" s="18" t="n">
        <v>17737</v>
      </c>
      <c r="F3" s="18" t="n">
        <v>18687</v>
      </c>
      <c r="G3" s="18" t="n">
        <v>21470</v>
      </c>
      <c r="H3" s="18" t="n">
        <v>28072</v>
      </c>
      <c r="I3" s="18" t="n">
        <v>26171</v>
      </c>
      <c r="J3" s="18" t="n">
        <v>29077</v>
      </c>
      <c r="K3" s="18" t="n">
        <v>29010</v>
      </c>
      <c r="L3" s="18" t="n">
        <v>33671</v>
      </c>
      <c r="M3" s="18" t="n">
        <v>27908</v>
      </c>
      <c r="N3" s="18" t="n">
        <v>28822</v>
      </c>
      <c r="O3" s="18" t="n">
        <v>27714</v>
      </c>
      <c r="P3" s="18" t="n">
        <v>32165</v>
      </c>
      <c r="Q3" s="18" t="n">
        <v>28645</v>
      </c>
      <c r="R3" s="18" t="n">
        <v>31999</v>
      </c>
      <c r="S3" s="18" t="n">
        <v>34146</v>
      </c>
      <c r="T3" s="18" t="n">
        <v>40111</v>
      </c>
      <c r="U3" s="18" t="n">
        <v>36455</v>
      </c>
      <c r="V3" s="18" t="n">
        <v>39071</v>
      </c>
      <c r="W3" s="18" t="n">
        <v>40589</v>
      </c>
      <c r="X3" s="18" t="n">
        <v>48385</v>
      </c>
      <c r="Y3" s="18" t="n">
        <v>42314</v>
      </c>
      <c r="Z3" s="18" t="n">
        <v>47516</v>
      </c>
      <c r="AA3" s="18" t="n">
        <v>51242</v>
      </c>
      <c r="AB3" s="18" t="n">
        <v>59894</v>
      </c>
      <c r="AC3" s="18" t="n">
        <v>56311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3307</v>
      </c>
      <c r="C5" s="18" t="n">
        <v>3155</v>
      </c>
      <c r="D5" s="18" t="n">
        <v>3492</v>
      </c>
      <c r="E5" s="18" t="n">
        <v>3459</v>
      </c>
      <c r="F5" s="18" t="n">
        <v>3829</v>
      </c>
      <c r="G5" s="18" t="n">
        <v>4194</v>
      </c>
      <c r="H5" s="18" t="n">
        <v>5210</v>
      </c>
      <c r="I5" s="18" t="n">
        <v>5131</v>
      </c>
      <c r="J5" s="18" t="n">
        <v>5399</v>
      </c>
      <c r="K5" s="18" t="n">
        <v>5771</v>
      </c>
      <c r="L5" s="18" t="n">
        <v>6348</v>
      </c>
      <c r="M5" s="18" t="n">
        <v>6005</v>
      </c>
      <c r="N5" s="18" t="n">
        <v>5192</v>
      </c>
      <c r="O5" s="18" t="n">
        <v>5716</v>
      </c>
      <c r="P5" s="18" t="n">
        <v>8336</v>
      </c>
      <c r="Q5" s="18" t="n">
        <v>6108</v>
      </c>
      <c r="R5" s="18" t="n">
        <v>5945</v>
      </c>
      <c r="S5" s="18" t="n">
        <v>6210</v>
      </c>
      <c r="T5" s="18" t="n">
        <v>7695</v>
      </c>
      <c r="U5" s="18" t="n">
        <v>6640</v>
      </c>
      <c r="V5" s="18" t="n">
        <v>7308</v>
      </c>
      <c r="W5" s="18" t="n">
        <v>7375</v>
      </c>
      <c r="X5" s="18" t="n">
        <v>8839</v>
      </c>
      <c r="Y5" s="18" t="n">
        <v>7572</v>
      </c>
      <c r="Z5" s="18" t="n">
        <v>8491</v>
      </c>
      <c r="AA5" s="18" t="n">
        <v>9206</v>
      </c>
      <c r="AB5" s="18" t="n">
        <v>10906</v>
      </c>
      <c r="AC5" s="18" t="n">
        <v>10218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3315</v>
      </c>
      <c r="C7" s="18" t="n">
        <v>3548</v>
      </c>
      <c r="D7" s="18" t="n">
        <v>3877</v>
      </c>
      <c r="E7" s="18" t="n">
        <v>4015</v>
      </c>
      <c r="F7" s="18" t="n">
        <v>4462</v>
      </c>
      <c r="G7" s="18" t="n">
        <v>4763</v>
      </c>
      <c r="H7" s="18" t="n">
        <v>5208</v>
      </c>
      <c r="I7" s="18" t="n">
        <v>5197</v>
      </c>
      <c r="J7" s="18" t="n">
        <v>6096</v>
      </c>
      <c r="K7" s="18" t="n">
        <v>6316</v>
      </c>
      <c r="L7" s="18" t="n">
        <v>7046</v>
      </c>
      <c r="M7" s="18" t="n">
        <v>7707</v>
      </c>
      <c r="N7" s="18" t="n">
        <v>8690</v>
      </c>
      <c r="O7" s="18" t="n">
        <v>9170</v>
      </c>
      <c r="P7" s="18" t="n">
        <v>9771</v>
      </c>
      <c r="Q7" s="18" t="n">
        <v>9381</v>
      </c>
      <c r="R7" s="18" t="n">
        <v>9344</v>
      </c>
      <c r="S7" s="18" t="n">
        <v>9241</v>
      </c>
      <c r="T7" s="18" t="n">
        <v>10517</v>
      </c>
      <c r="U7" s="18" t="n">
        <v>9978</v>
      </c>
      <c r="V7" s="18" t="n">
        <v>10537</v>
      </c>
      <c r="W7" s="18" t="n">
        <v>11177</v>
      </c>
      <c r="X7" s="18" t="n">
        <v>12180</v>
      </c>
      <c r="Y7" s="18" t="n">
        <v>12150</v>
      </c>
      <c r="Z7" s="18" t="n">
        <v>12942</v>
      </c>
      <c r="AA7" s="18" t="n">
        <v>15144</v>
      </c>
      <c r="AB7" s="18" t="n">
        <v>17136</v>
      </c>
      <c r="AC7" s="18" t="n">
        <v>17699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5638</v>
      </c>
      <c r="C9" s="18" t="n">
        <v>3764</v>
      </c>
      <c r="D9" s="18" t="n">
        <v>4855</v>
      </c>
      <c r="E9" s="18" t="n">
        <v>4370</v>
      </c>
      <c r="F9" s="18" t="n">
        <v>4433</v>
      </c>
      <c r="G9" s="18" t="n">
        <v>4473</v>
      </c>
      <c r="H9" s="18" t="n">
        <v>4879</v>
      </c>
      <c r="I9" s="18" t="n">
        <v>4465</v>
      </c>
      <c r="J9" s="18" t="n">
        <v>5215</v>
      </c>
      <c r="K9" s="18" t="n">
        <v>6500</v>
      </c>
      <c r="L9" s="18" t="n">
        <v>7692</v>
      </c>
      <c r="M9" s="18" t="n">
        <v>5672</v>
      </c>
      <c r="N9" s="18" t="n">
        <v>6582</v>
      </c>
      <c r="O9" s="18" t="n">
        <v>7164</v>
      </c>
      <c r="P9" s="18" t="n">
        <v>7659</v>
      </c>
      <c r="Q9" s="18" t="n">
        <v>5929</v>
      </c>
      <c r="R9" s="18" t="n">
        <v>7318</v>
      </c>
      <c r="S9" s="18" t="n">
        <v>4947</v>
      </c>
      <c r="T9" s="18" t="n">
        <v>5515</v>
      </c>
      <c r="U9" s="18" t="n">
        <v>6019</v>
      </c>
      <c r="V9" s="18" t="n">
        <v>6379</v>
      </c>
      <c r="W9" s="18" t="n">
        <v>4687</v>
      </c>
      <c r="X9" s="18" t="n">
        <v>4002</v>
      </c>
      <c r="Y9" s="18" t="n">
        <v>5037</v>
      </c>
      <c r="Z9" s="18" t="n">
        <v>5642</v>
      </c>
      <c r="AA9" s="18" t="n">
        <v>6357</v>
      </c>
      <c r="AB9" s="18" t="n">
        <v>7107</v>
      </c>
      <c r="AC9" s="18" t="n">
        <v>5522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13579</v>
      </c>
      <c r="C11" s="18" t="n">
        <v>14497</v>
      </c>
      <c r="D11" s="18" t="n">
        <v>17590</v>
      </c>
      <c r="E11" s="18" t="n">
        <v>14278</v>
      </c>
      <c r="F11" s="18" t="n">
        <v>14858</v>
      </c>
      <c r="G11" s="18" t="n">
        <v>17276</v>
      </c>
      <c r="H11" s="18" t="n">
        <v>22862</v>
      </c>
      <c r="I11" s="18" t="n">
        <v>21040</v>
      </c>
      <c r="J11" s="18" t="n">
        <v>23678</v>
      </c>
      <c r="K11" s="18" t="n">
        <v>23239</v>
      </c>
      <c r="L11" s="18" t="n">
        <v>27323</v>
      </c>
      <c r="M11" s="18" t="n">
        <v>21903</v>
      </c>
      <c r="N11" s="18" t="n">
        <v>23630</v>
      </c>
      <c r="O11" s="18" t="n">
        <v>21998</v>
      </c>
      <c r="P11" s="18" t="n">
        <v>23829</v>
      </c>
      <c r="Q11" s="18" t="n">
        <v>22537</v>
      </c>
      <c r="R11" s="18" t="n">
        <v>26054</v>
      </c>
      <c r="S11" s="18" t="n">
        <v>27936</v>
      </c>
      <c r="T11" s="18" t="n">
        <v>32416</v>
      </c>
      <c r="U11" s="18" t="n">
        <v>29815</v>
      </c>
      <c r="V11" s="18" t="n">
        <v>31763</v>
      </c>
      <c r="W11" s="18" t="n">
        <v>33214</v>
      </c>
      <c r="X11" s="18" t="n">
        <v>39546</v>
      </c>
      <c r="Y11" s="18" t="n">
        <v>34742</v>
      </c>
      <c r="Z11" s="18" t="n">
        <v>39025</v>
      </c>
      <c r="AA11" s="18" t="n">
        <v>42036</v>
      </c>
      <c r="AB11" s="18" t="n">
        <v>48988</v>
      </c>
      <c r="AC11" s="18" t="n">
        <v>46093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4626</v>
      </c>
      <c r="C13" s="18" t="n">
        <v>7185</v>
      </c>
      <c r="D13" s="18" t="n">
        <v>8858</v>
      </c>
      <c r="E13" s="18" t="n">
        <v>5893</v>
      </c>
      <c r="F13" s="18" t="n">
        <v>5963</v>
      </c>
      <c r="G13" s="18" t="n">
        <v>8040</v>
      </c>
      <c r="H13" s="18" t="n">
        <v>12775</v>
      </c>
      <c r="I13" s="18" t="n">
        <v>11378</v>
      </c>
      <c r="J13" s="18" t="n">
        <v>12367</v>
      </c>
      <c r="K13" s="18" t="n">
        <v>10423</v>
      </c>
      <c r="L13" s="18" t="n">
        <v>12585</v>
      </c>
      <c r="M13" s="18" t="n">
        <v>8524</v>
      </c>
      <c r="N13" s="18" t="n">
        <v>8358</v>
      </c>
      <c r="O13" s="18" t="n">
        <v>5664</v>
      </c>
      <c r="P13" s="18" t="n">
        <v>6399</v>
      </c>
      <c r="Q13" s="18" t="n">
        <v>7227</v>
      </c>
      <c r="R13" s="18" t="n">
        <v>9392</v>
      </c>
      <c r="S13" s="18" t="n">
        <v>13748</v>
      </c>
      <c r="T13" s="18" t="n">
        <v>16384</v>
      </c>
      <c r="U13" s="18" t="n">
        <v>13818</v>
      </c>
      <c r="V13" s="18" t="n">
        <v>14847</v>
      </c>
      <c r="W13" s="18" t="n">
        <v>17350</v>
      </c>
      <c r="X13" s="18" t="n">
        <v>23364</v>
      </c>
      <c r="Y13" s="18" t="n">
        <v>17555</v>
      </c>
      <c r="Z13" s="18" t="n">
        <v>20441</v>
      </c>
      <c r="AA13" s="18" t="n">
        <v>20535</v>
      </c>
      <c r="AB13" s="18" t="n">
        <v>24745</v>
      </c>
      <c r="AC13" s="18" t="n">
        <v>22872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2616</v>
      </c>
      <c r="C15" s="18" t="n">
        <v>6091</v>
      </c>
      <c r="D15" s="18" t="n">
        <v>7349</v>
      </c>
      <c r="E15" s="18" t="n">
        <v>4902</v>
      </c>
      <c r="F15" s="18" t="n">
        <v>5178</v>
      </c>
      <c r="G15" s="18" t="n">
        <v>7846</v>
      </c>
      <c r="H15" s="18" t="n">
        <v>11219</v>
      </c>
      <c r="I15" s="18" t="n">
        <v>9497</v>
      </c>
      <c r="J15" s="18" t="n">
        <v>10394</v>
      </c>
      <c r="K15" s="18" t="n">
        <v>9194</v>
      </c>
      <c r="L15" s="18" t="n">
        <v>10285</v>
      </c>
      <c r="M15" s="18" t="n">
        <v>7465</v>
      </c>
      <c r="N15" s="18" t="n">
        <v>6687</v>
      </c>
      <c r="O15" s="18" t="n">
        <v>4395</v>
      </c>
      <c r="P15" s="18" t="n">
        <v>4653</v>
      </c>
      <c r="Q15" s="18" t="n">
        <v>5709</v>
      </c>
      <c r="R15" s="18" t="n">
        <v>7788</v>
      </c>
      <c r="S15" s="18" t="n">
        <v>11583</v>
      </c>
      <c r="T15" s="18" t="n">
        <v>14017</v>
      </c>
      <c r="U15" s="18" t="n">
        <v>12369</v>
      </c>
      <c r="V15" s="18" t="n">
        <v>13465</v>
      </c>
      <c r="W15" s="18" t="n">
        <v>15688</v>
      </c>
      <c r="X15" s="18" t="n">
        <v>20838</v>
      </c>
      <c r="Y15" s="18" t="n">
        <v>16644</v>
      </c>
      <c r="Z15" s="18" t="n">
        <v>18337</v>
      </c>
      <c r="AA15" s="18" t="n">
        <v>2709</v>
      </c>
      <c r="AB15" s="18" t="n">
        <v>22768</v>
      </c>
      <c r="AC15" s="18" t="n">
        <v>26773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2875</v>
      </c>
      <c r="C17" s="18" t="n">
        <v>2874</v>
      </c>
      <c r="D17" s="18" t="n">
        <v>2871</v>
      </c>
      <c r="E17" s="18" t="n">
        <v>2868</v>
      </c>
      <c r="F17" s="18" t="n">
        <v>2879</v>
      </c>
      <c r="G17" s="18" t="n">
        <v>2895.203</v>
      </c>
      <c r="H17" s="18" t="n">
        <v>2892.924</v>
      </c>
      <c r="I17" s="18" t="n">
        <v>2882</v>
      </c>
      <c r="J17" s="18" t="n">
        <v>2879.224</v>
      </c>
      <c r="K17" s="18" t="n">
        <v>2859</v>
      </c>
      <c r="L17" s="18" t="n">
        <v>2799</v>
      </c>
      <c r="M17" s="18" t="n">
        <v>2742</v>
      </c>
      <c r="N17" s="18" t="n">
        <v>2713</v>
      </c>
      <c r="O17" s="18" t="n">
        <v>2687</v>
      </c>
      <c r="P17" s="18" t="n">
        <v>2640</v>
      </c>
      <c r="Q17" s="18" t="n">
        <v>2596</v>
      </c>
      <c r="R17" s="18" t="n">
        <v>2612</v>
      </c>
      <c r="S17" s="18" t="n">
        <v>2641</v>
      </c>
      <c r="T17" s="18" t="n">
        <v>2630</v>
      </c>
      <c r="U17" s="18" t="n">
        <v>2625</v>
      </c>
      <c r="V17" s="18" t="n">
        <v>2610</v>
      </c>
      <c r="W17" s="18" t="n">
        <v>2600</v>
      </c>
      <c r="X17" s="18" t="n">
        <v>2614</v>
      </c>
      <c r="Y17" s="18" t="n">
        <v>2590</v>
      </c>
      <c r="Z17" s="18" t="n">
        <v>2570</v>
      </c>
      <c r="AA17" s="18" t="n">
        <v>2572</v>
      </c>
      <c r="AB17" s="18" t="n">
        <v>2574</v>
      </c>
      <c r="AC17" s="18" t="n">
        <v>2564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Family of Apps</t>
        </is>
      </c>
      <c r="L19" s="18" t="n">
        <v>31397</v>
      </c>
      <c r="M19" s="18" t="n">
        <v>27213</v>
      </c>
      <c r="N19" s="18" t="n">
        <v>28370</v>
      </c>
      <c r="O19" s="18" t="n">
        <v>27429</v>
      </c>
      <c r="P19" s="18" t="n">
        <v>31438</v>
      </c>
      <c r="Q19" s="18" t="n">
        <v>28306</v>
      </c>
      <c r="R19" s="18" t="n">
        <v>31723</v>
      </c>
      <c r="S19" s="18" t="n">
        <v>33936</v>
      </c>
      <c r="T19" s="18" t="n">
        <v>39041</v>
      </c>
      <c r="U19" s="18" t="n">
        <v>36015</v>
      </c>
      <c r="V19" s="18" t="n">
        <v>38718</v>
      </c>
      <c r="W19" s="18" t="n">
        <v>40319</v>
      </c>
      <c r="X19" s="18" t="n">
        <v>47303</v>
      </c>
      <c r="Y19" s="18" t="n">
        <v>41902</v>
      </c>
      <c r="Z19" s="18" t="n">
        <v>47146</v>
      </c>
      <c r="AA19" s="18" t="n">
        <v>50772</v>
      </c>
      <c r="AB19" s="18" t="n">
        <v>58939</v>
      </c>
      <c r="AC19" s="18" t="n">
        <v>55909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Reality Labs</t>
        </is>
      </c>
      <c r="M22" s="18" t="n">
        <v>695</v>
      </c>
      <c r="N22" s="18" t="n">
        <v>452</v>
      </c>
      <c r="O22" s="18" t="n">
        <v>285</v>
      </c>
      <c r="P22" s="18" t="n">
        <v>727</v>
      </c>
      <c r="Q22" s="18" t="n">
        <v>339</v>
      </c>
      <c r="R22" s="18" t="n">
        <v>276</v>
      </c>
      <c r="S22" s="18" t="n">
        <v>210</v>
      </c>
      <c r="T22" s="18" t="n">
        <v>1071</v>
      </c>
      <c r="U22" s="18" t="n">
        <v>440</v>
      </c>
      <c r="V22" s="18" t="n">
        <v>353</v>
      </c>
      <c r="W22" s="18" t="n">
        <v>270</v>
      </c>
      <c r="X22" s="18" t="n">
        <v>1083</v>
      </c>
      <c r="Y22" s="18" t="n">
        <v>412</v>
      </c>
      <c r="Z22" s="18" t="n">
        <v>370</v>
      </c>
      <c r="AA22" s="18" t="n">
        <v>470</v>
      </c>
      <c r="AB22" s="18" t="n">
        <v>955</v>
      </c>
      <c r="AC22" s="18" t="n">
        <v>402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5" t="inlineStr">
        <is>
          <t xml:space="preserve">  REVENUE BY SEGMENT — GEOGRAPHY (% YoY, % of revenue)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A26" s="4" t="inlineStr">
        <is>
          <t>US &amp; Canada</t>
        </is>
      </c>
      <c r="B26" s="18" t="n">
        <v>7632</v>
      </c>
      <c r="C26" s="18" t="n">
        <v>8026</v>
      </c>
      <c r="D26" s="18" t="n">
        <v>9771</v>
      </c>
      <c r="E26" s="18" t="n">
        <v>8012</v>
      </c>
      <c r="F26" s="18" t="n">
        <v>8292</v>
      </c>
      <c r="G26" s="18" t="n">
        <v>9229</v>
      </c>
      <c r="H26" s="18" t="n">
        <v>12900</v>
      </c>
      <c r="I26" s="18" t="n">
        <v>11436</v>
      </c>
      <c r="J26" s="18" t="n">
        <v>12612</v>
      </c>
      <c r="K26" s="18" t="n">
        <v>12668</v>
      </c>
      <c r="L26" s="18" t="n">
        <v>14825</v>
      </c>
      <c r="M26" s="18" t="n">
        <v>11780</v>
      </c>
      <c r="N26" s="18" t="n">
        <v>12186</v>
      </c>
      <c r="O26" s="18" t="n">
        <v>11966</v>
      </c>
      <c r="P26" s="18" t="n">
        <v>14218</v>
      </c>
      <c r="Q26" s="18" t="n">
        <v>11449</v>
      </c>
      <c r="R26" s="18" t="n">
        <v>12404</v>
      </c>
      <c r="S26" s="18" t="n">
        <v>12908</v>
      </c>
      <c r="T26" s="18" t="n">
        <v>16127</v>
      </c>
      <c r="U26" s="18" t="n">
        <v>13646</v>
      </c>
      <c r="V26" s="18" t="n">
        <v>14640</v>
      </c>
      <c r="W26" s="18" t="n">
        <v>15619</v>
      </c>
      <c r="X26" s="18" t="n">
        <v>19302</v>
      </c>
      <c r="Y26" s="18" t="n">
        <v>16869</v>
      </c>
      <c r="Z26" s="18" t="n">
        <v>18454</v>
      </c>
      <c r="AA26" s="18" t="n">
        <v>19708</v>
      </c>
      <c r="AB26" s="18" t="n">
        <v>23835</v>
      </c>
      <c r="AC26" s="18" t="n">
        <v>21267</v>
      </c>
    </row>
    <row r="27">
      <c r="A27" s="4" t="inlineStr">
        <is>
          <t xml:space="preserve">    % YoY</t>
        </is>
      </c>
      <c r="F27" s="25">
        <f>IFERROR(F26/B26-1,"")</f>
        <v/>
      </c>
      <c r="G27" s="25">
        <f>IFERROR(G26/C26-1,"")</f>
        <v/>
      </c>
      <c r="H27" s="25">
        <f>IFERROR(H26/D26-1,"")</f>
        <v/>
      </c>
      <c r="I27" s="25">
        <f>IFERROR(I26/E26-1,"")</f>
        <v/>
      </c>
      <c r="J27" s="25">
        <f>IFERROR(J26/F26-1,"")</f>
        <v/>
      </c>
      <c r="K27" s="25">
        <f>IFERROR(K26/G26-1,"")</f>
        <v/>
      </c>
      <c r="L27" s="25">
        <f>IFERROR(L26/H26-1,"")</f>
        <v/>
      </c>
      <c r="M27" s="25">
        <f>IFERROR(M26/I26-1,"")</f>
        <v/>
      </c>
      <c r="N27" s="25">
        <f>IFERROR(N26/J26-1,"")</f>
        <v/>
      </c>
      <c r="O27" s="25">
        <f>IFERROR(O26/K26-1,"")</f>
        <v/>
      </c>
      <c r="P27" s="25">
        <f>IFERROR(P26/L26-1,"")</f>
        <v/>
      </c>
      <c r="Q27" s="25">
        <f>IFERROR(Q26/M26-1,"")</f>
        <v/>
      </c>
      <c r="R27" s="25">
        <f>IFERROR(R26/N26-1,"")</f>
        <v/>
      </c>
      <c r="S27" s="25">
        <f>IFERROR(S26/O26-1,"")</f>
        <v/>
      </c>
      <c r="T27" s="25">
        <f>IFERROR(T26/P26-1,"")</f>
        <v/>
      </c>
      <c r="U27" s="25">
        <f>IFERROR(U26/Q26-1,"")</f>
        <v/>
      </c>
      <c r="V27" s="25">
        <f>IFERROR(V26/R26-1,"")</f>
        <v/>
      </c>
      <c r="W27" s="25">
        <f>IFERROR(W26/S26-1,"")</f>
        <v/>
      </c>
      <c r="X27" s="25">
        <f>IFERROR(X26/T26-1,"")</f>
        <v/>
      </c>
      <c r="Y27" s="25">
        <f>IFERROR(Y26/U26-1,"")</f>
        <v/>
      </c>
      <c r="Z27" s="25">
        <f>IFERROR(Z26/V26-1,"")</f>
        <v/>
      </c>
      <c r="AA27" s="25">
        <f>IFERROR(AA26/W26-1,"")</f>
        <v/>
      </c>
      <c r="AB27" s="25">
        <f>IFERROR(AB26/X26-1,"")</f>
        <v/>
      </c>
      <c r="AC27" s="25">
        <f>IFERROR(AC26/Y26-1,"")</f>
        <v/>
      </c>
    </row>
    <row r="28">
      <c r="A28" s="4" t="inlineStr">
        <is>
          <t xml:space="preserve">    % of revenue</t>
        </is>
      </c>
      <c r="B28" s="25">
        <f>IFERROR(B26/B3,"")</f>
        <v/>
      </c>
      <c r="C28" s="25">
        <f>IFERROR(C26/C3,"")</f>
        <v/>
      </c>
      <c r="D28" s="25">
        <f>IFERROR(D26/D3,"")</f>
        <v/>
      </c>
      <c r="E28" s="25">
        <f>IFERROR(E26/E3,"")</f>
        <v/>
      </c>
      <c r="F28" s="25">
        <f>IFERROR(F26/F3,"")</f>
        <v/>
      </c>
      <c r="G28" s="25">
        <f>IFERROR(G26/G3,"")</f>
        <v/>
      </c>
      <c r="H28" s="25">
        <f>IFERROR(H26/H3,"")</f>
        <v/>
      </c>
      <c r="I28" s="25">
        <f>IFERROR(I26/I3,"")</f>
        <v/>
      </c>
      <c r="J28" s="25">
        <f>IFERROR(J26/J3,"")</f>
        <v/>
      </c>
      <c r="K28" s="25">
        <f>IFERROR(K26/K3,"")</f>
        <v/>
      </c>
      <c r="L28" s="25">
        <f>IFERROR(L26/L3,"")</f>
        <v/>
      </c>
      <c r="M28" s="25">
        <f>IFERROR(M26/M3,"")</f>
        <v/>
      </c>
      <c r="N28" s="25">
        <f>IFERROR(N26/N3,"")</f>
        <v/>
      </c>
      <c r="O28" s="25">
        <f>IFERROR(O26/O3,"")</f>
        <v/>
      </c>
      <c r="P28" s="25">
        <f>IFERROR(P26/P3,"")</f>
        <v/>
      </c>
      <c r="Q28" s="25">
        <f>IFERROR(Q26/Q3,"")</f>
        <v/>
      </c>
      <c r="R28" s="25">
        <f>IFERROR(R26/R3,"")</f>
        <v/>
      </c>
      <c r="S28" s="25">
        <f>IFERROR(S26/S3,"")</f>
        <v/>
      </c>
      <c r="T28" s="25">
        <f>IFERROR(T26/T3,"")</f>
        <v/>
      </c>
      <c r="U28" s="25">
        <f>IFERROR(U26/U3,"")</f>
        <v/>
      </c>
      <c r="V28" s="25">
        <f>IFERROR(V26/V3,"")</f>
        <v/>
      </c>
      <c r="W28" s="25">
        <f>IFERROR(W26/W3,"")</f>
        <v/>
      </c>
      <c r="X28" s="25">
        <f>IFERROR(X26/X3,"")</f>
        <v/>
      </c>
      <c r="Y28" s="25">
        <f>IFERROR(Y26/Y3,"")</f>
        <v/>
      </c>
      <c r="Z28" s="25">
        <f>IFERROR(Z26/Z3,"")</f>
        <v/>
      </c>
      <c r="AA28" s="25">
        <f>IFERROR(AA26/AA3,"")</f>
        <v/>
      </c>
      <c r="AB28" s="25">
        <f>IFERROR(AB26/AB3,"")</f>
        <v/>
      </c>
      <c r="AC28" s="25">
        <f>IFERROR(AC26/AC3,"")</f>
        <v/>
      </c>
    </row>
    <row r="29">
      <c r="A29" s="4" t="inlineStr">
        <is>
          <t>Asia Pacific</t>
        </is>
      </c>
      <c r="B29" s="18" t="n">
        <v>3628</v>
      </c>
      <c r="C29" s="18" t="n">
        <v>3958</v>
      </c>
      <c r="D29" s="18" t="n">
        <v>4483</v>
      </c>
      <c r="E29" s="18" t="n">
        <v>3971</v>
      </c>
      <c r="F29" s="18" t="n">
        <v>4611</v>
      </c>
      <c r="G29" s="18" t="n">
        <v>5311</v>
      </c>
      <c r="H29" s="18" t="n">
        <v>5955</v>
      </c>
      <c r="I29" s="18" t="n">
        <v>6101</v>
      </c>
      <c r="J29" s="18" t="n">
        <v>6677</v>
      </c>
      <c r="K29" s="18" t="n">
        <v>6592</v>
      </c>
      <c r="L29" s="18" t="n">
        <v>7369</v>
      </c>
      <c r="M29" s="18" t="n">
        <v>6722</v>
      </c>
      <c r="N29" s="18" t="n">
        <v>6960</v>
      </c>
      <c r="O29" s="18" t="n">
        <v>6797</v>
      </c>
      <c r="P29" s="18" t="n">
        <v>7281</v>
      </c>
      <c r="Q29" s="18" t="n">
        <v>7292</v>
      </c>
      <c r="R29" s="18" t="n">
        <v>8551</v>
      </c>
      <c r="S29" s="18" t="n">
        <v>9790</v>
      </c>
      <c r="T29" s="18" t="n">
        <v>10521</v>
      </c>
      <c r="U29" s="18" t="n">
        <v>10312</v>
      </c>
      <c r="V29" s="18" t="n">
        <v>10967</v>
      </c>
      <c r="W29" s="18" t="n">
        <v>11243</v>
      </c>
      <c r="X29" s="18" t="n">
        <v>12487</v>
      </c>
      <c r="Y29" s="18" t="n">
        <v>11239</v>
      </c>
      <c r="Z29" s="18" t="n">
        <v>12858</v>
      </c>
      <c r="AA29" s="18" t="n">
        <v>14304</v>
      </c>
      <c r="AB29" s="18" t="n">
        <v>15416</v>
      </c>
      <c r="AC29" s="18" t="n">
        <v>15445</v>
      </c>
    </row>
    <row r="30">
      <c r="A30" s="4" t="inlineStr">
        <is>
          <t xml:space="preserve">    % YoY</t>
        </is>
      </c>
      <c r="F30" s="25">
        <f>IFERROR(F29/B29-1,"")</f>
        <v/>
      </c>
      <c r="G30" s="25">
        <f>IFERROR(G29/C29-1,"")</f>
        <v/>
      </c>
      <c r="H30" s="25">
        <f>IFERROR(H29/D29-1,"")</f>
        <v/>
      </c>
      <c r="I30" s="25">
        <f>IFERROR(I29/E29-1,"")</f>
        <v/>
      </c>
      <c r="J30" s="25">
        <f>IFERROR(J29/F29-1,"")</f>
        <v/>
      </c>
      <c r="K30" s="25">
        <f>IFERROR(K29/G29-1,"")</f>
        <v/>
      </c>
      <c r="L30" s="25">
        <f>IFERROR(L29/H29-1,"")</f>
        <v/>
      </c>
      <c r="M30" s="25">
        <f>IFERROR(M29/I29-1,"")</f>
        <v/>
      </c>
      <c r="N30" s="25">
        <f>IFERROR(N29/J29-1,"")</f>
        <v/>
      </c>
      <c r="O30" s="25">
        <f>IFERROR(O29/K29-1,"")</f>
        <v/>
      </c>
      <c r="P30" s="25">
        <f>IFERROR(P29/L29-1,"")</f>
        <v/>
      </c>
      <c r="Q30" s="25">
        <f>IFERROR(Q29/M29-1,"")</f>
        <v/>
      </c>
      <c r="R30" s="25">
        <f>IFERROR(R29/N29-1,"")</f>
        <v/>
      </c>
      <c r="S30" s="25">
        <f>IFERROR(S29/O29-1,"")</f>
        <v/>
      </c>
      <c r="T30" s="25">
        <f>IFERROR(T29/P29-1,"")</f>
        <v/>
      </c>
      <c r="U30" s="25">
        <f>IFERROR(U29/Q29-1,"")</f>
        <v/>
      </c>
      <c r="V30" s="25">
        <f>IFERROR(V29/R29-1,"")</f>
        <v/>
      </c>
      <c r="W30" s="25">
        <f>IFERROR(W29/S29-1,"")</f>
        <v/>
      </c>
      <c r="X30" s="25">
        <f>IFERROR(X29/T29-1,"")</f>
        <v/>
      </c>
      <c r="Y30" s="25">
        <f>IFERROR(Y29/U29-1,"")</f>
        <v/>
      </c>
      <c r="Z30" s="25">
        <f>IFERROR(Z29/V29-1,"")</f>
        <v/>
      </c>
      <c r="AA30" s="25">
        <f>IFERROR(AA29/W29-1,"")</f>
        <v/>
      </c>
      <c r="AB30" s="25">
        <f>IFERROR(AB29/X29-1,"")</f>
        <v/>
      </c>
      <c r="AC30" s="25">
        <f>IFERROR(AC29/Y29-1,"")</f>
        <v/>
      </c>
    </row>
    <row r="31">
      <c r="A31" s="4" t="inlineStr">
        <is>
          <t xml:space="preserve">    % of revenue</t>
        </is>
      </c>
      <c r="B31" s="25">
        <f>IFERROR(B29/B3,"")</f>
        <v/>
      </c>
      <c r="C31" s="25">
        <f>IFERROR(C29/C3,"")</f>
        <v/>
      </c>
      <c r="D31" s="25">
        <f>IFERROR(D29/D3,"")</f>
        <v/>
      </c>
      <c r="E31" s="25">
        <f>IFERROR(E29/E3,"")</f>
        <v/>
      </c>
      <c r="F31" s="25">
        <f>IFERROR(F29/F3,"")</f>
        <v/>
      </c>
      <c r="G31" s="25">
        <f>IFERROR(G29/G3,"")</f>
        <v/>
      </c>
      <c r="H31" s="25">
        <f>IFERROR(H29/H3,"")</f>
        <v/>
      </c>
      <c r="I31" s="25">
        <f>IFERROR(I29/I3,"")</f>
        <v/>
      </c>
      <c r="J31" s="25">
        <f>IFERROR(J29/J3,"")</f>
        <v/>
      </c>
      <c r="K31" s="25">
        <f>IFERROR(K29/K3,"")</f>
        <v/>
      </c>
      <c r="L31" s="25">
        <f>IFERROR(L29/L3,"")</f>
        <v/>
      </c>
      <c r="M31" s="25">
        <f>IFERROR(M29/M3,"")</f>
        <v/>
      </c>
      <c r="N31" s="25">
        <f>IFERROR(N29/N3,"")</f>
        <v/>
      </c>
      <c r="O31" s="25">
        <f>IFERROR(O29/O3,"")</f>
        <v/>
      </c>
      <c r="P31" s="25">
        <f>IFERROR(P29/P3,"")</f>
        <v/>
      </c>
      <c r="Q31" s="25">
        <f>IFERROR(Q29/Q3,"")</f>
        <v/>
      </c>
      <c r="R31" s="25">
        <f>IFERROR(R29/R3,"")</f>
        <v/>
      </c>
      <c r="S31" s="25">
        <f>IFERROR(S29/S3,"")</f>
        <v/>
      </c>
      <c r="T31" s="25">
        <f>IFERROR(T29/T3,"")</f>
        <v/>
      </c>
      <c r="U31" s="25">
        <f>IFERROR(U29/U3,"")</f>
        <v/>
      </c>
      <c r="V31" s="25">
        <f>IFERROR(V29/V3,"")</f>
        <v/>
      </c>
      <c r="W31" s="25">
        <f>IFERROR(W29/W3,"")</f>
        <v/>
      </c>
      <c r="X31" s="25">
        <f>IFERROR(X29/X3,"")</f>
        <v/>
      </c>
      <c r="Y31" s="25">
        <f>IFERROR(Y29/Y3,"")</f>
        <v/>
      </c>
      <c r="Z31" s="25">
        <f>IFERROR(Z29/Z3,"")</f>
        <v/>
      </c>
      <c r="AA31" s="25">
        <f>IFERROR(AA29/AA3,"")</f>
        <v/>
      </c>
      <c r="AB31" s="25">
        <f>IFERROR(AB29/AB3,"")</f>
        <v/>
      </c>
      <c r="AC31" s="25">
        <f>IFERROR(AC29/AC3,"")</f>
        <v/>
      </c>
    </row>
    <row r="32">
      <c r="A32" s="4" t="inlineStr">
        <is>
          <t>Europe</t>
        </is>
      </c>
      <c r="B32" s="18" t="n">
        <v>4097</v>
      </c>
      <c r="C32" s="18" t="n">
        <v>4053</v>
      </c>
      <c r="D32" s="18" t="n">
        <v>5052</v>
      </c>
      <c r="E32" s="18" t="n">
        <v>4150</v>
      </c>
      <c r="F32" s="18" t="n">
        <v>4249</v>
      </c>
      <c r="G32" s="18" t="n">
        <v>5055</v>
      </c>
      <c r="H32" s="18" t="n">
        <v>6895</v>
      </c>
      <c r="I32" s="18" t="n">
        <v>6384</v>
      </c>
      <c r="J32" s="18" t="n">
        <v>7220</v>
      </c>
      <c r="K32" s="18" t="n">
        <v>7018</v>
      </c>
      <c r="L32" s="18" t="n">
        <v>8435</v>
      </c>
      <c r="M32" s="18" t="n">
        <v>6638</v>
      </c>
      <c r="N32" s="18" t="n">
        <v>6650</v>
      </c>
      <c r="O32" s="18" t="n">
        <v>5996</v>
      </c>
      <c r="P32" s="18" t="n">
        <v>7397</v>
      </c>
      <c r="Q32" s="18" t="n">
        <v>6759</v>
      </c>
      <c r="R32" s="18" t="n">
        <v>7515</v>
      </c>
      <c r="S32" s="18" t="n">
        <v>7578</v>
      </c>
      <c r="T32" s="18" t="n">
        <v>9358</v>
      </c>
      <c r="U32" s="18" t="n">
        <v>8404</v>
      </c>
      <c r="V32" s="18" t="n">
        <v>9153</v>
      </c>
      <c r="W32" s="18" t="n">
        <v>9205</v>
      </c>
      <c r="X32" s="18" t="n">
        <v>11599</v>
      </c>
      <c r="Y32" s="18" t="n">
        <v>9621</v>
      </c>
      <c r="Z32" s="18" t="n">
        <v>11128</v>
      </c>
      <c r="AA32" s="18" t="n">
        <v>11566</v>
      </c>
      <c r="AB32" s="18" t="n">
        <v>14254</v>
      </c>
      <c r="AC32" s="18" t="n">
        <v>13240</v>
      </c>
    </row>
    <row r="33">
      <c r="A33" s="4" t="inlineStr">
        <is>
          <t xml:space="preserve">    % YoY</t>
        </is>
      </c>
      <c r="F33" s="25">
        <f>IFERROR(F32/B32-1,"")</f>
        <v/>
      </c>
      <c r="G33" s="25">
        <f>IFERROR(G32/C32-1,"")</f>
        <v/>
      </c>
      <c r="H33" s="25">
        <f>IFERROR(H32/D32-1,"")</f>
        <v/>
      </c>
      <c r="I33" s="25">
        <f>IFERROR(I32/E32-1,"")</f>
        <v/>
      </c>
      <c r="J33" s="25">
        <f>IFERROR(J32/F32-1,"")</f>
        <v/>
      </c>
      <c r="K33" s="25">
        <f>IFERROR(K32/G32-1,"")</f>
        <v/>
      </c>
      <c r="L33" s="25">
        <f>IFERROR(L32/H32-1,"")</f>
        <v/>
      </c>
      <c r="M33" s="25">
        <f>IFERROR(M32/I32-1,"")</f>
        <v/>
      </c>
      <c r="N33" s="25">
        <f>IFERROR(N32/J32-1,"")</f>
        <v/>
      </c>
      <c r="O33" s="25">
        <f>IFERROR(O32/K32-1,"")</f>
        <v/>
      </c>
      <c r="P33" s="25">
        <f>IFERROR(P32/L32-1,"")</f>
        <v/>
      </c>
      <c r="Q33" s="25">
        <f>IFERROR(Q32/M32-1,"")</f>
        <v/>
      </c>
      <c r="R33" s="25">
        <f>IFERROR(R32/N32-1,"")</f>
        <v/>
      </c>
      <c r="S33" s="25">
        <f>IFERROR(S32/O32-1,"")</f>
        <v/>
      </c>
      <c r="T33" s="25">
        <f>IFERROR(T32/P32-1,"")</f>
        <v/>
      </c>
      <c r="U33" s="25">
        <f>IFERROR(U32/Q32-1,"")</f>
        <v/>
      </c>
      <c r="V33" s="25">
        <f>IFERROR(V32/R32-1,"")</f>
        <v/>
      </c>
      <c r="W33" s="25">
        <f>IFERROR(W32/S32-1,"")</f>
        <v/>
      </c>
      <c r="X33" s="25">
        <f>IFERROR(X32/T32-1,"")</f>
        <v/>
      </c>
      <c r="Y33" s="25">
        <f>IFERROR(Y32/U32-1,"")</f>
        <v/>
      </c>
      <c r="Z33" s="25">
        <f>IFERROR(Z32/V32-1,"")</f>
        <v/>
      </c>
      <c r="AA33" s="25">
        <f>IFERROR(AA32/W32-1,"")</f>
        <v/>
      </c>
      <c r="AB33" s="25">
        <f>IFERROR(AB32/X32-1,"")</f>
        <v/>
      </c>
      <c r="AC33" s="25">
        <f>IFERROR(AC32/Y32-1,"")</f>
        <v/>
      </c>
    </row>
    <row r="34">
      <c r="A34" s="4" t="inlineStr">
        <is>
          <t xml:space="preserve">    % of revenue</t>
        </is>
      </c>
      <c r="B34" s="25">
        <f>IFERROR(B32/B3,"")</f>
        <v/>
      </c>
      <c r="C34" s="25">
        <f>IFERROR(C32/C3,"")</f>
        <v/>
      </c>
      <c r="D34" s="25">
        <f>IFERROR(D32/D3,"")</f>
        <v/>
      </c>
      <c r="E34" s="25">
        <f>IFERROR(E32/E3,"")</f>
        <v/>
      </c>
      <c r="F34" s="25">
        <f>IFERROR(F32/F3,"")</f>
        <v/>
      </c>
      <c r="G34" s="25">
        <f>IFERROR(G32/G3,"")</f>
        <v/>
      </c>
      <c r="H34" s="25">
        <f>IFERROR(H32/H3,"")</f>
        <v/>
      </c>
      <c r="I34" s="25">
        <f>IFERROR(I32/I3,"")</f>
        <v/>
      </c>
      <c r="J34" s="25">
        <f>IFERROR(J32/J3,"")</f>
        <v/>
      </c>
      <c r="K34" s="25">
        <f>IFERROR(K32/K3,"")</f>
        <v/>
      </c>
      <c r="L34" s="25">
        <f>IFERROR(L32/L3,"")</f>
        <v/>
      </c>
      <c r="M34" s="25">
        <f>IFERROR(M32/M3,"")</f>
        <v/>
      </c>
      <c r="N34" s="25">
        <f>IFERROR(N32/N3,"")</f>
        <v/>
      </c>
      <c r="O34" s="25">
        <f>IFERROR(O32/O3,"")</f>
        <v/>
      </c>
      <c r="P34" s="25">
        <f>IFERROR(P32/P3,"")</f>
        <v/>
      </c>
      <c r="Q34" s="25">
        <f>IFERROR(Q32/Q3,"")</f>
        <v/>
      </c>
      <c r="R34" s="25">
        <f>IFERROR(R32/R3,"")</f>
        <v/>
      </c>
      <c r="S34" s="25">
        <f>IFERROR(S32/S3,"")</f>
        <v/>
      </c>
      <c r="T34" s="25">
        <f>IFERROR(T32/T3,"")</f>
        <v/>
      </c>
      <c r="U34" s="25">
        <f>IFERROR(U32/U3,"")</f>
        <v/>
      </c>
      <c r="V34" s="25">
        <f>IFERROR(V32/V3,"")</f>
        <v/>
      </c>
      <c r="W34" s="25">
        <f>IFERROR(W32/W3,"")</f>
        <v/>
      </c>
      <c r="X34" s="25">
        <f>IFERROR(X32/X3,"")</f>
        <v/>
      </c>
      <c r="Y34" s="25">
        <f>IFERROR(Y32/Y3,"")</f>
        <v/>
      </c>
      <c r="Z34" s="25">
        <f>IFERROR(Z32/Z3,"")</f>
        <v/>
      </c>
      <c r="AA34" s="25">
        <f>IFERROR(AA32/AA3,"")</f>
        <v/>
      </c>
      <c r="AB34" s="25">
        <f>IFERROR(AB32/AB3,"")</f>
        <v/>
      </c>
      <c r="AC34" s="25">
        <f>IFERROR(AC32/AC3,"")</f>
        <v/>
      </c>
    </row>
    <row r="35">
      <c r="A35" s="4" t="inlineStr">
        <is>
          <t>Rest Of World</t>
        </is>
      </c>
      <c r="B35" s="18" t="n">
        <v>1529</v>
      </c>
      <c r="C35" s="18" t="n">
        <v>1615</v>
      </c>
      <c r="D35" s="18" t="n">
        <v>1776</v>
      </c>
      <c r="E35" s="18" t="n">
        <v>1604</v>
      </c>
      <c r="F35" s="18" t="n">
        <v>1535</v>
      </c>
      <c r="G35" s="18" t="n">
        <v>1875</v>
      </c>
      <c r="H35" s="18" t="n">
        <v>2321</v>
      </c>
      <c r="I35" s="18" t="n">
        <v>2250</v>
      </c>
      <c r="J35" s="18" t="n">
        <v>2568</v>
      </c>
      <c r="K35" s="18" t="n">
        <v>2732</v>
      </c>
      <c r="L35" s="18" t="n">
        <v>3042</v>
      </c>
      <c r="M35" s="18" t="n">
        <v>2768</v>
      </c>
      <c r="N35" s="18" t="n">
        <v>3026</v>
      </c>
      <c r="O35" s="18" t="n">
        <v>2955</v>
      </c>
      <c r="P35" s="18" t="n">
        <v>3269</v>
      </c>
      <c r="Q35" s="18" t="n">
        <v>3145</v>
      </c>
      <c r="R35" s="18" t="n">
        <v>3529</v>
      </c>
      <c r="S35" s="18" t="n">
        <v>3870</v>
      </c>
      <c r="T35" s="18" t="n">
        <v>4106</v>
      </c>
      <c r="U35" s="18" t="n">
        <v>4093</v>
      </c>
      <c r="V35" s="18" t="n">
        <v>4311</v>
      </c>
      <c r="W35" s="18" t="n">
        <v>4522</v>
      </c>
      <c r="X35" s="18" t="n">
        <v>4998</v>
      </c>
      <c r="Y35" s="18" t="n">
        <v>4585</v>
      </c>
      <c r="Z35" s="18" t="n">
        <v>5076</v>
      </c>
      <c r="AA35" s="18" t="n">
        <v>5664</v>
      </c>
      <c r="AB35" s="18" t="n">
        <v>6389</v>
      </c>
      <c r="AC35" s="18" t="n">
        <v>6359</v>
      </c>
    </row>
    <row r="36">
      <c r="A36" s="4" t="inlineStr">
        <is>
          <t xml:space="preserve">    % YoY</t>
        </is>
      </c>
      <c r="F36" s="25">
        <f>IFERROR(F35/B35-1,"")</f>
        <v/>
      </c>
      <c r="G36" s="25">
        <f>IFERROR(G35/C35-1,"")</f>
        <v/>
      </c>
      <c r="H36" s="25">
        <f>IFERROR(H35/D35-1,"")</f>
        <v/>
      </c>
      <c r="I36" s="25">
        <f>IFERROR(I35/E35-1,"")</f>
        <v/>
      </c>
      <c r="J36" s="25">
        <f>IFERROR(J35/F35-1,"")</f>
        <v/>
      </c>
      <c r="K36" s="25">
        <f>IFERROR(K35/G35-1,"")</f>
        <v/>
      </c>
      <c r="L36" s="25">
        <f>IFERROR(L35/H35-1,"")</f>
        <v/>
      </c>
      <c r="M36" s="25">
        <f>IFERROR(M35/I35-1,"")</f>
        <v/>
      </c>
      <c r="N36" s="25">
        <f>IFERROR(N35/J35-1,"")</f>
        <v/>
      </c>
      <c r="O36" s="25">
        <f>IFERROR(O35/K35-1,"")</f>
        <v/>
      </c>
      <c r="P36" s="25">
        <f>IFERROR(P35/L35-1,"")</f>
        <v/>
      </c>
      <c r="Q36" s="25">
        <f>IFERROR(Q35/M35-1,"")</f>
        <v/>
      </c>
      <c r="R36" s="25">
        <f>IFERROR(R35/N35-1,"")</f>
        <v/>
      </c>
      <c r="S36" s="25">
        <f>IFERROR(S35/O35-1,"")</f>
        <v/>
      </c>
      <c r="T36" s="25">
        <f>IFERROR(T35/P35-1,"")</f>
        <v/>
      </c>
      <c r="U36" s="25">
        <f>IFERROR(U35/Q35-1,"")</f>
        <v/>
      </c>
      <c r="V36" s="25">
        <f>IFERROR(V35/R35-1,"")</f>
        <v/>
      </c>
      <c r="W36" s="25">
        <f>IFERROR(W35/S35-1,"")</f>
        <v/>
      </c>
      <c r="X36" s="25">
        <f>IFERROR(X35/T35-1,"")</f>
        <v/>
      </c>
      <c r="Y36" s="25">
        <f>IFERROR(Y35/U35-1,"")</f>
        <v/>
      </c>
      <c r="Z36" s="25">
        <f>IFERROR(Z35/V35-1,"")</f>
        <v/>
      </c>
      <c r="AA36" s="25">
        <f>IFERROR(AA35/W35-1,"")</f>
        <v/>
      </c>
      <c r="AB36" s="25">
        <f>IFERROR(AB35/X35-1,"")</f>
        <v/>
      </c>
      <c r="AC36" s="25">
        <f>IFERROR(AC35/Y35-1,"")</f>
        <v/>
      </c>
    </row>
    <row r="37">
      <c r="A37" s="4" t="inlineStr">
        <is>
          <t xml:space="preserve">    % of revenue</t>
        </is>
      </c>
      <c r="B37" s="25">
        <f>IFERROR(B35/B3,"")</f>
        <v/>
      </c>
      <c r="C37" s="25">
        <f>IFERROR(C35/C3,"")</f>
        <v/>
      </c>
      <c r="D37" s="25">
        <f>IFERROR(D35/D3,"")</f>
        <v/>
      </c>
      <c r="E37" s="25">
        <f>IFERROR(E35/E3,"")</f>
        <v/>
      </c>
      <c r="F37" s="25">
        <f>IFERROR(F35/F3,"")</f>
        <v/>
      </c>
      <c r="G37" s="25">
        <f>IFERROR(G35/G3,"")</f>
        <v/>
      </c>
      <c r="H37" s="25">
        <f>IFERROR(H35/H3,"")</f>
        <v/>
      </c>
      <c r="I37" s="25">
        <f>IFERROR(I35/I3,"")</f>
        <v/>
      </c>
      <c r="J37" s="25">
        <f>IFERROR(J35/J3,"")</f>
        <v/>
      </c>
      <c r="K37" s="25">
        <f>IFERROR(K35/K3,"")</f>
        <v/>
      </c>
      <c r="L37" s="25">
        <f>IFERROR(L35/L3,"")</f>
        <v/>
      </c>
      <c r="M37" s="25">
        <f>IFERROR(M35/M3,"")</f>
        <v/>
      </c>
      <c r="N37" s="25">
        <f>IFERROR(N35/N3,"")</f>
        <v/>
      </c>
      <c r="O37" s="25">
        <f>IFERROR(O35/O3,"")</f>
        <v/>
      </c>
      <c r="P37" s="25">
        <f>IFERROR(P35/P3,"")</f>
        <v/>
      </c>
      <c r="Q37" s="25">
        <f>IFERROR(Q35/Q3,"")</f>
        <v/>
      </c>
      <c r="R37" s="25">
        <f>IFERROR(R35/R3,"")</f>
        <v/>
      </c>
      <c r="S37" s="25">
        <f>IFERROR(S35/S3,"")</f>
        <v/>
      </c>
      <c r="T37" s="25">
        <f>IFERROR(T35/T3,"")</f>
        <v/>
      </c>
      <c r="U37" s="25">
        <f>IFERROR(U35/U3,"")</f>
        <v/>
      </c>
      <c r="V37" s="25">
        <f>IFERROR(V35/V3,"")</f>
        <v/>
      </c>
      <c r="W37" s="25">
        <f>IFERROR(W35/W3,"")</f>
        <v/>
      </c>
      <c r="X37" s="25">
        <f>IFERROR(X35/X3,"")</f>
        <v/>
      </c>
      <c r="Y37" s="25">
        <f>IFERROR(Y35/Y3,"")</f>
        <v/>
      </c>
      <c r="Z37" s="25">
        <f>IFERROR(Z35/Z3,"")</f>
        <v/>
      </c>
      <c r="AA37" s="25">
        <f>IFERROR(AA35/AA3,"")</f>
        <v/>
      </c>
      <c r="AB37" s="25">
        <f>IFERROR(AB35/AB3,"")</f>
        <v/>
      </c>
      <c r="AC37" s="25">
        <f>IFERROR(AC35/AC3,"")</f>
        <v/>
      </c>
    </row>
    <row r="38">
      <c r="A38" s="5" t="inlineStr">
        <is>
          <t xml:space="preserve">  BALANCE SHEET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4" t="inlineStr">
        <is>
          <t>Cash &amp; ST Investments</t>
        </is>
      </c>
      <c r="B39" s="18" t="n">
        <v>48596</v>
      </c>
      <c r="C39" s="18" t="n">
        <v>52269</v>
      </c>
      <c r="D39" s="18" t="n">
        <v>54855</v>
      </c>
      <c r="E39" s="18" t="n">
        <v>60289</v>
      </c>
      <c r="F39" s="18" t="n">
        <v>58240</v>
      </c>
      <c r="G39" s="18" t="n">
        <v>55620</v>
      </c>
      <c r="H39" s="18" t="n">
        <v>61954</v>
      </c>
      <c r="I39" s="18" t="n">
        <v>64219</v>
      </c>
      <c r="J39" s="18" t="n">
        <v>64080</v>
      </c>
      <c r="K39" s="18" t="n">
        <v>58075</v>
      </c>
      <c r="L39" s="18" t="n">
        <v>47998</v>
      </c>
      <c r="M39" s="18" t="n">
        <v>43890</v>
      </c>
      <c r="N39" s="18" t="n">
        <v>40489</v>
      </c>
      <c r="O39" s="18" t="n">
        <v>41776</v>
      </c>
      <c r="P39" s="18" t="n">
        <v>40738</v>
      </c>
      <c r="Q39" s="18" t="n">
        <v>37439</v>
      </c>
      <c r="R39" s="18" t="n">
        <v>53446</v>
      </c>
      <c r="S39" s="18" t="n">
        <v>61123</v>
      </c>
      <c r="T39" s="18" t="n">
        <v>65403</v>
      </c>
      <c r="U39" s="18" t="n">
        <v>58120</v>
      </c>
      <c r="V39" s="18" t="n">
        <v>58080</v>
      </c>
      <c r="W39" s="18" t="n">
        <v>70900</v>
      </c>
      <c r="X39" s="18" t="n">
        <v>77815</v>
      </c>
      <c r="Y39" s="18" t="n">
        <v>70230</v>
      </c>
      <c r="Z39" s="18" t="n">
        <v>47071</v>
      </c>
      <c r="AA39" s="18" t="n">
        <v>44448</v>
      </c>
      <c r="AB39" s="18" t="n">
        <v>81592</v>
      </c>
      <c r="AC39" s="18" t="n">
        <v>81180</v>
      </c>
    </row>
    <row r="40">
      <c r="A40" s="4" t="inlineStr">
        <is>
          <t>Total Current Assets</t>
        </is>
      </c>
      <c r="B40" s="18" t="n">
        <v>57961</v>
      </c>
      <c r="C40" s="18" t="n">
        <v>62079</v>
      </c>
      <c r="D40" s="18" t="n">
        <v>66225</v>
      </c>
      <c r="E40" s="18" t="n">
        <v>69349</v>
      </c>
      <c r="F40" s="18" t="n">
        <v>68130</v>
      </c>
      <c r="G40" s="18" t="n">
        <v>65799</v>
      </c>
      <c r="H40" s="18" t="n">
        <v>75670</v>
      </c>
      <c r="I40" s="18" t="n">
        <v>77322</v>
      </c>
      <c r="J40" s="18" t="n">
        <v>80697</v>
      </c>
      <c r="K40" s="18" t="n">
        <v>75421</v>
      </c>
      <c r="L40" s="18" t="n">
        <v>66666</v>
      </c>
      <c r="M40" s="18" t="n">
        <v>59265</v>
      </c>
      <c r="N40" s="18" t="n">
        <v>55987</v>
      </c>
      <c r="O40" s="18" t="n">
        <v>58315</v>
      </c>
      <c r="P40" s="18" t="n">
        <v>59549</v>
      </c>
      <c r="Q40" s="18" t="n">
        <v>52483</v>
      </c>
      <c r="R40" s="18" t="n">
        <v>69560</v>
      </c>
      <c r="S40" s="18" t="n">
        <v>78378</v>
      </c>
      <c r="T40" s="18" t="n">
        <v>85365</v>
      </c>
      <c r="U40" s="18" t="n">
        <v>75330</v>
      </c>
      <c r="V40" s="18" t="n">
        <v>76431</v>
      </c>
      <c r="W40" s="18" t="n">
        <v>91067</v>
      </c>
      <c r="X40" s="18" t="n">
        <v>100045</v>
      </c>
      <c r="Y40" s="18" t="n">
        <v>90227</v>
      </c>
      <c r="Z40" s="18" t="n">
        <v>73613</v>
      </c>
      <c r="AA40" s="18" t="n">
        <v>73118</v>
      </c>
      <c r="AB40" s="18" t="n">
        <v>108722</v>
      </c>
      <c r="AC40" s="18" t="n">
        <v>109765</v>
      </c>
    </row>
    <row r="41">
      <c r="A41" s="4" t="inlineStr">
        <is>
          <t>PP&amp;E (net)</t>
        </is>
      </c>
      <c r="B41" s="18" t="n">
        <v>37271</v>
      </c>
      <c r="C41" s="18" t="n">
        <v>40687</v>
      </c>
      <c r="D41" s="18" t="n">
        <v>44783</v>
      </c>
      <c r="E41" s="18" t="n">
        <v>46486</v>
      </c>
      <c r="F41" s="18" t="n">
        <v>48435</v>
      </c>
      <c r="G41" s="18" t="n">
        <v>51730</v>
      </c>
      <c r="H41" s="18" t="n">
        <v>54981</v>
      </c>
      <c r="I41" s="18" t="n">
        <v>57922</v>
      </c>
      <c r="J41" s="18" t="n">
        <v>61434</v>
      </c>
      <c r="K41" s="18" t="n">
        <v>64789</v>
      </c>
      <c r="L41" s="18" t="n">
        <v>69964</v>
      </c>
      <c r="M41" s="18" t="n">
        <v>73823</v>
      </c>
      <c r="N41" s="18" t="n">
        <v>81718</v>
      </c>
      <c r="O41" s="18" t="n">
        <v>87379</v>
      </c>
      <c r="P41" s="18" t="n">
        <v>92191</v>
      </c>
      <c r="Q41" s="18" t="n">
        <v>97055</v>
      </c>
      <c r="R41" s="18" t="n">
        <v>100904</v>
      </c>
      <c r="S41" s="18" t="n">
        <v>104805</v>
      </c>
      <c r="T41" s="18" t="n">
        <v>109881</v>
      </c>
      <c r="U41" s="18" t="n">
        <v>112463</v>
      </c>
      <c r="V41" s="18" t="n">
        <v>117017</v>
      </c>
      <c r="W41" s="18" t="n">
        <v>126974</v>
      </c>
      <c r="X41" s="18" t="n">
        <v>136268</v>
      </c>
      <c r="Y41" s="18" t="n">
        <v>149072</v>
      </c>
      <c r="Z41" s="18" t="n">
        <v>162701</v>
      </c>
      <c r="AA41" s="18" t="n">
        <v>177642</v>
      </c>
      <c r="AB41" s="18" t="n">
        <v>196804</v>
      </c>
      <c r="AC41" s="18" t="n">
        <v>218044</v>
      </c>
    </row>
    <row r="42">
      <c r="A42" s="4" t="inlineStr">
        <is>
          <t>Total Assets</t>
        </is>
      </c>
      <c r="B42" s="18" t="n">
        <v>117006</v>
      </c>
      <c r="C42" s="18" t="n">
        <v>124418</v>
      </c>
      <c r="D42" s="18" t="n">
        <v>133376</v>
      </c>
      <c r="E42" s="18" t="n">
        <v>138371</v>
      </c>
      <c r="F42" s="18" t="n">
        <v>139691</v>
      </c>
      <c r="G42" s="18" t="n">
        <v>146437</v>
      </c>
      <c r="H42" s="18" t="n">
        <v>159316</v>
      </c>
      <c r="I42" s="18" t="n">
        <v>163523</v>
      </c>
      <c r="J42" s="18" t="n">
        <v>170609</v>
      </c>
      <c r="K42" s="18" t="n">
        <v>169585</v>
      </c>
      <c r="L42" s="18" t="n">
        <v>165987</v>
      </c>
      <c r="M42" s="18" t="n">
        <v>164218</v>
      </c>
      <c r="N42" s="18" t="n">
        <v>169779</v>
      </c>
      <c r="O42" s="18" t="n">
        <v>178894</v>
      </c>
      <c r="P42" s="18" t="n">
        <v>185727</v>
      </c>
      <c r="Q42" s="18" t="n">
        <v>184491</v>
      </c>
      <c r="R42" s="18" t="n">
        <v>206688</v>
      </c>
      <c r="S42" s="18" t="n">
        <v>216274</v>
      </c>
      <c r="T42" s="18" t="n">
        <v>229623</v>
      </c>
      <c r="U42" s="18" t="n">
        <v>222844</v>
      </c>
      <c r="V42" s="18" t="n">
        <v>230238</v>
      </c>
      <c r="W42" s="18" t="n">
        <v>256408</v>
      </c>
      <c r="X42" s="18" t="n">
        <v>276054</v>
      </c>
      <c r="Y42" s="18" t="n">
        <v>280213</v>
      </c>
      <c r="Z42" s="18" t="n">
        <v>294744</v>
      </c>
      <c r="AA42" s="18" t="n">
        <v>303844</v>
      </c>
      <c r="AB42" s="18" t="n">
        <v>366021</v>
      </c>
      <c r="AC42" s="18" t="n">
        <v>395250</v>
      </c>
    </row>
    <row r="43">
      <c r="A43" s="4" t="inlineStr">
        <is>
          <t>Total Current Liabilities</t>
        </is>
      </c>
      <c r="B43" s="18" t="n">
        <v>12979</v>
      </c>
      <c r="C43" s="18" t="n">
        <v>13328</v>
      </c>
      <c r="D43" s="18" t="n">
        <v>15053</v>
      </c>
      <c r="E43" s="18" t="n">
        <v>15069</v>
      </c>
      <c r="F43" s="18" t="n">
        <v>11308</v>
      </c>
      <c r="G43" s="18" t="n">
        <v>11944</v>
      </c>
      <c r="H43" s="18" t="n">
        <v>14981</v>
      </c>
      <c r="I43" s="18" t="n">
        <v>12717</v>
      </c>
      <c r="J43" s="18" t="n">
        <v>14874</v>
      </c>
      <c r="K43" s="18" t="n">
        <v>17812</v>
      </c>
      <c r="L43" s="18" t="n">
        <v>21135</v>
      </c>
      <c r="M43" s="18" t="n">
        <v>21086</v>
      </c>
      <c r="N43" s="18" t="n">
        <v>22217</v>
      </c>
      <c r="O43" s="18" t="n">
        <v>22687</v>
      </c>
      <c r="P43" s="18" t="n">
        <v>27026</v>
      </c>
      <c r="Q43" s="18" t="n">
        <v>25381</v>
      </c>
      <c r="R43" s="18" t="n">
        <v>29921</v>
      </c>
      <c r="S43" s="18" t="n">
        <v>30531</v>
      </c>
      <c r="T43" s="18" t="n">
        <v>31960</v>
      </c>
      <c r="U43" s="18" t="n">
        <v>28101</v>
      </c>
      <c r="V43" s="18" t="n">
        <v>27004</v>
      </c>
      <c r="W43" s="18" t="n">
        <v>33330</v>
      </c>
      <c r="X43" s="18" t="n">
        <v>33596</v>
      </c>
      <c r="Y43" s="18" t="n">
        <v>33890</v>
      </c>
      <c r="Z43" s="18" t="n">
        <v>37305</v>
      </c>
      <c r="AA43" s="18" t="n">
        <v>36958</v>
      </c>
      <c r="AB43" s="18" t="n">
        <v>41836</v>
      </c>
      <c r="AC43" s="18" t="n">
        <v>46753</v>
      </c>
    </row>
    <row r="44">
      <c r="A44" s="4" t="inlineStr">
        <is>
          <t>Long-term Debt</t>
        </is>
      </c>
      <c r="B44" s="18" t="n">
        <v>0</v>
      </c>
      <c r="C44" s="18" t="n">
        <v>0</v>
      </c>
      <c r="D44" s="18" t="n">
        <v>0</v>
      </c>
      <c r="E44" s="18" t="n">
        <v>0</v>
      </c>
      <c r="F44" s="18" t="n">
        <v>0</v>
      </c>
      <c r="G44" s="18" t="n">
        <v>0</v>
      </c>
      <c r="H44" s="18" t="n">
        <v>0</v>
      </c>
      <c r="I44" s="18" t="n">
        <v>0</v>
      </c>
      <c r="J44" s="18" t="n">
        <v>0</v>
      </c>
      <c r="K44" s="18" t="n">
        <v>0</v>
      </c>
      <c r="L44" s="18" t="n">
        <v>0</v>
      </c>
      <c r="M44" s="18" t="n">
        <v>0</v>
      </c>
      <c r="N44" s="18" t="n">
        <v>0</v>
      </c>
      <c r="O44" s="18" t="n">
        <v>9922</v>
      </c>
      <c r="P44" s="18" t="n">
        <v>9923</v>
      </c>
      <c r="Q44" s="18" t="n">
        <v>9925</v>
      </c>
      <c r="R44" s="18" t="n">
        <v>18382</v>
      </c>
      <c r="S44" s="18" t="n">
        <v>18383</v>
      </c>
      <c r="T44" s="18" t="n">
        <v>18385</v>
      </c>
      <c r="U44" s="18" t="n">
        <v>18387</v>
      </c>
      <c r="V44" s="18" t="n">
        <v>18389</v>
      </c>
      <c r="W44" s="18" t="n">
        <v>28823</v>
      </c>
      <c r="X44" s="18" t="n">
        <v>28826</v>
      </c>
      <c r="Y44" s="18" t="n">
        <v>28829</v>
      </c>
      <c r="Z44" s="18" t="n">
        <v>28832</v>
      </c>
      <c r="AA44" s="18" t="n">
        <v>28834</v>
      </c>
      <c r="AB44" s="18" t="n">
        <v>58744</v>
      </c>
      <c r="AC44" s="18" t="n">
        <v>58748</v>
      </c>
    </row>
    <row r="45">
      <c r="A45" s="4" t="inlineStr">
        <is>
          <t>Total Equity</t>
        </is>
      </c>
      <c r="B45" s="18" t="n">
        <v>88762</v>
      </c>
      <c r="C45" s="18" t="n">
        <v>93999</v>
      </c>
      <c r="D45" s="18" t="n">
        <v>101054</v>
      </c>
      <c r="E45" s="18" t="n">
        <v>105304</v>
      </c>
      <c r="F45" s="18" t="n">
        <v>110447</v>
      </c>
      <c r="G45" s="18" t="n">
        <v>117731</v>
      </c>
      <c r="H45" s="18" t="n">
        <v>128290</v>
      </c>
      <c r="I45" s="18" t="n">
        <v>133657</v>
      </c>
      <c r="J45" s="18" t="n">
        <v>138227</v>
      </c>
      <c r="K45" s="18" t="n">
        <v>133360</v>
      </c>
      <c r="L45" s="18" t="n">
        <v>124879</v>
      </c>
      <c r="M45" s="18" t="n">
        <v>123228</v>
      </c>
      <c r="N45" s="18" t="n">
        <v>125767</v>
      </c>
      <c r="O45" s="18" t="n">
        <v>124094</v>
      </c>
      <c r="P45" s="18" t="n">
        <v>125713</v>
      </c>
      <c r="Q45" s="18" t="n">
        <v>124795</v>
      </c>
      <c r="R45" s="18" t="n">
        <v>134033</v>
      </c>
      <c r="S45" s="18" t="n">
        <v>142873</v>
      </c>
      <c r="T45" s="18" t="n">
        <v>153168</v>
      </c>
      <c r="U45" s="18" t="n">
        <v>149529</v>
      </c>
      <c r="V45" s="18" t="n">
        <v>156763</v>
      </c>
      <c r="W45" s="18" t="n">
        <v>164529</v>
      </c>
      <c r="X45" s="18" t="n">
        <v>182637</v>
      </c>
      <c r="Y45" s="18" t="n">
        <v>185029</v>
      </c>
      <c r="Z45" s="18" t="n">
        <v>195070</v>
      </c>
      <c r="AA45" s="18" t="n">
        <v>194066</v>
      </c>
      <c r="AB45" s="18" t="n">
        <v>217243</v>
      </c>
      <c r="AC45" s="18" t="n">
        <v>243681</v>
      </c>
    </row>
    <row r="46">
      <c r="A46" s="5" t="inlineStr">
        <is>
          <t xml:space="preserve">  CASH FLOW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</row>
    <row r="47">
      <c r="A47" s="4" t="inlineStr">
        <is>
          <t>D&amp;A</t>
        </is>
      </c>
      <c r="B47" s="18" t="n">
        <v>1502</v>
      </c>
      <c r="C47" s="18" t="n">
        <v>1416</v>
      </c>
      <c r="D47" s="18" t="n">
        <v>1468</v>
      </c>
      <c r="E47" s="18" t="n">
        <v>1597</v>
      </c>
      <c r="F47" s="18" t="n">
        <v>1704</v>
      </c>
      <c r="G47" s="18" t="n">
        <v>1698</v>
      </c>
      <c r="H47" s="18" t="n">
        <v>1863</v>
      </c>
      <c r="I47" s="18" t="n">
        <v>1972</v>
      </c>
      <c r="J47" s="18" t="n">
        <v>1985</v>
      </c>
      <c r="K47" s="18" t="n">
        <v>1995</v>
      </c>
      <c r="L47" s="18" t="n">
        <v>2014</v>
      </c>
      <c r="M47" s="18" t="n">
        <v>2156</v>
      </c>
      <c r="N47" s="18" t="n">
        <v>1979</v>
      </c>
      <c r="O47" s="18" t="n">
        <v>2175</v>
      </c>
      <c r="P47" s="18" t="n">
        <v>2376</v>
      </c>
      <c r="Q47" s="18" t="n">
        <v>2524</v>
      </c>
      <c r="R47" s="18" t="n">
        <v>2623</v>
      </c>
      <c r="S47" s="18" t="n">
        <v>2859</v>
      </c>
      <c r="T47" s="18" t="n">
        <v>3172</v>
      </c>
      <c r="U47" s="18" t="n">
        <v>3374</v>
      </c>
      <c r="V47" s="18" t="n">
        <v>3637</v>
      </c>
      <c r="W47" s="18" t="n">
        <v>4027</v>
      </c>
      <c r="X47" s="18" t="n">
        <v>4460</v>
      </c>
      <c r="Y47" s="18" t="n">
        <v>3900</v>
      </c>
      <c r="Z47" s="18" t="n">
        <v>4342</v>
      </c>
      <c r="AA47" s="18" t="n">
        <v>4963</v>
      </c>
      <c r="AB47" s="18" t="n">
        <v>5411</v>
      </c>
      <c r="AC47" s="18" t="n">
        <v>5999</v>
      </c>
    </row>
    <row r="48">
      <c r="A48" s="4" t="inlineStr">
        <is>
          <t>Stock-based Compensation</t>
        </is>
      </c>
      <c r="B48" s="18" t="n">
        <v>1303</v>
      </c>
      <c r="C48" s="18" t="n">
        <v>1249</v>
      </c>
      <c r="D48" s="18" t="n">
        <v>1273</v>
      </c>
      <c r="E48" s="18" t="n">
        <v>1335</v>
      </c>
      <c r="F48" s="18" t="n">
        <v>1695</v>
      </c>
      <c r="G48" s="18" t="n">
        <v>1722</v>
      </c>
      <c r="H48" s="18" t="n">
        <v>1784</v>
      </c>
      <c r="I48" s="18" t="n">
        <v>1830</v>
      </c>
      <c r="J48" s="18" t="n">
        <v>2548</v>
      </c>
      <c r="K48" s="18" t="n">
        <v>2379</v>
      </c>
      <c r="L48" s="18" t="n">
        <v>2406</v>
      </c>
      <c r="M48" s="18" t="n">
        <v>2498</v>
      </c>
      <c r="N48" s="18" t="n">
        <v>3351</v>
      </c>
      <c r="O48" s="18" t="n">
        <v>3134</v>
      </c>
      <c r="P48" s="18" t="n">
        <v>3008</v>
      </c>
      <c r="Q48" s="18" t="n">
        <v>3051</v>
      </c>
      <c r="R48" s="18" t="n">
        <v>4060</v>
      </c>
      <c r="S48" s="18" t="n">
        <v>3492</v>
      </c>
      <c r="T48" s="18" t="n">
        <v>3424</v>
      </c>
      <c r="U48" s="18" t="n">
        <v>3562</v>
      </c>
      <c r="V48" s="18" t="n">
        <v>4616</v>
      </c>
      <c r="W48" s="18" t="n">
        <v>4250</v>
      </c>
      <c r="X48" s="18" t="n">
        <v>4262</v>
      </c>
      <c r="Y48" s="18" t="n">
        <v>4147</v>
      </c>
      <c r="Z48" s="18" t="n">
        <v>4834</v>
      </c>
      <c r="AA48" s="18" t="n">
        <v>5556</v>
      </c>
      <c r="AB48" s="18" t="n">
        <v>5890</v>
      </c>
      <c r="AC48" s="18" t="n">
        <v>6032</v>
      </c>
    </row>
    <row r="49">
      <c r="A49" s="4" t="inlineStr">
        <is>
          <t>Change in Working Capital</t>
        </is>
      </c>
      <c r="B49" s="18" t="n">
        <v>3184</v>
      </c>
      <c r="C49" s="18" t="n">
        <v>346</v>
      </c>
      <c r="D49" s="18" t="n">
        <v>-606</v>
      </c>
      <c r="E49" s="18" t="n">
        <v>2684</v>
      </c>
      <c r="F49" s="18" t="n">
        <v>-4956</v>
      </c>
      <c r="G49" s="18" t="n">
        <v>62</v>
      </c>
      <c r="H49" s="18" t="n">
        <v>-511</v>
      </c>
      <c r="I49" s="18" t="n">
        <v>-1409</v>
      </c>
      <c r="J49" s="18" t="n">
        <v>-1889</v>
      </c>
      <c r="K49" s="18" t="n">
        <v>1382</v>
      </c>
      <c r="L49" s="18" t="n">
        <v>2616</v>
      </c>
      <c r="M49" s="18" t="n">
        <v>2741</v>
      </c>
      <c r="N49" s="18" t="n">
        <v>444</v>
      </c>
      <c r="O49" s="18" t="n">
        <v>567</v>
      </c>
      <c r="P49" s="18" t="n">
        <v>1930</v>
      </c>
      <c r="Q49" s="18" t="n">
        <v>2571</v>
      </c>
      <c r="R49" s="18" t="n">
        <v>3531</v>
      </c>
      <c r="S49" s="18" t="n">
        <v>-995</v>
      </c>
      <c r="T49" s="18" t="n">
        <v>-1271</v>
      </c>
      <c r="U49" s="18" t="n">
        <v>223</v>
      </c>
      <c r="V49" s="18" t="n">
        <v>-741</v>
      </c>
      <c r="W49" s="18" t="n">
        <v>2070</v>
      </c>
      <c r="X49" s="18" t="n">
        <v>-504</v>
      </c>
      <c r="Y49" s="18" t="n">
        <v>559</v>
      </c>
      <c r="Z49" s="18" t="n">
        <v>-957</v>
      </c>
      <c r="AA49" s="18" t="n">
        <v>-2151</v>
      </c>
      <c r="AB49" s="18" t="n">
        <v>1664</v>
      </c>
      <c r="AC49" s="18" t="n">
        <v>-7747</v>
      </c>
    </row>
    <row r="50">
      <c r="A50" s="4" t="inlineStr">
        <is>
          <t>Operating Cash Flow</t>
        </is>
      </c>
      <c r="B50" s="18" t="n">
        <v>8615</v>
      </c>
      <c r="C50" s="18" t="n">
        <v>9307</v>
      </c>
      <c r="D50" s="18" t="n">
        <v>9083</v>
      </c>
      <c r="E50" s="18" t="n">
        <v>11001</v>
      </c>
      <c r="F50" s="18" t="n">
        <v>3878</v>
      </c>
      <c r="G50" s="18" t="n">
        <v>9828</v>
      </c>
      <c r="H50" s="18" t="n">
        <v>14040</v>
      </c>
      <c r="I50" s="18" t="n">
        <v>12242</v>
      </c>
      <c r="J50" s="18" t="n">
        <v>13246</v>
      </c>
      <c r="K50" s="18" t="n">
        <v>14091</v>
      </c>
      <c r="L50" s="18" t="n">
        <v>18104</v>
      </c>
      <c r="M50" s="18" t="n">
        <v>14076</v>
      </c>
      <c r="N50" s="18" t="n">
        <v>12197</v>
      </c>
      <c r="O50" s="18" t="n">
        <v>9691</v>
      </c>
      <c r="P50" s="18" t="n">
        <v>14511</v>
      </c>
      <c r="Q50" s="18" t="n">
        <v>13998</v>
      </c>
      <c r="R50" s="18" t="n">
        <v>17309</v>
      </c>
      <c r="S50" s="18" t="n">
        <v>20402</v>
      </c>
      <c r="T50" s="18" t="n">
        <v>19404</v>
      </c>
      <c r="U50" s="18" t="n">
        <v>19246</v>
      </c>
      <c r="V50" s="18" t="n">
        <v>19370</v>
      </c>
      <c r="W50" s="18" t="n">
        <v>24724</v>
      </c>
      <c r="X50" s="18" t="n">
        <v>27988</v>
      </c>
      <c r="Y50" s="18" t="n">
        <v>24026</v>
      </c>
      <c r="Z50" s="18" t="n">
        <v>25561</v>
      </c>
      <c r="AA50" s="18" t="n">
        <v>29999</v>
      </c>
      <c r="AB50" s="18" t="n">
        <v>36214</v>
      </c>
      <c r="AC50" s="18" t="n">
        <v>32226</v>
      </c>
    </row>
    <row r="51">
      <c r="A51" s="4" t="inlineStr">
        <is>
          <t>Capex</t>
        </is>
      </c>
      <c r="B51" s="18" t="n">
        <v>-3633</v>
      </c>
      <c r="C51" s="18" t="n">
        <v>-3532</v>
      </c>
      <c r="D51" s="18" t="n">
        <v>-4100</v>
      </c>
      <c r="E51" s="18" t="n">
        <v>-3558</v>
      </c>
      <c r="F51" s="18" t="n">
        <v>-3255</v>
      </c>
      <c r="G51" s="18" t="n">
        <v>-3689</v>
      </c>
      <c r="H51" s="18" t="n">
        <v>-4613</v>
      </c>
      <c r="I51" s="18" t="n">
        <v>-4272</v>
      </c>
      <c r="J51" s="18" t="n">
        <v>-4612</v>
      </c>
      <c r="K51" s="18" t="n">
        <v>-4313</v>
      </c>
      <c r="L51" s="18" t="n">
        <v>-5370</v>
      </c>
      <c r="M51" s="18" t="n">
        <v>-5441</v>
      </c>
      <c r="N51" s="18" t="n">
        <v>-7572</v>
      </c>
      <c r="O51" s="18" t="n">
        <v>-9375</v>
      </c>
      <c r="P51" s="18" t="n">
        <v>-9043</v>
      </c>
      <c r="Q51" s="18" t="n">
        <v>-6842</v>
      </c>
      <c r="R51" s="18" t="n">
        <v>-6216</v>
      </c>
      <c r="S51" s="18" t="n">
        <v>-6543</v>
      </c>
      <c r="T51" s="18" t="n">
        <v>-7665</v>
      </c>
      <c r="U51" s="18" t="n">
        <v>-6400</v>
      </c>
      <c r="V51" s="18" t="n">
        <v>-8173</v>
      </c>
      <c r="W51" s="18" t="n">
        <v>-8258</v>
      </c>
      <c r="X51" s="18" t="n">
        <v>-14425</v>
      </c>
      <c r="Y51" s="18" t="n">
        <v>-12941</v>
      </c>
      <c r="Z51" s="18" t="n">
        <v>-16538</v>
      </c>
      <c r="AA51" s="18" t="n">
        <v>-18829</v>
      </c>
      <c r="AB51" s="18" t="n">
        <v>-21383</v>
      </c>
      <c r="AC51" s="18" t="n">
        <v>-18997</v>
      </c>
    </row>
    <row r="52">
      <c r="A52" s="4" t="inlineStr">
        <is>
          <t>Free Cash Flow</t>
        </is>
      </c>
      <c r="B52" s="18" t="n">
        <v>4982</v>
      </c>
      <c r="C52" s="18" t="n">
        <v>5775</v>
      </c>
      <c r="D52" s="18" t="n">
        <v>4983</v>
      </c>
      <c r="E52" s="18" t="n">
        <v>7443</v>
      </c>
      <c r="F52" s="18" t="n">
        <v>623</v>
      </c>
      <c r="G52" s="18" t="n">
        <v>6139</v>
      </c>
      <c r="H52" s="18" t="n">
        <v>9427</v>
      </c>
      <c r="I52" s="18" t="n">
        <v>7970</v>
      </c>
      <c r="J52" s="18" t="n">
        <v>8634</v>
      </c>
      <c r="K52" s="18" t="n">
        <v>9778</v>
      </c>
      <c r="L52" s="18" t="n">
        <v>12734</v>
      </c>
      <c r="M52" s="18" t="n">
        <v>8635</v>
      </c>
      <c r="N52" s="18" t="n">
        <v>4625</v>
      </c>
      <c r="O52" s="18" t="n">
        <v>316</v>
      </c>
      <c r="P52" s="18" t="n">
        <v>5468</v>
      </c>
      <c r="Q52" s="18" t="n">
        <v>7156</v>
      </c>
      <c r="R52" s="18" t="n">
        <v>11093</v>
      </c>
      <c r="S52" s="18" t="n">
        <v>13859</v>
      </c>
      <c r="T52" s="18" t="n">
        <v>11739</v>
      </c>
      <c r="U52" s="18" t="n">
        <v>12846</v>
      </c>
      <c r="V52" s="18" t="n">
        <v>11197</v>
      </c>
      <c r="W52" s="18" t="n">
        <v>16466</v>
      </c>
      <c r="X52" s="18" t="n">
        <v>13563</v>
      </c>
      <c r="Y52" s="18" t="n">
        <v>11085</v>
      </c>
      <c r="Z52" s="18" t="n">
        <v>9023</v>
      </c>
      <c r="AA52" s="18" t="n">
        <v>11170</v>
      </c>
      <c r="AB52" s="18" t="n">
        <v>14831</v>
      </c>
      <c r="AC52" s="18" t="n">
        <v>13229</v>
      </c>
    </row>
    <row r="54">
      <c r="A5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252819.019511</v>
      </c>
      <c r="C4" s="18" t="n">
        <v>301217.975629</v>
      </c>
      <c r="D4" s="18" t="n">
        <v>351183.976358</v>
      </c>
      <c r="E4" s="18" t="n">
        <v>405634.630348</v>
      </c>
      <c r="F4" s="18" t="n">
        <v>465074.757143</v>
      </c>
    </row>
    <row r="5">
      <c r="A5" s="4" t="inlineStr">
        <is>
          <t xml:space="preserve">  model</t>
        </is>
      </c>
      <c r="B5" s="33">
        <f>Model!G8</f>
        <v/>
      </c>
      <c r="C5" s="33">
        <f>Model!H8</f>
        <v/>
      </c>
      <c r="D5" s="33">
        <f>Model!I8</f>
        <v/>
      </c>
      <c r="E5" s="33">
        <f>Model!J8</f>
        <v/>
      </c>
      <c r="F5" s="33">
        <f>Model!K8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115184.76559</v>
      </c>
      <c r="C8" s="18" t="n">
        <v>137235.410459</v>
      </c>
      <c r="D8" s="18" t="n">
        <v>160000.003457</v>
      </c>
      <c r="E8" s="18" t="n">
        <v>184807.811937</v>
      </c>
      <c r="F8" s="18" t="n">
        <v>211888.832522</v>
      </c>
    </row>
    <row r="9">
      <c r="A9" s="4" t="inlineStr">
        <is>
          <t xml:space="preserve">  model</t>
        </is>
      </c>
      <c r="B9" s="33">
        <f>Model!G21+Model!G26</f>
        <v/>
      </c>
      <c r="C9" s="33">
        <f>Model!H21+Model!H26</f>
        <v/>
      </c>
      <c r="D9" s="33">
        <f>Model!I21+Model!I26</f>
        <v/>
      </c>
      <c r="E9" s="33">
        <f>Model!J21+Model!J26</f>
        <v/>
      </c>
      <c r="F9" s="33">
        <f>Model!K21+Model!K26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94365.080225</v>
      </c>
      <c r="C12" s="18" t="n">
        <v>112430.06357</v>
      </c>
      <c r="D12" s="18" t="n">
        <v>131079.948679</v>
      </c>
      <c r="E12" s="18" t="n">
        <v>151403.73738</v>
      </c>
      <c r="F12" s="18" t="n">
        <v>173589.854328</v>
      </c>
    </row>
    <row r="13">
      <c r="A13" s="4" t="inlineStr">
        <is>
          <t xml:space="preserve">  model</t>
        </is>
      </c>
      <c r="B13" s="33">
        <f>Model!G21</f>
        <v/>
      </c>
      <c r="C13" s="33">
        <f>Model!H21</f>
        <v/>
      </c>
      <c r="D13" s="33">
        <f>Model!I21</f>
        <v/>
      </c>
      <c r="E13" s="33">
        <f>Model!J21</f>
        <v/>
      </c>
      <c r="F13" s="33">
        <f>Model!K21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43419.696088</v>
      </c>
      <c r="C16" s="18" t="n">
        <v>51731.839571</v>
      </c>
      <c r="D16" s="18" t="n">
        <v>60313.110753</v>
      </c>
      <c r="E16" s="18" t="n">
        <v>69664.58617900001</v>
      </c>
      <c r="F16" s="18" t="n">
        <v>79872.96467</v>
      </c>
    </row>
    <row r="17">
      <c r="A17" s="4" t="inlineStr">
        <is>
          <t xml:space="preserve">  model</t>
        </is>
      </c>
      <c r="B17" s="33">
        <f>Model!G16</f>
        <v/>
      </c>
      <c r="C17" s="33">
        <f>Model!H16</f>
        <v/>
      </c>
      <c r="D17" s="33">
        <f>Model!I16</f>
        <v/>
      </c>
      <c r="E17" s="33">
        <f>Model!J16</f>
        <v/>
      </c>
      <c r="F17" s="33">
        <f>Model!K16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84763.126</v>
      </c>
      <c r="C20" s="18" t="n">
        <v>89831.70049</v>
      </c>
      <c r="D20" s="18" t="n">
        <v>104599.41352</v>
      </c>
      <c r="E20" s="18" t="n">
        <v>123842.604648</v>
      </c>
      <c r="F20" s="18" t="n">
        <v>145206.701696</v>
      </c>
    </row>
    <row r="21">
      <c r="A21" s="4" t="inlineStr">
        <is>
          <t xml:space="preserve">  model</t>
        </is>
      </c>
      <c r="B21" s="33">
        <f>Model!G25</f>
        <v/>
      </c>
      <c r="C21" s="33">
        <f>Model!H25</f>
        <v/>
      </c>
      <c r="D21" s="33">
        <f>Model!I25</f>
        <v/>
      </c>
      <c r="E21" s="33">
        <f>Model!J25</f>
        <v/>
      </c>
      <c r="F21" s="33">
        <f>Model!K25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32.8052</v>
      </c>
      <c r="C24" s="47" t="n">
        <v>34.85317</v>
      </c>
      <c r="D24" s="47" t="n">
        <v>40.08727</v>
      </c>
      <c r="E24" s="47" t="n">
        <v>48.1129</v>
      </c>
      <c r="F24" s="47" t="n">
        <v>56.41286</v>
      </c>
    </row>
    <row r="25">
      <c r="A25" s="4" t="inlineStr">
        <is>
          <t xml:space="preserve">  model</t>
        </is>
      </c>
      <c r="B25" s="8">
        <f>Model!G25/Financials!AC17</f>
        <v/>
      </c>
      <c r="C25" s="8">
        <f>Model!H25/Financials!AC17</f>
        <v/>
      </c>
      <c r="D25" s="8">
        <f>Model!I25/Financials!AC17</f>
        <v/>
      </c>
      <c r="E25" s="8">
        <f>Model!J25/Financials!AC17</f>
        <v/>
      </c>
      <c r="F25" s="8">
        <f>Model!K25/Financials!AC17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Meta Platforms,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Model!G33</f>
        <v/>
      </c>
      <c r="D12" s="33">
        <f>Model!H33</f>
        <v/>
      </c>
      <c r="E12" s="33">
        <f>Model!I33</f>
        <v/>
      </c>
      <c r="F12" s="33">
        <f>Model!J33</f>
        <v/>
      </c>
      <c r="G12" s="33">
        <f>Model!K33</f>
        <v/>
      </c>
      <c r="H12" s="33">
        <f>Model!L33</f>
        <v/>
      </c>
      <c r="I12" s="33">
        <f>Model!M33</f>
        <v/>
      </c>
      <c r="J12" s="33">
        <f>Model!N33</f>
        <v/>
      </c>
      <c r="K12" s="33">
        <f>Model!O33</f>
        <v/>
      </c>
      <c r="L12" s="33">
        <f>Model!P33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Model!P8</f>
        <v/>
      </c>
    </row>
    <row r="21">
      <c r="A21" s="4" t="inlineStr">
        <is>
          <t>Terminal EBIT</t>
        </is>
      </c>
      <c r="B21" s="33">
        <f>Model!P21</f>
        <v/>
      </c>
    </row>
    <row r="22">
      <c r="A22" s="4" t="inlineStr">
        <is>
          <t>Terminal EBITDA (SBC-burdened)</t>
        </is>
      </c>
      <c r="B22" s="33">
        <f>Model!P21+Model!P26-Model!P27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Financials!AC39</f>
        <v/>
      </c>
    </row>
    <row r="33">
      <c r="A33" s="4" t="inlineStr">
        <is>
          <t>- Long-term debt</t>
        </is>
      </c>
      <c r="B33" s="33">
        <f>-Financials!AC44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 x  \  WACC</t>
        </is>
      </c>
      <c r="B4" s="51" t="n">
        <v>0.08165765023620665</v>
      </c>
      <c r="C4" s="51" t="n">
        <v>0.08665765023620665</v>
      </c>
      <c r="D4" s="51" t="n">
        <v>0.09165765023620664</v>
      </c>
      <c r="E4" s="51" t="n">
        <v>0.09665765023620665</v>
      </c>
      <c r="F4" s="51" t="n">
        <v>0.1016576502362067</v>
      </c>
      <c r="G4" s="51" t="n">
        <v>0.1066576502362066</v>
      </c>
      <c r="H4" s="51" t="n">
        <v>0.1116576502362066</v>
      </c>
    </row>
    <row r="5">
      <c r="A5" s="52" t="n">
        <v>11</v>
      </c>
      <c r="B5" s="53" t="n">
        <v>409.9867712519768</v>
      </c>
      <c r="C5" s="53" t="n">
        <v>392.9449022695718</v>
      </c>
      <c r="D5" s="53" t="n">
        <v>376.7166589972691</v>
      </c>
      <c r="E5" s="53" t="n">
        <v>361.2593352398522</v>
      </c>
      <c r="F5" s="53" t="n">
        <v>346.5326582863545</v>
      </c>
      <c r="G5" s="53" t="n">
        <v>332.498639659654</v>
      </c>
      <c r="H5" s="53" t="n">
        <v>319.1214356549272</v>
      </c>
    </row>
    <row r="6">
      <c r="A6" s="52" t="n">
        <v>12</v>
      </c>
      <c r="B6" s="53" t="n">
        <v>437.947261288156</v>
      </c>
      <c r="C6" s="53" t="n">
        <v>419.6451704020111</v>
      </c>
      <c r="D6" s="53" t="n">
        <v>402.2189040774721</v>
      </c>
      <c r="E6" s="53" t="n">
        <v>385.6224221967351</v>
      </c>
      <c r="F6" s="53" t="n">
        <v>369.8123108559965</v>
      </c>
      <c r="G6" s="53" t="n">
        <v>354.7476211698495</v>
      </c>
      <c r="H6" s="53" t="n">
        <v>340.3897186542662</v>
      </c>
    </row>
    <row r="7">
      <c r="A7" s="52" t="n">
        <v>13</v>
      </c>
      <c r="B7" s="53" t="n">
        <v>465.9077513243352</v>
      </c>
      <c r="C7" s="53" t="n">
        <v>446.3454385344504</v>
      </c>
      <c r="D7" s="53" t="n">
        <v>427.721149157675</v>
      </c>
      <c r="E7" s="53" t="n">
        <v>409.985509153618</v>
      </c>
      <c r="F7" s="53" t="n">
        <v>393.0919634256384</v>
      </c>
      <c r="G7" s="53" t="n">
        <v>376.9966026800449</v>
      </c>
      <c r="H7" s="53" t="n">
        <v>361.6580016536052</v>
      </c>
    </row>
    <row r="8">
      <c r="A8" s="52" t="n">
        <v>14</v>
      </c>
      <c r="B8" s="53" t="n">
        <v>493.8682413605143</v>
      </c>
      <c r="C8" s="53" t="n">
        <v>473.0457066668897</v>
      </c>
      <c r="D8" s="53" t="n">
        <v>453.223394237878</v>
      </c>
      <c r="E8" s="54" t="n">
        <v>434.3485961105008</v>
      </c>
      <c r="F8" s="53" t="n">
        <v>416.3716159952802</v>
      </c>
      <c r="G8" s="53" t="n">
        <v>399.2455841902403</v>
      </c>
      <c r="H8" s="53" t="n">
        <v>382.9262846529441</v>
      </c>
    </row>
    <row r="9">
      <c r="A9" s="52" t="n">
        <v>15</v>
      </c>
      <c r="B9" s="53" t="n">
        <v>521.8287313966935</v>
      </c>
      <c r="C9" s="53" t="n">
        <v>499.7459747993289</v>
      </c>
      <c r="D9" s="53" t="n">
        <v>478.7256393180809</v>
      </c>
      <c r="E9" s="53" t="n">
        <v>458.7116830673835</v>
      </c>
      <c r="F9" s="53" t="n">
        <v>439.6512685649221</v>
      </c>
      <c r="G9" s="53" t="n">
        <v>421.4945657004357</v>
      </c>
      <c r="H9" s="53" t="n">
        <v>404.1945676522831</v>
      </c>
    </row>
    <row r="10">
      <c r="A10" s="52" t="n">
        <v>16</v>
      </c>
      <c r="B10" s="53" t="n">
        <v>549.7892214328726</v>
      </c>
      <c r="C10" s="53" t="n">
        <v>526.4462429317683</v>
      </c>
      <c r="D10" s="53" t="n">
        <v>504.2278843982838</v>
      </c>
      <c r="E10" s="53" t="n">
        <v>483.0747700242664</v>
      </c>
      <c r="F10" s="53" t="n">
        <v>462.930921134564</v>
      </c>
      <c r="G10" s="53" t="n">
        <v>443.7435472106311</v>
      </c>
      <c r="H10" s="53" t="n">
        <v>425.462850651622</v>
      </c>
    </row>
    <row r="11">
      <c r="A11" s="52" t="n">
        <v>17</v>
      </c>
      <c r="B11" s="53" t="n">
        <v>577.7497114690518</v>
      </c>
      <c r="C11" s="53" t="n">
        <v>553.1465110642076</v>
      </c>
      <c r="D11" s="53" t="n">
        <v>529.7301294784869</v>
      </c>
      <c r="E11" s="53" t="n">
        <v>507.4378569811493</v>
      </c>
      <c r="F11" s="53" t="n">
        <v>486.210573704206</v>
      </c>
      <c r="G11" s="53" t="n">
        <v>465.9925287208266</v>
      </c>
      <c r="H11" s="53" t="n">
        <v>446.7311336509611</v>
      </c>
    </row>
    <row r="13">
      <c r="A13" s="3" t="inlineStr">
        <is>
          <t>Current price</t>
        </is>
      </c>
      <c r="B13" s="53" t="n">
        <v>596.7000122070312</v>
      </c>
    </row>
    <row r="14">
      <c r="A14" s="3" t="inlineStr">
        <is>
          <t>Base WACC / multiple</t>
        </is>
      </c>
      <c r="B14" s="55" t="n">
        <v>0.09665765023620665</v>
      </c>
      <c r="C14" s="56" t="n">
        <v>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Model!F8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Model!F22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0.09263258461630325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3.454507950150409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(Model!P8/Model!F8)^(1/10)-1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0.758522019087344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Financials!AC39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2026-07-08T07:03:53Z</dcterms:created>
  <dcterms:modified xmlns:dcterms="http://purl.org/dc/terms/" xmlns:xsi="http://www.w3.org/2001/XMLSchema-instance" xsi:type="dcterms:W3CDTF">2026-07-08T07:03:53Z</dcterms:modified>
</cp:coreProperties>
</file>