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Sea Limited (SE)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2026-06-05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2026-06-05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Sea Limited (SE)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50" t="n">
        <v>0.1762435706750496</v>
      </c>
      <c r="C20" s="50" t="n">
        <v>0.05</v>
      </c>
      <c r="D20" s="51" t="n">
        <v>0.1762435706750496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0.09902145804305865</v>
      </c>
      <c r="D29" s="51" t="n">
        <v>0.09902145804305865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0.1523697336280134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2010.151</v>
      </c>
      <c r="D34" s="18" t="n">
        <v>2010.151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1.573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12</v>
      </c>
    </row>
    <row r="46">
      <c r="A46" s="4" t="inlineStr">
        <is>
          <t>Terminal growth (g)</t>
        </is>
      </c>
      <c r="B46" s="50" t="n">
        <v>0.045</v>
      </c>
    </row>
    <row r="48">
      <c r="A48" s="4" t="inlineStr">
        <is>
          <t>Current price</t>
        </is>
      </c>
      <c r="B48" s="55" t="n">
        <v>88.47000122070312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Financials!AC24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SUM(Financials!I3:L3)</f>
        <v/>
      </c>
      <c r="C4" s="28">
        <f>SUM(Financials!M3:P3)</f>
        <v/>
      </c>
      <c r="D4" s="28">
        <f>SUM(Financials!Q3:T3)</f>
        <v/>
      </c>
      <c r="E4" s="28">
        <f>SUM(Financials!U3:X3)</f>
        <v/>
      </c>
      <c r="F4" s="28">
        <f>SUM(Financials!Y3:AB3)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57">
        <f>IFERROR(G6/F6-1,"")</f>
        <v/>
      </c>
      <c r="H7" s="57">
        <f>IFERROR(H6/G6-1,"")</f>
        <v/>
      </c>
      <c r="I7" s="57">
        <f>IFERROR(I6/H6-1,"")</f>
        <v/>
      </c>
      <c r="J7" s="57">
        <f>IFERROR(J6/I6-1,"")</f>
        <v/>
      </c>
      <c r="K7" s="57">
        <f>IFERROR(K6/J6-1,"")</f>
        <v/>
      </c>
      <c r="L7" s="57">
        <f>IFERROR(L6/K6-1,"")</f>
        <v/>
      </c>
      <c r="M7" s="57">
        <f>IFERROR(M6/L6-1,"")</f>
        <v/>
      </c>
      <c r="N7" s="57">
        <f>IFERROR(N6/M6-1,"")</f>
        <v/>
      </c>
      <c r="O7" s="57">
        <f>IFERROR(O6/N6-1,"")</f>
        <v/>
      </c>
      <c r="P7" s="5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SUM(Financials!I5:L5)</f>
        <v/>
      </c>
      <c r="C10" s="28">
        <f>SUM(Financials!M5:P5)</f>
        <v/>
      </c>
      <c r="D10" s="28">
        <f>SUM(Financials!Q5:T5)</f>
        <v/>
      </c>
      <c r="E10" s="28">
        <f>SUM(Financials!U5:X5)</f>
        <v/>
      </c>
      <c r="F10" s="28">
        <f>SUM(Financials!Y5:AB5)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57">
        <f>IFERROR(B10/B6,"")</f>
        <v/>
      </c>
      <c r="C11" s="57">
        <f>IFERROR(C10/C6,"")</f>
        <v/>
      </c>
      <c r="D11" s="57">
        <f>IFERROR(D10/D6,"")</f>
        <v/>
      </c>
      <c r="E11" s="57">
        <f>IFERROR(E10/E6,"")</f>
        <v/>
      </c>
      <c r="F11" s="57">
        <f>IFERROR(F10/F6,"")</f>
        <v/>
      </c>
      <c r="G11" s="50" t="n">
        <v>0.5534254269541702</v>
      </c>
      <c r="H11" s="50" t="n">
        <v>0.5534254269541702</v>
      </c>
      <c r="I11" s="50" t="n">
        <v>0.5534254269541702</v>
      </c>
      <c r="J11" s="50" t="n">
        <v>0.5534254269541702</v>
      </c>
      <c r="K11" s="50" t="n">
        <v>0.5534254269541702</v>
      </c>
      <c r="L11" s="50" t="n">
        <v>0.5534254269541702</v>
      </c>
      <c r="M11" s="50" t="n">
        <v>0.5534254269541702</v>
      </c>
      <c r="N11" s="50" t="n">
        <v>0.5534254269541702</v>
      </c>
      <c r="O11" s="50" t="n">
        <v>0.5534254269541702</v>
      </c>
      <c r="P11" s="50" t="n">
        <v>0.5534254269541702</v>
      </c>
    </row>
    <row r="12">
      <c r="A12" s="4" t="inlineStr">
        <is>
          <t>R&amp;D / Technology</t>
        </is>
      </c>
      <c r="B12" s="28">
        <f>SUM(Financials!I7:L7)</f>
        <v/>
      </c>
      <c r="C12" s="28">
        <f>SUM(Financials!M7:P7)</f>
        <v/>
      </c>
      <c r="D12" s="28">
        <f>SUM(Financials!Q7:T7)</f>
        <v/>
      </c>
      <c r="E12" s="28">
        <f>SUM(Financials!U7:X7)</f>
        <v/>
      </c>
      <c r="F12" s="28">
        <f>SUM(Financials!Y7:AB7)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57">
        <f>IFERROR(B12/B6,"")</f>
        <v/>
      </c>
      <c r="C13" s="57">
        <f>IFERROR(C12/C6,"")</f>
        <v/>
      </c>
      <c r="D13" s="57">
        <f>IFERROR(D12/D6,"")</f>
        <v/>
      </c>
      <c r="E13" s="57">
        <f>IFERROR(E12/E6,"")</f>
        <v/>
      </c>
      <c r="F13" s="57">
        <f>IFERROR(F12/F6,"")</f>
        <v/>
      </c>
      <c r="G13" s="50" t="n">
        <v>0.05044578171280742</v>
      </c>
      <c r="H13" s="50" t="n">
        <v>0.05044578171280742</v>
      </c>
      <c r="I13" s="50" t="n">
        <v>0.05044578171280742</v>
      </c>
      <c r="J13" s="50" t="n">
        <v>0.05044578171280742</v>
      </c>
      <c r="K13" s="50" t="n">
        <v>0.05044578171280742</v>
      </c>
      <c r="L13" s="50" t="n">
        <v>0.05044578171280742</v>
      </c>
      <c r="M13" s="50" t="n">
        <v>0.05044578171280742</v>
      </c>
      <c r="N13" s="50" t="n">
        <v>0.05044578171280742</v>
      </c>
      <c r="O13" s="50" t="n">
        <v>0.05044578171280742</v>
      </c>
      <c r="P13" s="50" t="n">
        <v>0.05044578171280742</v>
      </c>
    </row>
    <row r="14">
      <c r="A14" s="4" t="inlineStr">
        <is>
          <t>SG&amp;A</t>
        </is>
      </c>
      <c r="B14" s="28">
        <f>SUM(Financials!I9:L9)</f>
        <v/>
      </c>
      <c r="C14" s="28">
        <f>SUM(Financials!M9:P9)</f>
        <v/>
      </c>
      <c r="D14" s="28">
        <f>SUM(Financials!Q9:T9)</f>
        <v/>
      </c>
      <c r="E14" s="28">
        <f>SUM(Financials!U9:X9)</f>
        <v/>
      </c>
      <c r="F14" s="28">
        <f>SUM(Financials!Y9:AB9)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57">
        <f>IFERROR(B14/B6,"")</f>
        <v/>
      </c>
      <c r="C15" s="57">
        <f>IFERROR(C14/C6,"")</f>
        <v/>
      </c>
      <c r="D15" s="57">
        <f>IFERROR(D14/D6,"")</f>
        <v/>
      </c>
      <c r="E15" s="57">
        <f>IFERROR(E14/E6,"")</f>
        <v/>
      </c>
      <c r="F15" s="57">
        <f>IFERROR(F14/F6,"")</f>
        <v/>
      </c>
      <c r="G15" s="50" t="n">
        <v>0.2721677719642056</v>
      </c>
      <c r="H15" s="50" t="n">
        <v>0.2721677719642056</v>
      </c>
      <c r="I15" s="50" t="n">
        <v>0.2721677719642056</v>
      </c>
      <c r="J15" s="50" t="n">
        <v>0.2721677719642056</v>
      </c>
      <c r="K15" s="50" t="n">
        <v>0.2721677719642056</v>
      </c>
      <c r="L15" s="50" t="n">
        <v>0.2721677719642056</v>
      </c>
      <c r="M15" s="50" t="n">
        <v>0.2721677719642056</v>
      </c>
      <c r="N15" s="50" t="n">
        <v>0.2721677719642056</v>
      </c>
      <c r="O15" s="50" t="n">
        <v>0.2721677719642056</v>
      </c>
      <c r="P15" s="50" t="n">
        <v>0.2721677719642056</v>
      </c>
    </row>
    <row r="16">
      <c r="A16" s="4" t="inlineStr">
        <is>
          <t>Other opex (fulfilment, etc.)</t>
        </is>
      </c>
      <c r="B16" s="28">
        <f>B6-(B10+B12+B14)-SUM(Financials!I13:L13)</f>
        <v/>
      </c>
      <c r="C16" s="28">
        <f>C6-(C10+C12+C14)-SUM(Financials!M13:P13)</f>
        <v/>
      </c>
      <c r="D16" s="28">
        <f>D6-(D10+D12+D14)-SUM(Financials!Q13:T13)</f>
        <v/>
      </c>
      <c r="E16" s="28">
        <f>E6-(E10+E12+E14)-SUM(Financials!U13:X13)</f>
        <v/>
      </c>
      <c r="F16" s="28">
        <f>F6-(F10+F12+F14)-SUM(Financials!Y13:AB13)</f>
        <v/>
      </c>
      <c r="G16" s="28">
        <f>G6*(1-(Dashboard!$B$29+(Dashboard!$B$30-Dashboard!$B$29)*MIN(1,0/4)))-(G10+G12+G14)</f>
        <v/>
      </c>
      <c r="H16" s="28">
        <f>H6*(1-(Dashboard!$B$29+(Dashboard!$B$30-Dashboard!$B$29)*MIN(1,1/4)))-(H10+H12+H14)</f>
        <v/>
      </c>
      <c r="I16" s="28">
        <f>I6*(1-(Dashboard!$B$29+(Dashboard!$B$30-Dashboard!$B$29)*MIN(1,2/4)))-(I10+I12+I14)</f>
        <v/>
      </c>
      <c r="J16" s="28">
        <f>J6*(1-(Dashboard!$B$29+(Dashboard!$B$30-Dashboard!$B$29)*MIN(1,3/4)))-(J10+J12+J14)</f>
        <v/>
      </c>
      <c r="K16" s="28">
        <f>K6*(1-(Dashboard!$B$29+(Dashboard!$B$30-Dashboard!$B$29)*MIN(1,4/4)))-(K10+K12+K14)</f>
        <v/>
      </c>
      <c r="L16" s="28">
        <f>L6*(1-(Dashboard!$B$29+(Dashboard!$B$30-Dashboard!$B$29)*MIN(1,5/4)))-(L10+L12+L14)</f>
        <v/>
      </c>
      <c r="M16" s="28">
        <f>M6*(1-(Dashboard!$B$29+(Dashboard!$B$30-Dashboard!$B$29)*MIN(1,6/4)))-(M10+M12+M14)</f>
        <v/>
      </c>
      <c r="N16" s="28">
        <f>N6*(1-(Dashboard!$B$29+(Dashboard!$B$30-Dashboard!$B$29)*MIN(1,7/4)))-(N10+N12+N14)</f>
        <v/>
      </c>
      <c r="O16" s="28">
        <f>O6*(1-(Dashboard!$B$29+(Dashboard!$B$30-Dashboard!$B$29)*MIN(1,8/4)))-(O10+O12+O14)</f>
        <v/>
      </c>
      <c r="P16" s="28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57">
        <f>IFERROR(B16/B6,"")</f>
        <v/>
      </c>
      <c r="C17" s="57">
        <f>IFERROR(C16/C6,"")</f>
        <v/>
      </c>
      <c r="D17" s="57">
        <f>IFERROR(D16/D6,"")</f>
        <v/>
      </c>
      <c r="E17" s="57">
        <f>IFERROR(E16/E6,"")</f>
        <v/>
      </c>
      <c r="F17" s="57">
        <f>IFERROR(F16/F6,"")</f>
        <v/>
      </c>
      <c r="G17" s="57">
        <f>IFERROR(G16/G6,"")</f>
        <v/>
      </c>
      <c r="H17" s="57">
        <f>IFERROR(H16/H6,"")</f>
        <v/>
      </c>
      <c r="I17" s="57">
        <f>IFERROR(I16/I6,"")</f>
        <v/>
      </c>
      <c r="J17" s="57">
        <f>IFERROR(J16/J6,"")</f>
        <v/>
      </c>
      <c r="K17" s="57">
        <f>IFERROR(K16/K6,"")</f>
        <v/>
      </c>
      <c r="L17" s="57">
        <f>IFERROR(L16/L6,"")</f>
        <v/>
      </c>
      <c r="M17" s="57">
        <f>IFERROR(M16/M6,"")</f>
        <v/>
      </c>
      <c r="N17" s="57">
        <f>IFERROR(N16/N6,"")</f>
        <v/>
      </c>
      <c r="O17" s="57">
        <f>IFERROR(O16/O6,"")</f>
        <v/>
      </c>
      <c r="P17" s="5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57">
        <f>IFERROR(B19/B6,"")</f>
        <v/>
      </c>
      <c r="C20" s="57">
        <f>IFERROR(C19/C6,"")</f>
        <v/>
      </c>
      <c r="D20" s="57">
        <f>IFERROR(D19/D6,"")</f>
        <v/>
      </c>
      <c r="E20" s="57">
        <f>IFERROR(E19/E6,"")</f>
        <v/>
      </c>
      <c r="F20" s="57">
        <f>IFERROR(F19/F6,"")</f>
        <v/>
      </c>
      <c r="G20" s="57">
        <f>IFERROR(G19/G6,"")</f>
        <v/>
      </c>
      <c r="H20" s="57">
        <f>IFERROR(H19/H6,"")</f>
        <v/>
      </c>
      <c r="I20" s="57">
        <f>IFERROR(I19/I6,"")</f>
        <v/>
      </c>
      <c r="J20" s="57">
        <f>IFERROR(J19/J6,"")</f>
        <v/>
      </c>
      <c r="K20" s="57">
        <f>IFERROR(K19/K6,"")</f>
        <v/>
      </c>
      <c r="L20" s="57">
        <f>IFERROR(L19/L6,"")</f>
        <v/>
      </c>
      <c r="M20" s="57">
        <f>IFERROR(M19/M6,"")</f>
        <v/>
      </c>
      <c r="N20" s="57">
        <f>IFERROR(N19/N6,"")</f>
        <v/>
      </c>
      <c r="O20" s="57">
        <f>IFERROR(O19/O6,"")</f>
        <v/>
      </c>
      <c r="P20" s="5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SUM(Financials!I27:L27)</f>
        <v/>
      </c>
      <c r="C24" s="28">
        <f>SUM(Financials!M27:P27)</f>
        <v/>
      </c>
      <c r="D24" s="28">
        <f>SUM(Financials!Q27:T27)</f>
        <v/>
      </c>
      <c r="E24" s="28">
        <f>SUM(Financials!U27:X27)</f>
        <v/>
      </c>
      <c r="F24" s="28">
        <f>SUM(Financials!Y27:AB27)</f>
        <v/>
      </c>
      <c r="G24" s="32">
        <f>G6*0.0044</f>
        <v/>
      </c>
      <c r="H24" s="32">
        <f>H6*0.0044</f>
        <v/>
      </c>
      <c r="I24" s="32">
        <f>I6*0.0044</f>
        <v/>
      </c>
      <c r="J24" s="32">
        <f>J6*0.0044</f>
        <v/>
      </c>
      <c r="K24" s="32">
        <f>K6*0.0044</f>
        <v/>
      </c>
      <c r="L24" s="32">
        <f>L6*0.0044</f>
        <v/>
      </c>
      <c r="M24" s="32">
        <f>M6*0.0044</f>
        <v/>
      </c>
      <c r="N24" s="32">
        <f>N6*0.0044</f>
        <v/>
      </c>
      <c r="O24" s="32">
        <f>O6*0.0044</f>
        <v/>
      </c>
      <c r="P24" s="32">
        <f>P6*0.0044</f>
        <v/>
      </c>
    </row>
    <row r="25">
      <c r="A25" s="4" t="inlineStr">
        <is>
          <t>+ SBC (non-cash)</t>
        </is>
      </c>
      <c r="B25" s="28">
        <f>SUM(Financials!I28:L28)</f>
        <v/>
      </c>
      <c r="C25" s="28">
        <f>SUM(Financials!M28:P28)</f>
        <v/>
      </c>
      <c r="D25" s="28">
        <f>SUM(Financials!Q28:T28)</f>
        <v/>
      </c>
      <c r="E25" s="28">
        <f>SUM(Financials!U28:X28)</f>
        <v/>
      </c>
      <c r="F25" s="28">
        <f>SUM(Financials!Y28:AB28)</f>
        <v/>
      </c>
      <c r="G25" s="32">
        <f>G6*0.0222</f>
        <v/>
      </c>
      <c r="H25" s="32">
        <f>H6*0.0212</f>
        <v/>
      </c>
      <c r="I25" s="32">
        <f>I6*0.0202</f>
        <v/>
      </c>
      <c r="J25" s="32">
        <f>J6*0.0192</f>
        <v/>
      </c>
      <c r="K25" s="32">
        <f>K6*0.0182</f>
        <v/>
      </c>
      <c r="L25" s="32">
        <f>L6*0.0173</f>
        <v/>
      </c>
      <c r="M25" s="32">
        <f>M6*0.0163</f>
        <v/>
      </c>
      <c r="N25" s="32">
        <f>N6*0.0153</f>
        <v/>
      </c>
      <c r="O25" s="32">
        <f>O6*0.0143</f>
        <v/>
      </c>
      <c r="P25" s="32">
        <f>P6*0.0133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-SUM(Financials!I31:L31)</f>
        <v/>
      </c>
      <c r="C27" s="28">
        <f>-SUM(Financials!M31:P31)</f>
        <v/>
      </c>
      <c r="D27" s="28">
        <f>-SUM(Financials!Q31:T31)</f>
        <v/>
      </c>
      <c r="E27" s="28">
        <f>-SUM(Financials!U31:X31)</f>
        <v/>
      </c>
      <c r="F27" s="28">
        <f>-SUM(Financials!Y31:AB31)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59">
        <f>IFERROR(B27/B24,"")</f>
        <v/>
      </c>
      <c r="C28" s="59">
        <f>IFERROR(C27/C24,"")</f>
        <v/>
      </c>
      <c r="D28" s="59">
        <f>IFERROR(D27/D24,"")</f>
        <v/>
      </c>
      <c r="E28" s="59">
        <f>IFERROR(E27/E24,"")</f>
        <v/>
      </c>
      <c r="F28" s="59">
        <f>IFERROR(F27/F24,"")</f>
        <v/>
      </c>
      <c r="G28" s="49">
        <f>(Dashboard!$B$34/G24)+(Dashboard!$B$35-(Dashboard!$B$34/G24))*0/9</f>
        <v/>
      </c>
      <c r="H28" s="49">
        <f>(Dashboard!$B$34/G24)+(Dashboard!$B$35-(Dashboard!$B$34/G24))*1/9</f>
        <v/>
      </c>
      <c r="I28" s="49">
        <f>(Dashboard!$B$34/G24)+(Dashboard!$B$35-(Dashboard!$B$34/G24))*2/9</f>
        <v/>
      </c>
      <c r="J28" s="49">
        <f>(Dashboard!$B$34/G24)+(Dashboard!$B$35-(Dashboard!$B$34/G24))*3/9</f>
        <v/>
      </c>
      <c r="K28" s="49">
        <f>(Dashboard!$B$34/G24)+(Dashboard!$B$35-(Dashboard!$B$34/G24))*4/9</f>
        <v/>
      </c>
      <c r="L28" s="49">
        <f>(Dashboard!$B$34/G24)+(Dashboard!$B$35-(Dashboard!$B$34/G24))*5/9</f>
        <v/>
      </c>
      <c r="M28" s="49">
        <f>(Dashboard!$B$34/G24)+(Dashboard!$B$35-(Dashboard!$B$34/G24))*6/9</f>
        <v/>
      </c>
      <c r="N28" s="49">
        <f>(Dashboard!$B$34/G24)+(Dashboard!$B$35-(Dashboard!$B$34/G24))*7/9</f>
        <v/>
      </c>
      <c r="O28" s="49">
        <f>(Dashboard!$B$34/G24)+(Dashboard!$B$35-(Dashboard!$B$34/G24))*8/9</f>
        <v/>
      </c>
      <c r="P28" s="49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Financials!L25+Financials!L24-Financials!L19</f>
        <v/>
      </c>
      <c r="C34" s="28">
        <f>Financials!P25+Financials!P24-Financials!P19</f>
        <v/>
      </c>
      <c r="D34" s="28">
        <f>Financials!T25+Financials!T24-Financials!T19</f>
        <v/>
      </c>
      <c r="E34" s="28">
        <f>Financials!X25+Financials!X24-Financials!X19</f>
        <v/>
      </c>
      <c r="F34" s="28">
        <f>Financials!AB25+Financials!AB24-Financials!AB19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Financials!L25</f>
        <v/>
      </c>
      <c r="C35" s="28">
        <f>Financials!P25</f>
        <v/>
      </c>
      <c r="D35" s="28">
        <f>Financials!T25</f>
        <v/>
      </c>
      <c r="E35" s="28">
        <f>Financials!X25</f>
        <v/>
      </c>
      <c r="F35" s="28">
        <f>Financials!AB25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57">
        <f>IFERROR(C23/B34,"")</f>
        <v/>
      </c>
      <c r="D36" s="57">
        <f>IFERROR(D23/C34,"")</f>
        <v/>
      </c>
      <c r="E36" s="57">
        <f>IFERROR(E23/D34,"")</f>
        <v/>
      </c>
      <c r="F36" s="57">
        <f>IFERROR(F23/E34,"")</f>
        <v/>
      </c>
      <c r="G36" s="57">
        <f>IFERROR(G23/F34,"")</f>
        <v/>
      </c>
      <c r="H36" s="57">
        <f>IFERROR(H23/G34,"")</f>
        <v/>
      </c>
      <c r="I36" s="57">
        <f>IFERROR(I23/H34,"")</f>
        <v/>
      </c>
      <c r="J36" s="57">
        <f>IFERROR(J23/I34,"")</f>
        <v/>
      </c>
      <c r="K36" s="57">
        <f>IFERROR(K23/J34,"")</f>
        <v/>
      </c>
      <c r="L36" s="57">
        <f>IFERROR(L23/K34,"")</f>
        <v/>
      </c>
      <c r="M36" s="57">
        <f>IFERROR(M23/L34,"")</f>
        <v/>
      </c>
      <c r="N36" s="57">
        <f>IFERROR(N23/M34,"")</f>
        <v/>
      </c>
      <c r="O36" s="57">
        <f>IFERROR(O23/N34,"")</f>
        <v/>
      </c>
      <c r="P36" s="57">
        <f>IFERROR(P23/O34,"")</f>
        <v/>
      </c>
    </row>
    <row r="37">
      <c r="A37" s="3" t="inlineStr">
        <is>
          <t xml:space="preserve">  ROE (earnings / beg. equity)</t>
        </is>
      </c>
      <c r="C37" s="48">
        <f>IFERROR(SUM(Financials!M15:P15)/B35,"")</f>
        <v/>
      </c>
      <c r="D37" s="48">
        <f>IFERROR(SUM(Financials!Q15:T15)/C35,"")</f>
        <v/>
      </c>
      <c r="E37" s="48">
        <f>IFERROR(SUM(Financials!U15:X15)/D35,"")</f>
        <v/>
      </c>
      <c r="F37" s="48">
        <f>IFERROR(SUM(Financials!Y15:AB15)/E35,"")</f>
        <v/>
      </c>
      <c r="G37" s="57">
        <f>IFERROR(G23/F35,"")</f>
        <v/>
      </c>
      <c r="H37" s="57">
        <f>IFERROR(H23/G35,"")</f>
        <v/>
      </c>
      <c r="I37" s="57">
        <f>IFERROR(I23/H35,"")</f>
        <v/>
      </c>
      <c r="J37" s="57">
        <f>IFERROR(J23/I35,"")</f>
        <v/>
      </c>
      <c r="K37" s="57">
        <f>IFERROR(K23/J35,"")</f>
        <v/>
      </c>
      <c r="L37" s="57">
        <f>IFERROR(L23/K35,"")</f>
        <v/>
      </c>
      <c r="M37" s="57">
        <f>IFERROR(M23/L35,"")</f>
        <v/>
      </c>
      <c r="N37" s="57">
        <f>IFERROR(N23/M35,"")</f>
        <v/>
      </c>
      <c r="O37" s="57">
        <f>IFERROR(O23/N35,"")</f>
        <v/>
      </c>
      <c r="P37" s="57">
        <f>IFERROR(P23/O35,"")</f>
        <v/>
      </c>
    </row>
    <row r="38">
      <c r="A38" s="4" t="inlineStr">
        <is>
          <t xml:space="preserve">  ROIC - WACC spread (value created)</t>
        </is>
      </c>
      <c r="C38" s="48">
        <f>IFERROR(C36-WACC!$B$14,"")</f>
        <v/>
      </c>
      <c r="D38" s="48">
        <f>IFERROR(D36-WACC!$B$14,"")</f>
        <v/>
      </c>
      <c r="E38" s="48">
        <f>IFERROR(E36-WACC!$B$14,"")</f>
        <v/>
      </c>
      <c r="F38" s="48">
        <f>IFERROR(F36-WACC!$B$14,"")</f>
        <v/>
      </c>
      <c r="G38" s="48">
        <f>IFERROR(G36-WACC!$B$14,"")</f>
        <v/>
      </c>
      <c r="H38" s="48">
        <f>IFERROR(H36-WACC!$B$14,"")</f>
        <v/>
      </c>
      <c r="I38" s="48">
        <f>IFERROR(I36-WACC!$B$14,"")</f>
        <v/>
      </c>
      <c r="J38" s="48">
        <f>IFERROR(J36-WACC!$B$14,"")</f>
        <v/>
      </c>
      <c r="K38" s="48">
        <f>IFERROR(K36-WACC!$B$14,"")</f>
        <v/>
      </c>
      <c r="L38" s="48">
        <f>IFERROR(L36-WACC!$B$14,"")</f>
        <v/>
      </c>
      <c r="M38" s="48">
        <f>IFERROR(M36-WACC!$B$14,"")</f>
        <v/>
      </c>
      <c r="N38" s="48">
        <f>IFERROR(N36-WACC!$B$14,"")</f>
        <v/>
      </c>
      <c r="O38" s="48">
        <f>IFERROR(O36-WACC!$B$14,"")</f>
        <v/>
      </c>
      <c r="P38" s="48">
        <f>IFERROR(P36-WACC!$B$14,"")</f>
        <v/>
      </c>
    </row>
    <row r="39">
      <c r="A39" s="4" t="inlineStr">
        <is>
          <t xml:space="preserve">  Incremental op margin (ΔEBIT / ΔRev)</t>
        </is>
      </c>
      <c r="C39" s="57">
        <f>IFERROR((C19-B19)/(C6-B6),"")</f>
        <v/>
      </c>
      <c r="D39" s="57">
        <f>IFERROR((D19-C19)/(D6-C6),"")</f>
        <v/>
      </c>
      <c r="E39" s="57">
        <f>IFERROR((E19-D19)/(E6-D6),"")</f>
        <v/>
      </c>
      <c r="F39" s="57">
        <f>IFERROR((F19-E19)/(F6-E6),"")</f>
        <v/>
      </c>
      <c r="G39" s="57">
        <f>IFERROR((G19-F19)/(G6-F6),"")</f>
        <v/>
      </c>
      <c r="H39" s="57">
        <f>IFERROR((H19-G19)/(H6-G6),"")</f>
        <v/>
      </c>
      <c r="I39" s="57">
        <f>IFERROR((I19-H19)/(I6-H6),"")</f>
        <v/>
      </c>
      <c r="J39" s="57">
        <f>IFERROR((J19-I19)/(J6-I6),"")</f>
        <v/>
      </c>
      <c r="K39" s="57">
        <f>IFERROR((K19-J19)/(K6-J6),"")</f>
        <v/>
      </c>
      <c r="L39" s="57">
        <f>IFERROR((L19-K19)/(L6-K6),"")</f>
        <v/>
      </c>
      <c r="M39" s="57">
        <f>IFERROR((M19-L19)/(M6-L6),"")</f>
        <v/>
      </c>
      <c r="N39" s="57">
        <f>IFERROR((N19-M19)/(N6-M6),"")</f>
        <v/>
      </c>
      <c r="O39" s="57">
        <f>IFERROR((O19-N19)/(O6-N6),"")</f>
        <v/>
      </c>
      <c r="P39" s="57">
        <f>IFERROR((P19-O19)/(P6-O6),"")</f>
        <v/>
      </c>
    </row>
    <row r="40">
      <c r="A40" s="3" t="inlineStr">
        <is>
          <t xml:space="preserve">  ROIIC (ΔNOPAT / ΔInvested capital)</t>
        </is>
      </c>
      <c r="C40" s="57">
        <f>IFERROR((C23-B23)/(C34-B34),"")</f>
        <v/>
      </c>
      <c r="D40" s="57">
        <f>IFERROR((D23-C23)/(D34-C34),"")</f>
        <v/>
      </c>
      <c r="E40" s="57">
        <f>IFERROR((E23-D23)/(E34-D34),"")</f>
        <v/>
      </c>
      <c r="F40" s="57">
        <f>IFERROR((F23-E23)/(F34-E34),"")</f>
        <v/>
      </c>
      <c r="G40" s="57">
        <f>IFERROR((G23-F23)/(G34-F34),"")</f>
        <v/>
      </c>
      <c r="H40" s="57">
        <f>IFERROR((H23-G23)/(H34-G34),"")</f>
        <v/>
      </c>
      <c r="I40" s="57">
        <f>IFERROR((I23-H23)/(I34-H34),"")</f>
        <v/>
      </c>
      <c r="J40" s="57">
        <f>IFERROR((J23-I23)/(J34-I34),"")</f>
        <v/>
      </c>
      <c r="K40" s="57">
        <f>IFERROR((K23-J23)/(K34-J34),"")</f>
        <v/>
      </c>
      <c r="L40" s="57">
        <f>IFERROR((L23-K23)/(L34-K34),"")</f>
        <v/>
      </c>
      <c r="M40" s="57">
        <f>IFERROR((M23-L23)/(M34-L34),"")</f>
        <v/>
      </c>
      <c r="N40" s="57">
        <f>IFERROR((N23-M23)/(N34-M34),"")</f>
        <v/>
      </c>
      <c r="O40" s="57">
        <f>IFERROR((O23-N23)/(O34-N34),"")</f>
        <v/>
      </c>
      <c r="P40" s="5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60">
        <f>IFERROR((C6-B6)/(C34-B34),"")</f>
        <v/>
      </c>
      <c r="D41" s="60">
        <f>IFERROR((D6-C6)/(D34-C34),"")</f>
        <v/>
      </c>
      <c r="E41" s="60">
        <f>IFERROR((E6-D6)/(E34-D34),"")</f>
        <v/>
      </c>
      <c r="F41" s="60">
        <f>IFERROR((F6-E6)/(F34-E34),"")</f>
        <v/>
      </c>
      <c r="G41" s="60">
        <f>IFERROR((G6-F6)/(G34-F34),"")</f>
        <v/>
      </c>
      <c r="H41" s="60">
        <f>IFERROR((H6-G6)/(H34-G34),"")</f>
        <v/>
      </c>
      <c r="I41" s="60">
        <f>IFERROR((I6-H6)/(I34-H34),"")</f>
        <v/>
      </c>
      <c r="J41" s="60">
        <f>IFERROR((J6-I6)/(J34-I34),"")</f>
        <v/>
      </c>
      <c r="K41" s="60">
        <f>IFERROR((K6-J6)/(K34-J34),"")</f>
        <v/>
      </c>
      <c r="L41" s="60">
        <f>IFERROR((L6-K6)/(L34-K34),"")</f>
        <v/>
      </c>
      <c r="M41" s="60">
        <f>IFERROR((M6-L6)/(M34-L34),"")</f>
        <v/>
      </c>
      <c r="N41" s="60">
        <f>IFERROR((N6-M6)/(N34-M34),"")</f>
        <v/>
      </c>
      <c r="O41" s="60">
        <f>IFERROR((O6-N6)/(O34-N34),"")</f>
        <v/>
      </c>
      <c r="P41" s="60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57">
        <f>IFERROR((C34-B34)/C23,"")</f>
        <v/>
      </c>
      <c r="D42" s="57">
        <f>IFERROR((D34-C34)/D23,"")</f>
        <v/>
      </c>
      <c r="E42" s="57">
        <f>IFERROR((E34-D34)/E23,"")</f>
        <v/>
      </c>
      <c r="F42" s="57">
        <f>IFERROR((F34-E34)/F23,"")</f>
        <v/>
      </c>
      <c r="G42" s="57">
        <f>IFERROR((G34-F34)/G23,"")</f>
        <v/>
      </c>
      <c r="H42" s="57">
        <f>IFERROR((H34-G34)/H23,"")</f>
        <v/>
      </c>
      <c r="I42" s="57">
        <f>IFERROR((I34-H34)/I23,"")</f>
        <v/>
      </c>
      <c r="J42" s="57">
        <f>IFERROR((J34-I34)/J23,"")</f>
        <v/>
      </c>
      <c r="K42" s="57">
        <f>IFERROR((K34-J34)/K23,"")</f>
        <v/>
      </c>
      <c r="L42" s="57">
        <f>IFERROR((L34-K34)/L23,"")</f>
        <v/>
      </c>
      <c r="M42" s="57">
        <f>IFERROR((M34-L34)/M23,"")</f>
        <v/>
      </c>
      <c r="N42" s="57">
        <f>IFERROR((N34-M34)/N23,"")</f>
        <v/>
      </c>
      <c r="O42" s="57">
        <f>IFERROR((O34-N34)/O23,"")</f>
        <v/>
      </c>
      <c r="P42" s="5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436.151</v>
      </c>
      <c r="C3" s="18" t="n">
        <v>610.1369999999999</v>
      </c>
      <c r="D3" s="18" t="n">
        <v>777.224</v>
      </c>
      <c r="E3" s="18" t="n">
        <v>714.92</v>
      </c>
      <c r="F3" s="18" t="n">
        <v>882.034</v>
      </c>
      <c r="G3" s="18" t="n">
        <v>1212.16</v>
      </c>
      <c r="H3" s="18" t="n">
        <v>1566.55</v>
      </c>
      <c r="I3" s="18" t="n">
        <v>1763.644</v>
      </c>
      <c r="J3" s="18" t="n">
        <v>2280.548</v>
      </c>
      <c r="K3" s="18" t="n">
        <v>2688.884</v>
      </c>
      <c r="L3" s="18" t="n">
        <v>3222.114</v>
      </c>
      <c r="M3" s="18" t="n">
        <v>2899.571</v>
      </c>
      <c r="N3" s="18" t="n">
        <v>2942.599</v>
      </c>
      <c r="O3" s="18" t="n">
        <v>3155.951</v>
      </c>
      <c r="P3" s="18" t="n">
        <v>3451.584</v>
      </c>
      <c r="Q3" s="18" t="n">
        <v>3041.104</v>
      </c>
      <c r="R3" s="18" t="n">
        <v>3095.66</v>
      </c>
      <c r="S3" s="18" t="n">
        <v>3310.168</v>
      </c>
      <c r="T3" s="18" t="n">
        <v>3616.628</v>
      </c>
      <c r="U3" s="18" t="n">
        <v>3734.329</v>
      </c>
      <c r="V3" s="18" t="n">
        <v>3806.868</v>
      </c>
      <c r="W3" s="18" t="n">
        <v>4328.233</v>
      </c>
      <c r="X3" s="18" t="n">
        <v>4950.436</v>
      </c>
      <c r="Y3" s="18" t="n">
        <v>4841.1</v>
      </c>
      <c r="Z3" s="18" t="n">
        <v>5259.477</v>
      </c>
      <c r="AA3" s="18" t="n">
        <v>5986.024</v>
      </c>
      <c r="AB3" s="18" t="n">
        <v>6851.868</v>
      </c>
      <c r="AC3" s="18" t="n">
        <v>7097.489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  <c r="Z4" s="57">
        <f>IFERROR(Z3/V3-1,"")</f>
        <v/>
      </c>
      <c r="AA4" s="57">
        <f>IFERROR(AA3/W3-1,"")</f>
        <v/>
      </c>
      <c r="AB4" s="57">
        <f>IFERROR(AB3/X3-1,"")</f>
        <v/>
      </c>
      <c r="AC4" s="57">
        <f>IFERROR(AC3/Y3-1,"")</f>
        <v/>
      </c>
    </row>
    <row r="5">
      <c r="A5" s="4" t="inlineStr">
        <is>
          <t>Cost of Revenue</t>
        </is>
      </c>
      <c r="B5" s="18" t="n">
        <v>338.707</v>
      </c>
      <c r="C5" s="18" t="n">
        <v>406.969</v>
      </c>
      <c r="D5" s="18" t="n">
        <v>512.371999</v>
      </c>
      <c r="E5" s="18" t="n">
        <v>508.12</v>
      </c>
      <c r="F5" s="18" t="n">
        <v>681.208</v>
      </c>
      <c r="G5" s="18" t="n">
        <v>804.593</v>
      </c>
      <c r="H5" s="18" t="n">
        <v>1032.838</v>
      </c>
      <c r="I5" s="18" t="n">
        <v>1118.235</v>
      </c>
      <c r="J5" s="18" t="n">
        <v>1349.654</v>
      </c>
      <c r="K5" s="18" t="n">
        <v>1680.18</v>
      </c>
      <c r="L5" s="18" t="n">
        <v>1911.386</v>
      </c>
      <c r="M5" s="18" t="n">
        <v>1729.543</v>
      </c>
      <c r="N5" s="18" t="n">
        <v>1852.381</v>
      </c>
      <c r="O5" s="18" t="n">
        <v>1928.233</v>
      </c>
      <c r="P5" s="18" t="n">
        <v>1754.271</v>
      </c>
      <c r="Q5" s="18" t="n">
        <v>1624.414</v>
      </c>
      <c r="R5" s="18" t="n">
        <v>1644.782</v>
      </c>
      <c r="S5" s="18" t="n">
        <v>1868.876</v>
      </c>
      <c r="T5" s="18" t="n">
        <v>2091.841</v>
      </c>
      <c r="U5" s="18" t="n">
        <v>2180.579</v>
      </c>
      <c r="V5" s="18" t="n">
        <v>2222.051</v>
      </c>
      <c r="W5" s="18" t="n">
        <v>2467.172</v>
      </c>
      <c r="X5" s="18" t="n">
        <v>2744.976</v>
      </c>
      <c r="Y5" s="18" t="n">
        <v>2604.907</v>
      </c>
      <c r="Z5" s="18" t="n">
        <v>2849.667</v>
      </c>
      <c r="AA5" s="18" t="n">
        <v>3386.67</v>
      </c>
      <c r="AB5" s="18" t="n">
        <v>3853.488</v>
      </c>
      <c r="AC5" s="18" t="n">
        <v>3951.907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  <c r="Z6" s="57">
        <f>IFERROR(Z5/Z3,"")</f>
        <v/>
      </c>
      <c r="AA6" s="57">
        <f>IFERROR(AA5/AA3,"")</f>
        <v/>
      </c>
      <c r="AB6" s="57">
        <f>IFERROR(AB5/AB3,"")</f>
        <v/>
      </c>
      <c r="AC6" s="57">
        <f>IFERROR(AC5/AC3,"")</f>
        <v/>
      </c>
    </row>
    <row r="7">
      <c r="A7" s="4" t="inlineStr">
        <is>
          <t>R&amp;D Expense</t>
        </is>
      </c>
      <c r="B7" s="18" t="n">
        <v>35.059</v>
      </c>
      <c r="C7" s="18" t="n">
        <v>43.599</v>
      </c>
      <c r="D7" s="18" t="n">
        <v>49.467</v>
      </c>
      <c r="E7" s="18" t="n">
        <v>64.586</v>
      </c>
      <c r="F7" s="18" t="n">
        <v>75.34699999999999</v>
      </c>
      <c r="G7" s="18" t="n">
        <v>104.345</v>
      </c>
      <c r="H7" s="18" t="n">
        <v>109.507</v>
      </c>
      <c r="I7" s="18" t="n">
        <v>141.13</v>
      </c>
      <c r="J7" s="18" t="n">
        <v>172.563</v>
      </c>
      <c r="K7" s="18" t="n">
        <v>231.368</v>
      </c>
      <c r="L7" s="18" t="n">
        <v>286.642</v>
      </c>
      <c r="M7" s="18" t="n">
        <v>340.408</v>
      </c>
      <c r="N7" s="18" t="n">
        <v>370.926</v>
      </c>
      <c r="O7" s="18" t="n">
        <v>420.972</v>
      </c>
      <c r="P7" s="18" t="n">
        <v>244.195</v>
      </c>
      <c r="Q7" s="18" t="n">
        <v>320.512</v>
      </c>
      <c r="R7" s="18" t="n">
        <v>283.297</v>
      </c>
      <c r="S7" s="18" t="n">
        <v>280.511</v>
      </c>
      <c r="T7" s="18" t="n">
        <v>279.806</v>
      </c>
      <c r="U7" s="18" t="n">
        <v>304.379</v>
      </c>
      <c r="V7" s="18" t="n">
        <v>298.465</v>
      </c>
      <c r="W7" s="18" t="n">
        <v>301.99</v>
      </c>
      <c r="X7" s="18" t="n">
        <v>301.216</v>
      </c>
      <c r="Y7" s="18" t="n">
        <v>295.858</v>
      </c>
      <c r="Z7" s="18" t="n">
        <v>297.428</v>
      </c>
      <c r="AA7" s="18" t="n">
        <v>286.275</v>
      </c>
      <c r="AB7" s="18" t="n">
        <v>277.588</v>
      </c>
      <c r="AC7" s="18" t="n">
        <v>296.669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  <c r="Z8" s="57">
        <f>IFERROR(Z7/Z3,"")</f>
        <v/>
      </c>
      <c r="AA8" s="57">
        <f>IFERROR(AA7/AA3,"")</f>
        <v/>
      </c>
      <c r="AB8" s="57">
        <f>IFERROR(AB7/AB3,"")</f>
        <v/>
      </c>
      <c r="AC8" s="57">
        <f>IFERROR(AC7/AC3,"")</f>
        <v/>
      </c>
    </row>
    <row r="9">
      <c r="A9" s="4" t="inlineStr">
        <is>
          <t>SG&amp;A Expense</t>
        </is>
      </c>
      <c r="B9" s="18" t="n">
        <v>299.341</v>
      </c>
      <c r="C9" s="18" t="n">
        <v>351.016</v>
      </c>
      <c r="D9" s="18" t="n">
        <v>451.445</v>
      </c>
      <c r="E9" s="18" t="n">
        <v>435.249</v>
      </c>
      <c r="F9" s="18" t="n">
        <v>530.896</v>
      </c>
      <c r="G9" s="18" t="n">
        <v>667.718</v>
      </c>
      <c r="H9" s="18" t="n">
        <v>854.227</v>
      </c>
      <c r="I9" s="18" t="n">
        <v>927.78</v>
      </c>
      <c r="J9" s="18" t="n">
        <v>1164.354</v>
      </c>
      <c r="K9" s="18" t="n">
        <v>1304.449</v>
      </c>
      <c r="L9" s="18" t="n">
        <v>1538.455</v>
      </c>
      <c r="M9" s="18" t="n">
        <v>1320.841</v>
      </c>
      <c r="N9" s="18" t="n">
        <v>1449.812</v>
      </c>
      <c r="O9" s="18" t="n">
        <v>1221.839</v>
      </c>
      <c r="P9" s="18" t="n">
        <v>487.354</v>
      </c>
      <c r="Q9" s="18" t="n">
        <v>733.52</v>
      </c>
      <c r="R9" s="18" t="n">
        <v>788.77</v>
      </c>
      <c r="S9" s="18" t="n">
        <v>1191.621</v>
      </c>
      <c r="T9" s="18" t="n">
        <v>1200.036</v>
      </c>
      <c r="U9" s="18" t="n">
        <v>1060.489</v>
      </c>
      <c r="V9" s="18" t="n">
        <v>1078.606</v>
      </c>
      <c r="W9" s="18" t="n">
        <v>1185.312</v>
      </c>
      <c r="X9" s="18" t="n">
        <v>1415.985</v>
      </c>
      <c r="Y9" s="18" t="n">
        <v>1236.888</v>
      </c>
      <c r="Z9" s="18" t="n">
        <v>1332.837</v>
      </c>
      <c r="AA9" s="18" t="n">
        <v>1490.326</v>
      </c>
      <c r="AB9" s="18" t="n">
        <v>2183.061</v>
      </c>
      <c r="AC9" s="18" t="n">
        <v>2283.526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  <c r="Z10" s="57">
        <f>IFERROR(Z9/Z3,"")</f>
        <v/>
      </c>
      <c r="AA10" s="57">
        <f>IFERROR(AA9/AA3,"")</f>
        <v/>
      </c>
      <c r="AB10" s="57">
        <f>IFERROR(AB9/AB3,"")</f>
        <v/>
      </c>
      <c r="AC10" s="57">
        <f>IFERROR(AC9/AC3,"")</f>
        <v/>
      </c>
    </row>
    <row r="11">
      <c r="A11" s="4" t="inlineStr">
        <is>
          <t>Gross Profit</t>
        </is>
      </c>
      <c r="B11" s="18" t="n">
        <v>97.444</v>
      </c>
      <c r="C11" s="18" t="n">
        <v>203.168</v>
      </c>
      <c r="D11" s="18" t="n">
        <v>264.851999</v>
      </c>
      <c r="E11" s="18" t="n">
        <v>206.8</v>
      </c>
      <c r="F11" s="18" t="n">
        <v>200.826</v>
      </c>
      <c r="G11" s="18" t="n">
        <v>407.567</v>
      </c>
      <c r="H11" s="18" t="n">
        <v>533.712</v>
      </c>
      <c r="I11" s="18" t="n">
        <v>645.409</v>
      </c>
      <c r="J11" s="18" t="n">
        <v>930.894</v>
      </c>
      <c r="K11" s="18" t="n">
        <v>1008.704</v>
      </c>
      <c r="L11" s="18" t="n">
        <v>1310.728</v>
      </c>
      <c r="M11" s="18" t="n">
        <v>1170.028</v>
      </c>
      <c r="N11" s="18" t="n">
        <v>1090.218</v>
      </c>
      <c r="O11" s="18" t="n">
        <v>1227.718</v>
      </c>
      <c r="P11" s="18" t="n">
        <v>1697.313</v>
      </c>
      <c r="Q11" s="18" t="n">
        <v>1416.69</v>
      </c>
      <c r="R11" s="18" t="n">
        <v>1450.878</v>
      </c>
      <c r="S11" s="18" t="n">
        <v>1441.292</v>
      </c>
      <c r="T11" s="18" t="n">
        <v>1524.787</v>
      </c>
      <c r="U11" s="18" t="n">
        <v>1553.75</v>
      </c>
      <c r="V11" s="18" t="n">
        <v>1584.817</v>
      </c>
      <c r="W11" s="18" t="n">
        <v>1861.061</v>
      </c>
      <c r="X11" s="18" t="n">
        <v>2205.46</v>
      </c>
      <c r="Y11" s="18" t="n">
        <v>2236.193</v>
      </c>
      <c r="Z11" s="18" t="n">
        <v>2409.81</v>
      </c>
      <c r="AA11" s="18" t="n">
        <v>2599.354</v>
      </c>
      <c r="AB11" s="18" t="n">
        <v>2998.38</v>
      </c>
      <c r="AC11" s="18" t="n">
        <v>3145.582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  <c r="Z12" s="57">
        <f>IFERROR(Z11/Z3,"")</f>
        <v/>
      </c>
      <c r="AA12" s="57">
        <f>IFERROR(AA11/AA3,"")</f>
        <v/>
      </c>
      <c r="AB12" s="57">
        <f>IFERROR(AB11/AB3,"")</f>
        <v/>
      </c>
      <c r="AC12" s="57">
        <f>IFERROR(AC11/AC3,"")</f>
        <v/>
      </c>
    </row>
    <row r="13">
      <c r="A13" s="4" t="inlineStr">
        <is>
          <t>Operating Income</t>
        </is>
      </c>
      <c r="B13" s="18" t="n">
        <v>-234.519</v>
      </c>
      <c r="C13" s="18" t="n">
        <v>-187.462</v>
      </c>
      <c r="D13" s="18" t="n">
        <v>-230.045</v>
      </c>
      <c r="E13" s="18" t="n">
        <v>-267.719</v>
      </c>
      <c r="F13" s="18" t="n">
        <v>-372.808</v>
      </c>
      <c r="G13" s="18" t="n">
        <v>-305.473</v>
      </c>
      <c r="H13" s="18" t="n">
        <v>-357.325</v>
      </c>
      <c r="I13" s="18" t="n">
        <v>-348.413</v>
      </c>
      <c r="J13" s="18" t="n">
        <v>-334.016</v>
      </c>
      <c r="K13" s="18" t="n">
        <v>-458.556</v>
      </c>
      <c r="L13" s="18" t="n">
        <v>-442.075</v>
      </c>
      <c r="M13" s="18" t="n">
        <v>-498.032</v>
      </c>
      <c r="N13" s="18" t="n">
        <v>-836.696</v>
      </c>
      <c r="O13" s="18" t="n">
        <v>-495.644</v>
      </c>
      <c r="P13" s="18" t="n">
        <v>342.864</v>
      </c>
      <c r="Q13" s="18" t="n">
        <v>125.224</v>
      </c>
      <c r="R13" s="18" t="n">
        <v>283.813</v>
      </c>
      <c r="S13" s="18" t="n">
        <v>-127.74</v>
      </c>
      <c r="T13" s="18" t="n">
        <v>-56.519</v>
      </c>
      <c r="U13" s="18" t="n">
        <v>71.092</v>
      </c>
      <c r="V13" s="18" t="n">
        <v>82.89400000000001</v>
      </c>
      <c r="W13" s="18" t="n">
        <v>202.415</v>
      </c>
      <c r="X13" s="18" t="n">
        <v>305.751</v>
      </c>
      <c r="Y13" s="18" t="n">
        <v>456.404</v>
      </c>
      <c r="Z13" s="18" t="n">
        <v>487.719</v>
      </c>
      <c r="AA13" s="18" t="n">
        <v>475.946</v>
      </c>
      <c r="AB13" s="18" t="n">
        <v>537.731</v>
      </c>
      <c r="AC13" s="18" t="n">
        <v>565.3869999999999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  <c r="Z14" s="57">
        <f>IFERROR(Z13/Z3,"")</f>
        <v/>
      </c>
      <c r="AA14" s="57">
        <f>IFERROR(AA13/AA3,"")</f>
        <v/>
      </c>
      <c r="AB14" s="57">
        <f>IFERROR(AB13/AB3,"")</f>
        <v/>
      </c>
      <c r="AC14" s="57">
        <f>IFERROR(AC13/AC3,"")</f>
        <v/>
      </c>
    </row>
    <row r="15">
      <c r="A15" s="4" t="inlineStr">
        <is>
          <t>Net Income</t>
        </is>
      </c>
      <c r="B15" s="18" t="n">
        <v>-281.067</v>
      </c>
      <c r="C15" s="18" t="n">
        <v>-207.588</v>
      </c>
      <c r="D15" s="18" t="n">
        <v>-283.789</v>
      </c>
      <c r="E15" s="18" t="n">
        <v>-281.513</v>
      </c>
      <c r="F15" s="18" t="n">
        <v>-392.961</v>
      </c>
      <c r="G15" s="18" t="n">
        <v>-419.99</v>
      </c>
      <c r="H15" s="18" t="n">
        <v>-523.592</v>
      </c>
      <c r="I15" s="18" t="n">
        <v>-422.69</v>
      </c>
      <c r="J15" s="18" t="n">
        <v>-433.442</v>
      </c>
      <c r="K15" s="18" t="n">
        <v>-573.019</v>
      </c>
      <c r="L15" s="18" t="n">
        <v>-617.6079999999999</v>
      </c>
      <c r="M15" s="18" t="n">
        <v>-579.809</v>
      </c>
      <c r="N15" s="18" t="n">
        <v>-931.199</v>
      </c>
      <c r="O15" s="18" t="n">
        <v>-569.275</v>
      </c>
      <c r="P15" s="18" t="n">
        <v>426.798</v>
      </c>
      <c r="Q15" s="18" t="n">
        <v>88.075</v>
      </c>
      <c r="R15" s="18" t="n">
        <v>330.983</v>
      </c>
      <c r="S15" s="18" t="n">
        <v>-143.978</v>
      </c>
      <c r="T15" s="18" t="n">
        <v>-109.74</v>
      </c>
      <c r="U15" s="18" t="n">
        <v>-23.663</v>
      </c>
      <c r="V15" s="18" t="n">
        <v>79.911</v>
      </c>
      <c r="W15" s="18" t="n">
        <v>153.324</v>
      </c>
      <c r="X15" s="18" t="n">
        <v>237.308</v>
      </c>
      <c r="Y15" s="18" t="n">
        <v>403.05</v>
      </c>
      <c r="Z15" s="18" t="n">
        <v>414.204</v>
      </c>
      <c r="AA15" s="18" t="n">
        <v>372.041735</v>
      </c>
      <c r="AB15" s="18" t="n">
        <v>397.099</v>
      </c>
      <c r="AC15" s="18" t="n">
        <v>427.937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  <c r="Z16" s="57">
        <f>IFERROR(Z15/Z3,"")</f>
        <v/>
      </c>
      <c r="AA16" s="57">
        <f>IFERROR(AA15/AA3,"")</f>
        <v/>
      </c>
      <c r="AB16" s="57">
        <f>IFERROR(AB15/AB3,"")</f>
        <v/>
      </c>
      <c r="AC16" s="57">
        <f>IFERROR(AC15/AC3,"")</f>
        <v/>
      </c>
    </row>
    <row r="17">
      <c r="A17" s="4" t="inlineStr">
        <is>
          <t>Diluted Shares (M)</t>
        </is>
      </c>
      <c r="B17" s="18" t="n">
        <v>444.968055</v>
      </c>
      <c r="C17" s="18" t="n">
        <v>463.244652</v>
      </c>
      <c r="D17" s="18" t="n">
        <v>460.325659</v>
      </c>
      <c r="E17" s="18" t="n">
        <v>462.194052</v>
      </c>
      <c r="F17" s="18" t="n">
        <v>466.495859</v>
      </c>
      <c r="G17" s="18" t="n">
        <v>491.13972</v>
      </c>
      <c r="H17" s="18" t="n">
        <v>494.80509</v>
      </c>
      <c r="I17" s="18" t="n">
        <v>514.780897</v>
      </c>
      <c r="J17" s="18" t="n">
        <v>523.247645</v>
      </c>
      <c r="K17" s="18" t="n">
        <v>538.666684</v>
      </c>
      <c r="L17" s="18" t="n">
        <v>553.635479</v>
      </c>
      <c r="M17" s="18" t="n">
        <v>556.217418</v>
      </c>
      <c r="N17" s="18" t="n">
        <v>557.445126</v>
      </c>
      <c r="O17" s="18" t="n">
        <v>558.442254</v>
      </c>
      <c r="P17" s="18" t="n">
        <v>611.9386909999999</v>
      </c>
      <c r="Q17" s="18" t="n">
        <v>598.6914839999999</v>
      </c>
      <c r="R17" s="18" t="n">
        <v>598.722729</v>
      </c>
      <c r="S17" s="18" t="n">
        <v>564.758842</v>
      </c>
      <c r="T17" s="18" t="n">
        <v>569.527667</v>
      </c>
      <c r="U17" s="18" t="n">
        <v>570.937761</v>
      </c>
      <c r="V17" s="18" t="n">
        <v>574.340007</v>
      </c>
      <c r="W17" s="18" t="n">
        <v>574.340007</v>
      </c>
      <c r="X17" s="18" t="n">
        <v>610.1367760000001</v>
      </c>
      <c r="Y17" s="18" t="n">
        <v>634.637711</v>
      </c>
      <c r="Z17" s="18" t="n">
        <v>592.019934</v>
      </c>
      <c r="AA17" s="18" t="n">
        <v>635.5728810000001</v>
      </c>
      <c r="AB17" s="18" t="n">
        <v>639.526914</v>
      </c>
      <c r="AC17" s="18" t="n">
        <v>636.172778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2317.03</v>
      </c>
      <c r="C19" s="18" t="n">
        <v>2306.603</v>
      </c>
      <c r="D19" s="18" t="n">
        <v>3221.312</v>
      </c>
      <c r="E19" s="18" t="n">
        <v>2630.17</v>
      </c>
      <c r="F19" s="18" t="n">
        <v>3447.522</v>
      </c>
      <c r="G19" s="18" t="n">
        <v>3551.359</v>
      </c>
      <c r="H19" s="18" t="n">
        <v>6292.979</v>
      </c>
      <c r="I19" s="18" t="n">
        <v>6062.272</v>
      </c>
      <c r="J19" s="18" t="n">
        <v>5607.524</v>
      </c>
      <c r="K19" s="18" t="n">
        <v>11832.25</v>
      </c>
      <c r="L19" s="18" t="n">
        <v>10159.043</v>
      </c>
      <c r="M19" s="18" t="n">
        <v>8800.517</v>
      </c>
      <c r="N19" s="18" t="n">
        <v>7780.742</v>
      </c>
      <c r="O19" s="18" t="n">
        <v>7295.678</v>
      </c>
      <c r="P19" s="18" t="n">
        <v>6894.117</v>
      </c>
      <c r="Q19" s="18" t="n">
        <v>6589.123</v>
      </c>
      <c r="R19" s="18" t="n">
        <v>5699.336</v>
      </c>
      <c r="S19" s="18" t="n">
        <v>5982.621</v>
      </c>
      <c r="T19" s="18" t="n">
        <v>5358.7</v>
      </c>
      <c r="U19" s="18" t="n">
        <v>5401.795</v>
      </c>
      <c r="V19" s="18" t="n">
        <v>6033.949</v>
      </c>
      <c r="W19" s="18" t="n">
        <v>7913.288</v>
      </c>
      <c r="X19" s="18" t="n">
        <v>8620.575999999999</v>
      </c>
      <c r="Y19" s="18" t="n">
        <v>8426.244000000001</v>
      </c>
      <c r="Z19" s="18" t="n">
        <v>9410.722</v>
      </c>
      <c r="AA19" s="18" t="n">
        <v>9902.004999999999</v>
      </c>
      <c r="AB19" s="18" t="n">
        <v>12788.914</v>
      </c>
      <c r="AC19" s="18" t="n">
        <v>12760.814</v>
      </c>
    </row>
    <row r="20">
      <c r="A20" s="4" t="inlineStr">
        <is>
          <t>Total Current Assets</t>
        </is>
      </c>
      <c r="B20" s="18" t="n">
        <v>3249.718</v>
      </c>
      <c r="C20" s="18" t="n">
        <v>3317.787</v>
      </c>
      <c r="D20" s="18" t="n">
        <v>4410.139</v>
      </c>
      <c r="E20" s="18" t="n">
        <v>4050.583</v>
      </c>
      <c r="F20" s="18" t="n">
        <v>5251.034</v>
      </c>
      <c r="G20" s="18" t="n">
        <v>5563.087</v>
      </c>
      <c r="H20" s="18" t="n">
        <v>8939.004000000001</v>
      </c>
      <c r="I20" s="18" t="n">
        <v>9025.871999999999</v>
      </c>
      <c r="J20" s="18" t="n">
        <v>9397.098</v>
      </c>
      <c r="K20" s="18" t="n">
        <v>16003.7</v>
      </c>
      <c r="L20" s="18" t="n">
        <v>15135.397</v>
      </c>
      <c r="M20" s="18" t="n">
        <v>13829.896</v>
      </c>
      <c r="N20" s="18" t="n">
        <v>12972.111</v>
      </c>
      <c r="O20" s="18" t="n">
        <v>12577.864</v>
      </c>
      <c r="P20" s="18" t="n">
        <v>12688.012</v>
      </c>
      <c r="Q20" s="18" t="n">
        <v>12440.328</v>
      </c>
      <c r="R20" s="18" t="n">
        <v>11475.827</v>
      </c>
      <c r="S20" s="18" t="n">
        <v>11973.946</v>
      </c>
      <c r="T20" s="18" t="n">
        <v>11773.934</v>
      </c>
      <c r="U20" s="18" t="n">
        <v>12381.266245</v>
      </c>
      <c r="V20" s="18" t="n">
        <v>12880.717</v>
      </c>
      <c r="W20" s="18" t="n">
        <v>15554.195</v>
      </c>
      <c r="X20" s="18" t="n">
        <v>16857.668</v>
      </c>
      <c r="Y20" s="18" t="n">
        <v>17779.3</v>
      </c>
      <c r="Z20" s="18" t="n">
        <v>19740.334</v>
      </c>
      <c r="AA20" s="18" t="n">
        <v>21082.769</v>
      </c>
      <c r="AB20" s="18" t="n">
        <v>23249.495</v>
      </c>
      <c r="AC20" s="18" t="n">
        <v>23935.932</v>
      </c>
    </row>
    <row r="21">
      <c r="A21" s="4" t="inlineStr">
        <is>
          <t>PP&amp;E (net)</t>
        </is>
      </c>
      <c r="B21" s="18" t="n">
        <v>425.935</v>
      </c>
      <c r="C21" s="18" t="n">
        <v>463.149</v>
      </c>
      <c r="D21" s="18" t="n">
        <v>501.585</v>
      </c>
      <c r="E21" s="18" t="n">
        <v>468.324</v>
      </c>
      <c r="F21" s="18" t="n">
        <v>523.453</v>
      </c>
      <c r="G21" s="18" t="n">
        <v>552.4690000000001</v>
      </c>
      <c r="H21" s="18" t="n">
        <v>620.956</v>
      </c>
      <c r="I21" s="18" t="n">
        <v>628.6</v>
      </c>
      <c r="J21" s="18" t="n">
        <v>830.1950000000001</v>
      </c>
      <c r="K21" s="18" t="n">
        <v>1353.29</v>
      </c>
      <c r="L21" s="18" t="n">
        <v>1679.643</v>
      </c>
      <c r="M21" s="18" t="n">
        <v>2101.537</v>
      </c>
      <c r="N21" s="18" t="n">
        <v>2214.729</v>
      </c>
      <c r="O21" s="18" t="n">
        <v>2457.168</v>
      </c>
      <c r="P21" s="18" t="n">
        <v>2345.735</v>
      </c>
      <c r="Q21" s="18" t="n">
        <v>2372.402</v>
      </c>
      <c r="R21" s="18" t="n">
        <v>2308.351</v>
      </c>
      <c r="S21" s="18" t="n">
        <v>2243.783</v>
      </c>
      <c r="T21" s="18" t="n">
        <v>2247.990174</v>
      </c>
      <c r="U21" s="18" t="n">
        <v>2058.473209</v>
      </c>
      <c r="V21" s="18" t="n">
        <v>2188.689</v>
      </c>
      <c r="W21" s="18" t="n">
        <v>2327.665</v>
      </c>
      <c r="X21" s="18" t="n">
        <v>2152.484</v>
      </c>
      <c r="Y21" s="18" t="n">
        <v>2248.314</v>
      </c>
      <c r="Z21" s="18" t="n">
        <v>2371.202</v>
      </c>
      <c r="AA21" s="18" t="n">
        <v>2518.048</v>
      </c>
      <c r="AB21" s="18" t="n">
        <v>2732.035</v>
      </c>
      <c r="AC21" s="18" t="n">
        <v>2838.282</v>
      </c>
    </row>
    <row r="22">
      <c r="A22" s="4" t="inlineStr">
        <is>
          <t>Total Assets</t>
        </is>
      </c>
      <c r="B22" s="18" t="n">
        <v>4019.109</v>
      </c>
      <c r="C22" s="18" t="n">
        <v>4081.901</v>
      </c>
      <c r="D22" s="18" t="n">
        <v>5224.169</v>
      </c>
      <c r="E22" s="18" t="n">
        <v>5232.824</v>
      </c>
      <c r="F22" s="18" t="n">
        <v>6604.269</v>
      </c>
      <c r="G22" s="18" t="n">
        <v>6960.576</v>
      </c>
      <c r="H22" s="18" t="n">
        <v>10455.671</v>
      </c>
      <c r="I22" s="18" t="n">
        <v>10922.595</v>
      </c>
      <c r="J22" s="18" t="n">
        <v>11523.047</v>
      </c>
      <c r="K22" s="18" t="n">
        <v>18548.724</v>
      </c>
      <c r="L22" s="18" t="n">
        <v>18756.025</v>
      </c>
      <c r="M22" s="18" t="n">
        <v>18334.639</v>
      </c>
      <c r="N22" s="18" t="n">
        <v>17467.717</v>
      </c>
      <c r="O22" s="18" t="n">
        <v>17282.288</v>
      </c>
      <c r="P22" s="18" t="n">
        <v>17002.796</v>
      </c>
      <c r="Q22" s="18" t="n">
        <v>17243.922</v>
      </c>
      <c r="R22" s="18" t="n">
        <v>17652.316</v>
      </c>
      <c r="S22" s="18" t="n">
        <v>18025.11</v>
      </c>
      <c r="T22" s="18" t="n">
        <v>18883.232</v>
      </c>
      <c r="U22" s="18" t="n">
        <v>19095.04</v>
      </c>
      <c r="V22" s="18" t="n">
        <v>19570.02</v>
      </c>
      <c r="W22" s="18" t="n">
        <v>21691.69</v>
      </c>
      <c r="X22" s="18" t="n">
        <v>22625.469</v>
      </c>
      <c r="Y22" s="18" t="n">
        <v>23843.073</v>
      </c>
      <c r="Z22" s="18" t="n">
        <v>25440.41</v>
      </c>
      <c r="AA22" s="18" t="n">
        <v>26751.302</v>
      </c>
      <c r="AB22" s="18" t="n">
        <v>29370.979</v>
      </c>
      <c r="AC22" s="18" t="n">
        <v>30590.229</v>
      </c>
    </row>
    <row r="23">
      <c r="A23" s="4" t="inlineStr">
        <is>
          <t>Total Current Liabilities</t>
        </is>
      </c>
      <c r="B23" s="18" t="n">
        <v>1721.755</v>
      </c>
      <c r="C23" s="18" t="n">
        <v>2051.73</v>
      </c>
      <c r="D23" s="18" t="n">
        <v>2362.366</v>
      </c>
      <c r="E23" s="18" t="n">
        <v>2428.617</v>
      </c>
      <c r="F23" s="18" t="n">
        <v>2986.93</v>
      </c>
      <c r="G23" s="18" t="n">
        <v>3772.539</v>
      </c>
      <c r="H23" s="18" t="n">
        <v>4636.067</v>
      </c>
      <c r="I23" s="18" t="n">
        <v>5077.603</v>
      </c>
      <c r="J23" s="18" t="n">
        <v>5883.597</v>
      </c>
      <c r="K23" s="18" t="n">
        <v>6420.986</v>
      </c>
      <c r="L23" s="18" t="n">
        <v>7176.436</v>
      </c>
      <c r="M23" s="18" t="n">
        <v>6854.085</v>
      </c>
      <c r="N23" s="18" t="n">
        <v>6739.794</v>
      </c>
      <c r="O23" s="18" t="n">
        <v>7051.355</v>
      </c>
      <c r="P23" s="18" t="n">
        <v>6935.692</v>
      </c>
      <c r="Q23" s="18" t="n">
        <v>6660.22</v>
      </c>
      <c r="R23" s="18" t="n">
        <v>6575.723</v>
      </c>
      <c r="S23" s="18" t="n">
        <v>7030.823</v>
      </c>
      <c r="T23" s="18" t="n">
        <v>8168.941</v>
      </c>
      <c r="U23" s="18" t="n">
        <v>8487.205</v>
      </c>
      <c r="V23" s="18" t="n">
        <v>8617.171</v>
      </c>
      <c r="W23" s="18" t="n">
        <v>9589.419</v>
      </c>
      <c r="X23" s="18" t="n">
        <v>11296.152</v>
      </c>
      <c r="Y23" s="18" t="n">
        <v>11801.267</v>
      </c>
      <c r="Z23" s="18" t="n">
        <v>12730.163</v>
      </c>
      <c r="AA23" s="18" t="n">
        <v>14691.059</v>
      </c>
      <c r="AB23" s="18" t="n">
        <v>14680.55</v>
      </c>
      <c r="AC23" s="18" t="n">
        <v>15169.013</v>
      </c>
    </row>
    <row r="24">
      <c r="A24" s="4" t="inlineStr">
        <is>
          <t>Long-term Debt</t>
        </is>
      </c>
      <c r="B24" s="18" t="n">
        <v>439.602</v>
      </c>
      <c r="C24" s="18" t="n">
        <v>446.569</v>
      </c>
      <c r="D24" s="18" t="n">
        <v>1356.69</v>
      </c>
      <c r="E24" s="18" t="n">
        <v>1374.835</v>
      </c>
      <c r="F24" s="18" t="n">
        <v>2109.176</v>
      </c>
      <c r="G24" s="18" t="n">
        <v>1920.942</v>
      </c>
      <c r="H24" s="18" t="n">
        <v>1840.406</v>
      </c>
      <c r="I24" s="18" t="n">
        <v>1757.583</v>
      </c>
      <c r="J24" s="18" t="n">
        <v>1282.496</v>
      </c>
      <c r="K24" s="18" t="n">
        <v>3503.456</v>
      </c>
      <c r="L24" s="18" t="n">
        <v>3475.708</v>
      </c>
      <c r="M24" s="18" t="n">
        <v>4175.377</v>
      </c>
      <c r="N24" s="18" t="n">
        <v>4177.291</v>
      </c>
      <c r="O24" s="18" t="n">
        <v>4148.004</v>
      </c>
      <c r="P24" s="18" t="n">
        <v>3338.75</v>
      </c>
      <c r="Q24" s="18" t="n">
        <v>3340.24</v>
      </c>
      <c r="R24" s="18" t="n">
        <v>3391.733</v>
      </c>
      <c r="S24" s="18" t="n">
        <v>3439.744</v>
      </c>
      <c r="T24" s="18" t="n">
        <v>3069.108</v>
      </c>
      <c r="U24" s="18" t="n">
        <v>2897.32</v>
      </c>
      <c r="V24" s="18" t="n">
        <v>2861.284</v>
      </c>
      <c r="W24" s="18" t="n">
        <v>2897.667</v>
      </c>
      <c r="X24" s="18" t="n">
        <v>1728.258</v>
      </c>
      <c r="Y24" s="18" t="n">
        <v>1659.794</v>
      </c>
      <c r="Z24" s="18" t="n">
        <v>1538.064</v>
      </c>
      <c r="AA24" s="18" t="n">
        <v>294.634</v>
      </c>
      <c r="AB24" s="18" t="n">
        <v>510.396</v>
      </c>
      <c r="AC24" s="18" t="n">
        <v>702.838</v>
      </c>
    </row>
    <row r="25">
      <c r="A25" s="4" t="inlineStr">
        <is>
          <t>Total Equity</t>
        </is>
      </c>
      <c r="B25" s="18" t="n">
        <v>1433.413</v>
      </c>
      <c r="C25" s="18" t="n">
        <v>1252.468</v>
      </c>
      <c r="D25" s="18" t="n">
        <v>1162.424</v>
      </c>
      <c r="E25" s="18" t="n">
        <v>920.601</v>
      </c>
      <c r="F25" s="18" t="n">
        <v>853.793</v>
      </c>
      <c r="G25" s="18" t="n">
        <v>741.235</v>
      </c>
      <c r="H25" s="18" t="n">
        <v>3382.912</v>
      </c>
      <c r="I25" s="18" t="n">
        <v>3403.703</v>
      </c>
      <c r="J25" s="18" t="n">
        <v>3560.167</v>
      </c>
      <c r="K25" s="18" t="n">
        <v>7787.257</v>
      </c>
      <c r="L25" s="18" t="n">
        <v>7398.697</v>
      </c>
      <c r="M25" s="18" t="n">
        <v>6261.22</v>
      </c>
      <c r="N25" s="18" t="n">
        <v>5373.224</v>
      </c>
      <c r="O25" s="18" t="n">
        <v>4897.211</v>
      </c>
      <c r="P25" s="18" t="n">
        <v>5715.705</v>
      </c>
      <c r="Q25" s="18" t="n">
        <v>6093.291</v>
      </c>
      <c r="R25" s="18" t="n">
        <v>6511.528</v>
      </c>
      <c r="S25" s="18" t="n">
        <v>6467.325</v>
      </c>
      <c r="T25" s="18" t="n">
        <v>6593.807046</v>
      </c>
      <c r="U25" s="18" t="n">
        <v>6667.075439</v>
      </c>
      <c r="V25" s="18" t="n">
        <v>6867.266</v>
      </c>
      <c r="W25" s="18" t="n">
        <v>7916.407</v>
      </c>
      <c r="X25" s="18" t="n">
        <v>8372.334999999999</v>
      </c>
      <c r="Y25" s="18" t="n">
        <v>8963.418</v>
      </c>
      <c r="Z25" s="18" t="n">
        <v>9676.846</v>
      </c>
      <c r="AA25" s="18" t="n">
        <v>10195.716</v>
      </c>
      <c r="AB25" s="18" t="n">
        <v>12526.503</v>
      </c>
      <c r="AC25" s="18" t="n">
        <v>12853.167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-25.543</v>
      </c>
      <c r="C27" s="18" t="n">
        <v>107.907</v>
      </c>
      <c r="D27" s="18" t="n">
        <v>34.581</v>
      </c>
      <c r="E27" s="18" t="n">
        <v>38.249</v>
      </c>
      <c r="F27" s="18" t="n">
        <v>64.38500000000001</v>
      </c>
      <c r="G27" s="18" t="n">
        <v>192.774</v>
      </c>
      <c r="H27" s="18" t="n">
        <v>53.098</v>
      </c>
      <c r="I27" s="18" t="n">
        <v>56.909</v>
      </c>
      <c r="J27" s="18" t="n">
        <v>104.469</v>
      </c>
      <c r="K27" s="18" t="n">
        <v>-119.067</v>
      </c>
      <c r="L27" s="18" t="n">
        <v>83.615921</v>
      </c>
      <c r="M27" s="18" t="n">
        <v>89.517979</v>
      </c>
      <c r="N27" s="18" t="n">
        <v>102.926292</v>
      </c>
      <c r="O27" s="18" t="n">
        <v>119.579938</v>
      </c>
      <c r="P27" s="18" t="n">
        <v>7.536</v>
      </c>
      <c r="Q27" s="18" t="n">
        <v>120.456219</v>
      </c>
      <c r="R27" s="18" t="n">
        <v>111.368917</v>
      </c>
      <c r="S27" s="18" t="n">
        <v>107.334396</v>
      </c>
      <c r="T27" s="18" t="n">
        <v>102.191102</v>
      </c>
      <c r="U27" s="18" t="n">
        <v>102.051481</v>
      </c>
      <c r="V27" s="18" t="n">
        <v>0</v>
      </c>
      <c r="W27" s="18" t="n">
        <v>0</v>
      </c>
      <c r="X27" s="18" t="n">
        <v>0</v>
      </c>
      <c r="Y27" s="18" t="n">
        <v>88.877</v>
      </c>
      <c r="Z27" s="18" t="n">
        <v>2.412</v>
      </c>
      <c r="AA27" s="18" t="n">
        <v>-91.289</v>
      </c>
      <c r="AB27" s="18" t="n">
        <v>99.794</v>
      </c>
    </row>
    <row r="28">
      <c r="A28" s="4" t="inlineStr">
        <is>
          <t>Stock-based Compensation</t>
        </is>
      </c>
      <c r="B28" s="18" t="n">
        <v>-16.199</v>
      </c>
      <c r="C28" s="18" t="n">
        <v>82.134</v>
      </c>
      <c r="D28" s="18" t="n">
        <v>34.935</v>
      </c>
      <c r="E28" s="18" t="n">
        <v>41.316</v>
      </c>
      <c r="F28" s="18" t="n">
        <v>75.87</v>
      </c>
      <c r="G28" s="18" t="n">
        <v>196.399</v>
      </c>
      <c r="H28" s="18" t="n">
        <v>93.84699999999999</v>
      </c>
      <c r="I28" s="18" t="n">
        <v>102.075</v>
      </c>
      <c r="J28" s="18" t="n">
        <v>112.485</v>
      </c>
      <c r="K28" s="18" t="n">
        <v>122.967</v>
      </c>
      <c r="L28" s="18" t="n">
        <v>470.324</v>
      </c>
      <c r="M28" s="18" t="n">
        <v>135.006</v>
      </c>
      <c r="N28" s="18" t="n">
        <v>184.108</v>
      </c>
      <c r="O28" s="18" t="n">
        <v>195.755</v>
      </c>
      <c r="P28" s="18" t="n">
        <v>705.896</v>
      </c>
      <c r="Q28" s="18" t="n">
        <v>198.881</v>
      </c>
      <c r="R28" s="18" t="n">
        <v>179.577</v>
      </c>
      <c r="S28" s="18" t="n">
        <v>174.904</v>
      </c>
      <c r="T28" s="18" t="n">
        <v>685.03</v>
      </c>
      <c r="U28" s="18" t="n">
        <v>181.081</v>
      </c>
      <c r="V28" s="18" t="n">
        <v>0</v>
      </c>
      <c r="W28" s="18" t="n">
        <v>0</v>
      </c>
      <c r="X28" s="18" t="n">
        <v>0</v>
      </c>
      <c r="Y28" s="18" t="n">
        <v>167.792</v>
      </c>
      <c r="Z28" s="18" t="n">
        <v>161.892</v>
      </c>
      <c r="AA28" s="18" t="n">
        <v>179.201</v>
      </c>
      <c r="AB28" s="18" t="n">
        <v>0</v>
      </c>
    </row>
    <row r="29">
      <c r="A29" s="4" t="inlineStr">
        <is>
          <t>Change in Working Capital</t>
        </is>
      </c>
      <c r="B29" s="18" t="n">
        <v>0</v>
      </c>
      <c r="C29" s="18" t="n">
        <v>30.287</v>
      </c>
      <c r="D29" s="18" t="n">
        <v>153.806</v>
      </c>
      <c r="E29" s="18" t="n">
        <v>-11.755</v>
      </c>
      <c r="F29" s="18" t="n">
        <v>169.523</v>
      </c>
      <c r="G29" s="18" t="n">
        <v>71.328</v>
      </c>
      <c r="H29" s="18" t="n">
        <v>452.143</v>
      </c>
      <c r="I29" s="18" t="n">
        <v>0</v>
      </c>
      <c r="J29" s="18" t="n">
        <v>272.463</v>
      </c>
      <c r="K29" s="18" t="n">
        <v>-272.463</v>
      </c>
      <c r="L29" s="18" t="n">
        <v>756.606</v>
      </c>
      <c r="M29" s="18" t="n">
        <v>0</v>
      </c>
      <c r="N29" s="18" t="n">
        <v>0</v>
      </c>
      <c r="O29" s="18" t="n">
        <v>0</v>
      </c>
      <c r="P29" s="18" t="n">
        <v>-315.082</v>
      </c>
      <c r="Q29" s="18" t="n">
        <v>0</v>
      </c>
      <c r="R29" s="18" t="n">
        <v>0</v>
      </c>
      <c r="S29" s="18" t="n">
        <v>0</v>
      </c>
      <c r="T29" s="18" t="n">
        <v>255.29</v>
      </c>
      <c r="U29" s="18" t="n">
        <v>0</v>
      </c>
      <c r="V29" s="18" t="n">
        <v>0</v>
      </c>
      <c r="W29" s="18" t="n">
        <v>0</v>
      </c>
      <c r="X29" s="18" t="n">
        <v>699.051</v>
      </c>
      <c r="Y29" s="18" t="n">
        <v>0</v>
      </c>
      <c r="Z29" s="18" t="n">
        <v>0</v>
      </c>
      <c r="AA29" s="18" t="n">
        <v>0</v>
      </c>
      <c r="AB29" s="18" t="n">
        <v>0</v>
      </c>
    </row>
    <row r="30">
      <c r="A30" s="4" t="inlineStr">
        <is>
          <t>Operating Cash Flow</t>
        </is>
      </c>
      <c r="B30" s="18" t="n">
        <v>25.545</v>
      </c>
      <c r="C30" s="18" t="n">
        <v>89.93300000000001</v>
      </c>
      <c r="D30" s="18" t="n">
        <v>-27.798</v>
      </c>
      <c r="E30" s="18" t="n">
        <v>-223.679</v>
      </c>
      <c r="F30" s="18" t="n">
        <v>298.125</v>
      </c>
      <c r="G30" s="18" t="n">
        <v>295.978</v>
      </c>
      <c r="H30" s="18" t="n">
        <v>185.444</v>
      </c>
      <c r="I30" s="18" t="n">
        <v>318.279</v>
      </c>
      <c r="J30" s="18" t="n">
        <v>132.447</v>
      </c>
      <c r="K30" s="18" t="n">
        <v>62.747</v>
      </c>
      <c r="L30" s="18" t="n">
        <v>-304.824</v>
      </c>
      <c r="M30" s="18" t="n">
        <v>-723.651</v>
      </c>
      <c r="N30" s="18" t="n">
        <v>-485.47</v>
      </c>
      <c r="O30" s="18" t="n">
        <v>-166.262</v>
      </c>
      <c r="P30" s="18" t="n">
        <v>319.691</v>
      </c>
      <c r="Q30" s="18" t="n">
        <v>605.5359999999999</v>
      </c>
      <c r="R30" s="18" t="n">
        <v>595.48</v>
      </c>
      <c r="S30" s="18" t="n">
        <v>599.8390000000001</v>
      </c>
      <c r="T30" s="18" t="n">
        <v>281.114322</v>
      </c>
      <c r="U30" s="18" t="n">
        <v>467.470122</v>
      </c>
      <c r="V30" s="18" t="n">
        <v>616.434</v>
      </c>
      <c r="W30" s="18" t="n">
        <v>1170.076</v>
      </c>
      <c r="X30" s="18" t="n">
        <v>1020.982</v>
      </c>
      <c r="Y30" s="18" t="n">
        <v>756.931</v>
      </c>
      <c r="Z30" s="18" t="n">
        <v>1615.735</v>
      </c>
      <c r="AA30" s="18" t="n">
        <v>1175.447</v>
      </c>
      <c r="AB30" s="18" t="n">
        <v>1476.41</v>
      </c>
    </row>
    <row r="31">
      <c r="A31" s="4" t="inlineStr">
        <is>
          <t>Capex</t>
        </is>
      </c>
      <c r="B31" s="18" t="n">
        <v>0</v>
      </c>
      <c r="C31" s="18" t="n">
        <v>-197.493</v>
      </c>
      <c r="D31" s="18" t="n">
        <v>-43.848</v>
      </c>
      <c r="E31" s="18" t="n">
        <v>-50.782</v>
      </c>
      <c r="F31" s="18" t="n">
        <v>-53.872</v>
      </c>
      <c r="G31" s="18" t="n">
        <v>-219.172</v>
      </c>
      <c r="H31" s="18" t="n">
        <v>-126.701</v>
      </c>
      <c r="I31" s="18" t="n">
        <v>0</v>
      </c>
      <c r="J31" s="18" t="n">
        <v>-242.866</v>
      </c>
      <c r="K31" s="18" t="n">
        <v>242.866</v>
      </c>
      <c r="L31" s="18" t="n">
        <v>-772.177</v>
      </c>
      <c r="M31" s="18" t="n">
        <v>0</v>
      </c>
      <c r="N31" s="18" t="n">
        <v>0</v>
      </c>
      <c r="O31" s="18" t="n">
        <v>0</v>
      </c>
      <c r="P31" s="18" t="n">
        <v>-924.178</v>
      </c>
      <c r="Q31" s="18" t="n">
        <v>-101</v>
      </c>
      <c r="R31" s="18" t="n">
        <v>-32</v>
      </c>
      <c r="S31" s="18" t="n">
        <v>-44</v>
      </c>
      <c r="T31" s="18" t="n">
        <v>-16.677758</v>
      </c>
      <c r="U31" s="18" t="n">
        <v>-27</v>
      </c>
      <c r="V31" s="18" t="n">
        <v>-64</v>
      </c>
      <c r="W31" s="18" t="n">
        <v>90.771</v>
      </c>
      <c r="X31" s="18" t="n">
        <v>-317.924</v>
      </c>
      <c r="Y31" s="18" t="n">
        <v>0</v>
      </c>
      <c r="Z31" s="18" t="n">
        <v>-216</v>
      </c>
      <c r="AA31" s="18" t="n">
        <v>-135</v>
      </c>
      <c r="AB31" s="18" t="n">
        <v>-1476.41</v>
      </c>
    </row>
    <row r="32">
      <c r="A32" s="4" t="inlineStr">
        <is>
          <t>Free Cash Flow</t>
        </is>
      </c>
      <c r="B32" s="18" t="n">
        <v>25.545</v>
      </c>
      <c r="C32" s="18" t="n">
        <v>-107.56</v>
      </c>
      <c r="D32" s="18" t="n">
        <v>-71.646</v>
      </c>
      <c r="E32" s="18" t="n">
        <v>-274.461</v>
      </c>
      <c r="F32" s="18" t="n">
        <v>244.253</v>
      </c>
      <c r="G32" s="18" t="n">
        <v>76.806</v>
      </c>
      <c r="H32" s="18" t="n">
        <v>58.743</v>
      </c>
      <c r="I32" s="18" t="n">
        <v>318.279</v>
      </c>
      <c r="J32" s="18" t="n">
        <v>-110.419</v>
      </c>
      <c r="K32" s="18" t="n">
        <v>305.613</v>
      </c>
      <c r="L32" s="18" t="n">
        <v>-1077.001</v>
      </c>
      <c r="M32" s="18" t="n">
        <v>-723.651</v>
      </c>
      <c r="N32" s="18" t="n">
        <v>-485.47</v>
      </c>
      <c r="O32" s="18" t="n">
        <v>-166.262</v>
      </c>
      <c r="P32" s="18" t="n">
        <v>-604.487</v>
      </c>
      <c r="Q32" s="18" t="n">
        <v>504.536</v>
      </c>
      <c r="R32" s="18" t="n">
        <v>563.48</v>
      </c>
      <c r="S32" s="18" t="n">
        <v>555.8390000000001</v>
      </c>
      <c r="T32" s="18" t="n">
        <v>264.436564</v>
      </c>
      <c r="U32" s="18" t="n">
        <v>440.470122</v>
      </c>
      <c r="V32" s="18" t="n">
        <v>552.434</v>
      </c>
      <c r="W32" s="18" t="n">
        <v>1260.847</v>
      </c>
      <c r="X32" s="18" t="n">
        <v>703.058</v>
      </c>
      <c r="Y32" s="18" t="n">
        <v>756.931</v>
      </c>
      <c r="Z32" s="18" t="n">
        <v>1399.735</v>
      </c>
      <c r="AA32" s="18" t="n">
        <v>1040.446999</v>
      </c>
      <c r="AB32" s="18" t="n">
        <v>0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30109.414185</v>
      </c>
      <c r="C4" s="18" t="n">
        <v>36409.764493</v>
      </c>
      <c r="D4" s="18" t="n">
        <v>41950.09128</v>
      </c>
      <c r="E4" s="18" t="n">
        <v>46092.2</v>
      </c>
      <c r="F4" s="18" t="n">
        <v>51090.8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  <c r="E5" s="28">
        <f>Model!J6</f>
        <v/>
      </c>
      <c r="F5" s="28">
        <f>Model!K6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97.64722</v>
      </c>
      <c r="C8" s="18" t="n">
        <v>118.079756</v>
      </c>
      <c r="D8" s="18" t="n">
        <v>136.047476</v>
      </c>
      <c r="E8" s="18" t="n">
        <v>149.480663</v>
      </c>
      <c r="F8" s="18" t="n">
        <v>165.69152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  <c r="E9" s="28">
        <f>Model!J19+Model!J24</f>
        <v/>
      </c>
      <c r="F9" s="28">
        <f>Model!K19+Model!K24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-621.054499</v>
      </c>
      <c r="C12" s="18" t="n">
        <v>-751.009232</v>
      </c>
      <c r="D12" s="18" t="n">
        <v>-865.287274</v>
      </c>
      <c r="E12" s="18" t="n">
        <v>-950.724846</v>
      </c>
      <c r="F12" s="18" t="n">
        <v>-1053.828912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  <c r="E13" s="28">
        <f>Model!J19</f>
        <v/>
      </c>
      <c r="F13" s="28">
        <f>Model!K19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10588.321019</v>
      </c>
      <c r="C16" s="18" t="n">
        <v>12803.911504</v>
      </c>
      <c r="D16" s="18" t="n">
        <v>14752.230997</v>
      </c>
      <c r="E16" s="18" t="n">
        <v>16208.851061</v>
      </c>
      <c r="F16" s="18" t="n">
        <v>17966.666113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  <c r="E17" s="28">
        <f>Model!J14</f>
        <v/>
      </c>
      <c r="F17" s="28">
        <f>Model!K14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2265.923351</v>
      </c>
      <c r="C20" s="18" t="n">
        <v>2752.40503</v>
      </c>
      <c r="D20" s="18" t="n">
        <v>3501.01986</v>
      </c>
      <c r="E20" s="18" t="n">
        <v>2572.055382</v>
      </c>
      <c r="F20" s="18" t="n">
        <v>5916.365606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  <c r="E21" s="28">
        <f>Model!J23</f>
        <v/>
      </c>
      <c r="F21" s="28">
        <f>Model!K23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3.55034</v>
      </c>
      <c r="C24" s="62" t="n">
        <v>4.83319</v>
      </c>
      <c r="D24" s="62" t="n">
        <v>6.07231</v>
      </c>
      <c r="E24" s="62" t="n">
        <v>4.03</v>
      </c>
      <c r="F24" s="62" t="n">
        <v>9.27</v>
      </c>
    </row>
    <row r="25">
      <c r="A25" s="4" t="inlineStr">
        <is>
          <t xml:space="preserve">  model</t>
        </is>
      </c>
      <c r="B25" s="46">
        <f>Model!G23/Financials!AC17</f>
        <v/>
      </c>
      <c r="C25" s="46">
        <f>Model!H23/Financials!AC17</f>
        <v/>
      </c>
      <c r="D25" s="46">
        <f>Model!I23/Financials!AC17</f>
        <v/>
      </c>
      <c r="E25" s="46">
        <f>Model!J23/Financials!AC17</f>
        <v/>
      </c>
      <c r="F25" s="46">
        <f>Model!K23/Financials!AC17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Sea Limited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Financials!AC19</f>
        <v/>
      </c>
    </row>
    <row r="33">
      <c r="A33" s="4" t="inlineStr">
        <is>
          <t>- Long-term debt</t>
        </is>
      </c>
      <c r="B33" s="28">
        <f>-Financials!AC24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0.004350508309861481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15.34568834528305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(Model!P6/Model!F6)^(1/10)-1</f>
        <v/>
      </c>
      <c r="D6" s="50" t="n">
        <v>0.03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1.059968655817856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Financials!AC19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2026-06-05T14:17:16Z</dcterms:created>
  <dcterms:modified xmlns:dcterms="http://purl.org/dc/terms/" xmlns:xsi="http://www.w3.org/2001/XMLSchema-instance" xsi:type="dcterms:W3CDTF">2026-06-05T14:17:17Z</dcterms:modified>
</cp:coreProperties>
</file>