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Mastercard Incorporated (MA)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Mastercard Incorporated (MA)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Payment Network</t>
        </is>
      </c>
      <c r="B20" s="15" t="n">
        <v>0.08781595866404898</v>
      </c>
      <c r="C20" s="15" t="n">
        <v>0.05</v>
      </c>
      <c r="D20" s="16" t="n">
        <v>0.08781595866404898</v>
      </c>
      <c r="E20" s="2" t="inlineStr"/>
    </row>
    <row r="21">
      <c r="A21" s="4" t="inlineStr">
        <is>
          <t>Value-Added Services And Solutions</t>
        </is>
      </c>
      <c r="B21" s="15" t="n">
        <v>0.1700432923848958</v>
      </c>
      <c r="C21" s="15" t="n">
        <v>0.05</v>
      </c>
      <c r="D21" s="16" t="n">
        <v>0.1700432923848958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0.623696747011192</v>
      </c>
      <c r="D29" s="16" t="n">
        <v>0.623696747011192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0.6927872871959786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537.9000000000001</v>
      </c>
      <c r="D34" s="18" t="n">
        <v>537.9000000000001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0.759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539.3900146484375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553.834982602944</v>
      </c>
      <c r="C58" s="28" t="n">
        <v>740.3011797019341</v>
      </c>
      <c r="D58" s="28" t="n">
        <v>410.5108187146803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0.01479064377420634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0.008874386264523802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MA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Payment Network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Payment Network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Value-Added Services And Solutions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Value-Added Services And Solutions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builder default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Financials!AC38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Payment Network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Value-Added Services And Solutions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SUM(Financials!I5:L5)</f>
        <v/>
      </c>
      <c r="C12" s="33">
        <f>SUM(Financials!M5:P5)</f>
        <v/>
      </c>
      <c r="D12" s="33">
        <f>SUM(Financials!Q5:T5)</f>
        <v/>
      </c>
      <c r="E12" s="33">
        <f>SUM(Financials!U5:X5)</f>
        <v/>
      </c>
      <c r="F12" s="33">
        <f>SUM(Financials!Y5:AB5)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0.1656857064438413</v>
      </c>
      <c r="H13" s="15" t="n">
        <v>0.1656857064438413</v>
      </c>
      <c r="I13" s="15" t="n">
        <v>0.1656857064438413</v>
      </c>
      <c r="J13" s="15" t="n">
        <v>0.1656857064438413</v>
      </c>
      <c r="K13" s="15" t="n">
        <v>0.1656857064438413</v>
      </c>
      <c r="L13" s="15" t="n">
        <v>0.1656857064438413</v>
      </c>
      <c r="M13" s="15" t="n">
        <v>0.1656857064438413</v>
      </c>
      <c r="N13" s="15" t="n">
        <v>0.1656857064438413</v>
      </c>
      <c r="O13" s="15" t="n">
        <v>0.1656857064438413</v>
      </c>
      <c r="P13" s="15" t="n">
        <v>0.1656857064438413</v>
      </c>
    </row>
    <row r="14">
      <c r="A14" s="4" t="inlineStr">
        <is>
          <t>R&amp;D / Technology</t>
        </is>
      </c>
      <c r="B14" s="33">
        <f>SUM(Financials!I7:L7)</f>
        <v/>
      </c>
      <c r="C14" s="33">
        <f>SUM(Financials!M7:P7)</f>
        <v/>
      </c>
      <c r="D14" s="33">
        <f>SUM(Financials!Q7:T7)</f>
        <v/>
      </c>
      <c r="E14" s="33">
        <f>SUM(Financials!U7:X7)</f>
        <v/>
      </c>
      <c r="F14" s="33">
        <f>SUM(Financials!Y7:AB7)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>
      <c r="A16" s="4" t="inlineStr">
        <is>
          <t>SG&amp;A</t>
        </is>
      </c>
      <c r="B16" s="33">
        <f>SUM(Financials!I9:L9)</f>
        <v/>
      </c>
      <c r="C16" s="33">
        <f>SUM(Financials!M9:P9)</f>
        <v/>
      </c>
      <c r="D16" s="33">
        <f>SUM(Financials!Q9:T9)</f>
        <v/>
      </c>
      <c r="E16" s="33">
        <f>SUM(Financials!U9:X9)</f>
        <v/>
      </c>
      <c r="F16" s="33">
        <f>SUM(Financials!Y9:AB9)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0.2178951541581532</v>
      </c>
      <c r="H17" s="15" t="n">
        <v>0.2178951541581532</v>
      </c>
      <c r="I17" s="15" t="n">
        <v>0.2178951541581532</v>
      </c>
      <c r="J17" s="15" t="n">
        <v>0.2178951541581532</v>
      </c>
      <c r="K17" s="15" t="n">
        <v>0.2178951541581532</v>
      </c>
      <c r="L17" s="15" t="n">
        <v>0.2178951541581532</v>
      </c>
      <c r="M17" s="15" t="n">
        <v>0.2178951541581532</v>
      </c>
      <c r="N17" s="15" t="n">
        <v>0.2178951541581532</v>
      </c>
      <c r="O17" s="15" t="n">
        <v>0.2178951541581532</v>
      </c>
      <c r="P17" s="15" t="n">
        <v>0.2178951541581532</v>
      </c>
    </row>
    <row r="18">
      <c r="A18" s="4" t="inlineStr">
        <is>
          <t>Other opex (fulfilment, etc.)</t>
        </is>
      </c>
      <c r="B18" s="33">
        <f>B8-(B12+B14+B16)-SUM(Financials!I13:L13)</f>
        <v/>
      </c>
      <c r="C18" s="33">
        <f>C8-(C12+C14+C16)-SUM(Financials!M13:P13)</f>
        <v/>
      </c>
      <c r="D18" s="33">
        <f>D8-(D12+D14+D16)-SUM(Financials!Q13:T13)</f>
        <v/>
      </c>
      <c r="E18" s="33">
        <f>E8-(E12+E14+E16)-SUM(Financials!U13:X13)</f>
        <v/>
      </c>
      <c r="F18" s="33">
        <f>F8-(F12+F14+F16)-SUM(Financials!Y13:AB13)</f>
        <v/>
      </c>
      <c r="G18" s="33">
        <f>G8*(1-(Dashboard!$B$29+(Dashboard!$B$30-Dashboard!$B$29)*MIN(1,0/4)))-(G12+G14+G16)</f>
        <v/>
      </c>
      <c r="H18" s="33">
        <f>H8*(1-(Dashboard!$B$29+(Dashboard!$B$30-Dashboard!$B$29)*MIN(1,1/4)))-(H12+H14+H16)</f>
        <v/>
      </c>
      <c r="I18" s="33">
        <f>I8*(1-(Dashboard!$B$29+(Dashboard!$B$30-Dashboard!$B$29)*MIN(1,2/4)))-(I12+I14+I16)</f>
        <v/>
      </c>
      <c r="J18" s="33">
        <f>J8*(1-(Dashboard!$B$29+(Dashboard!$B$30-Dashboard!$B$29)*MIN(1,3/4)))-(J12+J14+J16)</f>
        <v/>
      </c>
      <c r="K18" s="33">
        <f>K8*(1-(Dashboard!$B$29+(Dashboard!$B$30-Dashboard!$B$29)*MIN(1,4/4)))-(K12+K14+K16)</f>
        <v/>
      </c>
      <c r="L18" s="33">
        <f>L8*(1-(Dashboard!$B$29+(Dashboard!$B$30-Dashboard!$B$29)*MIN(1,5/4)))-(L12+L14+L16)</f>
        <v/>
      </c>
      <c r="M18" s="33">
        <f>M8*(1-(Dashboard!$B$29+(Dashboard!$B$30-Dashboard!$B$29)*MIN(1,6/4)))-(M12+M14+M16)</f>
        <v/>
      </c>
      <c r="N18" s="33">
        <f>N8*(1-(Dashboard!$B$29+(Dashboard!$B$30-Dashboard!$B$29)*MIN(1,7/4)))-(N12+N14+N16)</f>
        <v/>
      </c>
      <c r="O18" s="33">
        <f>O8*(1-(Dashboard!$B$29+(Dashboard!$B$30-Dashboard!$B$29)*MIN(1,8/4)))-(O12+O14+O16)</f>
        <v/>
      </c>
      <c r="P18" s="33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SUM(Financials!I41:L41)</f>
        <v/>
      </c>
      <c r="C26" s="33">
        <f>SUM(Financials!M41:P41)</f>
        <v/>
      </c>
      <c r="D26" s="33">
        <f>SUM(Financials!Q41:T41)</f>
        <v/>
      </c>
      <c r="E26" s="33">
        <f>SUM(Financials!U41:X41)</f>
        <v/>
      </c>
      <c r="F26" s="33">
        <f>SUM(Financials!Y41:AB41)</f>
        <v/>
      </c>
      <c r="G26" s="41">
        <f>G8*0.0349</f>
        <v/>
      </c>
      <c r="H26" s="41">
        <f>H8*0.0349</f>
        <v/>
      </c>
      <c r="I26" s="41">
        <f>I8*0.0349</f>
        <v/>
      </c>
      <c r="J26" s="41">
        <f>J8*0.0349</f>
        <v/>
      </c>
      <c r="K26" s="41">
        <f>K8*0.0349</f>
        <v/>
      </c>
      <c r="L26" s="41">
        <f>L8*0.0349</f>
        <v/>
      </c>
      <c r="M26" s="41">
        <f>M8*0.0349</f>
        <v/>
      </c>
      <c r="N26" s="41">
        <f>N8*0.0349</f>
        <v/>
      </c>
      <c r="O26" s="41">
        <f>O8*0.0349</f>
        <v/>
      </c>
      <c r="P26" s="41">
        <f>P8*0.0349</f>
        <v/>
      </c>
    </row>
    <row r="27">
      <c r="A27" s="4" t="inlineStr">
        <is>
          <t>+ SBC (non-cash)</t>
        </is>
      </c>
      <c r="B27" s="33">
        <f>SUM(Financials!I42:L42)</f>
        <v/>
      </c>
      <c r="C27" s="33">
        <f>SUM(Financials!M42:P42)</f>
        <v/>
      </c>
      <c r="D27" s="33">
        <f>SUM(Financials!Q42:T42)</f>
        <v/>
      </c>
      <c r="E27" s="33">
        <f>SUM(Financials!U42:X42)</f>
        <v/>
      </c>
      <c r="F27" s="33">
        <f>SUM(Financials!Y42:AB42)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-SUM(Financials!I45:L45)</f>
        <v/>
      </c>
      <c r="C29" s="33">
        <f>-SUM(Financials!M45:P45)</f>
        <v/>
      </c>
      <c r="D29" s="33">
        <f>-SUM(Financials!Q45:T45)</f>
        <v/>
      </c>
      <c r="E29" s="33">
        <f>-SUM(Financials!U45:X45)</f>
        <v/>
      </c>
      <c r="F29" s="33">
        <f>-SUM(Financials!Y45:AB45)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Financials!L39+Financials!L38-Financials!L33</f>
        <v/>
      </c>
      <c r="C36" s="33">
        <f>Financials!P39+Financials!P38-Financials!P33</f>
        <v/>
      </c>
      <c r="D36" s="33">
        <f>Financials!T39+Financials!T38-Financials!T33</f>
        <v/>
      </c>
      <c r="E36" s="33">
        <f>Financials!X39+Financials!X38-Financials!X33</f>
        <v/>
      </c>
      <c r="F36" s="33">
        <f>Financials!AB39+Financials!AB38-Financials!AB33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Financials!L39</f>
        <v/>
      </c>
      <c r="C37" s="33">
        <f>Financials!P39</f>
        <v/>
      </c>
      <c r="D37" s="33">
        <f>Financials!T39</f>
        <v/>
      </c>
      <c r="E37" s="33">
        <f>Financials!X39</f>
        <v/>
      </c>
      <c r="F37" s="33">
        <f>Financials!AB39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4113</v>
      </c>
      <c r="C3" s="18" t="n">
        <v>4467</v>
      </c>
      <c r="D3" s="18" t="n">
        <v>4414</v>
      </c>
      <c r="E3" s="18" t="n">
        <v>4009</v>
      </c>
      <c r="F3" s="18" t="n">
        <v>3335</v>
      </c>
      <c r="G3" s="18" t="n">
        <v>3837</v>
      </c>
      <c r="H3" s="18" t="n">
        <v>4120</v>
      </c>
      <c r="I3" s="18" t="n">
        <v>4155</v>
      </c>
      <c r="J3" s="18" t="n">
        <v>4528</v>
      </c>
      <c r="K3" s="18" t="n">
        <v>4985</v>
      </c>
      <c r="L3" s="18" t="n">
        <v>5216</v>
      </c>
      <c r="M3" s="18" t="n">
        <v>5167</v>
      </c>
      <c r="N3" s="18" t="n">
        <v>5497</v>
      </c>
      <c r="O3" s="18" t="n">
        <v>5756</v>
      </c>
      <c r="P3" s="18" t="n">
        <v>5817</v>
      </c>
      <c r="Q3" s="18" t="n">
        <v>5748</v>
      </c>
      <c r="R3" s="18" t="n">
        <v>6269</v>
      </c>
      <c r="S3" s="18" t="n">
        <v>6533</v>
      </c>
      <c r="T3" s="18" t="n">
        <v>6548</v>
      </c>
      <c r="U3" s="18" t="n">
        <v>6348</v>
      </c>
      <c r="V3" s="18" t="n">
        <v>6961</v>
      </c>
      <c r="W3" s="18" t="n">
        <v>7369</v>
      </c>
      <c r="X3" s="18" t="n">
        <v>7489</v>
      </c>
      <c r="Y3" s="18" t="n">
        <v>7250</v>
      </c>
      <c r="Z3" s="18" t="n">
        <v>8133</v>
      </c>
      <c r="AA3" s="18" t="n">
        <v>8602</v>
      </c>
      <c r="AB3" s="18" t="n">
        <v>8806</v>
      </c>
      <c r="AC3" s="18" t="n">
        <v>8398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853</v>
      </c>
      <c r="C5" s="18" t="n">
        <v>937</v>
      </c>
      <c r="D5" s="18" t="n">
        <v>936</v>
      </c>
      <c r="E5" s="18" t="n">
        <v>962</v>
      </c>
      <c r="F5" s="18" t="n">
        <v>915</v>
      </c>
      <c r="G5" s="18" t="n">
        <v>940</v>
      </c>
      <c r="H5" s="18" t="n">
        <v>970</v>
      </c>
      <c r="I5" s="18" t="n">
        <v>1104</v>
      </c>
      <c r="J5" s="18" t="n">
        <v>1130</v>
      </c>
      <c r="K5" s="18" t="n">
        <v>1166</v>
      </c>
      <c r="L5" s="18" t="n">
        <v>1089</v>
      </c>
      <c r="M5" s="18" t="n">
        <v>1181</v>
      </c>
      <c r="N5" s="18" t="n">
        <v>1319</v>
      </c>
      <c r="O5" s="18" t="n">
        <v>1382</v>
      </c>
      <c r="P5" s="18" t="n">
        <v>1381</v>
      </c>
      <c r="Q5" s="18" t="n">
        <v>1426</v>
      </c>
      <c r="R5" s="18" t="n">
        <v>1495</v>
      </c>
      <c r="S5" s="18" t="n">
        <v>1573</v>
      </c>
      <c r="T5" s="18" t="n">
        <v>1528</v>
      </c>
      <c r="U5" s="18" t="n">
        <v>1514</v>
      </c>
      <c r="V5" s="18" t="n">
        <v>1607</v>
      </c>
      <c r="W5" s="18" t="n">
        <v>1899</v>
      </c>
      <c r="X5" s="18" t="n">
        <v>1653</v>
      </c>
      <c r="Y5" s="18" t="n">
        <v>1688</v>
      </c>
      <c r="Z5" s="18" t="n">
        <v>1852</v>
      </c>
      <c r="AA5" s="18" t="n">
        <v>1893</v>
      </c>
      <c r="AB5" s="18" t="n">
        <v>0</v>
      </c>
      <c r="AC5" s="18" t="n">
        <v>2037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728</v>
      </c>
      <c r="C9" s="18" t="n">
        <v>740</v>
      </c>
      <c r="D9" s="18" t="n">
        <v>913</v>
      </c>
      <c r="E9" s="18" t="n">
        <v>738</v>
      </c>
      <c r="F9" s="18" t="n">
        <v>527</v>
      </c>
      <c r="G9" s="18" t="n">
        <v>628</v>
      </c>
      <c r="H9" s="18" t="n">
        <v>878</v>
      </c>
      <c r="I9" s="18" t="n">
        <v>683</v>
      </c>
      <c r="J9" s="18" t="n">
        <v>796</v>
      </c>
      <c r="K9" s="18" t="n">
        <v>868</v>
      </c>
      <c r="L9" s="18" t="n">
        <v>1095</v>
      </c>
      <c r="M9" s="18" t="n">
        <v>808</v>
      </c>
      <c r="N9" s="18" t="n">
        <v>803</v>
      </c>
      <c r="O9" s="18" t="n">
        <v>831</v>
      </c>
      <c r="P9" s="18" t="n">
        <v>1060</v>
      </c>
      <c r="Q9" s="18" t="n">
        <v>768</v>
      </c>
      <c r="R9" s="18" t="n">
        <v>882</v>
      </c>
      <c r="S9" s="18" t="n">
        <v>880</v>
      </c>
      <c r="T9" s="18" t="n">
        <v>1117</v>
      </c>
      <c r="U9" s="18" t="n">
        <v>860</v>
      </c>
      <c r="V9" s="18" t="n">
        <v>990</v>
      </c>
      <c r="W9" s="18" t="n">
        <v>1049</v>
      </c>
      <c r="X9" s="18" t="n">
        <v>1371</v>
      </c>
      <c r="Y9" s="18" t="n">
        <v>986</v>
      </c>
      <c r="Z9" s="18" t="n">
        <v>1086</v>
      </c>
      <c r="AA9" s="18" t="n">
        <v>1648</v>
      </c>
      <c r="AB9" s="18" t="n">
        <v>3425</v>
      </c>
      <c r="AC9" s="18" t="n">
        <v>1454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3260</v>
      </c>
      <c r="C11" s="18" t="n">
        <v>3530</v>
      </c>
      <c r="D11" s="18" t="n">
        <v>3478</v>
      </c>
      <c r="E11" s="18" t="n">
        <v>3047</v>
      </c>
      <c r="F11" s="18" t="n">
        <v>2420</v>
      </c>
      <c r="G11" s="18" t="n">
        <v>2897</v>
      </c>
      <c r="H11" s="18" t="n">
        <v>3150</v>
      </c>
      <c r="I11" s="18" t="n">
        <v>3051</v>
      </c>
      <c r="J11" s="18" t="n">
        <v>3398</v>
      </c>
      <c r="K11" s="18" t="n">
        <v>3819</v>
      </c>
      <c r="L11" s="18" t="n">
        <v>4127</v>
      </c>
      <c r="M11" s="18" t="n">
        <v>3986</v>
      </c>
      <c r="N11" s="18" t="n">
        <v>4178</v>
      </c>
      <c r="O11" s="18" t="n">
        <v>4374</v>
      </c>
      <c r="P11" s="18" t="n">
        <v>4436</v>
      </c>
      <c r="Q11" s="18" t="n">
        <v>4322</v>
      </c>
      <c r="R11" s="18" t="n">
        <v>4774</v>
      </c>
      <c r="S11" s="18" t="n">
        <v>4960</v>
      </c>
      <c r="T11" s="18" t="n">
        <v>5020</v>
      </c>
      <c r="U11" s="18" t="n">
        <v>4834</v>
      </c>
      <c r="V11" s="18" t="n">
        <v>5354</v>
      </c>
      <c r="W11" s="18" t="n">
        <v>5470</v>
      </c>
      <c r="X11" s="18" t="n">
        <v>5836</v>
      </c>
      <c r="Y11" s="18" t="n">
        <v>5562</v>
      </c>
      <c r="Z11" s="18" t="n">
        <v>6281</v>
      </c>
      <c r="AA11" s="18" t="n">
        <v>6709</v>
      </c>
      <c r="AB11" s="18" t="n">
        <v>8806</v>
      </c>
      <c r="AC11" s="18" t="n">
        <v>6361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2397</v>
      </c>
      <c r="C13" s="18" t="n">
        <v>2655</v>
      </c>
      <c r="D13" s="18" t="n">
        <v>2399</v>
      </c>
      <c r="E13" s="18" t="n">
        <v>2211</v>
      </c>
      <c r="F13" s="18" t="n">
        <v>1707</v>
      </c>
      <c r="G13" s="18" t="n">
        <v>2105</v>
      </c>
      <c r="H13" s="18" t="n">
        <v>2058</v>
      </c>
      <c r="I13" s="18" t="n">
        <v>2197</v>
      </c>
      <c r="J13" s="18" t="n">
        <v>2341</v>
      </c>
      <c r="K13" s="18" t="n">
        <v>2717</v>
      </c>
      <c r="L13" s="18" t="n">
        <v>2827</v>
      </c>
      <c r="M13" s="18" t="n">
        <v>2950</v>
      </c>
      <c r="N13" s="18" t="n">
        <v>3018</v>
      </c>
      <c r="O13" s="18" t="n">
        <v>3112</v>
      </c>
      <c r="P13" s="18" t="n">
        <v>3184</v>
      </c>
      <c r="Q13" s="18" t="n">
        <v>3136</v>
      </c>
      <c r="R13" s="18" t="n">
        <v>3656</v>
      </c>
      <c r="S13" s="18" t="n">
        <v>3844</v>
      </c>
      <c r="T13" s="18" t="n">
        <v>3372</v>
      </c>
      <c r="U13" s="18" t="n">
        <v>3604</v>
      </c>
      <c r="V13" s="18" t="n">
        <v>4036</v>
      </c>
      <c r="W13" s="18" t="n">
        <v>4004</v>
      </c>
      <c r="X13" s="18" t="n">
        <v>3938</v>
      </c>
      <c r="Y13" s="18" t="n">
        <v>4149</v>
      </c>
      <c r="Z13" s="18" t="n">
        <v>4777</v>
      </c>
      <c r="AA13" s="18" t="n">
        <v>5061</v>
      </c>
      <c r="AB13" s="18" t="n">
        <v>5414</v>
      </c>
      <c r="AC13" s="18" t="n">
        <v>4907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2048</v>
      </c>
      <c r="C15" s="18" t="n">
        <v>2108</v>
      </c>
      <c r="D15" s="18" t="n">
        <v>2100</v>
      </c>
      <c r="E15" s="18" t="n">
        <v>1693</v>
      </c>
      <c r="F15" s="18" t="n">
        <v>1420</v>
      </c>
      <c r="G15" s="18" t="n">
        <v>1513</v>
      </c>
      <c r="H15" s="18" t="n">
        <v>1785</v>
      </c>
      <c r="I15" s="18" t="n">
        <v>1828</v>
      </c>
      <c r="J15" s="18" t="n">
        <v>2066</v>
      </c>
      <c r="K15" s="18" t="n">
        <v>2414</v>
      </c>
      <c r="L15" s="18" t="n">
        <v>2379</v>
      </c>
      <c r="M15" s="18" t="n">
        <v>2631</v>
      </c>
      <c r="N15" s="18" t="n">
        <v>2275</v>
      </c>
      <c r="O15" s="18" t="n">
        <v>2499</v>
      </c>
      <c r="P15" s="18" t="n">
        <v>2525</v>
      </c>
      <c r="Q15" s="18" t="n">
        <v>2361</v>
      </c>
      <c r="R15" s="18" t="n">
        <v>2845</v>
      </c>
      <c r="S15" s="18" t="n">
        <v>3198</v>
      </c>
      <c r="T15" s="18" t="n">
        <v>2791</v>
      </c>
      <c r="U15" s="18" t="n">
        <v>3011</v>
      </c>
      <c r="V15" s="18" t="n">
        <v>3258</v>
      </c>
      <c r="W15" s="18" t="n">
        <v>3263</v>
      </c>
      <c r="X15" s="18" t="n">
        <v>3342</v>
      </c>
      <c r="Y15" s="18" t="n">
        <v>3280</v>
      </c>
      <c r="Z15" s="18" t="n">
        <v>3701</v>
      </c>
      <c r="AA15" s="18" t="n">
        <v>3927</v>
      </c>
      <c r="AB15" s="18" t="n">
        <v>4060</v>
      </c>
      <c r="AC15" s="18" t="n">
        <v>3882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1025.000015</v>
      </c>
      <c r="C17" s="18" t="n">
        <v>1019.000015</v>
      </c>
      <c r="D17" s="18" t="n">
        <v>1013.000015</v>
      </c>
      <c r="E17" s="18" t="n">
        <v>1010</v>
      </c>
      <c r="F17" s="18" t="n">
        <v>1008</v>
      </c>
      <c r="G17" s="18" t="n">
        <v>1005</v>
      </c>
      <c r="H17" s="18" t="n">
        <v>1001.000015</v>
      </c>
      <c r="I17" s="18" t="n">
        <v>998</v>
      </c>
      <c r="J17" s="18" t="n">
        <v>994</v>
      </c>
      <c r="K17" s="18" t="n">
        <v>990</v>
      </c>
      <c r="L17" s="18" t="n">
        <v>986</v>
      </c>
      <c r="M17" s="18" t="n">
        <v>981</v>
      </c>
      <c r="N17" s="18" t="n">
        <v>974</v>
      </c>
      <c r="O17" s="18" t="n">
        <v>968</v>
      </c>
      <c r="P17" s="18" t="n">
        <v>963</v>
      </c>
      <c r="Q17" s="18" t="n">
        <v>956</v>
      </c>
      <c r="R17" s="18" t="n">
        <v>949</v>
      </c>
      <c r="S17" s="18" t="n">
        <v>943</v>
      </c>
      <c r="T17" s="18" t="n">
        <v>939</v>
      </c>
      <c r="U17" s="18" t="n">
        <v>935</v>
      </c>
      <c r="V17" s="18" t="n">
        <v>930</v>
      </c>
      <c r="W17" s="18" t="n">
        <v>925</v>
      </c>
      <c r="X17" s="18" t="n">
        <v>919</v>
      </c>
      <c r="Y17" s="18" t="n">
        <v>914</v>
      </c>
      <c r="Z17" s="18" t="n">
        <v>909</v>
      </c>
      <c r="AA17" s="18" t="n">
        <v>905</v>
      </c>
      <c r="AB17" s="18" t="n">
        <v>898</v>
      </c>
      <c r="AC17" s="18" t="n">
        <v>893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Payment Network</t>
        </is>
      </c>
      <c r="P19" s="18" t="n">
        <v>3785</v>
      </c>
      <c r="Q19" s="18" t="n">
        <v>3650</v>
      </c>
      <c r="R19" s="18" t="n">
        <v>4073</v>
      </c>
      <c r="S19" s="18" t="n">
        <v>4210</v>
      </c>
      <c r="T19" s="18" t="n">
        <v>3891</v>
      </c>
      <c r="U19" s="18" t="n">
        <v>3920</v>
      </c>
      <c r="V19" s="18" t="n">
        <v>4375</v>
      </c>
      <c r="W19" s="18" t="n">
        <v>4629</v>
      </c>
      <c r="X19" s="18" t="n">
        <v>4411</v>
      </c>
      <c r="Y19" s="18" t="n">
        <v>4432</v>
      </c>
      <c r="Z19" s="18" t="n">
        <v>4945</v>
      </c>
      <c r="AA19" s="18" t="n">
        <v>5179</v>
      </c>
      <c r="AB19" s="18" t="n">
        <v>4920</v>
      </c>
      <c r="AC19" s="18" t="n">
        <v>4948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Value-Added Services And Solutions</t>
        </is>
      </c>
      <c r="P22" s="18" t="n">
        <v>2232</v>
      </c>
      <c r="Q22" s="18" t="n">
        <v>2098</v>
      </c>
      <c r="R22" s="18" t="n">
        <v>2196</v>
      </c>
      <c r="S22" s="18" t="n">
        <v>2323</v>
      </c>
      <c r="T22" s="18" t="n">
        <v>2657</v>
      </c>
      <c r="U22" s="18" t="n">
        <v>2428</v>
      </c>
      <c r="V22" s="18" t="n">
        <v>2586</v>
      </c>
      <c r="W22" s="18" t="n">
        <v>2740</v>
      </c>
      <c r="X22" s="18" t="n">
        <v>3078</v>
      </c>
      <c r="Y22" s="18" t="n">
        <v>2818</v>
      </c>
      <c r="Z22" s="18" t="n">
        <v>3188</v>
      </c>
      <c r="AA22" s="18" t="n">
        <v>3423</v>
      </c>
      <c r="AB22" s="18" t="n">
        <v>3886</v>
      </c>
      <c r="AC22" s="18" t="n">
        <v>3450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International Markets</t>
        </is>
      </c>
      <c r="B26" s="18" t="n">
        <v>2629</v>
      </c>
      <c r="C26" s="18" t="n">
        <v>2877</v>
      </c>
      <c r="E26" s="18" t="n">
        <v>2633</v>
      </c>
      <c r="F26" s="18" t="n">
        <v>2042</v>
      </c>
      <c r="G26" s="18" t="n">
        <v>2419</v>
      </c>
      <c r="H26" s="18" t="n">
        <v>2607</v>
      </c>
      <c r="I26" s="18" t="n">
        <v>2618</v>
      </c>
      <c r="J26" s="18" t="n">
        <v>2879</v>
      </c>
      <c r="K26" s="18" t="n">
        <v>3218</v>
      </c>
      <c r="L26" s="18" t="n">
        <v>3353</v>
      </c>
      <c r="M26" s="18" t="n">
        <v>3385</v>
      </c>
      <c r="N26" s="18" t="n">
        <v>3436</v>
      </c>
      <c r="O26" s="18" t="n">
        <v>3669</v>
      </c>
      <c r="P26" s="18" t="n">
        <v>3938</v>
      </c>
      <c r="Q26" s="18" t="n">
        <v>3852</v>
      </c>
      <c r="R26" s="18" t="n">
        <v>4131</v>
      </c>
      <c r="S26" s="18" t="n">
        <v>4424</v>
      </c>
      <c r="T26" s="18" t="n">
        <v>4332</v>
      </c>
      <c r="U26" s="18" t="n">
        <v>3575</v>
      </c>
      <c r="V26" s="18" t="n">
        <v>3797</v>
      </c>
      <c r="W26" s="18" t="n">
        <v>4213</v>
      </c>
      <c r="X26" s="18" t="n">
        <v>4207</v>
      </c>
      <c r="Y26" s="18" t="n">
        <v>4099</v>
      </c>
      <c r="Z26" s="18" t="n">
        <v>4727</v>
      </c>
      <c r="AA26" s="18" t="n">
        <v>4951</v>
      </c>
      <c r="AB26" s="18" t="n">
        <v>4970</v>
      </c>
      <c r="AC26" s="18" t="n">
        <v>4834</v>
      </c>
    </row>
    <row r="27">
      <c r="A27" s="4" t="inlineStr">
        <is>
          <t xml:space="preserve">    % YoY</t>
        </is>
      </c>
      <c r="F27" s="25">
        <f>IFERROR(F26/B26-1,"")</f>
        <v/>
      </c>
      <c r="G27" s="25">
        <f>IFERROR(G26/C26-1,"")</f>
        <v/>
      </c>
      <c r="H27" s="25">
        <f>IFERROR(H26/D26-1,"")</f>
        <v/>
      </c>
      <c r="I27" s="25">
        <f>IFERROR(I26/E26-1,"")</f>
        <v/>
      </c>
      <c r="J27" s="25">
        <f>IFERROR(J26/F26-1,"")</f>
        <v/>
      </c>
      <c r="K27" s="25">
        <f>IFERROR(K26/G26-1,"")</f>
        <v/>
      </c>
      <c r="L27" s="25">
        <f>IFERROR(L26/H26-1,"")</f>
        <v/>
      </c>
      <c r="M27" s="25">
        <f>IFERROR(M26/I26-1,"")</f>
        <v/>
      </c>
      <c r="N27" s="25">
        <f>IFERROR(N26/J26-1,"")</f>
        <v/>
      </c>
      <c r="O27" s="25">
        <f>IFERROR(O26/K26-1,"")</f>
        <v/>
      </c>
      <c r="P27" s="25">
        <f>IFERROR(P26/L26-1,"")</f>
        <v/>
      </c>
      <c r="Q27" s="25">
        <f>IFERROR(Q26/M26-1,"")</f>
        <v/>
      </c>
      <c r="R27" s="25">
        <f>IFERROR(R26/N26-1,"")</f>
        <v/>
      </c>
      <c r="S27" s="25">
        <f>IFERROR(S26/O26-1,"")</f>
        <v/>
      </c>
      <c r="T27" s="25">
        <f>IFERROR(T26/P26-1,"")</f>
        <v/>
      </c>
      <c r="U27" s="25">
        <f>IFERROR(U26/Q26-1,"")</f>
        <v/>
      </c>
      <c r="V27" s="25">
        <f>IFERROR(V26/R26-1,"")</f>
        <v/>
      </c>
      <c r="W27" s="25">
        <f>IFERROR(W26/S26-1,"")</f>
        <v/>
      </c>
      <c r="X27" s="25">
        <f>IFERROR(X26/T26-1,"")</f>
        <v/>
      </c>
      <c r="Y27" s="25">
        <f>IFERROR(Y26/U26-1,"")</f>
        <v/>
      </c>
      <c r="Z27" s="25">
        <f>IFERROR(Z26/V26-1,"")</f>
        <v/>
      </c>
      <c r="AA27" s="25">
        <f>IFERROR(AA26/W26-1,"")</f>
        <v/>
      </c>
      <c r="AB27" s="25">
        <f>IFERROR(AB26/X26-1,"")</f>
        <v/>
      </c>
      <c r="AC27" s="25">
        <f>IFERROR(AC26/Y26-1,"")</f>
        <v/>
      </c>
    </row>
    <row r="28">
      <c r="A28" s="4" t="inlineStr">
        <is>
          <t xml:space="preserve">    % of revenue</t>
        </is>
      </c>
      <c r="B28" s="25">
        <f>IFERROR(B26/B3,"")</f>
        <v/>
      </c>
      <c r="C28" s="25">
        <f>IFERROR(C26/C3,"")</f>
        <v/>
      </c>
      <c r="D28" s="25">
        <f>IFERROR(D26/D3,"")</f>
        <v/>
      </c>
      <c r="E28" s="25">
        <f>IFERROR(E26/E3,"")</f>
        <v/>
      </c>
      <c r="F28" s="25">
        <f>IFERROR(F26/F3,"")</f>
        <v/>
      </c>
      <c r="G28" s="25">
        <f>IFERROR(G26/G3,"")</f>
        <v/>
      </c>
      <c r="H28" s="25">
        <f>IFERROR(H26/H3,"")</f>
        <v/>
      </c>
      <c r="I28" s="25">
        <f>IFERROR(I26/I3,"")</f>
        <v/>
      </c>
      <c r="J28" s="25">
        <f>IFERROR(J26/J3,"")</f>
        <v/>
      </c>
      <c r="K28" s="25">
        <f>IFERROR(K26/K3,"")</f>
        <v/>
      </c>
      <c r="L28" s="25">
        <f>IFERROR(L26/L3,"")</f>
        <v/>
      </c>
      <c r="M28" s="25">
        <f>IFERROR(M26/M3,"")</f>
        <v/>
      </c>
      <c r="N28" s="25">
        <f>IFERROR(N26/N3,"")</f>
        <v/>
      </c>
      <c r="O28" s="25">
        <f>IFERROR(O26/O3,"")</f>
        <v/>
      </c>
      <c r="P28" s="25">
        <f>IFERROR(P26/P3,"")</f>
        <v/>
      </c>
      <c r="Q28" s="25">
        <f>IFERROR(Q26/Q3,"")</f>
        <v/>
      </c>
      <c r="R28" s="25">
        <f>IFERROR(R26/R3,"")</f>
        <v/>
      </c>
      <c r="S28" s="25">
        <f>IFERROR(S26/S3,"")</f>
        <v/>
      </c>
      <c r="T28" s="25">
        <f>IFERROR(T26/T3,"")</f>
        <v/>
      </c>
      <c r="U28" s="25">
        <f>IFERROR(U26/U3,"")</f>
        <v/>
      </c>
      <c r="V28" s="25">
        <f>IFERROR(V26/V3,"")</f>
        <v/>
      </c>
      <c r="W28" s="25">
        <f>IFERROR(W26/W3,"")</f>
        <v/>
      </c>
      <c r="X28" s="25">
        <f>IFERROR(X26/X3,"")</f>
        <v/>
      </c>
      <c r="Y28" s="25">
        <f>IFERROR(Y26/Y3,"")</f>
        <v/>
      </c>
      <c r="Z28" s="25">
        <f>IFERROR(Z26/Z3,"")</f>
        <v/>
      </c>
      <c r="AA28" s="25">
        <f>IFERROR(AA26/AA3,"")</f>
        <v/>
      </c>
      <c r="AB28" s="25">
        <f>IFERROR(AB26/AB3,"")</f>
        <v/>
      </c>
      <c r="AC28" s="25">
        <f>IFERROR(AC26/AC3,"")</f>
        <v/>
      </c>
    </row>
    <row r="29">
      <c r="A29" s="4" t="inlineStr">
        <is>
          <t>North America</t>
        </is>
      </c>
      <c r="B29" s="18" t="n">
        <v>1430</v>
      </c>
      <c r="C29" s="18" t="n">
        <v>1545</v>
      </c>
      <c r="D29" s="18" t="n">
        <v>1521</v>
      </c>
      <c r="E29" s="18" t="n">
        <v>1334</v>
      </c>
      <c r="F29" s="18" t="n">
        <v>1243</v>
      </c>
      <c r="G29" s="18" t="n">
        <v>1381</v>
      </c>
      <c r="H29" s="18" t="n">
        <v>1466</v>
      </c>
      <c r="I29" s="18" t="n">
        <v>1491</v>
      </c>
      <c r="J29" s="18" t="n">
        <v>1605</v>
      </c>
      <c r="K29" s="18" t="n">
        <v>1707</v>
      </c>
      <c r="L29" s="18" t="n">
        <v>1791</v>
      </c>
      <c r="M29" s="18" t="n">
        <v>1703</v>
      </c>
      <c r="N29" s="18" t="n">
        <v>1979</v>
      </c>
      <c r="O29" s="18" t="n">
        <v>1995</v>
      </c>
      <c r="P29" s="18" t="n">
        <v>2132</v>
      </c>
      <c r="Q29" s="18" t="n">
        <v>1896</v>
      </c>
      <c r="R29" s="18" t="n">
        <v>2138</v>
      </c>
      <c r="S29" s="18" t="n">
        <v>2109</v>
      </c>
      <c r="T29" s="18" t="n">
        <v>2216</v>
      </c>
      <c r="U29" s="18" t="n">
        <v>2773</v>
      </c>
      <c r="V29" s="18" t="n">
        <v>3164</v>
      </c>
      <c r="W29" s="18" t="n">
        <v>3156</v>
      </c>
      <c r="X29" s="18" t="n">
        <v>3282</v>
      </c>
      <c r="Y29" s="18" t="n">
        <v>3151</v>
      </c>
      <c r="Z29" s="18" t="n">
        <v>3406</v>
      </c>
      <c r="AA29" s="18" t="n">
        <v>3651</v>
      </c>
      <c r="AC29" s="18" t="n">
        <v>3564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5" t="inlineStr">
        <is>
          <t xml:space="preserve">  BALANCE SHEET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4" t="inlineStr">
        <is>
          <t>Cash &amp; ST Investments</t>
        </is>
      </c>
      <c r="B33" s="18" t="n">
        <v>6500</v>
      </c>
      <c r="C33" s="18" t="n">
        <v>5852</v>
      </c>
      <c r="D33" s="18" t="n">
        <v>7676</v>
      </c>
      <c r="E33" s="18" t="n">
        <v>10684</v>
      </c>
      <c r="F33" s="18" t="n">
        <v>11527</v>
      </c>
      <c r="G33" s="18" t="n">
        <v>10625</v>
      </c>
      <c r="H33" s="18" t="n">
        <v>10596</v>
      </c>
      <c r="I33" s="18" t="n">
        <v>7735</v>
      </c>
      <c r="J33" s="18" t="n">
        <v>6760</v>
      </c>
      <c r="K33" s="18" t="n">
        <v>6916</v>
      </c>
      <c r="L33" s="18" t="n">
        <v>7894</v>
      </c>
      <c r="M33" s="18" t="n">
        <v>7328</v>
      </c>
      <c r="N33" s="18" t="n">
        <v>6359</v>
      </c>
      <c r="O33" s="18" t="n">
        <v>8045</v>
      </c>
      <c r="P33" s="18" t="n">
        <v>7408</v>
      </c>
      <c r="Q33" s="18" t="n">
        <v>6968</v>
      </c>
      <c r="R33" s="18" t="n">
        <v>6514</v>
      </c>
      <c r="S33" s="18" t="n">
        <v>7492</v>
      </c>
      <c r="T33" s="18" t="n">
        <v>9180</v>
      </c>
      <c r="U33" s="18" t="n">
        <v>7657</v>
      </c>
      <c r="V33" s="18" t="n">
        <v>7358</v>
      </c>
      <c r="W33" s="18" t="n">
        <v>11401</v>
      </c>
      <c r="X33" s="18" t="n">
        <v>8772</v>
      </c>
      <c r="Y33" s="18" t="n">
        <v>7894</v>
      </c>
      <c r="Z33" s="18" t="n">
        <v>9367</v>
      </c>
      <c r="AA33" s="18" t="n">
        <v>10648</v>
      </c>
      <c r="AB33" s="18" t="n">
        <v>10898</v>
      </c>
      <c r="AC33" s="18" t="n">
        <v>8219</v>
      </c>
    </row>
    <row r="34">
      <c r="A34" s="4" t="inlineStr">
        <is>
          <t>Total Current Assets</t>
        </is>
      </c>
      <c r="B34" s="18" t="n">
        <v>14165</v>
      </c>
      <c r="C34" s="18" t="n">
        <v>14847</v>
      </c>
      <c r="D34" s="18" t="n">
        <v>16902</v>
      </c>
      <c r="E34" s="18" t="n">
        <v>18123</v>
      </c>
      <c r="F34" s="18" t="n">
        <v>19381</v>
      </c>
      <c r="G34" s="18" t="n">
        <v>18469</v>
      </c>
      <c r="H34" s="18" t="n">
        <v>19113</v>
      </c>
      <c r="I34" s="18" t="n">
        <v>16405</v>
      </c>
      <c r="J34" s="18" t="n">
        <v>15079</v>
      </c>
      <c r="K34" s="18" t="n">
        <v>15382</v>
      </c>
      <c r="L34" s="18" t="n">
        <v>16949</v>
      </c>
      <c r="M34" s="18" t="n">
        <v>15953</v>
      </c>
      <c r="N34" s="18" t="n">
        <v>15211</v>
      </c>
      <c r="O34" s="18" t="n">
        <v>16823</v>
      </c>
      <c r="P34" s="18" t="n">
        <v>16606</v>
      </c>
      <c r="Q34" s="18" t="n">
        <v>16420</v>
      </c>
      <c r="R34" s="18" t="n">
        <v>16530</v>
      </c>
      <c r="S34" s="18" t="n">
        <v>16983</v>
      </c>
      <c r="T34" s="18" t="n">
        <v>18961</v>
      </c>
      <c r="U34" s="18" t="n">
        <v>18424</v>
      </c>
      <c r="V34" s="18" t="n">
        <v>17780</v>
      </c>
      <c r="W34" s="18" t="n">
        <v>22300</v>
      </c>
      <c r="X34" s="18" t="n">
        <v>19724</v>
      </c>
      <c r="Y34" s="18" t="n">
        <v>19804</v>
      </c>
      <c r="Z34" s="18" t="n">
        <v>22140</v>
      </c>
      <c r="AA34" s="18" t="n">
        <v>23223</v>
      </c>
      <c r="AB34" s="18" t="n">
        <v>23558</v>
      </c>
      <c r="AC34" s="18" t="n">
        <v>22498</v>
      </c>
    </row>
    <row r="35">
      <c r="A35" s="4" t="inlineStr">
        <is>
          <t>PP&amp;E (net)</t>
        </is>
      </c>
      <c r="B35" s="18" t="n">
        <v>1348</v>
      </c>
      <c r="C35" s="18" t="n">
        <v>1492</v>
      </c>
      <c r="D35" s="18" t="n">
        <v>1828</v>
      </c>
      <c r="E35" s="18" t="n">
        <v>1901</v>
      </c>
      <c r="F35" s="18" t="n">
        <v>1872</v>
      </c>
      <c r="G35" s="18" t="n">
        <v>1887</v>
      </c>
      <c r="H35" s="18" t="n">
        <v>1902</v>
      </c>
      <c r="I35" s="18" t="n">
        <v>1850</v>
      </c>
      <c r="J35" s="18" t="n">
        <v>1839</v>
      </c>
      <c r="K35" s="18" t="n">
        <v>1860</v>
      </c>
      <c r="L35" s="18" t="n">
        <v>1907</v>
      </c>
      <c r="M35" s="18" t="n">
        <v>1957</v>
      </c>
      <c r="N35" s="18" t="n">
        <v>1950</v>
      </c>
      <c r="O35" s="18" t="n">
        <v>1951</v>
      </c>
      <c r="P35" s="18" t="n">
        <v>2006</v>
      </c>
      <c r="Q35" s="18" t="n">
        <v>2006</v>
      </c>
      <c r="R35" s="18" t="n">
        <v>1986</v>
      </c>
      <c r="S35" s="18" t="n">
        <v>1972</v>
      </c>
      <c r="T35" s="18" t="n">
        <v>2061</v>
      </c>
      <c r="U35" s="18" t="n">
        <v>2077</v>
      </c>
      <c r="V35" s="18" t="n">
        <v>2148</v>
      </c>
      <c r="W35" s="18" t="n">
        <v>2176</v>
      </c>
      <c r="X35" s="18" t="n">
        <v>2138</v>
      </c>
      <c r="Y35" s="18" t="n">
        <v>2171</v>
      </c>
      <c r="Z35" s="18" t="n">
        <v>2225</v>
      </c>
      <c r="AA35" s="18" t="n">
        <v>2299</v>
      </c>
      <c r="AB35" s="18" t="n">
        <v>2303</v>
      </c>
      <c r="AC35" s="18" t="n">
        <v>2349</v>
      </c>
    </row>
    <row r="36">
      <c r="A36" s="4" t="inlineStr">
        <is>
          <t>Total Assets</t>
        </is>
      </c>
      <c r="B36" s="18" t="n">
        <v>24731</v>
      </c>
      <c r="C36" s="18" t="n">
        <v>25981</v>
      </c>
      <c r="D36" s="18" t="n">
        <v>29236</v>
      </c>
      <c r="E36" s="18" t="n">
        <v>30648</v>
      </c>
      <c r="F36" s="18" t="n">
        <v>32127</v>
      </c>
      <c r="G36" s="18" t="n">
        <v>31594</v>
      </c>
      <c r="H36" s="18" t="n">
        <v>33584</v>
      </c>
      <c r="I36" s="18" t="n">
        <v>34800</v>
      </c>
      <c r="J36" s="18" t="n">
        <v>34911</v>
      </c>
      <c r="K36" s="18" t="n">
        <v>35410</v>
      </c>
      <c r="L36" s="18" t="n">
        <v>37669</v>
      </c>
      <c r="M36" s="18" t="n">
        <v>37163</v>
      </c>
      <c r="N36" s="18" t="n">
        <v>36231</v>
      </c>
      <c r="O36" s="18" t="n">
        <v>37612</v>
      </c>
      <c r="P36" s="18" t="n">
        <v>38724</v>
      </c>
      <c r="Q36" s="18" t="n">
        <v>38936</v>
      </c>
      <c r="R36" s="18" t="n">
        <v>39004</v>
      </c>
      <c r="S36" s="18" t="n">
        <v>39674</v>
      </c>
      <c r="T36" s="18" t="n">
        <v>42448</v>
      </c>
      <c r="U36" s="18" t="n">
        <v>42602</v>
      </c>
      <c r="V36" s="18" t="n">
        <v>42333</v>
      </c>
      <c r="W36" s="18" t="n">
        <v>47237</v>
      </c>
      <c r="X36" s="18" t="n">
        <v>48081</v>
      </c>
      <c r="Y36" s="18" t="n">
        <v>48470</v>
      </c>
      <c r="Z36" s="18" t="n">
        <v>51431</v>
      </c>
      <c r="AA36" s="18" t="n">
        <v>53289</v>
      </c>
      <c r="AB36" s="18" t="n">
        <v>54157</v>
      </c>
      <c r="AC36" s="18" t="n">
        <v>52449</v>
      </c>
    </row>
    <row r="37">
      <c r="A37" s="4" t="inlineStr">
        <is>
          <t>Total Current Liabilities</t>
        </is>
      </c>
      <c r="B37" s="18" t="n">
        <v>9497</v>
      </c>
      <c r="C37" s="18" t="n">
        <v>10714</v>
      </c>
      <c r="D37" s="18" t="n">
        <v>11904</v>
      </c>
      <c r="E37" s="18" t="n">
        <v>9712</v>
      </c>
      <c r="F37" s="18" t="n">
        <v>9923</v>
      </c>
      <c r="G37" s="18" t="n">
        <v>9958</v>
      </c>
      <c r="H37" s="18" t="n">
        <v>11847</v>
      </c>
      <c r="I37" s="18" t="n">
        <v>11475</v>
      </c>
      <c r="J37" s="18" t="n">
        <v>11297</v>
      </c>
      <c r="K37" s="18" t="n">
        <v>11561</v>
      </c>
      <c r="L37" s="18" t="n">
        <v>13162</v>
      </c>
      <c r="M37" s="18" t="n">
        <v>11928</v>
      </c>
      <c r="N37" s="18" t="n">
        <v>12085</v>
      </c>
      <c r="O37" s="18" t="n">
        <v>13476</v>
      </c>
      <c r="P37" s="18" t="n">
        <v>14171</v>
      </c>
      <c r="Q37" s="18" t="n">
        <v>13651</v>
      </c>
      <c r="R37" s="18" t="n">
        <v>14636</v>
      </c>
      <c r="S37" s="18" t="n">
        <v>14519</v>
      </c>
      <c r="T37" s="18" t="n">
        <v>16264</v>
      </c>
      <c r="U37" s="18" t="n">
        <v>16905</v>
      </c>
      <c r="V37" s="18" t="n">
        <v>15594</v>
      </c>
      <c r="W37" s="18" t="n">
        <v>17294</v>
      </c>
      <c r="X37" s="18" t="n">
        <v>19220</v>
      </c>
      <c r="Y37" s="18" t="n">
        <v>17828</v>
      </c>
      <c r="Z37" s="18" t="n">
        <v>19029</v>
      </c>
      <c r="AA37" s="18" t="n">
        <v>20693</v>
      </c>
      <c r="AB37" s="18" t="n">
        <v>22762</v>
      </c>
      <c r="AC37" s="18" t="n">
        <v>22934</v>
      </c>
    </row>
    <row r="38">
      <c r="A38" s="4" t="inlineStr">
        <is>
          <t>Long-term Debt</t>
        </is>
      </c>
      <c r="B38" s="18" t="n">
        <v>7806</v>
      </c>
      <c r="C38" s="18" t="n">
        <v>7735</v>
      </c>
      <c r="D38" s="18" t="n">
        <v>8527</v>
      </c>
      <c r="E38" s="18" t="n">
        <v>12466</v>
      </c>
      <c r="F38" s="18" t="n">
        <v>12498</v>
      </c>
      <c r="G38" s="18" t="n">
        <v>12574</v>
      </c>
      <c r="H38" s="18" t="n">
        <v>12023</v>
      </c>
      <c r="I38" s="18" t="n">
        <v>13221</v>
      </c>
      <c r="J38" s="18" t="n">
        <v>13250</v>
      </c>
      <c r="K38" s="18" t="n">
        <v>13211</v>
      </c>
      <c r="L38" s="18" t="n">
        <v>13109</v>
      </c>
      <c r="M38" s="18" t="n">
        <v>13868</v>
      </c>
      <c r="N38" s="18" t="n">
        <v>13746</v>
      </c>
      <c r="O38" s="18" t="n">
        <v>13577</v>
      </c>
      <c r="P38" s="18" t="n">
        <v>13749</v>
      </c>
      <c r="Q38" s="18" t="n">
        <v>15292</v>
      </c>
      <c r="R38" s="18" t="n">
        <v>14284</v>
      </c>
      <c r="S38" s="18" t="n">
        <v>14229</v>
      </c>
      <c r="T38" s="18" t="n">
        <v>14344</v>
      </c>
      <c r="U38" s="18" t="n">
        <v>13543</v>
      </c>
      <c r="V38" s="18" t="n">
        <v>14519</v>
      </c>
      <c r="W38" s="18" t="n">
        <v>17608</v>
      </c>
      <c r="X38" s="18" t="n">
        <v>17476</v>
      </c>
      <c r="Y38" s="18" t="n">
        <v>18802</v>
      </c>
      <c r="Z38" s="18" t="n">
        <v>18970</v>
      </c>
      <c r="AA38" s="18" t="n">
        <v>18983</v>
      </c>
      <c r="AB38" s="18" t="n">
        <v>18251</v>
      </c>
      <c r="AC38" s="18" t="n">
        <v>17212</v>
      </c>
    </row>
    <row r="39">
      <c r="A39" s="4" t="inlineStr">
        <is>
          <t>Total Equity</t>
        </is>
      </c>
      <c r="B39" s="18" t="n">
        <v>5008</v>
      </c>
      <c r="C39" s="18" t="n">
        <v>4949</v>
      </c>
      <c r="D39" s="18" t="n">
        <v>5893</v>
      </c>
      <c r="E39" s="18" t="n">
        <v>5398</v>
      </c>
      <c r="F39" s="18" t="n">
        <v>6470</v>
      </c>
      <c r="G39" s="18" t="n">
        <v>5796</v>
      </c>
      <c r="H39" s="18" t="n">
        <v>6391</v>
      </c>
      <c r="I39" s="18" t="n">
        <v>6327</v>
      </c>
      <c r="J39" s="18" t="n">
        <v>6442</v>
      </c>
      <c r="K39" s="18" t="n">
        <v>6703</v>
      </c>
      <c r="L39" s="18" t="n">
        <v>7312</v>
      </c>
      <c r="M39" s="18" t="n">
        <v>7034</v>
      </c>
      <c r="N39" s="18" t="n">
        <v>6171</v>
      </c>
      <c r="O39" s="18" t="n">
        <v>6361</v>
      </c>
      <c r="P39" s="18" t="n">
        <v>6298</v>
      </c>
      <c r="Q39" s="18" t="n">
        <v>5330</v>
      </c>
      <c r="R39" s="18" t="n">
        <v>5504</v>
      </c>
      <c r="S39" s="18" t="n">
        <v>6311</v>
      </c>
      <c r="T39" s="18" t="n">
        <v>6929</v>
      </c>
      <c r="U39" s="18" t="n">
        <v>7243</v>
      </c>
      <c r="V39" s="18" t="n">
        <v>7421</v>
      </c>
      <c r="W39" s="18" t="n">
        <v>7440</v>
      </c>
      <c r="X39" s="18" t="n">
        <v>6485</v>
      </c>
      <c r="Y39" s="18" t="n">
        <v>6671</v>
      </c>
      <c r="Z39" s="18" t="n">
        <v>7853</v>
      </c>
      <c r="AA39" s="18" t="n">
        <v>7904</v>
      </c>
      <c r="AB39" s="18" t="n">
        <v>7737</v>
      </c>
      <c r="AC39" s="18" t="n">
        <v>6722</v>
      </c>
    </row>
    <row r="40">
      <c r="A40" s="5" t="inlineStr">
        <is>
          <t xml:space="preserve">  CASH FLOW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4" t="inlineStr">
        <is>
          <t>D&amp;A</t>
        </is>
      </c>
      <c r="B41" s="18" t="n">
        <v>122</v>
      </c>
      <c r="C41" s="18" t="n">
        <v>137</v>
      </c>
      <c r="D41" s="18" t="n">
        <v>146</v>
      </c>
      <c r="E41" s="18" t="n">
        <v>144</v>
      </c>
      <c r="F41" s="18" t="n">
        <v>145</v>
      </c>
      <c r="G41" s="18" t="n">
        <v>141</v>
      </c>
      <c r="H41" s="18" t="n">
        <v>150</v>
      </c>
      <c r="I41" s="18" t="n">
        <v>163</v>
      </c>
      <c r="J41" s="18" t="n">
        <v>186</v>
      </c>
      <c r="K41" s="18" t="n">
        <v>188</v>
      </c>
      <c r="L41" s="18" t="n">
        <v>189</v>
      </c>
      <c r="M41" s="18" t="n">
        <v>192</v>
      </c>
      <c r="N41" s="18" t="n">
        <v>189</v>
      </c>
      <c r="O41" s="18" t="n">
        <v>185</v>
      </c>
      <c r="P41" s="18" t="n">
        <v>184</v>
      </c>
      <c r="Q41" s="18" t="n">
        <v>191</v>
      </c>
      <c r="R41" s="18" t="n">
        <v>192</v>
      </c>
      <c r="S41" s="18" t="n">
        <v>211</v>
      </c>
      <c r="T41" s="18" t="n">
        <v>205</v>
      </c>
      <c r="U41" s="18" t="n">
        <v>216</v>
      </c>
      <c r="V41" s="18" t="n">
        <v>225</v>
      </c>
      <c r="W41" s="18" t="n">
        <v>225</v>
      </c>
      <c r="X41" s="18" t="n">
        <v>231</v>
      </c>
      <c r="Y41" s="18" t="n">
        <v>275</v>
      </c>
      <c r="Z41" s="18" t="n">
        <v>281</v>
      </c>
      <c r="AA41" s="18" t="n">
        <v>290</v>
      </c>
      <c r="AB41" s="18" t="n">
        <v>297</v>
      </c>
      <c r="AC41" s="18" t="n">
        <v>299</v>
      </c>
    </row>
    <row r="42">
      <c r="A42" s="4" t="inlineStr">
        <is>
          <t>Stock-based Compensation</t>
        </is>
      </c>
      <c r="B42" s="18" t="n">
        <v>73</v>
      </c>
      <c r="C42" s="18" t="n">
        <v>77</v>
      </c>
      <c r="D42" s="18" t="n">
        <v>43</v>
      </c>
      <c r="E42" s="18" t="n">
        <v>52</v>
      </c>
      <c r="F42" s="18" t="n">
        <v>75</v>
      </c>
      <c r="G42" s="18" t="n">
        <v>75</v>
      </c>
      <c r="H42" s="18" t="n">
        <v>52</v>
      </c>
      <c r="I42" s="18" t="n">
        <v>65</v>
      </c>
      <c r="J42" s="18" t="n">
        <v>87</v>
      </c>
      <c r="K42" s="18" t="n">
        <v>89</v>
      </c>
      <c r="L42" s="18" t="n">
        <v>32</v>
      </c>
      <c r="M42" s="18" t="n">
        <v>74</v>
      </c>
      <c r="N42" s="18" t="n">
        <v>101</v>
      </c>
      <c r="O42" s="18" t="n">
        <v>98</v>
      </c>
      <c r="P42" s="18" t="n">
        <v>22</v>
      </c>
      <c r="Q42" s="18" t="n">
        <v>108</v>
      </c>
      <c r="R42" s="18" t="n">
        <v>135</v>
      </c>
      <c r="S42" s="18" t="n">
        <v>131</v>
      </c>
      <c r="T42" s="18" t="n">
        <v>86</v>
      </c>
      <c r="U42" s="18" t="n">
        <v>108</v>
      </c>
      <c r="V42" s="18" t="n">
        <v>155</v>
      </c>
      <c r="W42" s="18" t="n">
        <v>155</v>
      </c>
      <c r="X42" s="18" t="n">
        <v>108</v>
      </c>
      <c r="Y42" s="18" t="n">
        <v>129</v>
      </c>
      <c r="Z42" s="18" t="n">
        <v>179</v>
      </c>
      <c r="AA42" s="18" t="n">
        <v>177</v>
      </c>
      <c r="AB42" s="18" t="n">
        <v>0</v>
      </c>
      <c r="AC42" s="18" t="n">
        <v>136</v>
      </c>
    </row>
    <row r="43">
      <c r="A43" s="4" t="inlineStr">
        <is>
          <t>Change in Working Capital</t>
        </is>
      </c>
      <c r="B43" s="18" t="n">
        <v>-870</v>
      </c>
      <c r="C43" s="18" t="n">
        <v>-280</v>
      </c>
      <c r="D43" s="18" t="n">
        <v>565</v>
      </c>
      <c r="E43" s="18" t="n">
        <v>-487</v>
      </c>
      <c r="F43" s="18" t="n">
        <v>-289</v>
      </c>
      <c r="G43" s="18" t="n">
        <v>-472</v>
      </c>
      <c r="H43" s="18" t="n">
        <v>98</v>
      </c>
      <c r="I43" s="18" t="n">
        <v>-881</v>
      </c>
      <c r="J43" s="18" t="n">
        <v>-114</v>
      </c>
      <c r="K43" s="18" t="n">
        <v>-263</v>
      </c>
      <c r="L43" s="18" t="n">
        <v>342</v>
      </c>
      <c r="M43" s="18" t="n">
        <v>-1306</v>
      </c>
      <c r="N43" s="18" t="n">
        <v>-474</v>
      </c>
      <c r="O43" s="18" t="n">
        <v>850</v>
      </c>
      <c r="P43" s="18" t="n">
        <v>26</v>
      </c>
      <c r="Q43" s="18" t="n">
        <v>-3</v>
      </c>
      <c r="R43" s="18" t="n">
        <v>-373</v>
      </c>
      <c r="S43" s="18" t="n">
        <v>43</v>
      </c>
      <c r="T43" s="18" t="n">
        <v>-173</v>
      </c>
      <c r="U43" s="18" t="n">
        <v>-2103</v>
      </c>
      <c r="V43" s="18" t="n">
        <v>-880</v>
      </c>
      <c r="W43" s="18" t="n">
        <v>1060</v>
      </c>
      <c r="X43" s="18" t="n">
        <v>883</v>
      </c>
      <c r="Y43" s="18" t="n">
        <v>-1884</v>
      </c>
      <c r="Z43" s="18" t="n">
        <v>-137</v>
      </c>
      <c r="AA43" s="18" t="n">
        <v>742</v>
      </c>
      <c r="AB43" s="18" t="n">
        <v>-230</v>
      </c>
      <c r="AC43" s="18" t="n">
        <v>-1445</v>
      </c>
    </row>
    <row r="44">
      <c r="A44" s="4" t="inlineStr">
        <is>
          <t>Operating Cash Flow</t>
        </is>
      </c>
      <c r="B44" s="18" t="n">
        <v>1536</v>
      </c>
      <c r="C44" s="18" t="n">
        <v>2355</v>
      </c>
      <c r="D44" s="18" t="n">
        <v>2980</v>
      </c>
      <c r="E44" s="18" t="n">
        <v>1859</v>
      </c>
      <c r="F44" s="18" t="n">
        <v>1458</v>
      </c>
      <c r="G44" s="18" t="n">
        <v>1654</v>
      </c>
      <c r="H44" s="18" t="n">
        <v>2253</v>
      </c>
      <c r="I44" s="18" t="n">
        <v>1463</v>
      </c>
      <c r="J44" s="18" t="n">
        <v>2268</v>
      </c>
      <c r="K44" s="18" t="n">
        <v>2543</v>
      </c>
      <c r="L44" s="18" t="n">
        <v>3189</v>
      </c>
      <c r="M44" s="18" t="n">
        <v>1782</v>
      </c>
      <c r="N44" s="18" t="n">
        <v>2457</v>
      </c>
      <c r="O44" s="18" t="n">
        <v>3856</v>
      </c>
      <c r="P44" s="18" t="n">
        <v>3100</v>
      </c>
      <c r="Q44" s="18" t="n">
        <v>1919</v>
      </c>
      <c r="R44" s="18" t="n">
        <v>2698</v>
      </c>
      <c r="S44" s="18" t="n">
        <v>3233</v>
      </c>
      <c r="T44" s="18" t="n">
        <v>4130</v>
      </c>
      <c r="U44" s="18" t="n">
        <v>1672</v>
      </c>
      <c r="V44" s="18" t="n">
        <v>3138</v>
      </c>
      <c r="W44" s="18" t="n">
        <v>5136</v>
      </c>
      <c r="X44" s="18" t="n">
        <v>4834</v>
      </c>
      <c r="Y44" s="18" t="n">
        <v>2380</v>
      </c>
      <c r="Z44" s="18" t="n">
        <v>4603</v>
      </c>
      <c r="AA44" s="18" t="n">
        <v>5663</v>
      </c>
      <c r="AB44" s="18" t="n">
        <v>4935</v>
      </c>
      <c r="AC44" s="18" t="n">
        <v>2999</v>
      </c>
    </row>
    <row r="45">
      <c r="A45" s="4" t="inlineStr">
        <is>
          <t>Capex</t>
        </is>
      </c>
      <c r="B45" s="18" t="n">
        <v>-182</v>
      </c>
      <c r="C45" s="18" t="n">
        <v>-219</v>
      </c>
      <c r="D45" s="18" t="n">
        <v>-185</v>
      </c>
      <c r="E45" s="18" t="n">
        <v>-209</v>
      </c>
      <c r="F45" s="18" t="n">
        <v>-183</v>
      </c>
      <c r="G45" s="18" t="n">
        <v>-165</v>
      </c>
      <c r="H45" s="18" t="n">
        <v>-151</v>
      </c>
      <c r="I45" s="18" t="n">
        <v>-144</v>
      </c>
      <c r="J45" s="18" t="n">
        <v>-193</v>
      </c>
      <c r="K45" s="18" t="n">
        <v>-249</v>
      </c>
      <c r="L45" s="18" t="n">
        <v>-228</v>
      </c>
      <c r="M45" s="18" t="n">
        <v>-294</v>
      </c>
      <c r="N45" s="18" t="n">
        <v>-187</v>
      </c>
      <c r="O45" s="18" t="n">
        <v>-277</v>
      </c>
      <c r="P45" s="18" t="n">
        <v>-339</v>
      </c>
      <c r="Q45" s="18" t="n">
        <v>-110</v>
      </c>
      <c r="R45" s="18" t="n">
        <v>-80</v>
      </c>
      <c r="S45" s="18" t="n">
        <v>-104</v>
      </c>
      <c r="T45" s="18" t="n">
        <v>-77</v>
      </c>
      <c r="U45" s="18" t="n">
        <v>-378</v>
      </c>
      <c r="V45" s="18" t="n">
        <v>-296</v>
      </c>
      <c r="W45" s="18" t="n">
        <v>-270</v>
      </c>
      <c r="X45" s="18" t="n">
        <v>-95</v>
      </c>
      <c r="Y45" s="18" t="n">
        <v>-159</v>
      </c>
      <c r="Z45" s="18" t="n">
        <v>-40</v>
      </c>
      <c r="AA45" s="18" t="n">
        <v>-178</v>
      </c>
      <c r="AB45" s="18" t="n">
        <v>-112</v>
      </c>
      <c r="AC45" s="18" t="n">
        <v>-154</v>
      </c>
    </row>
    <row r="46">
      <c r="A46" s="4" t="inlineStr">
        <is>
          <t>Free Cash Flow</t>
        </is>
      </c>
      <c r="B46" s="18" t="n">
        <v>1354</v>
      </c>
      <c r="C46" s="18" t="n">
        <v>2136</v>
      </c>
      <c r="D46" s="18" t="n">
        <v>2795</v>
      </c>
      <c r="E46" s="18" t="n">
        <v>1650</v>
      </c>
      <c r="F46" s="18" t="n">
        <v>1275</v>
      </c>
      <c r="G46" s="18" t="n">
        <v>1489</v>
      </c>
      <c r="H46" s="18" t="n">
        <v>2102</v>
      </c>
      <c r="I46" s="18" t="n">
        <v>1319</v>
      </c>
      <c r="J46" s="18" t="n">
        <v>2075</v>
      </c>
      <c r="K46" s="18" t="n">
        <v>2294</v>
      </c>
      <c r="L46" s="18" t="n">
        <v>2961</v>
      </c>
      <c r="M46" s="18" t="n">
        <v>1488</v>
      </c>
      <c r="N46" s="18" t="n">
        <v>2270</v>
      </c>
      <c r="O46" s="18" t="n">
        <v>3579</v>
      </c>
      <c r="P46" s="18" t="n">
        <v>2761</v>
      </c>
      <c r="Q46" s="18" t="n">
        <v>1809</v>
      </c>
      <c r="R46" s="18" t="n">
        <v>2618</v>
      </c>
      <c r="S46" s="18" t="n">
        <v>3129</v>
      </c>
      <c r="T46" s="18" t="n">
        <v>4053</v>
      </c>
      <c r="U46" s="18" t="n">
        <v>1294</v>
      </c>
      <c r="V46" s="18" t="n">
        <v>2842</v>
      </c>
      <c r="W46" s="18" t="n">
        <v>4866</v>
      </c>
      <c r="X46" s="18" t="n">
        <v>4739</v>
      </c>
      <c r="Y46" s="18" t="n">
        <v>2221</v>
      </c>
      <c r="Z46" s="18" t="n">
        <v>4563</v>
      </c>
      <c r="AA46" s="18" t="n">
        <v>5485</v>
      </c>
      <c r="AB46" s="18" t="n">
        <v>4823</v>
      </c>
      <c r="AC46" s="18" t="n">
        <v>2845</v>
      </c>
    </row>
    <row r="48">
      <c r="A48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37079.919708</v>
      </c>
      <c r="C4" s="18" t="n">
        <v>41746.45264</v>
      </c>
      <c r="D4" s="18" t="n">
        <v>46821.868531</v>
      </c>
      <c r="E4" s="18" t="n">
        <v>53625.333333</v>
      </c>
      <c r="F4" s="18" t="n">
        <v>58824.2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  <c r="F5" s="33">
        <f>Model!K8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23385.795096</v>
      </c>
      <c r="C8" s="18" t="n">
        <v>26328.913199</v>
      </c>
      <c r="D8" s="18" t="n">
        <v>29529.908158</v>
      </c>
      <c r="E8" s="18" t="n">
        <v>33820.759785</v>
      </c>
      <c r="F8" s="18" t="n">
        <v>37099.613449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  <c r="F9" s="33">
        <f>Model!K21+Model!K26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22252.948317</v>
      </c>
      <c r="C12" s="18" t="n">
        <v>25053.496888</v>
      </c>
      <c r="D12" s="18" t="n">
        <v>28099.430331</v>
      </c>
      <c r="E12" s="18" t="n">
        <v>32182.425974</v>
      </c>
      <c r="F12" s="18" t="n">
        <v>35302.446518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  <c r="F13" s="33">
        <f>Model!K21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6337.383616</v>
      </c>
      <c r="C16" s="18" t="n">
        <v>7134.947623</v>
      </c>
      <c r="D16" s="18" t="n">
        <v>8002.394418</v>
      </c>
      <c r="E16" s="18" t="n">
        <v>9165.184594</v>
      </c>
      <c r="F16" s="18" t="n">
        <v>10053.730543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  <c r="F17" s="33">
        <f>Model!K16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17576.235229</v>
      </c>
      <c r="C20" s="18" t="n">
        <v>20425.7823025</v>
      </c>
      <c r="D20" s="18" t="n">
        <v>23616.210176</v>
      </c>
      <c r="E20" s="18" t="n">
        <v>27079.99823</v>
      </c>
      <c r="F20" s="18" t="n">
        <v>30972.020034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  <c r="F21" s="33">
        <f>Model!K25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19.66293</v>
      </c>
      <c r="C24" s="47" t="n">
        <v>22.7861</v>
      </c>
      <c r="D24" s="47" t="n">
        <v>26.44118</v>
      </c>
      <c r="E24" s="47" t="n">
        <v>30.1559</v>
      </c>
      <c r="F24" s="47" t="n">
        <v>34.49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Mastercard Incorporated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Financials!AC33</f>
        <v/>
      </c>
    </row>
    <row r="33">
      <c r="A33" s="4" t="inlineStr">
        <is>
          <t>- Long-term debt</t>
        </is>
      </c>
      <c r="B33" s="33">
        <f>-Financials!AC38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0.06067301902940092</v>
      </c>
      <c r="C4" s="51" t="n">
        <v>0.06567301902940093</v>
      </c>
      <c r="D4" s="51" t="n">
        <v>0.07067301902940092</v>
      </c>
      <c r="E4" s="51" t="n">
        <v>0.07567301902940092</v>
      </c>
      <c r="F4" s="51" t="n">
        <v>0.08067301902940092</v>
      </c>
      <c r="G4" s="51" t="n">
        <v>0.08567301902940092</v>
      </c>
      <c r="H4" s="51" t="n">
        <v>0.09067301902940092</v>
      </c>
    </row>
    <row r="5">
      <c r="A5" s="52" t="n">
        <v>9</v>
      </c>
      <c r="B5" s="53" t="n">
        <v>523.298367677413</v>
      </c>
      <c r="C5" s="53" t="n">
        <v>503.2692036908951</v>
      </c>
      <c r="D5" s="53" t="n">
        <v>484.1677290496377</v>
      </c>
      <c r="E5" s="53" t="n">
        <v>465.945515462085</v>
      </c>
      <c r="F5" s="53" t="n">
        <v>448.5569067104023</v>
      </c>
      <c r="G5" s="53" t="n">
        <v>431.9588470215856</v>
      </c>
      <c r="H5" s="53" t="n">
        <v>416.1107208328859</v>
      </c>
    </row>
    <row r="6">
      <c r="A6" s="52" t="n">
        <v>10</v>
      </c>
      <c r="B6" s="8" t="n">
        <v>557.0118112702871</v>
      </c>
      <c r="C6" s="53" t="n">
        <v>535.4338386843622</v>
      </c>
      <c r="D6" s="53" t="n">
        <v>514.8614644503641</v>
      </c>
      <c r="E6" s="53" t="n">
        <v>495.2420045090381</v>
      </c>
      <c r="F6" s="53" t="n">
        <v>476.5257975730004</v>
      </c>
      <c r="G6" s="53" t="n">
        <v>458.6660176657345</v>
      </c>
      <c r="H6" s="53" t="n">
        <v>441.6184991213217</v>
      </c>
    </row>
    <row r="7">
      <c r="A7" s="52" t="n">
        <v>11</v>
      </c>
      <c r="B7" s="8" t="n">
        <v>590.7252548631614</v>
      </c>
      <c r="C7" s="8" t="n">
        <v>567.5984736778292</v>
      </c>
      <c r="D7" s="8" t="n">
        <v>545.5551998510905</v>
      </c>
      <c r="E7" s="53" t="n">
        <v>524.5384935559911</v>
      </c>
      <c r="F7" s="53" t="n">
        <v>504.4946884355986</v>
      </c>
      <c r="G7" s="53" t="n">
        <v>485.3731883098835</v>
      </c>
      <c r="H7" s="53" t="n">
        <v>467.1262774097577</v>
      </c>
    </row>
    <row r="8">
      <c r="A8" s="52" t="n">
        <v>12</v>
      </c>
      <c r="B8" s="8" t="n">
        <v>624.4386984560355</v>
      </c>
      <c r="C8" s="8" t="n">
        <v>599.7631086712963</v>
      </c>
      <c r="D8" s="8" t="n">
        <v>576.2489352518166</v>
      </c>
      <c r="E8" s="54" t="n">
        <v>553.834982602944</v>
      </c>
      <c r="F8" s="53" t="n">
        <v>532.4635792981967</v>
      </c>
      <c r="G8" s="53" t="n">
        <v>512.0803589540325</v>
      </c>
      <c r="H8" s="53" t="n">
        <v>492.6340556981936</v>
      </c>
    </row>
    <row r="9">
      <c r="A9" s="52" t="n">
        <v>13</v>
      </c>
      <c r="B9" s="8" t="n">
        <v>658.1521420489096</v>
      </c>
      <c r="C9" s="8" t="n">
        <v>631.9277436647633</v>
      </c>
      <c r="D9" s="8" t="n">
        <v>606.9426706525428</v>
      </c>
      <c r="E9" s="8" t="n">
        <v>583.131471649897</v>
      </c>
      <c r="F9" s="8" t="n">
        <v>560.4324701607949</v>
      </c>
      <c r="G9" s="53" t="n">
        <v>538.7875295981814</v>
      </c>
      <c r="H9" s="53" t="n">
        <v>518.1418339866295</v>
      </c>
    </row>
    <row r="10">
      <c r="A10" s="52" t="n">
        <v>14</v>
      </c>
      <c r="B10" s="8" t="n">
        <v>691.8655856417838</v>
      </c>
      <c r="C10" s="8" t="n">
        <v>664.0923786582306</v>
      </c>
      <c r="D10" s="8" t="n">
        <v>637.6364060532692</v>
      </c>
      <c r="E10" s="8" t="n">
        <v>612.4279606968499</v>
      </c>
      <c r="F10" s="8" t="n">
        <v>588.4013610233931</v>
      </c>
      <c r="G10" s="8" t="n">
        <v>565.4947002423304</v>
      </c>
      <c r="H10" s="8" t="n">
        <v>543.6496122750655</v>
      </c>
    </row>
    <row r="11">
      <c r="A11" s="52" t="n">
        <v>15</v>
      </c>
      <c r="B11" s="8" t="n">
        <v>725.5790292346582</v>
      </c>
      <c r="C11" s="8" t="n">
        <v>696.2570136516975</v>
      </c>
      <c r="D11" s="8" t="n">
        <v>668.3301414539956</v>
      </c>
      <c r="E11" s="8" t="n">
        <v>641.724449743803</v>
      </c>
      <c r="F11" s="8" t="n">
        <v>616.3702518859911</v>
      </c>
      <c r="G11" s="8" t="n">
        <v>592.2018708864794</v>
      </c>
      <c r="H11" s="8" t="n">
        <v>569.1573905635014</v>
      </c>
    </row>
    <row r="13">
      <c r="A13" s="3" t="inlineStr">
        <is>
          <t>Current price</t>
        </is>
      </c>
      <c r="B13" s="53" t="n">
        <v>539.3900146484375</v>
      </c>
    </row>
    <row r="14">
      <c r="A14" s="3" t="inlineStr">
        <is>
          <t>Base WACC / multiple</t>
        </is>
      </c>
      <c r="B14" s="55" t="n">
        <v>0.07567301902940092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0.03485712543075844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0.4161704020231241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0.012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0.01886051262038646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1.024831080902874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Financials!AC33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Financials!AC38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2026-07-06T20:35:07Z</dcterms:created>
  <dcterms:modified xmlns:dcterms="http://purl.org/dc/terms/" xmlns:xsi="http://www.w3.org/2001/XMLSchema-instance" xsi:type="dcterms:W3CDTF">2026-07-06T20:35:07Z</dcterms:modified>
</cp:coreProperties>
</file>