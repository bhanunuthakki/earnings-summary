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Booking Holdings Inc. (BKNG)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BKNG is the global leader in online accommodation booking, compounding through international expansion, alternative accommodations, and the connected-trip vision, with revenue mix migrating from legacy agency toward the higher-take-rate merchant (payments) model. Near-term growth tracks consensus at roughly 9-10% as merchant volume scales, then fades toward a mature ~3.5% as the travel TAM matures and penetration saturates. Operating leverage on a fixed marketing/tech base lifts already-elite operating margins from ~34.5% toward ~38.5%, while a capital-light model keeps capex near maintenance.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Booking Holdings Inc. (BKNG)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Merchant Revenue</t>
        </is>
      </c>
      <c r="B20" s="50" t="n">
        <v>0.1389672588095585</v>
      </c>
      <c r="C20" s="50" t="n">
        <v>0.05</v>
      </c>
      <c r="D20" s="51" t="n">
        <v>0.15</v>
      </c>
      <c r="E20" s="2" t="inlineStr"/>
    </row>
    <row r="21">
      <c r="A21" s="4" t="inlineStr">
        <is>
          <t>Agency Revenue</t>
        </is>
      </c>
      <c r="B21" s="50" t="n">
        <v>-0.09862839794180475</v>
      </c>
      <c r="C21" s="50" t="n">
        <v>0.04999999999999999</v>
      </c>
      <c r="D21" s="51" t="n">
        <v>-0.01</v>
      </c>
      <c r="E21" s="2" t="inlineStr"/>
    </row>
    <row r="22">
      <c r="A22" s="4" t="inlineStr">
        <is>
          <t>Advertising and other revenues</t>
        </is>
      </c>
      <c r="B22" s="50" t="n">
        <v>0.0279688890003098</v>
      </c>
      <c r="C22" s="50" t="n">
        <v>0.05</v>
      </c>
      <c r="D22" s="51" t="n">
        <v>0.11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0.365452333659701</v>
      </c>
      <c r="D29" s="51" t="n">
        <v>0.355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0.5190803082162084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354.2</v>
      </c>
      <c r="D34" s="18" t="n">
        <v>441.63764832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1.102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165.8399963378906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Financials!AC34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Merchant Revenue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Agency Revenue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Advertising and other revenues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57">
        <f>IFERROR(G10/F10-1,"")</f>
        <v/>
      </c>
      <c r="H11" s="57">
        <f>IFERROR(H10/G10-1,"")</f>
        <v/>
      </c>
      <c r="I11" s="57">
        <f>IFERROR(I10/H10-1,"")</f>
        <v/>
      </c>
      <c r="J11" s="57">
        <f>IFERROR(J10/I10-1,"")</f>
        <v/>
      </c>
      <c r="K11" s="57">
        <f>IFERROR(K10/J10-1,"")</f>
        <v/>
      </c>
      <c r="L11" s="57">
        <f>IFERROR(L10/K10-1,"")</f>
        <v/>
      </c>
      <c r="M11" s="57">
        <f>IFERROR(M10/L10-1,"")</f>
        <v/>
      </c>
      <c r="N11" s="57">
        <f>IFERROR(N10/M10-1,"")</f>
        <v/>
      </c>
      <c r="O11" s="57">
        <f>IFERROR(O10/N10-1,"")</f>
        <v/>
      </c>
      <c r="P11" s="5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SUM(Financials!I5:L5)</f>
        <v/>
      </c>
      <c r="C14" s="28">
        <f>SUM(Financials!M5:P5)</f>
        <v/>
      </c>
      <c r="D14" s="28">
        <f>SUM(Financials!Q5:T5)</f>
        <v/>
      </c>
      <c r="E14" s="28">
        <f>SUM(Financials!U5:X5)</f>
        <v/>
      </c>
      <c r="F14" s="28">
        <f>SUM(Financials!Y5:AB5)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57">
        <f>IFERROR(B14/B10,"")</f>
        <v/>
      </c>
      <c r="C15" s="57">
        <f>IFERROR(C14/C10,"")</f>
        <v/>
      </c>
      <c r="D15" s="57">
        <f>IFERROR(D14/D10,"")</f>
        <v/>
      </c>
      <c r="E15" s="57">
        <f>IFERROR(E14/E10,"")</f>
        <v/>
      </c>
      <c r="F15" s="57">
        <f>IFERROR(F14/F10,"")</f>
        <v/>
      </c>
      <c r="G15" s="50" t="n">
        <v>0</v>
      </c>
      <c r="H15" s="50" t="n">
        <v>0</v>
      </c>
      <c r="I15" s="50" t="n">
        <v>0</v>
      </c>
      <c r="J15" s="50" t="n">
        <v>0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0</v>
      </c>
      <c r="P15" s="50" t="n">
        <v>0</v>
      </c>
    </row>
    <row r="16">
      <c r="A16" s="4" t="inlineStr">
        <is>
          <t>R&amp;D / Technology</t>
        </is>
      </c>
      <c r="B16" s="28">
        <f>SUM(Financials!I7:L7)</f>
        <v/>
      </c>
      <c r="C16" s="28">
        <f>SUM(Financials!M7:P7)</f>
        <v/>
      </c>
      <c r="D16" s="28">
        <f>SUM(Financials!Q7:T7)</f>
        <v/>
      </c>
      <c r="E16" s="28">
        <f>SUM(Financials!U7:X7)</f>
        <v/>
      </c>
      <c r="F16" s="28">
        <f>SUM(Financials!Y7:AB7)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57">
        <f>IFERROR(B16/B10,"")</f>
        <v/>
      </c>
      <c r="C17" s="57">
        <f>IFERROR(C16/C10,"")</f>
        <v/>
      </c>
      <c r="D17" s="57">
        <f>IFERROR(D16/D10,"")</f>
        <v/>
      </c>
      <c r="E17" s="57">
        <f>IFERROR(E16/E10,"")</f>
        <v/>
      </c>
      <c r="F17" s="57">
        <f>IFERROR(F16/F10,"")</f>
        <v/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</row>
    <row r="18">
      <c r="A18" s="4" t="inlineStr">
        <is>
          <t>SG&amp;A</t>
        </is>
      </c>
      <c r="B18" s="28">
        <f>SUM(Financials!I9:L9)</f>
        <v/>
      </c>
      <c r="C18" s="28">
        <f>SUM(Financials!M9:P9)</f>
        <v/>
      </c>
      <c r="D18" s="28">
        <f>SUM(Financials!Q9:T9)</f>
        <v/>
      </c>
      <c r="E18" s="28">
        <f>SUM(Financials!U9:X9)</f>
        <v/>
      </c>
      <c r="F18" s="28">
        <f>SUM(Financials!Y9:AB9)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57">
        <f>IFERROR(B18/B10,"")</f>
        <v/>
      </c>
      <c r="C19" s="57">
        <f>IFERROR(C18/C10,"")</f>
        <v/>
      </c>
      <c r="D19" s="57">
        <f>IFERROR(D18/D10,"")</f>
        <v/>
      </c>
      <c r="E19" s="57">
        <f>IFERROR(E18/E10,"")</f>
        <v/>
      </c>
      <c r="F19" s="57">
        <f>IFERROR(F18/F10,"")</f>
        <v/>
      </c>
      <c r="G19" s="50" t="n">
        <v>0.590667607831482</v>
      </c>
      <c r="H19" s="50" t="n">
        <v>0.590667607831482</v>
      </c>
      <c r="I19" s="50" t="n">
        <v>0.590667607831482</v>
      </c>
      <c r="J19" s="50" t="n">
        <v>0.590667607831482</v>
      </c>
      <c r="K19" s="50" t="n">
        <v>0.590667607831482</v>
      </c>
      <c r="L19" s="50" t="n">
        <v>0.590667607831482</v>
      </c>
      <c r="M19" s="50" t="n">
        <v>0.590667607831482</v>
      </c>
      <c r="N19" s="50" t="n">
        <v>0.590667607831482</v>
      </c>
      <c r="O19" s="50" t="n">
        <v>0.590667607831482</v>
      </c>
      <c r="P19" s="50" t="n">
        <v>0.590667607831482</v>
      </c>
    </row>
    <row r="20">
      <c r="A20" s="4" t="inlineStr">
        <is>
          <t>Other opex (fulfilment, etc.)</t>
        </is>
      </c>
      <c r="B20" s="28">
        <f>B10-(B14+B16+B18)-SUM(Financials!I13:L13)</f>
        <v/>
      </c>
      <c r="C20" s="28">
        <f>C10-(C14+C16+C18)-SUM(Financials!M13:P13)</f>
        <v/>
      </c>
      <c r="D20" s="28">
        <f>D10-(D14+D16+D18)-SUM(Financials!Q13:T13)</f>
        <v/>
      </c>
      <c r="E20" s="28">
        <f>E10-(E14+E16+E18)-SUM(Financials!U13:X13)</f>
        <v/>
      </c>
      <c r="F20" s="28">
        <f>F10-(F14+F16+F18)-SUM(Financials!Y13:AB13)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57">
        <f>IFERROR(B20/B10,"")</f>
        <v/>
      </c>
      <c r="C21" s="57">
        <f>IFERROR(C20/C10,"")</f>
        <v/>
      </c>
      <c r="D21" s="57">
        <f>IFERROR(D20/D10,"")</f>
        <v/>
      </c>
      <c r="E21" s="57">
        <f>IFERROR(E20/E10,"")</f>
        <v/>
      </c>
      <c r="F21" s="57">
        <f>IFERROR(F20/F10,"")</f>
        <v/>
      </c>
      <c r="G21" s="57">
        <f>IFERROR(G20/G10,"")</f>
        <v/>
      </c>
      <c r="H21" s="57">
        <f>IFERROR(H20/H10,"")</f>
        <v/>
      </c>
      <c r="I21" s="57">
        <f>IFERROR(I20/I10,"")</f>
        <v/>
      </c>
      <c r="J21" s="57">
        <f>IFERROR(J20/J10,"")</f>
        <v/>
      </c>
      <c r="K21" s="57">
        <f>IFERROR(K20/K10,"")</f>
        <v/>
      </c>
      <c r="L21" s="57">
        <f>IFERROR(L20/L10,"")</f>
        <v/>
      </c>
      <c r="M21" s="57">
        <f>IFERROR(M20/M10,"")</f>
        <v/>
      </c>
      <c r="N21" s="57">
        <f>IFERROR(N20/N10,"")</f>
        <v/>
      </c>
      <c r="O21" s="57">
        <f>IFERROR(O20/O10,"")</f>
        <v/>
      </c>
      <c r="P21" s="5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57">
        <f>IFERROR(B23/B10,"")</f>
        <v/>
      </c>
      <c r="C24" s="57">
        <f>IFERROR(C23/C10,"")</f>
        <v/>
      </c>
      <c r="D24" s="57">
        <f>IFERROR(D23/D10,"")</f>
        <v/>
      </c>
      <c r="E24" s="57">
        <f>IFERROR(E23/E10,"")</f>
        <v/>
      </c>
      <c r="F24" s="57">
        <f>IFERROR(F23/F10,"")</f>
        <v/>
      </c>
      <c r="G24" s="57">
        <f>IFERROR(G23/G10,"")</f>
        <v/>
      </c>
      <c r="H24" s="57">
        <f>IFERROR(H23/H10,"")</f>
        <v/>
      </c>
      <c r="I24" s="57">
        <f>IFERROR(I23/I10,"")</f>
        <v/>
      </c>
      <c r="J24" s="57">
        <f>IFERROR(J23/J10,"")</f>
        <v/>
      </c>
      <c r="K24" s="57">
        <f>IFERROR(K23/K10,"")</f>
        <v/>
      </c>
      <c r="L24" s="57">
        <f>IFERROR(L23/L10,"")</f>
        <v/>
      </c>
      <c r="M24" s="57">
        <f>IFERROR(M23/M10,"")</f>
        <v/>
      </c>
      <c r="N24" s="57">
        <f>IFERROR(N23/N10,"")</f>
        <v/>
      </c>
      <c r="O24" s="57">
        <f>IFERROR(O23/O10,"")</f>
        <v/>
      </c>
      <c r="P24" s="5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SUM(Financials!I37:L37)</f>
        <v/>
      </c>
      <c r="C28" s="28">
        <f>SUM(Financials!M37:P37)</f>
        <v/>
      </c>
      <c r="D28" s="28">
        <f>SUM(Financials!Q37:T37)</f>
        <v/>
      </c>
      <c r="E28" s="28">
        <f>SUM(Financials!U37:X37)</f>
        <v/>
      </c>
      <c r="F28" s="28">
        <f>SUM(Financials!Y37:AB37)</f>
        <v/>
      </c>
      <c r="G28" s="32">
        <f>G10*0.0285</f>
        <v/>
      </c>
      <c r="H28" s="32">
        <f>H10*0.0285</f>
        <v/>
      </c>
      <c r="I28" s="32">
        <f>I10*0.0285</f>
        <v/>
      </c>
      <c r="J28" s="32">
        <f>J10*0.0285</f>
        <v/>
      </c>
      <c r="K28" s="32">
        <f>K10*0.0285</f>
        <v/>
      </c>
      <c r="L28" s="32">
        <f>L10*0.0285</f>
        <v/>
      </c>
      <c r="M28" s="32">
        <f>M10*0.0285</f>
        <v/>
      </c>
      <c r="N28" s="32">
        <f>N10*0.0285</f>
        <v/>
      </c>
      <c r="O28" s="32">
        <f>O10*0.0285</f>
        <v/>
      </c>
      <c r="P28" s="32">
        <f>P10*0.0285</f>
        <v/>
      </c>
    </row>
    <row r="29">
      <c r="A29" s="4" t="inlineStr">
        <is>
          <t>+ SBC (non-cash)</t>
        </is>
      </c>
      <c r="B29" s="28">
        <f>SUM(Financials!I38:L38)</f>
        <v/>
      </c>
      <c r="C29" s="28">
        <f>SUM(Financials!M38:P38)</f>
        <v/>
      </c>
      <c r="D29" s="28">
        <f>SUM(Financials!Q38:T38)</f>
        <v/>
      </c>
      <c r="E29" s="28">
        <f>SUM(Financials!U38:X38)</f>
        <v/>
      </c>
      <c r="F29" s="28">
        <f>SUM(Financials!Y38:AB38)</f>
        <v/>
      </c>
      <c r="G29" s="32">
        <f>G10*0.0167</f>
        <v/>
      </c>
      <c r="H29" s="32">
        <f>H10*0.0160</f>
        <v/>
      </c>
      <c r="I29" s="32">
        <f>I10*0.0152</f>
        <v/>
      </c>
      <c r="J29" s="32">
        <f>J10*0.0145</f>
        <v/>
      </c>
      <c r="K29" s="32">
        <f>K10*0.0137</f>
        <v/>
      </c>
      <c r="L29" s="32">
        <f>L10*0.0130</f>
        <v/>
      </c>
      <c r="M29" s="32">
        <f>M10*0.0123</f>
        <v/>
      </c>
      <c r="N29" s="32">
        <f>N10*0.0115</f>
        <v/>
      </c>
      <c r="O29" s="32">
        <f>O10*0.0108</f>
        <v/>
      </c>
      <c r="P29" s="32">
        <f>P10*0.0100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-SUM(Financials!I41:L41)</f>
        <v/>
      </c>
      <c r="C31" s="28">
        <f>-SUM(Financials!M41:P41)</f>
        <v/>
      </c>
      <c r="D31" s="28">
        <f>-SUM(Financials!Q41:T41)</f>
        <v/>
      </c>
      <c r="E31" s="28">
        <f>-SUM(Financials!U41:X41)</f>
        <v/>
      </c>
      <c r="F31" s="28">
        <f>-SUM(Financials!Y41:AB41)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59">
        <f>IFERROR(B31/B28,"")</f>
        <v/>
      </c>
      <c r="C32" s="59">
        <f>IFERROR(C31/C28,"")</f>
        <v/>
      </c>
      <c r="D32" s="59">
        <f>IFERROR(D31/D28,"")</f>
        <v/>
      </c>
      <c r="E32" s="59">
        <f>IFERROR(E31/E28,"")</f>
        <v/>
      </c>
      <c r="F32" s="59">
        <f>IFERROR(F31/F28,"")</f>
        <v/>
      </c>
      <c r="G32" s="49">
        <f>(Dashboard!$B$34/G28)+(Dashboard!$B$35-(Dashboard!$B$34/G28))*0/9</f>
        <v/>
      </c>
      <c r="H32" s="49">
        <f>(Dashboard!$B$34/G28)+(Dashboard!$B$35-(Dashboard!$B$34/G28))*1/9</f>
        <v/>
      </c>
      <c r="I32" s="49">
        <f>(Dashboard!$B$34/G28)+(Dashboard!$B$35-(Dashboard!$B$34/G28))*2/9</f>
        <v/>
      </c>
      <c r="J32" s="49">
        <f>(Dashboard!$B$34/G28)+(Dashboard!$B$35-(Dashboard!$B$34/G28))*3/9</f>
        <v/>
      </c>
      <c r="K32" s="49">
        <f>(Dashboard!$B$34/G28)+(Dashboard!$B$35-(Dashboard!$B$34/G28))*4/9</f>
        <v/>
      </c>
      <c r="L32" s="49">
        <f>(Dashboard!$B$34/G28)+(Dashboard!$B$35-(Dashboard!$B$34/G28))*5/9</f>
        <v/>
      </c>
      <c r="M32" s="49">
        <f>(Dashboard!$B$34/G28)+(Dashboard!$B$35-(Dashboard!$B$34/G28))*6/9</f>
        <v/>
      </c>
      <c r="N32" s="49">
        <f>(Dashboard!$B$34/G28)+(Dashboard!$B$35-(Dashboard!$B$34/G28))*7/9</f>
        <v/>
      </c>
      <c r="O32" s="49">
        <f>(Dashboard!$B$34/G28)+(Dashboard!$B$35-(Dashboard!$B$34/G28))*8/9</f>
        <v/>
      </c>
      <c r="P32" s="49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Financials!L35+Financials!L34-Financials!L29</f>
        <v/>
      </c>
      <c r="C38" s="28">
        <f>Financials!P35+Financials!P34-Financials!P29</f>
        <v/>
      </c>
      <c r="D38" s="28">
        <f>Financials!T35+Financials!T34-Financials!T29</f>
        <v/>
      </c>
      <c r="E38" s="28">
        <f>Financials!X35+Financials!X34-Financials!X29</f>
        <v/>
      </c>
      <c r="F38" s="28">
        <f>Financials!AB35+Financials!AB34-Financials!AB29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Financials!L35</f>
        <v/>
      </c>
      <c r="C39" s="28">
        <f>Financials!P35</f>
        <v/>
      </c>
      <c r="D39" s="28">
        <f>Financials!T35</f>
        <v/>
      </c>
      <c r="E39" s="28">
        <f>Financials!X35</f>
        <v/>
      </c>
      <c r="F39" s="28">
        <f>Financials!AB35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57">
        <f>IFERROR(C27/B38,"")</f>
        <v/>
      </c>
      <c r="D40" s="57">
        <f>IFERROR(D27/C38,"")</f>
        <v/>
      </c>
      <c r="E40" s="57">
        <f>IFERROR(E27/D38,"")</f>
        <v/>
      </c>
      <c r="F40" s="57">
        <f>IFERROR(F27/E38,"")</f>
        <v/>
      </c>
      <c r="G40" s="57">
        <f>IFERROR(G27/F38,"")</f>
        <v/>
      </c>
      <c r="H40" s="57">
        <f>IFERROR(H27/G38,"")</f>
        <v/>
      </c>
      <c r="I40" s="57">
        <f>IFERROR(I27/H38,"")</f>
        <v/>
      </c>
      <c r="J40" s="57">
        <f>IFERROR(J27/I38,"")</f>
        <v/>
      </c>
      <c r="K40" s="57">
        <f>IFERROR(K27/J38,"")</f>
        <v/>
      </c>
      <c r="L40" s="57">
        <f>IFERROR(L27/K38,"")</f>
        <v/>
      </c>
      <c r="M40" s="57">
        <f>IFERROR(M27/L38,"")</f>
        <v/>
      </c>
      <c r="N40" s="57">
        <f>IFERROR(N27/M38,"")</f>
        <v/>
      </c>
      <c r="O40" s="57">
        <f>IFERROR(O27/N38,"")</f>
        <v/>
      </c>
      <c r="P40" s="57">
        <f>IFERROR(P27/O38,"")</f>
        <v/>
      </c>
    </row>
    <row r="41">
      <c r="A41" s="3" t="inlineStr">
        <is>
          <t xml:space="preserve">  ROE (earnings / beg. equity)</t>
        </is>
      </c>
      <c r="C41" s="48">
        <f>IFERROR(SUM(Financials!M15:P15)/B39,"")</f>
        <v/>
      </c>
      <c r="D41" s="48">
        <f>IFERROR(SUM(Financials!Q15:T15)/C39,"")</f>
        <v/>
      </c>
      <c r="E41" s="48">
        <f>IFERROR(SUM(Financials!U15:X15)/D39,"")</f>
        <v/>
      </c>
      <c r="F41" s="48">
        <f>IFERROR(SUM(Financials!Y15:AB15)/E39,"")</f>
        <v/>
      </c>
      <c r="G41" s="57">
        <f>IFERROR(G27/F39,"")</f>
        <v/>
      </c>
      <c r="H41" s="57">
        <f>IFERROR(H27/G39,"")</f>
        <v/>
      </c>
      <c r="I41" s="57">
        <f>IFERROR(I27/H39,"")</f>
        <v/>
      </c>
      <c r="J41" s="57">
        <f>IFERROR(J27/I39,"")</f>
        <v/>
      </c>
      <c r="K41" s="57">
        <f>IFERROR(K27/J39,"")</f>
        <v/>
      </c>
      <c r="L41" s="57">
        <f>IFERROR(L27/K39,"")</f>
        <v/>
      </c>
      <c r="M41" s="57">
        <f>IFERROR(M27/L39,"")</f>
        <v/>
      </c>
      <c r="N41" s="57">
        <f>IFERROR(N27/M39,"")</f>
        <v/>
      </c>
      <c r="O41" s="57">
        <f>IFERROR(O27/N39,"")</f>
        <v/>
      </c>
      <c r="P41" s="57">
        <f>IFERROR(P27/O39,"")</f>
        <v/>
      </c>
    </row>
    <row r="42">
      <c r="A42" s="4" t="inlineStr">
        <is>
          <t xml:space="preserve">  ROIC - WACC spread (value created)</t>
        </is>
      </c>
      <c r="C42" s="48">
        <f>IFERROR(C40-WACC!$B$14,"")</f>
        <v/>
      </c>
      <c r="D42" s="48">
        <f>IFERROR(D40-WACC!$B$14,"")</f>
        <v/>
      </c>
      <c r="E42" s="48">
        <f>IFERROR(E40-WACC!$B$14,"")</f>
        <v/>
      </c>
      <c r="F42" s="48">
        <f>IFERROR(F40-WACC!$B$14,"")</f>
        <v/>
      </c>
      <c r="G42" s="48">
        <f>IFERROR(G40-WACC!$B$14,"")</f>
        <v/>
      </c>
      <c r="H42" s="48">
        <f>IFERROR(H40-WACC!$B$14,"")</f>
        <v/>
      </c>
      <c r="I42" s="48">
        <f>IFERROR(I40-WACC!$B$14,"")</f>
        <v/>
      </c>
      <c r="J42" s="48">
        <f>IFERROR(J40-WACC!$B$14,"")</f>
        <v/>
      </c>
      <c r="K42" s="48">
        <f>IFERROR(K40-WACC!$B$14,"")</f>
        <v/>
      </c>
      <c r="L42" s="48">
        <f>IFERROR(L40-WACC!$B$14,"")</f>
        <v/>
      </c>
      <c r="M42" s="48">
        <f>IFERROR(M40-WACC!$B$14,"")</f>
        <v/>
      </c>
      <c r="N42" s="48">
        <f>IFERROR(N40-WACC!$B$14,"")</f>
        <v/>
      </c>
      <c r="O42" s="48">
        <f>IFERROR(O40-WACC!$B$14,"")</f>
        <v/>
      </c>
      <c r="P42" s="48">
        <f>IFERROR(P40-WACC!$B$14,"")</f>
        <v/>
      </c>
    </row>
    <row r="43">
      <c r="A43" s="4" t="inlineStr">
        <is>
          <t xml:space="preserve">  Incremental op margin (ΔEBIT / ΔRev)</t>
        </is>
      </c>
      <c r="C43" s="57">
        <f>IFERROR((C23-B23)/(C10-B10),"")</f>
        <v/>
      </c>
      <c r="D43" s="57">
        <f>IFERROR((D23-C23)/(D10-C10),"")</f>
        <v/>
      </c>
      <c r="E43" s="57">
        <f>IFERROR((E23-D23)/(E10-D10),"")</f>
        <v/>
      </c>
      <c r="F43" s="57">
        <f>IFERROR((F23-E23)/(F10-E10),"")</f>
        <v/>
      </c>
      <c r="G43" s="57">
        <f>IFERROR((G23-F23)/(G10-F10),"")</f>
        <v/>
      </c>
      <c r="H43" s="57">
        <f>IFERROR((H23-G23)/(H10-G10),"")</f>
        <v/>
      </c>
      <c r="I43" s="57">
        <f>IFERROR((I23-H23)/(I10-H10),"")</f>
        <v/>
      </c>
      <c r="J43" s="57">
        <f>IFERROR((J23-I23)/(J10-I10),"")</f>
        <v/>
      </c>
      <c r="K43" s="57">
        <f>IFERROR((K23-J23)/(K10-J10),"")</f>
        <v/>
      </c>
      <c r="L43" s="57">
        <f>IFERROR((L23-K23)/(L10-K10),"")</f>
        <v/>
      </c>
      <c r="M43" s="57">
        <f>IFERROR((M23-L23)/(M10-L10),"")</f>
        <v/>
      </c>
      <c r="N43" s="57">
        <f>IFERROR((N23-M23)/(N10-M10),"")</f>
        <v/>
      </c>
      <c r="O43" s="57">
        <f>IFERROR((O23-N23)/(O10-N10),"")</f>
        <v/>
      </c>
      <c r="P43" s="57">
        <f>IFERROR((P23-O23)/(P10-O10),"")</f>
        <v/>
      </c>
    </row>
    <row r="44">
      <c r="A44" s="3" t="inlineStr">
        <is>
          <t xml:space="preserve">  ROIIC (ΔNOPAT / ΔInvested capital)</t>
        </is>
      </c>
      <c r="C44" s="57">
        <f>IFERROR((C27-B27)/(C38-B38),"")</f>
        <v/>
      </c>
      <c r="D44" s="57">
        <f>IFERROR((D27-C27)/(D38-C38),"")</f>
        <v/>
      </c>
      <c r="E44" s="57">
        <f>IFERROR((E27-D27)/(E38-D38),"")</f>
        <v/>
      </c>
      <c r="F44" s="57">
        <f>IFERROR((F27-E27)/(F38-E38),"")</f>
        <v/>
      </c>
      <c r="G44" s="57">
        <f>IFERROR((G27-F27)/(G38-F38),"")</f>
        <v/>
      </c>
      <c r="H44" s="57">
        <f>IFERROR((H27-G27)/(H38-G38),"")</f>
        <v/>
      </c>
      <c r="I44" s="57">
        <f>IFERROR((I27-H27)/(I38-H38),"")</f>
        <v/>
      </c>
      <c r="J44" s="57">
        <f>IFERROR((J27-I27)/(J38-I38),"")</f>
        <v/>
      </c>
      <c r="K44" s="57">
        <f>IFERROR((K27-J27)/(K38-J38),"")</f>
        <v/>
      </c>
      <c r="L44" s="57">
        <f>IFERROR((L27-K27)/(L38-K38),"")</f>
        <v/>
      </c>
      <c r="M44" s="57">
        <f>IFERROR((M27-L27)/(M38-L38),"")</f>
        <v/>
      </c>
      <c r="N44" s="57">
        <f>IFERROR((N27-M27)/(N38-M38),"")</f>
        <v/>
      </c>
      <c r="O44" s="57">
        <f>IFERROR((O27-N27)/(O38-N38),"")</f>
        <v/>
      </c>
      <c r="P44" s="5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60">
        <f>IFERROR((C10-B10)/(C38-B38),"")</f>
        <v/>
      </c>
      <c r="D45" s="60">
        <f>IFERROR((D10-C10)/(D38-C38),"")</f>
        <v/>
      </c>
      <c r="E45" s="60">
        <f>IFERROR((E10-D10)/(E38-D38),"")</f>
        <v/>
      </c>
      <c r="F45" s="60">
        <f>IFERROR((F10-E10)/(F38-E38),"")</f>
        <v/>
      </c>
      <c r="G45" s="60">
        <f>IFERROR((G10-F10)/(G38-F38),"")</f>
        <v/>
      </c>
      <c r="H45" s="60">
        <f>IFERROR((H10-G10)/(H38-G38),"")</f>
        <v/>
      </c>
      <c r="I45" s="60">
        <f>IFERROR((I10-H10)/(I38-H38),"")</f>
        <v/>
      </c>
      <c r="J45" s="60">
        <f>IFERROR((J10-I10)/(J38-I38),"")</f>
        <v/>
      </c>
      <c r="K45" s="60">
        <f>IFERROR((K10-J10)/(K38-J38),"")</f>
        <v/>
      </c>
      <c r="L45" s="60">
        <f>IFERROR((L10-K10)/(L38-K38),"")</f>
        <v/>
      </c>
      <c r="M45" s="60">
        <f>IFERROR((M10-L10)/(M38-L38),"")</f>
        <v/>
      </c>
      <c r="N45" s="60">
        <f>IFERROR((N10-M10)/(N38-M38),"")</f>
        <v/>
      </c>
      <c r="O45" s="60">
        <f>IFERROR((O10-N10)/(O38-N38),"")</f>
        <v/>
      </c>
      <c r="P45" s="60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57">
        <f>IFERROR((C38-B38)/C27,"")</f>
        <v/>
      </c>
      <c r="D46" s="57">
        <f>IFERROR((D38-C38)/D27,"")</f>
        <v/>
      </c>
      <c r="E46" s="57">
        <f>IFERROR((E38-D38)/E27,"")</f>
        <v/>
      </c>
      <c r="F46" s="57">
        <f>IFERROR((F38-E38)/F27,"")</f>
        <v/>
      </c>
      <c r="G46" s="57">
        <f>IFERROR((G38-F38)/G27,"")</f>
        <v/>
      </c>
      <c r="H46" s="57">
        <f>IFERROR((H38-G38)/H27,"")</f>
        <v/>
      </c>
      <c r="I46" s="57">
        <f>IFERROR((I38-H38)/I27,"")</f>
        <v/>
      </c>
      <c r="J46" s="57">
        <f>IFERROR((J38-I38)/J27,"")</f>
        <v/>
      </c>
      <c r="K46" s="57">
        <f>IFERROR((K38-J38)/K27,"")</f>
        <v/>
      </c>
      <c r="L46" s="57">
        <f>IFERROR((L38-K38)/L27,"")</f>
        <v/>
      </c>
      <c r="M46" s="57">
        <f>IFERROR((M38-L38)/M27,"")</f>
        <v/>
      </c>
      <c r="N46" s="57">
        <f>IFERROR((N38-M38)/N27,"")</f>
        <v/>
      </c>
      <c r="O46" s="57">
        <f>IFERROR((O38-N38)/O27,"")</f>
        <v/>
      </c>
      <c r="P46" s="5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3850</v>
      </c>
      <c r="C3" s="18" t="n">
        <v>5040</v>
      </c>
      <c r="D3" s="18" t="n">
        <v>3339</v>
      </c>
      <c r="E3" s="18" t="n">
        <v>2288</v>
      </c>
      <c r="F3" s="18" t="n">
        <v>630</v>
      </c>
      <c r="G3" s="18" t="n">
        <v>2640</v>
      </c>
      <c r="H3" s="18" t="n">
        <v>1238</v>
      </c>
      <c r="I3" s="18" t="n">
        <v>1141</v>
      </c>
      <c r="J3" s="18" t="n">
        <v>2160</v>
      </c>
      <c r="K3" s="18" t="n">
        <v>4676</v>
      </c>
      <c r="L3" s="18" t="n">
        <v>2981</v>
      </c>
      <c r="M3" s="18" t="n">
        <v>2695</v>
      </c>
      <c r="N3" s="18" t="n">
        <v>4294</v>
      </c>
      <c r="O3" s="18" t="n">
        <v>6052</v>
      </c>
      <c r="P3" s="18" t="n">
        <v>4049</v>
      </c>
      <c r="Q3" s="18" t="n">
        <v>3778</v>
      </c>
      <c r="R3" s="18" t="n">
        <v>5462</v>
      </c>
      <c r="S3" s="18" t="n">
        <v>7341</v>
      </c>
      <c r="T3" s="18" t="n">
        <v>4784</v>
      </c>
      <c r="U3" s="18" t="n">
        <v>4415</v>
      </c>
      <c r="V3" s="18" t="n">
        <v>5859</v>
      </c>
      <c r="W3" s="18" t="n">
        <v>7994</v>
      </c>
      <c r="X3" s="18" t="n">
        <v>5471</v>
      </c>
      <c r="Y3" s="18" t="n">
        <v>4762</v>
      </c>
      <c r="Z3" s="18" t="n">
        <v>6798</v>
      </c>
      <c r="AA3" s="18" t="n">
        <v>9008</v>
      </c>
      <c r="AB3" s="18" t="n">
        <v>6349</v>
      </c>
      <c r="AC3" s="18" t="n">
        <v>5532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70</v>
      </c>
      <c r="C7" s="18" t="n">
        <v>71</v>
      </c>
      <c r="D7" s="18" t="n">
        <v>79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2414</v>
      </c>
      <c r="C9" s="18" t="n">
        <v>2482</v>
      </c>
      <c r="D9" s="18" t="n">
        <v>1971</v>
      </c>
      <c r="E9" s="18" t="n">
        <v>1913</v>
      </c>
      <c r="F9" s="18" t="n">
        <v>898</v>
      </c>
      <c r="G9" s="18" t="n">
        <v>1525</v>
      </c>
      <c r="H9" s="18" t="n">
        <v>1123</v>
      </c>
      <c r="I9" s="18" t="n">
        <v>1244</v>
      </c>
      <c r="J9" s="18" t="n">
        <v>2014</v>
      </c>
      <c r="K9" s="18" t="n">
        <v>2450</v>
      </c>
      <c r="L9" s="18" t="n">
        <v>1908</v>
      </c>
      <c r="M9" s="18" t="n">
        <v>2240</v>
      </c>
      <c r="N9" s="18" t="n">
        <v>3044</v>
      </c>
      <c r="O9" s="18" t="n">
        <v>3233</v>
      </c>
      <c r="P9" s="18" t="n">
        <v>2693</v>
      </c>
      <c r="Q9" s="18" t="n">
        <v>3071</v>
      </c>
      <c r="R9" s="18" t="n">
        <v>3524</v>
      </c>
      <c r="S9" s="18" t="n">
        <v>3922</v>
      </c>
      <c r="T9" s="18" t="n">
        <v>3853</v>
      </c>
      <c r="U9" s="18" t="n">
        <v>3300</v>
      </c>
      <c r="V9" s="18" t="n">
        <v>3678</v>
      </c>
      <c r="W9" s="18" t="n">
        <v>4466</v>
      </c>
      <c r="X9" s="18" t="n">
        <v>3344</v>
      </c>
      <c r="Y9" s="18" t="n">
        <v>3314</v>
      </c>
      <c r="Z9" s="18" t="n">
        <v>4133</v>
      </c>
      <c r="AA9" s="18" t="n">
        <v>4561</v>
      </c>
      <c r="AB9" s="18" t="n">
        <v>3891</v>
      </c>
      <c r="AC9" s="18" t="n">
        <v>2168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3850</v>
      </c>
      <c r="C11" s="18" t="n">
        <v>5040</v>
      </c>
      <c r="D11" s="18" t="n">
        <v>3339</v>
      </c>
      <c r="E11" s="18" t="n">
        <v>2288</v>
      </c>
      <c r="F11" s="18" t="n">
        <v>630</v>
      </c>
      <c r="G11" s="18" t="n">
        <v>2640</v>
      </c>
      <c r="H11" s="18" t="n">
        <v>1238</v>
      </c>
      <c r="I11" s="18" t="n">
        <v>1141</v>
      </c>
      <c r="J11" s="18" t="n">
        <v>2160</v>
      </c>
      <c r="K11" s="18" t="n">
        <v>4676</v>
      </c>
      <c r="L11" s="18" t="n">
        <v>2981</v>
      </c>
      <c r="M11" s="18" t="n">
        <v>2695</v>
      </c>
      <c r="N11" s="18" t="n">
        <v>4294</v>
      </c>
      <c r="O11" s="18" t="n">
        <v>6052</v>
      </c>
      <c r="P11" s="18" t="n">
        <v>4049</v>
      </c>
      <c r="Q11" s="18" t="n">
        <v>3778</v>
      </c>
      <c r="R11" s="18" t="n">
        <v>5462</v>
      </c>
      <c r="S11" s="18" t="n">
        <v>7341</v>
      </c>
      <c r="T11" s="18" t="n">
        <v>4784</v>
      </c>
      <c r="U11" s="18" t="n">
        <v>4415</v>
      </c>
      <c r="V11" s="18" t="n">
        <v>5859</v>
      </c>
      <c r="W11" s="18" t="n">
        <v>7994</v>
      </c>
      <c r="X11" s="18" t="n">
        <v>5471</v>
      </c>
      <c r="Y11" s="18" t="n">
        <v>4762</v>
      </c>
      <c r="Z11" s="18" t="n">
        <v>6798</v>
      </c>
      <c r="AA11" s="18" t="n">
        <v>9008</v>
      </c>
      <c r="AB11" s="18" t="n">
        <v>6349</v>
      </c>
      <c r="AC11" s="18" t="n">
        <v>5532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1247</v>
      </c>
      <c r="C13" s="18" t="n">
        <v>2370</v>
      </c>
      <c r="D13" s="18" t="n">
        <v>1172</v>
      </c>
      <c r="E13" s="18" t="n">
        <v>-309</v>
      </c>
      <c r="F13" s="18" t="n">
        <v>-484</v>
      </c>
      <c r="G13" s="18" t="n">
        <v>315</v>
      </c>
      <c r="H13" s="18" t="n">
        <v>-153</v>
      </c>
      <c r="I13" s="18" t="n">
        <v>-311</v>
      </c>
      <c r="J13" s="18" t="n">
        <v>-56</v>
      </c>
      <c r="K13" s="18" t="n">
        <v>2015</v>
      </c>
      <c r="L13" s="18" t="n">
        <v>848</v>
      </c>
      <c r="M13" s="18" t="n">
        <v>174</v>
      </c>
      <c r="N13" s="18" t="n">
        <v>1000</v>
      </c>
      <c r="O13" s="18" t="n">
        <v>2583</v>
      </c>
      <c r="P13" s="18" t="n">
        <v>1345</v>
      </c>
      <c r="Q13" s="18" t="n">
        <v>450</v>
      </c>
      <c r="R13" s="18" t="n">
        <v>1673</v>
      </c>
      <c r="S13" s="18" t="n">
        <v>3103</v>
      </c>
      <c r="T13" s="18" t="n">
        <v>609</v>
      </c>
      <c r="U13" s="18" t="n">
        <v>791</v>
      </c>
      <c r="V13" s="18" t="n">
        <v>1856</v>
      </c>
      <c r="W13" s="18" t="n">
        <v>3179</v>
      </c>
      <c r="X13" s="18" t="n">
        <v>1729</v>
      </c>
      <c r="Y13" s="18" t="n">
        <v>1062</v>
      </c>
      <c r="Z13" s="18" t="n">
        <v>2250</v>
      </c>
      <c r="AA13" s="18" t="n">
        <v>3940</v>
      </c>
      <c r="AB13" s="18" t="n">
        <v>2030</v>
      </c>
      <c r="AC13" s="18" t="n">
        <v>1271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979</v>
      </c>
      <c r="C15" s="18" t="n">
        <v>1950</v>
      </c>
      <c r="D15" s="18" t="n">
        <v>1171</v>
      </c>
      <c r="E15" s="18" t="n">
        <v>-699</v>
      </c>
      <c r="F15" s="18" t="n">
        <v>122</v>
      </c>
      <c r="G15" s="18" t="n">
        <v>801</v>
      </c>
      <c r="H15" s="18" t="n">
        <v>-165</v>
      </c>
      <c r="I15" s="18" t="n">
        <v>-55</v>
      </c>
      <c r="J15" s="18" t="n">
        <v>-167</v>
      </c>
      <c r="K15" s="18" t="n">
        <v>769</v>
      </c>
      <c r="L15" s="18" t="n">
        <v>618</v>
      </c>
      <c r="M15" s="18" t="n">
        <v>-700</v>
      </c>
      <c r="N15" s="18" t="n">
        <v>857</v>
      </c>
      <c r="O15" s="18" t="n">
        <v>1666</v>
      </c>
      <c r="P15" s="18" t="n">
        <v>1235</v>
      </c>
      <c r="Q15" s="18" t="n">
        <v>266</v>
      </c>
      <c r="R15" s="18" t="n">
        <v>1290</v>
      </c>
      <c r="S15" s="18" t="n">
        <v>2511</v>
      </c>
      <c r="T15" s="18" t="n">
        <v>222</v>
      </c>
      <c r="U15" s="18" t="n">
        <v>776</v>
      </c>
      <c r="V15" s="18" t="n">
        <v>1521</v>
      </c>
      <c r="W15" s="18" t="n">
        <v>2517</v>
      </c>
      <c r="X15" s="18" t="n">
        <v>1068</v>
      </c>
      <c r="Y15" s="18" t="n">
        <v>333</v>
      </c>
      <c r="Z15" s="18" t="n">
        <v>895</v>
      </c>
      <c r="AA15" s="18" t="n">
        <v>2748</v>
      </c>
      <c r="AB15" s="18" t="n">
        <v>1428</v>
      </c>
      <c r="AC15" s="18" t="n">
        <v>1083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1090.025</v>
      </c>
      <c r="C17" s="18" t="n">
        <v>1070.775</v>
      </c>
      <c r="D17" s="18" t="n">
        <v>1055.25</v>
      </c>
      <c r="E17" s="18" t="n">
        <v>1027.325</v>
      </c>
      <c r="F17" s="18" t="n">
        <v>1024.875</v>
      </c>
      <c r="G17" s="18" t="n">
        <v>1027.025</v>
      </c>
      <c r="H17" s="18" t="n">
        <v>1023.6</v>
      </c>
      <c r="I17" s="18" t="n">
        <v>1024.325</v>
      </c>
      <c r="J17" s="18" t="n">
        <v>1026.35</v>
      </c>
      <c r="K17" s="18" t="n">
        <v>1033.55</v>
      </c>
      <c r="L17" s="18" t="n">
        <v>1034.275</v>
      </c>
      <c r="M17" s="18" t="n">
        <v>1023.025</v>
      </c>
      <c r="N17" s="18" t="n">
        <v>1016.625</v>
      </c>
      <c r="O17" s="18" t="n">
        <v>991.775</v>
      </c>
      <c r="P17" s="18" t="n">
        <v>967.725</v>
      </c>
      <c r="Q17" s="18" t="n">
        <v>949.575</v>
      </c>
      <c r="R17" s="18" t="n">
        <v>924.1</v>
      </c>
      <c r="S17" s="18" t="n">
        <v>899.675</v>
      </c>
      <c r="T17" s="18" t="n">
        <v>880.55</v>
      </c>
      <c r="U17" s="18" t="n">
        <v>867.65</v>
      </c>
      <c r="V17" s="18" t="n">
        <v>856.675</v>
      </c>
      <c r="W17" s="18" t="n">
        <v>846.6</v>
      </c>
      <c r="X17" s="18" t="n">
        <v>835.65</v>
      </c>
      <c r="Y17" s="18" t="n">
        <v>827.325</v>
      </c>
      <c r="Z17" s="18" t="n">
        <v>815.475</v>
      </c>
      <c r="AA17" s="18" t="n">
        <v>813.95</v>
      </c>
      <c r="AB17" s="18" t="n">
        <v>815.975</v>
      </c>
      <c r="AC17" s="18" t="n">
        <v>794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Merchant Revenue</t>
        </is>
      </c>
      <c r="E19" s="18" t="n">
        <v>659</v>
      </c>
      <c r="F19" s="18" t="n">
        <v>245</v>
      </c>
      <c r="G19" s="18" t="n">
        <v>837</v>
      </c>
      <c r="H19" s="18" t="n">
        <v>376</v>
      </c>
      <c r="I19" s="18" t="n">
        <v>373</v>
      </c>
      <c r="J19" s="18" t="n">
        <v>661</v>
      </c>
      <c r="K19" s="18" t="n">
        <v>1622</v>
      </c>
      <c r="L19" s="18" t="n">
        <v>1040</v>
      </c>
      <c r="M19" s="18" t="n">
        <v>1050</v>
      </c>
      <c r="N19" s="18" t="n">
        <v>1749</v>
      </c>
      <c r="O19" s="18" t="n">
        <v>2614</v>
      </c>
      <c r="P19" s="18" t="n">
        <v>1780</v>
      </c>
      <c r="Q19" s="18" t="n">
        <v>1752</v>
      </c>
      <c r="R19" s="18" t="n">
        <v>2770</v>
      </c>
      <c r="S19" s="18" t="n">
        <v>3945</v>
      </c>
      <c r="T19" s="18" t="n">
        <v>2469</v>
      </c>
      <c r="U19" s="18" t="n">
        <v>2388</v>
      </c>
      <c r="V19" s="18" t="n">
        <v>3446</v>
      </c>
      <c r="W19" s="18" t="n">
        <v>4972</v>
      </c>
      <c r="X19" s="18" t="n">
        <v>3336</v>
      </c>
      <c r="Y19" s="18" t="n">
        <v>2918</v>
      </c>
      <c r="Z19" s="18" t="n">
        <v>4457</v>
      </c>
      <c r="AA19" s="18" t="n">
        <v>6131</v>
      </c>
      <c r="AB19" s="18" t="n">
        <v>4249</v>
      </c>
      <c r="AC19" s="18" t="n">
        <v>3698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  <c r="AC20" s="57">
        <f>IFERROR(AC19/Y19-1,"")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  <c r="AC21" s="57">
        <f>IFERROR(AC19/AC3,"")</f>
        <v/>
      </c>
    </row>
    <row r="22">
      <c r="A22" s="4" t="inlineStr">
        <is>
          <t>Agency Revenue</t>
        </is>
      </c>
      <c r="E22" s="18" t="n">
        <v>1424</v>
      </c>
      <c r="F22" s="18" t="n">
        <v>357</v>
      </c>
      <c r="G22" s="18" t="n">
        <v>1723</v>
      </c>
      <c r="H22" s="18" t="n">
        <v>810</v>
      </c>
      <c r="I22" s="18" t="n">
        <v>717</v>
      </c>
      <c r="J22" s="18" t="n">
        <v>1328</v>
      </c>
      <c r="K22" s="18" t="n">
        <v>2867</v>
      </c>
      <c r="L22" s="18" t="n">
        <v>1751</v>
      </c>
      <c r="M22" s="18" t="n">
        <v>1450</v>
      </c>
      <c r="N22" s="18" t="n">
        <v>2301</v>
      </c>
      <c r="O22" s="18" t="n">
        <v>3203</v>
      </c>
      <c r="P22" s="18" t="n">
        <v>2049</v>
      </c>
      <c r="Q22" s="18" t="n">
        <v>1782</v>
      </c>
      <c r="R22" s="18" t="n">
        <v>2429</v>
      </c>
      <c r="S22" s="18" t="n">
        <v>3135</v>
      </c>
      <c r="T22" s="18" t="n">
        <v>2068</v>
      </c>
      <c r="U22" s="18" t="n">
        <v>1763</v>
      </c>
      <c r="V22" s="18" t="n">
        <v>2144</v>
      </c>
      <c r="W22" s="18" t="n">
        <v>2753</v>
      </c>
      <c r="X22" s="18" t="n">
        <v>1864</v>
      </c>
      <c r="Y22" s="18" t="n">
        <v>1564</v>
      </c>
      <c r="Z22" s="18" t="n">
        <v>2044</v>
      </c>
      <c r="AA22" s="18" t="n">
        <v>2569</v>
      </c>
      <c r="AB22" s="18" t="n">
        <v>1791</v>
      </c>
      <c r="AC22" s="18" t="n">
        <v>1528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  <c r="AC23" s="57">
        <f>IFERROR(AC22/Y22-1,"")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  <c r="AC24" s="57">
        <f>IFERROR(AC22/AC3,"")</f>
        <v/>
      </c>
    </row>
    <row r="25">
      <c r="A25" s="4" t="inlineStr">
        <is>
          <t>Advertising and other revenues</t>
        </is>
      </c>
      <c r="E25" s="18" t="n">
        <v>205</v>
      </c>
      <c r="F25" s="18" t="n">
        <v>28</v>
      </c>
      <c r="G25" s="18" t="n">
        <v>80</v>
      </c>
      <c r="H25" s="18" t="n">
        <v>52</v>
      </c>
      <c r="I25" s="18" t="n">
        <v>51</v>
      </c>
      <c r="J25" s="18" t="n">
        <v>171</v>
      </c>
      <c r="K25" s="18" t="n">
        <v>187</v>
      </c>
      <c r="L25" s="18" t="n">
        <v>190</v>
      </c>
      <c r="M25" s="18" t="n">
        <v>195</v>
      </c>
      <c r="N25" s="18" t="n">
        <v>244</v>
      </c>
      <c r="O25" s="18" t="n">
        <v>235</v>
      </c>
      <c r="P25" s="18" t="n">
        <v>220</v>
      </c>
      <c r="Q25" s="18" t="n">
        <v>244</v>
      </c>
      <c r="R25" s="18" t="n">
        <v>263</v>
      </c>
      <c r="S25" s="18" t="n">
        <v>261</v>
      </c>
      <c r="T25" s="18" t="n">
        <v>247</v>
      </c>
      <c r="U25" s="18" t="n">
        <v>264</v>
      </c>
      <c r="V25" s="18" t="n">
        <v>269</v>
      </c>
      <c r="W25" s="18" t="n">
        <v>269</v>
      </c>
      <c r="X25" s="18" t="n">
        <v>271</v>
      </c>
      <c r="Y25" s="18" t="n">
        <v>280</v>
      </c>
      <c r="Z25" s="18" t="n">
        <v>297</v>
      </c>
      <c r="AA25" s="18" t="n">
        <v>308</v>
      </c>
      <c r="AB25" s="18" t="n">
        <v>309</v>
      </c>
      <c r="AC25" s="18" t="n">
        <v>306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  <c r="Z26" s="57">
        <f>IFERROR(Z25/V25-1,"")</f>
        <v/>
      </c>
      <c r="AA26" s="57">
        <f>IFERROR(AA25/W25-1,"")</f>
        <v/>
      </c>
      <c r="AB26" s="57">
        <f>IFERROR(AB25/X25-1,"")</f>
        <v/>
      </c>
      <c r="AC26" s="57">
        <f>IFERROR(AC25/Y25-1,"")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  <c r="Z27" s="57">
        <f>IFERROR(Z25/Z3,"")</f>
        <v/>
      </c>
      <c r="AA27" s="57">
        <f>IFERROR(AA25/AA3,"")</f>
        <v/>
      </c>
      <c r="AB27" s="57">
        <f>IFERROR(AB25/AB3,"")</f>
        <v/>
      </c>
      <c r="AC27" s="57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6809</v>
      </c>
      <c r="C29" s="18" t="n">
        <v>7439</v>
      </c>
      <c r="D29" s="18" t="n">
        <v>7310</v>
      </c>
      <c r="E29" s="18" t="n">
        <v>7189</v>
      </c>
      <c r="F29" s="18" t="n">
        <v>10404</v>
      </c>
      <c r="G29" s="18" t="n">
        <v>11197</v>
      </c>
      <c r="H29" s="18" t="n">
        <v>11063</v>
      </c>
      <c r="I29" s="18" t="n">
        <v>12651</v>
      </c>
      <c r="J29" s="18" t="n">
        <v>11732</v>
      </c>
      <c r="K29" s="18" t="n">
        <v>12165</v>
      </c>
      <c r="L29" s="18" t="n">
        <v>11152</v>
      </c>
      <c r="M29" s="18" t="n">
        <v>10549</v>
      </c>
      <c r="N29" s="18" t="n">
        <v>11841</v>
      </c>
      <c r="O29" s="18" t="n">
        <v>9137</v>
      </c>
      <c r="P29" s="18" t="n">
        <v>12426</v>
      </c>
      <c r="Q29" s="18" t="n">
        <v>14499</v>
      </c>
      <c r="R29" s="18" t="n">
        <v>15242</v>
      </c>
      <c r="S29" s="18" t="n">
        <v>13918</v>
      </c>
      <c r="T29" s="18" t="n">
        <v>12683</v>
      </c>
      <c r="U29" s="18" t="n">
        <v>15991</v>
      </c>
      <c r="V29" s="18" t="n">
        <v>16327</v>
      </c>
      <c r="W29" s="18" t="n">
        <v>15775</v>
      </c>
      <c r="X29" s="18" t="n">
        <v>16164</v>
      </c>
      <c r="Y29" s="18" t="n">
        <v>15578</v>
      </c>
      <c r="Z29" s="18" t="n">
        <v>17595</v>
      </c>
      <c r="AA29" s="18" t="n">
        <v>16509</v>
      </c>
      <c r="AB29" s="18" t="n">
        <v>17785</v>
      </c>
      <c r="AC29" s="18" t="n">
        <v>16024</v>
      </c>
    </row>
    <row r="30">
      <c r="A30" s="4" t="inlineStr">
        <is>
          <t>Total Current Assets</t>
        </is>
      </c>
      <c r="B30" s="18" t="n">
        <v>10020</v>
      </c>
      <c r="C30" s="18" t="n">
        <v>10056</v>
      </c>
      <c r="D30" s="18" t="n">
        <v>9833</v>
      </c>
      <c r="E30" s="18" t="n">
        <v>9260</v>
      </c>
      <c r="F30" s="18" t="n">
        <v>11453</v>
      </c>
      <c r="G30" s="18" t="n">
        <v>12583</v>
      </c>
      <c r="H30" s="18" t="n">
        <v>12206</v>
      </c>
      <c r="I30" s="18" t="n">
        <v>14108</v>
      </c>
      <c r="J30" s="18" t="n">
        <v>13789</v>
      </c>
      <c r="K30" s="18" t="n">
        <v>14352</v>
      </c>
      <c r="L30" s="18" t="n">
        <v>13145</v>
      </c>
      <c r="M30" s="18" t="n">
        <v>12875</v>
      </c>
      <c r="N30" s="18" t="n">
        <v>14924</v>
      </c>
      <c r="O30" s="18" t="n">
        <v>12410</v>
      </c>
      <c r="P30" s="18" t="n">
        <v>15798</v>
      </c>
      <c r="Q30" s="18" t="n">
        <v>17632</v>
      </c>
      <c r="R30" s="18" t="n">
        <v>19349</v>
      </c>
      <c r="S30" s="18" t="n">
        <v>18479</v>
      </c>
      <c r="T30" s="18" t="n">
        <v>17034</v>
      </c>
      <c r="U30" s="18" t="n">
        <v>20476</v>
      </c>
      <c r="V30" s="18" t="n">
        <v>21293</v>
      </c>
      <c r="W30" s="18" t="n">
        <v>20529</v>
      </c>
      <c r="X30" s="18" t="n">
        <v>20491</v>
      </c>
      <c r="Y30" s="18" t="n">
        <v>19950</v>
      </c>
      <c r="Z30" s="18" t="n">
        <v>23263</v>
      </c>
      <c r="AA30" s="18" t="n">
        <v>21703</v>
      </c>
      <c r="AB30" s="18" t="n">
        <v>22264</v>
      </c>
      <c r="AC30" s="18" t="n">
        <v>20934</v>
      </c>
    </row>
    <row r="31">
      <c r="A31" s="4" t="inlineStr">
        <is>
          <t>PP&amp;E (net)</t>
        </is>
      </c>
      <c r="B31" s="18" t="n">
        <v>1355</v>
      </c>
      <c r="C31" s="18" t="n">
        <v>1316</v>
      </c>
      <c r="D31" s="18" t="n">
        <v>1358</v>
      </c>
      <c r="E31" s="18" t="n">
        <v>1316</v>
      </c>
      <c r="F31" s="18" t="n">
        <v>1313</v>
      </c>
      <c r="G31" s="18" t="n">
        <v>1312</v>
      </c>
      <c r="H31" s="18" t="n">
        <v>1285</v>
      </c>
      <c r="I31" s="18" t="n">
        <v>1214</v>
      </c>
      <c r="J31" s="18" t="n">
        <v>1205</v>
      </c>
      <c r="K31" s="18" t="n">
        <v>1207</v>
      </c>
      <c r="L31" s="18" t="n">
        <v>1318</v>
      </c>
      <c r="M31" s="18" t="n">
        <v>1331</v>
      </c>
      <c r="N31" s="18" t="n">
        <v>1303</v>
      </c>
      <c r="O31" s="18" t="n">
        <v>1281</v>
      </c>
      <c r="P31" s="18" t="n">
        <v>1314</v>
      </c>
      <c r="Q31" s="18" t="n">
        <v>1321</v>
      </c>
      <c r="R31" s="18" t="n">
        <v>1340</v>
      </c>
      <c r="S31" s="18" t="n">
        <v>1376</v>
      </c>
      <c r="T31" s="18" t="n">
        <v>1489</v>
      </c>
      <c r="U31" s="18" t="n">
        <v>1468</v>
      </c>
      <c r="V31" s="18" t="n">
        <v>1512</v>
      </c>
      <c r="W31" s="18" t="n">
        <v>1482</v>
      </c>
      <c r="X31" s="18" t="n">
        <v>1391</v>
      </c>
      <c r="Y31" s="18" t="n">
        <v>1412</v>
      </c>
      <c r="Z31" s="18" t="n">
        <v>1441</v>
      </c>
      <c r="AA31" s="18" t="n">
        <v>1422</v>
      </c>
      <c r="AB31" s="18" t="n">
        <v>807</v>
      </c>
      <c r="AC31" s="18" t="n">
        <v>784</v>
      </c>
    </row>
    <row r="32">
      <c r="A32" s="4" t="inlineStr">
        <is>
          <t>Total Assets</t>
        </is>
      </c>
      <c r="B32" s="18" t="n">
        <v>21494</v>
      </c>
      <c r="C32" s="18" t="n">
        <v>21446</v>
      </c>
      <c r="D32" s="18" t="n">
        <v>21402</v>
      </c>
      <c r="E32" s="18" t="n">
        <v>17862</v>
      </c>
      <c r="F32" s="18" t="n">
        <v>20912</v>
      </c>
      <c r="G32" s="18" t="n">
        <v>22145</v>
      </c>
      <c r="H32" s="18" t="n">
        <v>21874</v>
      </c>
      <c r="I32" s="18" t="n">
        <v>23655</v>
      </c>
      <c r="J32" s="18" t="n">
        <v>23881</v>
      </c>
      <c r="K32" s="18" t="n">
        <v>23341</v>
      </c>
      <c r="L32" s="18" t="n">
        <v>23641</v>
      </c>
      <c r="M32" s="18" t="n">
        <v>22384</v>
      </c>
      <c r="N32" s="18" t="n">
        <v>24493</v>
      </c>
      <c r="O32" s="18" t="n">
        <v>22063</v>
      </c>
      <c r="P32" s="18" t="n">
        <v>25361</v>
      </c>
      <c r="Q32" s="18" t="n">
        <v>25206</v>
      </c>
      <c r="R32" s="18" t="n">
        <v>26558</v>
      </c>
      <c r="S32" s="18" t="n">
        <v>25635</v>
      </c>
      <c r="T32" s="18" t="n">
        <v>24342</v>
      </c>
      <c r="U32" s="18" t="n">
        <v>27728</v>
      </c>
      <c r="V32" s="18" t="n">
        <v>28541</v>
      </c>
      <c r="W32" s="18" t="n">
        <v>27978</v>
      </c>
      <c r="X32" s="18" t="n">
        <v>27708</v>
      </c>
      <c r="Y32" s="18" t="n">
        <v>27191</v>
      </c>
      <c r="Z32" s="18" t="n">
        <v>30684</v>
      </c>
      <c r="AA32" s="18" t="n">
        <v>28752</v>
      </c>
      <c r="AB32" s="18" t="n">
        <v>29264</v>
      </c>
      <c r="AC32" s="18" t="n">
        <v>27720</v>
      </c>
    </row>
    <row r="33">
      <c r="A33" s="4" t="inlineStr">
        <is>
          <t>Total Current Liabilities</t>
        </is>
      </c>
      <c r="B33" s="18" t="n">
        <v>6349</v>
      </c>
      <c r="C33" s="18" t="n">
        <v>5528</v>
      </c>
      <c r="D33" s="18" t="n">
        <v>5366</v>
      </c>
      <c r="E33" s="18" t="n">
        <v>4136</v>
      </c>
      <c r="F33" s="18" t="n">
        <v>3909</v>
      </c>
      <c r="G33" s="18" t="n">
        <v>3968</v>
      </c>
      <c r="H33" s="18" t="n">
        <v>3425</v>
      </c>
      <c r="I33" s="18" t="n">
        <v>6468</v>
      </c>
      <c r="J33" s="18" t="n">
        <v>6724</v>
      </c>
      <c r="K33" s="18" t="n">
        <v>5779</v>
      </c>
      <c r="L33" s="18" t="n">
        <v>6246</v>
      </c>
      <c r="M33" s="18" t="n">
        <v>7478</v>
      </c>
      <c r="N33" s="18" t="n">
        <v>10282</v>
      </c>
      <c r="O33" s="18" t="n">
        <v>8543</v>
      </c>
      <c r="P33" s="18" t="n">
        <v>8474</v>
      </c>
      <c r="Q33" s="18" t="n">
        <v>11070</v>
      </c>
      <c r="R33" s="18" t="n">
        <v>12481</v>
      </c>
      <c r="S33" s="18" t="n">
        <v>12832</v>
      </c>
      <c r="T33" s="18" t="n">
        <v>13330</v>
      </c>
      <c r="U33" s="18" t="n">
        <v>16832</v>
      </c>
      <c r="V33" s="18" t="n">
        <v>18206</v>
      </c>
      <c r="W33" s="18" t="n">
        <v>16678</v>
      </c>
      <c r="X33" s="18" t="n">
        <v>15647</v>
      </c>
      <c r="Y33" s="18" t="n">
        <v>16394</v>
      </c>
      <c r="Z33" s="18" t="n">
        <v>18636</v>
      </c>
      <c r="AA33" s="18" t="n">
        <v>16265</v>
      </c>
      <c r="AB33" s="18" t="n">
        <v>16698</v>
      </c>
      <c r="AC33" s="18" t="n">
        <v>19811</v>
      </c>
    </row>
    <row r="34">
      <c r="A34" s="4" t="inlineStr">
        <is>
          <t>Long-term Debt</t>
        </is>
      </c>
      <c r="B34" s="18" t="n">
        <v>7686</v>
      </c>
      <c r="C34" s="18" t="n">
        <v>7512</v>
      </c>
      <c r="D34" s="18" t="n">
        <v>7640</v>
      </c>
      <c r="E34" s="18" t="n">
        <v>7553</v>
      </c>
      <c r="F34" s="18" t="n">
        <v>10633</v>
      </c>
      <c r="G34" s="18" t="n">
        <v>10829</v>
      </c>
      <c r="H34" s="18" t="n">
        <v>11029</v>
      </c>
      <c r="I34" s="18" t="n">
        <v>9930</v>
      </c>
      <c r="J34" s="18" t="n">
        <v>9986</v>
      </c>
      <c r="K34" s="18" t="n">
        <v>9876</v>
      </c>
      <c r="L34" s="18" t="n">
        <v>8937</v>
      </c>
      <c r="M34" s="18" t="n">
        <v>8435</v>
      </c>
      <c r="N34" s="18" t="n">
        <v>8190</v>
      </c>
      <c r="O34" s="18" t="n">
        <v>7950</v>
      </c>
      <c r="P34" s="18" t="n">
        <v>11985</v>
      </c>
      <c r="Q34" s="18" t="n">
        <v>11272</v>
      </c>
      <c r="R34" s="18" t="n">
        <v>13198</v>
      </c>
      <c r="S34" s="18" t="n">
        <v>11856</v>
      </c>
      <c r="T34" s="18" t="n">
        <v>12223</v>
      </c>
      <c r="U34" s="18" t="n">
        <v>13438</v>
      </c>
      <c r="V34" s="18" t="n">
        <v>13361</v>
      </c>
      <c r="W34" s="18" t="n">
        <v>13793</v>
      </c>
      <c r="X34" s="18" t="n">
        <v>14853</v>
      </c>
      <c r="Y34" s="18" t="n">
        <v>15369</v>
      </c>
      <c r="Z34" s="18" t="n">
        <v>17473</v>
      </c>
      <c r="AA34" s="18" t="n">
        <v>15997</v>
      </c>
      <c r="AB34" s="18" t="n">
        <v>16856</v>
      </c>
      <c r="AC34" s="18" t="n">
        <v>15398</v>
      </c>
    </row>
    <row r="35">
      <c r="A35" s="4" t="inlineStr">
        <is>
          <t>Total Equity</t>
        </is>
      </c>
      <c r="B35" s="18" t="n">
        <v>5307</v>
      </c>
      <c r="C35" s="18" t="n">
        <v>5951</v>
      </c>
      <c r="D35" s="18" t="n">
        <v>5933</v>
      </c>
      <c r="E35" s="18" t="n">
        <v>3835</v>
      </c>
      <c r="F35" s="18" t="n">
        <v>3999</v>
      </c>
      <c r="G35" s="18" t="n">
        <v>4913</v>
      </c>
      <c r="H35" s="18" t="n">
        <v>4893</v>
      </c>
      <c r="I35" s="18" t="n">
        <v>4764</v>
      </c>
      <c r="J35" s="18" t="n">
        <v>4804</v>
      </c>
      <c r="K35" s="18" t="n">
        <v>5545</v>
      </c>
      <c r="L35" s="18" t="n">
        <v>6178</v>
      </c>
      <c r="M35" s="18" t="n">
        <v>4373</v>
      </c>
      <c r="N35" s="18" t="n">
        <v>4002</v>
      </c>
      <c r="O35" s="18" t="n">
        <v>3670</v>
      </c>
      <c r="P35" s="18" t="n">
        <v>2782</v>
      </c>
      <c r="Q35" s="18" t="n">
        <v>1074</v>
      </c>
      <c r="R35" s="18" t="n">
        <v>-665</v>
      </c>
      <c r="S35" s="18" t="n">
        <v>-625</v>
      </c>
      <c r="T35" s="18" t="n">
        <v>-2744</v>
      </c>
      <c r="U35" s="18" t="n">
        <v>-4052</v>
      </c>
      <c r="V35" s="18" t="n">
        <v>-4276</v>
      </c>
      <c r="W35" s="18" t="n">
        <v>-3653</v>
      </c>
      <c r="X35" s="18" t="n">
        <v>-4020</v>
      </c>
      <c r="Y35" s="18" t="n">
        <v>-6112</v>
      </c>
      <c r="Z35" s="18" t="n">
        <v>-6657</v>
      </c>
      <c r="AA35" s="18" t="n">
        <v>-4736</v>
      </c>
      <c r="AB35" s="18" t="n">
        <v>-5578</v>
      </c>
      <c r="AC35" s="18" t="n">
        <v>-8724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162</v>
      </c>
      <c r="C37" s="18" t="n">
        <v>159</v>
      </c>
      <c r="D37" s="18" t="n">
        <v>162</v>
      </c>
      <c r="E37" s="18" t="n">
        <v>163</v>
      </c>
      <c r="F37" s="18" t="n">
        <v>157</v>
      </c>
      <c r="G37" s="18" t="n">
        <v>161</v>
      </c>
      <c r="H37" s="18" t="n">
        <v>161</v>
      </c>
      <c r="I37" s="18" t="n">
        <v>158</v>
      </c>
      <c r="J37" s="18" t="n">
        <v>154</v>
      </c>
      <c r="K37" s="18" t="n">
        <v>146</v>
      </c>
      <c r="L37" s="18" t="n">
        <v>141</v>
      </c>
      <c r="M37" s="18" t="n">
        <v>150</v>
      </c>
      <c r="N37" s="18" t="n">
        <v>149</v>
      </c>
      <c r="O37" s="18" t="n">
        <v>145</v>
      </c>
      <c r="P37" s="18" t="n">
        <v>163</v>
      </c>
      <c r="Q37" s="18" t="n">
        <v>161</v>
      </c>
      <c r="R37" s="18" t="n">
        <v>160</v>
      </c>
      <c r="S37" s="18" t="n">
        <v>169</v>
      </c>
      <c r="T37" s="18" t="n">
        <v>175</v>
      </c>
      <c r="U37" s="18" t="n">
        <v>177</v>
      </c>
      <c r="V37" s="18" t="n">
        <v>181</v>
      </c>
      <c r="W37" s="18" t="n">
        <v>190</v>
      </c>
      <c r="X37" s="18" t="n">
        <v>203</v>
      </c>
      <c r="Y37" s="18" t="n">
        <v>184</v>
      </c>
      <c r="Z37" s="18" t="n">
        <v>194</v>
      </c>
      <c r="AA37" s="18" t="n">
        <v>199</v>
      </c>
      <c r="AB37" s="18" t="n">
        <v>191</v>
      </c>
      <c r="AC37" s="18" t="n">
        <v>131</v>
      </c>
    </row>
    <row r="38">
      <c r="A38" s="4" t="inlineStr">
        <is>
          <t>Stock-based Compensation</t>
        </is>
      </c>
      <c r="B38" s="18" t="n">
        <v>84</v>
      </c>
      <c r="C38" s="18" t="n">
        <v>83</v>
      </c>
      <c r="D38" s="18" t="n">
        <v>80</v>
      </c>
      <c r="E38" s="18" t="n">
        <v>11</v>
      </c>
      <c r="F38" s="18" t="n">
        <v>83</v>
      </c>
      <c r="G38" s="18" t="n">
        <v>85</v>
      </c>
      <c r="H38" s="18" t="n">
        <v>76</v>
      </c>
      <c r="I38" s="18" t="n">
        <v>113</v>
      </c>
      <c r="J38" s="18" t="n">
        <v>91</v>
      </c>
      <c r="K38" s="18" t="n">
        <v>86</v>
      </c>
      <c r="L38" s="18" t="n">
        <v>86</v>
      </c>
      <c r="M38" s="18" t="n">
        <v>93</v>
      </c>
      <c r="N38" s="18" t="n">
        <v>108</v>
      </c>
      <c r="O38" s="18" t="n">
        <v>101</v>
      </c>
      <c r="P38" s="18" t="n">
        <v>102</v>
      </c>
      <c r="Q38" s="18" t="n">
        <v>113</v>
      </c>
      <c r="R38" s="18" t="n">
        <v>128</v>
      </c>
      <c r="S38" s="18" t="n">
        <v>128</v>
      </c>
      <c r="T38" s="18" t="n">
        <v>161</v>
      </c>
      <c r="U38" s="18" t="n">
        <v>144</v>
      </c>
      <c r="V38" s="18" t="n">
        <v>140</v>
      </c>
      <c r="W38" s="18" t="n">
        <v>148</v>
      </c>
      <c r="X38" s="18" t="n">
        <v>167</v>
      </c>
      <c r="Y38" s="18" t="n">
        <v>143</v>
      </c>
      <c r="Z38" s="18" t="n">
        <v>154</v>
      </c>
      <c r="AA38" s="18" t="n">
        <v>153</v>
      </c>
      <c r="AB38" s="18" t="n">
        <v>0</v>
      </c>
      <c r="AC38" s="18" t="n">
        <v>141</v>
      </c>
    </row>
    <row r="39">
      <c r="A39" s="4" t="inlineStr">
        <is>
          <t>Change in Working Capital</t>
        </is>
      </c>
      <c r="B39" s="18" t="n">
        <v>558</v>
      </c>
      <c r="C39" s="18" t="n">
        <v>-364</v>
      </c>
      <c r="D39" s="18" t="n">
        <v>-183</v>
      </c>
      <c r="E39" s="18" t="n">
        <v>-897</v>
      </c>
      <c r="F39" s="18" t="n">
        <v>353</v>
      </c>
      <c r="G39" s="18" t="n">
        <v>-177</v>
      </c>
      <c r="H39" s="18" t="n">
        <v>-299</v>
      </c>
      <c r="I39" s="18" t="n">
        <v>-262</v>
      </c>
      <c r="J39" s="18" t="n">
        <v>1188</v>
      </c>
      <c r="K39" s="18" t="n">
        <v>-209</v>
      </c>
      <c r="L39" s="18" t="n">
        <v>-448</v>
      </c>
      <c r="M39" s="18" t="n">
        <v>1326</v>
      </c>
      <c r="N39" s="18" t="n">
        <v>1670</v>
      </c>
      <c r="O39" s="18" t="n">
        <v>-2229</v>
      </c>
      <c r="P39" s="18" t="n">
        <v>1028</v>
      </c>
      <c r="Q39" s="18" t="n">
        <v>2476</v>
      </c>
      <c r="R39" s="18" t="n">
        <v>85</v>
      </c>
      <c r="S39" s="18" t="n">
        <v>-1456</v>
      </c>
      <c r="T39" s="18" t="n">
        <v>604</v>
      </c>
      <c r="U39" s="18" t="n">
        <v>1704</v>
      </c>
      <c r="V39" s="18" t="n">
        <v>626</v>
      </c>
      <c r="W39" s="18" t="n">
        <v>-2330</v>
      </c>
      <c r="X39" s="18" t="n">
        <v>-1143</v>
      </c>
      <c r="Y39" s="18" t="n">
        <v>2051</v>
      </c>
      <c r="Z39" s="18" t="n">
        <v>1035</v>
      </c>
      <c r="AA39" s="18" t="n">
        <v>-2102</v>
      </c>
      <c r="AB39" s="18" t="n">
        <v>-449</v>
      </c>
      <c r="AC39" s="18" t="n">
        <v>1892</v>
      </c>
    </row>
    <row r="40">
      <c r="A40" s="4" t="inlineStr">
        <is>
          <t>Operating Cash Flow</t>
        </is>
      </c>
      <c r="B40" s="18" t="n">
        <v>1787</v>
      </c>
      <c r="C40" s="18" t="n">
        <v>1851</v>
      </c>
      <c r="D40" s="18" t="n">
        <v>1077</v>
      </c>
      <c r="E40" s="18" t="n">
        <v>-380</v>
      </c>
      <c r="F40" s="18" t="n">
        <v>122</v>
      </c>
      <c r="G40" s="18" t="n">
        <v>920</v>
      </c>
      <c r="H40" s="18" t="n">
        <v>-577</v>
      </c>
      <c r="I40" s="18" t="n">
        <v>-207</v>
      </c>
      <c r="J40" s="18" t="n">
        <v>1152</v>
      </c>
      <c r="K40" s="18" t="n">
        <v>1596</v>
      </c>
      <c r="L40" s="18" t="n">
        <v>279</v>
      </c>
      <c r="M40" s="18" t="n">
        <v>1695</v>
      </c>
      <c r="N40" s="18" t="n">
        <v>2684</v>
      </c>
      <c r="O40" s="18" t="n">
        <v>2</v>
      </c>
      <c r="P40" s="18" t="n">
        <v>2173</v>
      </c>
      <c r="Q40" s="18" t="n">
        <v>2889</v>
      </c>
      <c r="R40" s="18" t="n">
        <v>1737</v>
      </c>
      <c r="S40" s="18" t="n">
        <v>1372</v>
      </c>
      <c r="T40" s="18" t="n">
        <v>1346</v>
      </c>
      <c r="U40" s="18" t="n">
        <v>2704</v>
      </c>
      <c r="V40" s="18" t="n">
        <v>2525</v>
      </c>
      <c r="W40" s="18" t="n">
        <v>2373</v>
      </c>
      <c r="X40" s="18" t="n">
        <v>721</v>
      </c>
      <c r="Y40" s="18" t="n">
        <v>3283</v>
      </c>
      <c r="Z40" s="18" t="n">
        <v>3201</v>
      </c>
      <c r="AA40" s="18" t="n">
        <v>1435</v>
      </c>
      <c r="AB40" s="18" t="n">
        <v>1490</v>
      </c>
      <c r="AC40" s="18" t="n">
        <v>3215</v>
      </c>
    </row>
    <row r="41">
      <c r="A41" s="4" t="inlineStr">
        <is>
          <t>Capex</t>
        </is>
      </c>
      <c r="B41" s="18" t="n">
        <v>-88</v>
      </c>
      <c r="C41" s="18" t="n">
        <v>-82</v>
      </c>
      <c r="D41" s="18" t="n">
        <v>-87</v>
      </c>
      <c r="E41" s="18" t="n">
        <v>-80</v>
      </c>
      <c r="F41" s="18" t="n">
        <v>-70</v>
      </c>
      <c r="G41" s="18" t="n">
        <v>-72</v>
      </c>
      <c r="H41" s="18" t="n">
        <v>-64</v>
      </c>
      <c r="I41" s="18" t="n">
        <v>-65</v>
      </c>
      <c r="J41" s="18" t="n">
        <v>-59</v>
      </c>
      <c r="K41" s="18" t="n">
        <v>-79</v>
      </c>
      <c r="L41" s="18" t="n">
        <v>-101</v>
      </c>
      <c r="M41" s="18" t="n">
        <v>-109</v>
      </c>
      <c r="N41" s="18" t="n">
        <v>-86</v>
      </c>
      <c r="O41" s="18" t="n">
        <v>-98</v>
      </c>
      <c r="P41" s="18" t="n">
        <v>-75</v>
      </c>
      <c r="Q41" s="18" t="n">
        <v>-88</v>
      </c>
      <c r="R41" s="18" t="n">
        <v>-92</v>
      </c>
      <c r="S41" s="18" t="n">
        <v>-71</v>
      </c>
      <c r="T41" s="18" t="n">
        <v>-94</v>
      </c>
      <c r="U41" s="18" t="n">
        <v>-130</v>
      </c>
      <c r="V41" s="18" t="n">
        <v>-146</v>
      </c>
      <c r="W41" s="18" t="n">
        <v>-77</v>
      </c>
      <c r="X41" s="18" t="n">
        <v>-76</v>
      </c>
      <c r="Y41" s="18" t="n">
        <v>-121</v>
      </c>
      <c r="Z41" s="18" t="n">
        <v>-64</v>
      </c>
      <c r="AA41" s="18" t="n">
        <v>-64</v>
      </c>
      <c r="AB41" s="18" t="n">
        <v>-73</v>
      </c>
      <c r="AC41" s="18" t="n">
        <v>-107</v>
      </c>
    </row>
    <row r="42">
      <c r="A42" s="4" t="inlineStr">
        <is>
          <t>Free Cash Flow</t>
        </is>
      </c>
      <c r="B42" s="18" t="n">
        <v>1699</v>
      </c>
      <c r="C42" s="18" t="n">
        <v>1769</v>
      </c>
      <c r="D42" s="18" t="n">
        <v>990</v>
      </c>
      <c r="E42" s="18" t="n">
        <v>-460</v>
      </c>
      <c r="F42" s="18" t="n">
        <v>52</v>
      </c>
      <c r="G42" s="18" t="n">
        <v>848</v>
      </c>
      <c r="H42" s="18" t="n">
        <v>-641</v>
      </c>
      <c r="I42" s="18" t="n">
        <v>-272</v>
      </c>
      <c r="J42" s="18" t="n">
        <v>1093</v>
      </c>
      <c r="K42" s="18" t="n">
        <v>1517</v>
      </c>
      <c r="L42" s="18" t="n">
        <v>178</v>
      </c>
      <c r="M42" s="18" t="n">
        <v>1586</v>
      </c>
      <c r="N42" s="18" t="n">
        <v>2598</v>
      </c>
      <c r="O42" s="18" t="n">
        <v>-96</v>
      </c>
      <c r="P42" s="18" t="n">
        <v>2098</v>
      </c>
      <c r="Q42" s="18" t="n">
        <v>2801</v>
      </c>
      <c r="R42" s="18" t="n">
        <v>1645</v>
      </c>
      <c r="S42" s="18" t="n">
        <v>1301</v>
      </c>
      <c r="T42" s="18" t="n">
        <v>1252</v>
      </c>
      <c r="U42" s="18" t="n">
        <v>2574</v>
      </c>
      <c r="V42" s="18" t="n">
        <v>2379</v>
      </c>
      <c r="W42" s="18" t="n">
        <v>2296</v>
      </c>
      <c r="X42" s="18" t="n">
        <v>645</v>
      </c>
      <c r="Y42" s="18" t="n">
        <v>3162</v>
      </c>
      <c r="Z42" s="18" t="n">
        <v>3137</v>
      </c>
      <c r="AA42" s="18" t="n">
        <v>1371</v>
      </c>
      <c r="AB42" s="18" t="n">
        <v>1417</v>
      </c>
      <c r="AC42" s="18" t="n">
        <v>3108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29442.509888</v>
      </c>
      <c r="C4" s="18" t="n">
        <v>32156.729956</v>
      </c>
      <c r="D4" s="18" t="n">
        <v>34738.826717</v>
      </c>
      <c r="E4" s="18" t="n">
        <v>37700.017479</v>
      </c>
      <c r="F4" s="18" t="n">
        <v>40059.2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14399.515777</v>
      </c>
      <c r="C8" s="18" t="n">
        <v>15726.965605</v>
      </c>
      <c r="D8" s="18" t="n">
        <v>16989.797585</v>
      </c>
      <c r="E8" s="18" t="n">
        <v>18438.033936</v>
      </c>
      <c r="F8" s="18" t="n">
        <v>19591.844737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14120.284735</v>
      </c>
      <c r="C12" s="18" t="n">
        <v>15421.993059</v>
      </c>
      <c r="D12" s="18" t="n">
        <v>16660.336584</v>
      </c>
      <c r="E12" s="18" t="n">
        <v>18080.489175</v>
      </c>
      <c r="F12" s="18" t="n">
        <v>19211.925627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19062.30227</v>
      </c>
      <c r="C16" s="18" t="n">
        <v>20819.600937</v>
      </c>
      <c r="D16" s="18" t="n">
        <v>22491.357493</v>
      </c>
      <c r="E16" s="18" t="n">
        <v>24408.555232</v>
      </c>
      <c r="F16" s="18" t="n">
        <v>25935.987863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8177.4738</v>
      </c>
      <c r="C20" s="18" t="n">
        <v>10037.1289725</v>
      </c>
      <c r="D20" s="18" t="n">
        <v>11818.38608</v>
      </c>
      <c r="E20" s="18" t="n">
        <v>14060.514028</v>
      </c>
      <c r="F20" s="18" t="n">
        <v>15803.395831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10.45799</v>
      </c>
      <c r="C24" s="62" t="n">
        <v>12.32573</v>
      </c>
      <c r="D24" s="62" t="n">
        <v>14.35071</v>
      </c>
      <c r="E24" s="62" t="n">
        <v>17.23155</v>
      </c>
      <c r="F24" s="62" t="n">
        <v>19.3675</v>
      </c>
    </row>
    <row r="25">
      <c r="A25" s="4" t="inlineStr">
        <is>
          <t xml:space="preserve">  model</t>
        </is>
      </c>
      <c r="B25" s="46">
        <f>Model!G27/Financials!AC17</f>
        <v/>
      </c>
      <c r="C25" s="46">
        <f>Model!H27/Financials!AC17</f>
        <v/>
      </c>
      <c r="D25" s="46">
        <f>Model!I27/Financials!AC17</f>
        <v/>
      </c>
      <c r="E25" s="46">
        <f>Model!J27/Financials!AC17</f>
        <v/>
      </c>
      <c r="F25" s="46">
        <f>Model!K27/Financials!AC17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Booking Holdings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Financials!AC29</f>
        <v/>
      </c>
    </row>
    <row r="33">
      <c r="A33" s="4" t="inlineStr">
        <is>
          <t>- Long-term debt</t>
        </is>
      </c>
      <c r="B33" s="28">
        <f>-Financials!AC34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0.0285321544005647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0.52572265625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(Model!P10/Model!F10)^(1/10)-1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0.8202689870645152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Financials!AC29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2026-06-08T05:39:19Z</dcterms:created>
  <dcterms:modified xmlns:dcterms="http://purl.org/dc/terms/" xmlns:xsi="http://www.w3.org/2001/XMLSchema-instance" xsi:type="dcterms:W3CDTF">2026-06-08T05:39:20Z</dcterms:modified>
</cp:coreProperties>
</file>