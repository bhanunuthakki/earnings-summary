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7" fillId="3" borderId="0" pivotButton="0" quotePrefix="0" xfId="0"/>
    <xf numFmtId="169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User-edited — overridden from Opus 15.0% on 2026-06-11</t>
      </text>
    </comment>
    <comment ref="C20" authorId="0" shapeId="0">
      <text>
        <t>User-edited — overridden from Opus 3.5% on 2026-06-11</t>
      </text>
    </comment>
    <comment ref="B21" authorId="0" shapeId="0">
      <text>
        <t>User-edited — overridden from Opus -1.0% on 2026-06-11</t>
      </text>
    </comment>
    <comment ref="C21" authorId="0" shapeId="0">
      <text>
        <t>User-edited — overridden from Opus 2.0% on 2026-06-11</t>
      </text>
    </comment>
    <comment ref="B22" authorId="0" shapeId="0">
      <text>
        <t>User-edited — overridden from Opus 11.0% on 2026-06-11</t>
      </text>
    </comment>
    <comment ref="C22" authorId="0" shapeId="0">
      <text>
        <t>User-edited — overridden from Opus 3.0% on 2026-06-11</t>
      </text>
    </comment>
    <comment ref="B29" authorId="0" shapeId="0">
      <text>
        <t>User-edited — overridden from Opus 35.5% on 2026-06-11</t>
      </text>
    </comment>
    <comment ref="B30" authorId="0" shapeId="0">
      <text>
        <t>User-edited — overridden from Opus 38.5% on 2026-06-11</t>
      </text>
    </comment>
    <comment ref="B31" authorId="0" shapeId="0">
      <text>
        <t>User-edited — overridden from Opus 22.0% on 2026-06-11</t>
      </text>
    </comment>
    <comment ref="B34" authorId="0" shapeId="0">
      <text>
        <t>Opus: —
set from Opus 2% of FY1E revenue; edits not tracked (unit differs from the JSON)</t>
      </text>
    </comment>
    <comment ref="B35" authorId="0" shapeId="0">
      <text>
        <t>User-edited — overridden from Opus 1.1x on 2026-06-11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User-edited — overridden from Opus Perpetuity on 2026-06-11</t>
      </text>
    </comment>
    <comment ref="B44" authorId="0" shapeId="0">
      <text>
        <t>User-edited — overridden from Opus EV/FCF on 2026-06-11</t>
      </text>
    </comment>
    <comment ref="B45" authorId="0" shapeId="0">
      <text>
        <t>User-edited — overridden from Opus 20.0x on 2026-06-11</t>
      </text>
    </comment>
    <comment ref="B46" authorId="0" shapeId="0">
      <text>
        <t>User-edited — overridden from Opus 3.0% on 2026-06-11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Booking Holdings Inc. (BKNG)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BKNG is the global leader in online accommodation booking, compounding through international expansion, alternative accommodations, and the connected-trip vision, with revenue mix migrating from legacy agency toward the higher-take-rate merchant (payments) model. Near-term growth tracks consensus at roughly 9-10% as merchant volume scales, then fades toward a mature ~3.5% as the travel TAM matures and penetration saturates. Operating leverage on a fixed marketing/tech base lifts already-elite operating margins from ~34.5% toward ~38.5%, while a capital-light model keeps capex near maintenance.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Booking Holdings Inc. (BKNG)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IF(Model!F38&lt;=0,"n/a (neg. capital)",Model!G40-WACC!B15)</f>
        <v/>
      </c>
      <c r="C15" s="10">
        <f>IF(Model!F38&lt;=0,"n/a",IF(Model!G40-WACC!B15&lt;0,"!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Merchant Revenue</t>
        </is>
      </c>
      <c r="B20" s="15" t="n">
        <v>0.1389672588095585</v>
      </c>
      <c r="C20" s="15" t="n">
        <v>0.07000000000000001</v>
      </c>
      <c r="D20" s="16" t="n">
        <v>0.1389672588095585</v>
      </c>
      <c r="E20" s="2" t="inlineStr"/>
    </row>
    <row r="21">
      <c r="A21" s="4" t="inlineStr">
        <is>
          <t>Agency Revenue</t>
        </is>
      </c>
      <c r="B21" s="15" t="n">
        <v>-0.09862839794180475</v>
      </c>
      <c r="C21" s="15" t="n">
        <v>0</v>
      </c>
      <c r="D21" s="16" t="n">
        <v>-0.09862839794180475</v>
      </c>
      <c r="E21" s="2" t="inlineStr"/>
    </row>
    <row r="22">
      <c r="A22" s="4" t="inlineStr">
        <is>
          <t>Advertising and other revenues</t>
        </is>
      </c>
      <c r="B22" s="15" t="n">
        <v>0.0279688890003098</v>
      </c>
      <c r="C22" s="15" t="n">
        <v>0.04</v>
      </c>
      <c r="D22" s="16" t="n">
        <v>0.0279688890003098</v>
      </c>
      <c r="E22" s="2" t="inlineStr"/>
    </row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0.365452333659701</v>
      </c>
      <c r="D29" s="16" t="n">
        <v>0.365452333659701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0.4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441.63764832</v>
      </c>
      <c r="D34" s="18" t="n">
        <v>441.63764832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1.102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13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182.64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255.0679297038629</v>
      </c>
      <c r="C58" s="28" t="n">
        <v>344.0700319557564</v>
      </c>
      <c r="D58" s="28" t="n">
        <v>187.6557277123827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0.2</v>
      </c>
      <c r="D62" s="30" t="n">
        <v>0.35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0.01671805921908088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0.01003083553144853</v>
      </c>
      <c r="E66" s="2" t="inlineStr">
        <is>
          <t>fades near-&gt;terminal; also burdens the exit-multiple EBITDA</t>
        </is>
      </c>
    </row>
  </sheetData>
  <conditionalFormatting sqref="B20:B22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BKNG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BKNG is the global leader in online accommodation booking, compounding through international expansion, alternative accommodations, and the connected-trip vision, with revenue mix migrating from legacy agency toward the higher-take-rate merchant (payments) model. Near-term growth tracks consensus at roughly 9-10% as merchant volume scales, then fades toward a mature ~3.5% as the travel TAM matures and penetration saturates. Operating leverage on a fixed marketing/tech base lifts already-elite operating margins from ~34.5% toward ~38.5%, while a capital-light model keeps capex near maintenance.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Key calls: anchored 2026-2030 segment growth to the ~9-10% consensus revenue path, with merchant carrying growth (mid-teens fading) and agency structurally declining before stabilizing. Margins normalize upward via operating leverage rather than mean-reverting down, reflecting BKNG's durable scale and advertising efficiency. Used a perpetuity terminal at a ~3% risk-free-anchored growth with capex converging to ~1.1x D&amp;A, given the asset-light cash-generative profile.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Merchant Revenue — near-term growth</t>
        </is>
      </c>
      <c r="B20" t="inlineStr">
        <is>
          <t>B20</t>
        </is>
      </c>
      <c r="C20" s="11">
        <f>Dashboard!B20</f>
        <v/>
      </c>
      <c r="D20" s="32" t="inlineStr">
        <is>
          <t>user-edited</t>
        </is>
      </c>
      <c r="E20" t="inlineStr">
        <is>
          <t>15.0%</t>
        </is>
      </c>
      <c r="F20" s="31" t="inlineStr">
        <is>
          <t>overridden from Opus 15.0% on 2026-06-11</t>
        </is>
      </c>
    </row>
    <row r="21">
      <c r="A21" t="inlineStr">
        <is>
          <t>Merchant Revenue — terminal growth</t>
        </is>
      </c>
      <c r="B21" t="inlineStr">
        <is>
          <t>C20</t>
        </is>
      </c>
      <c r="C21" s="11">
        <f>Dashboard!C20</f>
        <v/>
      </c>
      <c r="D21" s="32" t="inlineStr">
        <is>
          <t>user-edited</t>
        </is>
      </c>
      <c r="E21" t="inlineStr">
        <is>
          <t>3.5%</t>
        </is>
      </c>
      <c r="F21" s="31" t="inlineStr">
        <is>
          <t>overridden from Opus 3.5% on 2026-06-11</t>
        </is>
      </c>
    </row>
    <row r="22">
      <c r="A22" t="inlineStr">
        <is>
          <t>Agency Revenue — near-term growth</t>
        </is>
      </c>
      <c r="B22" t="inlineStr">
        <is>
          <t>B21</t>
        </is>
      </c>
      <c r="C22" s="11">
        <f>Dashboard!B21</f>
        <v/>
      </c>
      <c r="D22" s="32" t="inlineStr">
        <is>
          <t>user-edited</t>
        </is>
      </c>
      <c r="E22" t="inlineStr">
        <is>
          <t>-1.0%</t>
        </is>
      </c>
      <c r="F22" s="31" t="inlineStr">
        <is>
          <t>overridden from Opus -1.0% on 2026-06-11</t>
        </is>
      </c>
    </row>
    <row r="23">
      <c r="A23" t="inlineStr">
        <is>
          <t>Agency Revenue — terminal growth</t>
        </is>
      </c>
      <c r="B23" t="inlineStr">
        <is>
          <t>C21</t>
        </is>
      </c>
      <c r="C23" s="11">
        <f>Dashboard!C21</f>
        <v/>
      </c>
      <c r="D23" s="32" t="inlineStr">
        <is>
          <t>user-edited</t>
        </is>
      </c>
      <c r="E23" t="inlineStr">
        <is>
          <t>2.0%</t>
        </is>
      </c>
      <c r="F23" s="31" t="inlineStr">
        <is>
          <t>overridden from Opus 2.0% on 2026-06-11</t>
        </is>
      </c>
    </row>
    <row r="24">
      <c r="A24" t="inlineStr">
        <is>
          <t>Advertising and other revenues — near-term growth</t>
        </is>
      </c>
      <c r="B24" t="inlineStr">
        <is>
          <t>B22</t>
        </is>
      </c>
      <c r="C24" s="11">
        <f>Dashboard!B22</f>
        <v/>
      </c>
      <c r="D24" s="32" t="inlineStr">
        <is>
          <t>user-edited</t>
        </is>
      </c>
      <c r="E24" t="inlineStr">
        <is>
          <t>11.0%</t>
        </is>
      </c>
      <c r="F24" s="31" t="inlineStr">
        <is>
          <t>overridden from Opus 11.0% on 2026-06-11</t>
        </is>
      </c>
    </row>
    <row r="25">
      <c r="A25" t="inlineStr">
        <is>
          <t>Advertising and other revenues — terminal growth</t>
        </is>
      </c>
      <c r="B25" t="inlineStr">
        <is>
          <t>C22</t>
        </is>
      </c>
      <c r="C25" s="11">
        <f>Dashboard!C22</f>
        <v/>
      </c>
      <c r="D25" s="32" t="inlineStr">
        <is>
          <t>user-edited</t>
        </is>
      </c>
      <c r="E25" t="inlineStr">
        <is>
          <t>3.0%</t>
        </is>
      </c>
      <c r="F25" s="31" t="inlineStr">
        <is>
          <t>overridden from Opus 3.0% on 2026-06-11</t>
        </is>
      </c>
    </row>
    <row r="26">
      <c r="A26" t="inlineStr">
        <is>
          <t>Near-term operating margin</t>
        </is>
      </c>
      <c r="B26" t="inlineStr">
        <is>
          <t>B29</t>
        </is>
      </c>
      <c r="C26" s="11">
        <f>Dashboard!B29</f>
        <v/>
      </c>
      <c r="D26" s="32" t="inlineStr">
        <is>
          <t>user-edited</t>
        </is>
      </c>
      <c r="E26" t="inlineStr">
        <is>
          <t>35.5%</t>
        </is>
      </c>
      <c r="F26" s="31" t="inlineStr">
        <is>
          <t>overridden from Opus 35.5% on 2026-06-11</t>
        </is>
      </c>
    </row>
    <row r="27">
      <c r="A27" t="inlineStr">
        <is>
          <t>Terminal operating margin</t>
        </is>
      </c>
      <c r="B27" t="inlineStr">
        <is>
          <t>B30</t>
        </is>
      </c>
      <c r="C27" s="11">
        <f>Dashboard!B30</f>
        <v/>
      </c>
      <c r="D27" s="32" t="inlineStr">
        <is>
          <t>user-edited</t>
        </is>
      </c>
      <c r="E27" t="inlineStr">
        <is>
          <t>38.5%</t>
        </is>
      </c>
      <c r="F27" s="31" t="inlineStr">
        <is>
          <t>overridden from Opus 38.5% on 2026-06-11</t>
        </is>
      </c>
    </row>
    <row r="28">
      <c r="A28" t="inlineStr">
        <is>
          <t>Tax rate</t>
        </is>
      </c>
      <c r="B28" t="inlineStr">
        <is>
          <t>B31</t>
        </is>
      </c>
      <c r="C28" s="11">
        <f>Dashboard!B31</f>
        <v/>
      </c>
      <c r="D28" s="32" t="inlineStr">
        <is>
          <t>user-edited</t>
        </is>
      </c>
      <c r="E28" t="inlineStr">
        <is>
          <t>22.0%</t>
        </is>
      </c>
      <c r="F28" s="31" t="inlineStr">
        <is>
          <t>overridden from Opus 22.0% on 2026-06-11</t>
        </is>
      </c>
    </row>
    <row r="29">
      <c r="A29" t="inlineStr">
        <is>
          <t>Terminal capex / D&amp;A</t>
        </is>
      </c>
      <c r="B29" t="inlineStr">
        <is>
          <t>B35</t>
        </is>
      </c>
      <c r="C29" s="13">
        <f>Dashboard!B35</f>
        <v/>
      </c>
      <c r="D29" s="32" t="inlineStr">
        <is>
          <t>user-edited</t>
        </is>
      </c>
      <c r="E29" t="inlineStr">
        <is>
          <t>1.1x</t>
        </is>
      </c>
      <c r="F29" s="31" t="inlineStr">
        <is>
          <t>overridden from Opus 1.1x on 2026-06-11</t>
        </is>
      </c>
    </row>
    <row r="30">
      <c r="A30" t="inlineStr">
        <is>
          <t>Risk-free rate (10Y)</t>
        </is>
      </c>
      <c r="B30" t="inlineStr">
        <is>
          <t>B38</t>
        </is>
      </c>
      <c r="C30" s="11">
        <f>Dashboard!B38</f>
        <v/>
      </c>
      <c r="D30" t="inlineStr">
        <is>
          <t>builder default</t>
        </is>
      </c>
      <c r="E30" t="inlineStr">
        <is>
          <t>—</t>
        </is>
      </c>
      <c r="F30" s="31" t="inlineStr"/>
    </row>
    <row r="31">
      <c r="A31" t="inlineStr">
        <is>
          <t>Equity risk premium</t>
        </is>
      </c>
      <c r="B31" t="inlineStr">
        <is>
          <t>B39</t>
        </is>
      </c>
      <c r="C31" s="11">
        <f>Dashboard!B39</f>
        <v/>
      </c>
      <c r="D31" t="inlineStr">
        <is>
          <t>builder default</t>
        </is>
      </c>
      <c r="E31" t="inlineStr">
        <is>
          <t>—</t>
        </is>
      </c>
      <c r="F31" s="31" t="inlineStr"/>
    </row>
    <row r="32">
      <c r="A32" t="inlineStr">
        <is>
          <t>Beta (levered)</t>
        </is>
      </c>
      <c r="B32" t="inlineStr">
        <is>
          <t>B40</t>
        </is>
      </c>
      <c r="C32" s="33">
        <f>Dashboard!B40</f>
        <v/>
      </c>
      <c r="D32" t="inlineStr">
        <is>
          <t>builder default</t>
        </is>
      </c>
      <c r="E32" t="inlineStr">
        <is>
          <t>—</t>
        </is>
      </c>
      <c r="F32" s="31" t="inlineStr"/>
    </row>
    <row r="33">
      <c r="A33" t="inlineStr">
        <is>
          <t>Pre-tax cost of debt</t>
        </is>
      </c>
      <c r="B33" t="inlineStr">
        <is>
          <t>B41</t>
        </is>
      </c>
      <c r="C33" s="11">
        <f>Dashboard!B41</f>
        <v/>
      </c>
      <c r="D33" t="inlineStr">
        <is>
          <t>builder default</t>
        </is>
      </c>
      <c r="E33" t="inlineStr">
        <is>
          <t>—</t>
        </is>
      </c>
      <c r="F33" s="31" t="inlineStr"/>
    </row>
    <row r="34">
      <c r="A34" t="inlineStr">
        <is>
          <t>Terminal method</t>
        </is>
      </c>
      <c r="B34" t="inlineStr">
        <is>
          <t>B43</t>
        </is>
      </c>
      <c r="C34" s="12">
        <f>Dashboard!B43</f>
        <v/>
      </c>
      <c r="D34" s="32" t="inlineStr">
        <is>
          <t>user-edited</t>
        </is>
      </c>
      <c r="E34" t="inlineStr">
        <is>
          <t>Perpetuity</t>
        </is>
      </c>
      <c r="F34" s="31" t="inlineStr">
        <is>
          <t>overridden from Opus Perpetuity on 2026-06-11</t>
        </is>
      </c>
    </row>
    <row r="35">
      <c r="A35" t="inlineStr">
        <is>
          <t>Exit basis</t>
        </is>
      </c>
      <c r="B35" t="inlineStr">
        <is>
          <t>B44</t>
        </is>
      </c>
      <c r="C35" s="12">
        <f>Dashboard!B44</f>
        <v/>
      </c>
      <c r="D35" s="32" t="inlineStr">
        <is>
          <t>user-edited</t>
        </is>
      </c>
      <c r="E35" t="inlineStr">
        <is>
          <t>EV/FCF</t>
        </is>
      </c>
      <c r="F35" s="31" t="inlineStr">
        <is>
          <t>overridden from Opus EV/FCF on 2026-06-11</t>
        </is>
      </c>
    </row>
    <row r="36">
      <c r="A36" t="inlineStr">
        <is>
          <t>Exit multiple</t>
        </is>
      </c>
      <c r="B36" t="inlineStr">
        <is>
          <t>B45</t>
        </is>
      </c>
      <c r="C36" s="13">
        <f>Dashboard!B45</f>
        <v/>
      </c>
      <c r="D36" s="32" t="inlineStr">
        <is>
          <t>user-edited</t>
        </is>
      </c>
      <c r="E36" t="inlineStr">
        <is>
          <t>20.0x</t>
        </is>
      </c>
      <c r="F36" s="31" t="inlineStr">
        <is>
          <t>overridden from Opus 20.0x on 2026-06-11</t>
        </is>
      </c>
    </row>
    <row r="37">
      <c r="A37" t="inlineStr">
        <is>
          <t>Terminal growth (g)</t>
        </is>
      </c>
      <c r="B37" t="inlineStr">
        <is>
          <t>B46</t>
        </is>
      </c>
      <c r="C37" s="11">
        <f>Dashboard!B46</f>
        <v/>
      </c>
      <c r="D37" s="32" t="inlineStr">
        <is>
          <t>user-edited</t>
        </is>
      </c>
      <c r="E37" t="inlineStr">
        <is>
          <t>3.0%</t>
        </is>
      </c>
      <c r="F37" s="31" t="inlineStr">
        <is>
          <t>overridden from Opus 3.0% on 2026-06-11</t>
        </is>
      </c>
    </row>
    <row r="38">
      <c r="A38" t="inlineStr">
        <is>
          <t>2026 capex ($M)</t>
        </is>
      </c>
      <c r="B38" t="inlineStr">
        <is>
          <t>B34</t>
        </is>
      </c>
      <c r="C38" s="34">
        <f>Dashboard!B34</f>
        <v/>
      </c>
      <c r="D38" t="inlineStr">
        <is>
          <t>Opus</t>
        </is>
      </c>
      <c r="E38" t="inlineStr">
        <is>
          <t>—</t>
        </is>
      </c>
      <c r="F38" s="31" t="inlineStr">
        <is>
          <t>set from Opus 2% of FY1E revenue; edits not tracked (unit differs from the JSON)</t>
        </is>
      </c>
    </row>
    <row r="39">
      <c r="A39" t="inlineStr">
        <is>
          <t>Bull Δ — segment growth, near-term</t>
        </is>
      </c>
      <c r="B39" t="inlineStr">
        <is>
          <t>C52</t>
        </is>
      </c>
      <c r="C39" s="35">
        <f>Dashboard!C52</f>
        <v/>
      </c>
      <c r="D39" t="inlineStr">
        <is>
          <t>seed default</t>
        </is>
      </c>
      <c r="E39" t="inlineStr">
        <is>
          <t>3.0%</t>
        </is>
      </c>
      <c r="F39" s="31" t="inlineStr"/>
    </row>
    <row r="40">
      <c r="A40" t="inlineStr">
        <is>
          <t>Bear Δ — segment growth, near-term</t>
        </is>
      </c>
      <c r="B40" t="inlineStr">
        <is>
          <t>D52</t>
        </is>
      </c>
      <c r="C40" s="35">
        <f>Dashboard!D52</f>
        <v/>
      </c>
      <c r="D40" t="inlineStr">
        <is>
          <t>seed default</t>
        </is>
      </c>
      <c r="E40" t="inlineStr">
        <is>
          <t>-3.0%</t>
        </is>
      </c>
      <c r="F40" s="31" t="inlineStr"/>
    </row>
    <row r="41">
      <c r="A41" t="inlineStr">
        <is>
          <t>Bull Δ — segment growth, terminal</t>
        </is>
      </c>
      <c r="B41" t="inlineStr">
        <is>
          <t>C53</t>
        </is>
      </c>
      <c r="C41" s="35">
        <f>Dashboard!C53</f>
        <v/>
      </c>
      <c r="D41" t="inlineStr">
        <is>
          <t>seed default</t>
        </is>
      </c>
      <c r="E41" t="inlineStr">
        <is>
          <t>1.0%</t>
        </is>
      </c>
      <c r="F41" s="31" t="inlineStr"/>
    </row>
    <row r="42">
      <c r="A42" t="inlineStr">
        <is>
          <t>Bear Δ — segment growth, terminal</t>
        </is>
      </c>
      <c r="B42" t="inlineStr">
        <is>
          <t>D53</t>
        </is>
      </c>
      <c r="C42" s="35">
        <f>Dashboard!D53</f>
        <v/>
      </c>
      <c r="D42" t="inlineStr">
        <is>
          <t>seed default</t>
        </is>
      </c>
      <c r="E42" t="inlineStr">
        <is>
          <t>-1.0%</t>
        </is>
      </c>
      <c r="F42" s="31" t="inlineStr"/>
    </row>
    <row r="43">
      <c r="A43" t="inlineStr">
        <is>
          <t>Bull Δ — operating margin, near-term</t>
        </is>
      </c>
      <c r="B43" t="inlineStr">
        <is>
          <t>C54</t>
        </is>
      </c>
      <c r="C43" s="35">
        <f>Dashboard!C54</f>
        <v/>
      </c>
      <c r="D43" t="inlineStr">
        <is>
          <t>seed default</t>
        </is>
      </c>
      <c r="E43" t="inlineStr">
        <is>
          <t>1.0%</t>
        </is>
      </c>
      <c r="F43" s="31" t="inlineStr"/>
    </row>
    <row r="44">
      <c r="A44" t="inlineStr">
        <is>
          <t>Bear Δ — operating margin, near-term</t>
        </is>
      </c>
      <c r="B44" t="inlineStr">
        <is>
          <t>D54</t>
        </is>
      </c>
      <c r="C44" s="35">
        <f>Dashboard!D54</f>
        <v/>
      </c>
      <c r="D44" t="inlineStr">
        <is>
          <t>seed default</t>
        </is>
      </c>
      <c r="E44" t="inlineStr">
        <is>
          <t>-1.0%</t>
        </is>
      </c>
      <c r="F44" s="31" t="inlineStr"/>
    </row>
    <row r="45">
      <c r="A45" t="inlineStr">
        <is>
          <t>Bull Δ — operating margin, terminal</t>
        </is>
      </c>
      <c r="B45" t="inlineStr">
        <is>
          <t>C55</t>
        </is>
      </c>
      <c r="C45" s="35">
        <f>Dashboard!C55</f>
        <v/>
      </c>
      <c r="D45" t="inlineStr">
        <is>
          <t>seed default</t>
        </is>
      </c>
      <c r="E45" t="inlineStr">
        <is>
          <t>2.0%</t>
        </is>
      </c>
      <c r="F45" s="31" t="inlineStr"/>
    </row>
    <row r="46">
      <c r="A46" t="inlineStr">
        <is>
          <t>Bear Δ — operating margin, terminal</t>
        </is>
      </c>
      <c r="B46" t="inlineStr">
        <is>
          <t>D55</t>
        </is>
      </c>
      <c r="C46" s="35">
        <f>Dashboard!D55</f>
        <v/>
      </c>
      <c r="D46" t="inlineStr">
        <is>
          <t>seed default</t>
        </is>
      </c>
      <c r="E46" t="inlineStr">
        <is>
          <t>-2.0%</t>
        </is>
      </c>
      <c r="F46" s="31" t="inlineStr"/>
    </row>
    <row r="47">
      <c r="A47" t="inlineStr">
        <is>
          <t>Bull Δ — exit multiple</t>
        </is>
      </c>
      <c r="B47" t="inlineStr">
        <is>
          <t>C56</t>
        </is>
      </c>
      <c r="C47" s="36">
        <f>Dashboard!C56</f>
        <v/>
      </c>
      <c r="D47" t="inlineStr">
        <is>
          <t>seed default</t>
        </is>
      </c>
      <c r="E47" t="inlineStr">
        <is>
          <t>2.0x</t>
        </is>
      </c>
      <c r="F47" s="31" t="inlineStr"/>
    </row>
    <row r="48">
      <c r="A48" t="inlineStr">
        <is>
          <t>Bear Δ — exit multiple</t>
        </is>
      </c>
      <c r="B48" t="inlineStr">
        <is>
          <t>D56</t>
        </is>
      </c>
      <c r="C48" s="36">
        <f>Dashboard!D56</f>
        <v/>
      </c>
      <c r="D48" t="inlineStr">
        <is>
          <t>seed default</t>
        </is>
      </c>
      <c r="E48" t="inlineStr">
        <is>
          <t>-2.0x</t>
        </is>
      </c>
      <c r="F48" s="31" t="inlineStr"/>
    </row>
    <row r="49">
      <c r="A49" t="inlineStr">
        <is>
          <t>Bull Δ — terminal growth (g)</t>
        </is>
      </c>
      <c r="B49" t="inlineStr">
        <is>
          <t>C57</t>
        </is>
      </c>
      <c r="C49" s="35">
        <f>Dashboard!C57</f>
        <v/>
      </c>
      <c r="D49" t="inlineStr">
        <is>
          <t>seed default</t>
        </is>
      </c>
      <c r="E49" t="inlineStr">
        <is>
          <t>0.5%</t>
        </is>
      </c>
      <c r="F49" s="31" t="inlineStr"/>
    </row>
    <row r="50">
      <c r="A50" t="inlineStr">
        <is>
          <t>Bear Δ — terminal growth (g)</t>
        </is>
      </c>
      <c r="B50" t="inlineStr">
        <is>
          <t>D57</t>
        </is>
      </c>
      <c r="C50" s="35">
        <f>Dashboard!D57</f>
        <v/>
      </c>
      <c r="D50" t="inlineStr">
        <is>
          <t>seed default</t>
        </is>
      </c>
      <c r="E50" t="inlineStr">
        <is>
          <t>-0.5%</t>
        </is>
      </c>
      <c r="F50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Dashboard!$B$48*Financials!AC17</f>
        <v/>
      </c>
    </row>
    <row r="11">
      <c r="A11" s="4" t="inlineStr">
        <is>
          <t>Total debt (D)</t>
        </is>
      </c>
      <c r="B11" s="34">
        <f>Financials!AC34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FY2021A</t>
        </is>
      </c>
      <c r="C1" s="40" t="inlineStr">
        <is>
          <t>FY2022A</t>
        </is>
      </c>
      <c r="D1" s="40" t="inlineStr">
        <is>
          <t>FY2023A</t>
        </is>
      </c>
      <c r="E1" s="40" t="inlineStr">
        <is>
          <t>FY2024A</t>
        </is>
      </c>
      <c r="F1" s="40" t="inlineStr">
        <is>
          <t>FY2025A</t>
        </is>
      </c>
      <c r="G1" s="41" t="inlineStr">
        <is>
          <t>FY2026E</t>
        </is>
      </c>
      <c r="H1" s="41" t="inlineStr">
        <is>
          <t>FY2027E</t>
        </is>
      </c>
      <c r="I1" s="41" t="inlineStr">
        <is>
          <t>FY2028E</t>
        </is>
      </c>
      <c r="J1" s="41" t="inlineStr">
        <is>
          <t>FY2029E</t>
        </is>
      </c>
      <c r="K1" s="41" t="inlineStr">
        <is>
          <t>FY2030E</t>
        </is>
      </c>
      <c r="L1" s="41" t="inlineStr">
        <is>
          <t>FY2031E</t>
        </is>
      </c>
      <c r="M1" s="41" t="inlineStr">
        <is>
          <t>FY2032E</t>
        </is>
      </c>
      <c r="N1" s="41" t="inlineStr">
        <is>
          <t>FY2033E</t>
        </is>
      </c>
      <c r="O1" s="41" t="inlineStr">
        <is>
          <t>FY2034E</t>
        </is>
      </c>
      <c r="P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Merchant Revenue</t>
        </is>
      </c>
      <c r="B4" s="34">
        <f>SUM(Financials!I19:L19)</f>
        <v/>
      </c>
      <c r="C4" s="34">
        <f>SUM(Financials!M19:P19)</f>
        <v/>
      </c>
      <c r="D4" s="34">
        <f>SUM(Financials!Q19:T19)</f>
        <v/>
      </c>
      <c r="E4" s="34">
        <f>SUM(Financials!U19:X19)</f>
        <v/>
      </c>
      <c r="F4" s="34">
        <f>SUM(Financials!Y19:AB19)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Agency Revenue</t>
        </is>
      </c>
      <c r="B6" s="34">
        <f>SUM(Financials!I22:L22)</f>
        <v/>
      </c>
      <c r="C6" s="34">
        <f>SUM(Financials!M22:P22)</f>
        <v/>
      </c>
      <c r="D6" s="34">
        <f>SUM(Financials!Q22:T22)</f>
        <v/>
      </c>
      <c r="E6" s="34">
        <f>SUM(Financials!U22:X22)</f>
        <v/>
      </c>
      <c r="F6" s="34">
        <f>SUM(Financials!Y22:AB22)</f>
        <v/>
      </c>
      <c r="G6" s="42">
        <f>F6*(1+G7)</f>
        <v/>
      </c>
      <c r="H6" s="42">
        <f>G6*(1+H7)</f>
        <v/>
      </c>
      <c r="I6" s="42">
        <f>H6*(1+I7)</f>
        <v/>
      </c>
      <c r="J6" s="42">
        <f>I6*(1+J7)</f>
        <v/>
      </c>
      <c r="K6" s="42">
        <f>J6*(1+K7)</f>
        <v/>
      </c>
      <c r="L6" s="42">
        <f>K6*(1+L7)</f>
        <v/>
      </c>
      <c r="M6" s="42">
        <f>L6*(1+M7)</f>
        <v/>
      </c>
      <c r="N6" s="42">
        <f>M6*(1+N7)</f>
        <v/>
      </c>
      <c r="O6" s="42">
        <f>N6*(1+O7)</f>
        <v/>
      </c>
      <c r="P6" s="42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Advertising and other revenues</t>
        </is>
      </c>
      <c r="B8" s="34">
        <f>SUM(Financials!I25:L25)</f>
        <v/>
      </c>
      <c r="C8" s="34">
        <f>SUM(Financials!M25:P25)</f>
        <v/>
      </c>
      <c r="D8" s="34">
        <f>SUM(Financials!Q25:T25)</f>
        <v/>
      </c>
      <c r="E8" s="34">
        <f>SUM(Financials!U25:X25)</f>
        <v/>
      </c>
      <c r="F8" s="34">
        <f>SUM(Financials!Y25:AB25)</f>
        <v/>
      </c>
      <c r="G8" s="42">
        <f>F8*(1+G9)</f>
        <v/>
      </c>
      <c r="H8" s="42">
        <f>G8*(1+H9)</f>
        <v/>
      </c>
      <c r="I8" s="42">
        <f>H8*(1+I9)</f>
        <v/>
      </c>
      <c r="J8" s="42">
        <f>I8*(1+J9)</f>
        <v/>
      </c>
      <c r="K8" s="42">
        <f>J8*(1+K9)</f>
        <v/>
      </c>
      <c r="L8" s="42">
        <f>K8*(1+L9)</f>
        <v/>
      </c>
      <c r="M8" s="42">
        <f>L8*(1+M9)</f>
        <v/>
      </c>
      <c r="N8" s="42">
        <f>M8*(1+N9)</f>
        <v/>
      </c>
      <c r="O8" s="42">
        <f>N8*(1+O9)</f>
        <v/>
      </c>
      <c r="P8" s="42">
        <f>O8*(1+P9)</f>
        <v/>
      </c>
    </row>
    <row r="9">
      <c r="A9" s="4" t="inlineStr">
        <is>
          <t xml:space="preserve">    growth % (convex fade; curvature from Dashboard)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3" t="inlineStr">
        <is>
          <t>Total revenue</t>
        </is>
      </c>
      <c r="B10" s="43">
        <f>B4+B6+B8</f>
        <v/>
      </c>
      <c r="C10" s="43">
        <f>C4+C6+C8</f>
        <v/>
      </c>
      <c r="D10" s="43">
        <f>D4+D6+D8</f>
        <v/>
      </c>
      <c r="E10" s="43">
        <f>E4+E6+E8</f>
        <v/>
      </c>
      <c r="F10" s="43">
        <f>F4+F6+F8</f>
        <v/>
      </c>
      <c r="G10" s="43">
        <f>G4+G6+G8</f>
        <v/>
      </c>
      <c r="H10" s="43">
        <f>H4+H6+H8</f>
        <v/>
      </c>
      <c r="I10" s="43">
        <f>I4+I6+I8</f>
        <v/>
      </c>
      <c r="J10" s="43">
        <f>J4+J6+J8</f>
        <v/>
      </c>
      <c r="K10" s="43">
        <f>K4+K6+K8</f>
        <v/>
      </c>
      <c r="L10" s="43">
        <f>L4+L6+L8</f>
        <v/>
      </c>
      <c r="M10" s="43">
        <f>M4+M6+M8</f>
        <v/>
      </c>
      <c r="N10" s="43">
        <f>N4+N6+N8</f>
        <v/>
      </c>
      <c r="O10" s="43">
        <f>O4+O6+O8</f>
        <v/>
      </c>
      <c r="P10" s="43">
        <f>P4+P6+P8</f>
        <v/>
      </c>
    </row>
    <row r="11">
      <c r="A11" s="4" t="inlineStr">
        <is>
          <t xml:space="preserve">    growth %</t>
        </is>
      </c>
      <c r="C11" s="25">
        <f>IFERROR(C10/B10-1,"")</f>
        <v/>
      </c>
      <c r="D11" s="25">
        <f>IFERROR(D10/C10-1,"")</f>
        <v/>
      </c>
      <c r="E11" s="25">
        <f>IFERROR(E10/D10-1,"")</f>
        <v/>
      </c>
      <c r="F11" s="25">
        <f>IFERROR(F10/E10-1,"")</f>
        <v/>
      </c>
      <c r="G11" s="25">
        <f>IFERROR(G10/F10-1,"")</f>
        <v/>
      </c>
      <c r="H11" s="25">
        <f>IFERROR(H10/G10-1,"")</f>
        <v/>
      </c>
      <c r="I11" s="25">
        <f>IFERROR(I10/H10-1,"")</f>
        <v/>
      </c>
      <c r="J11" s="25">
        <f>IFERROR(J10/I10-1,"")</f>
        <v/>
      </c>
      <c r="K11" s="25">
        <f>IFERROR(K10/J10-1,"")</f>
        <v/>
      </c>
      <c r="L11" s="25">
        <f>IFERROR(L10/K10-1,"")</f>
        <v/>
      </c>
      <c r="M11" s="25">
        <f>IFERROR(M10/L10-1,"")</f>
        <v/>
      </c>
      <c r="N11" s="25">
        <f>IFERROR(N10/M10-1,"")</f>
        <v/>
      </c>
      <c r="O11" s="25">
        <f>IFERROR(O10/N10-1,"")</f>
        <v/>
      </c>
      <c r="P11" s="25">
        <f>IFERROR(P10/O10-1,"")</f>
        <v/>
      </c>
    </row>
    <row r="13">
      <c r="A13" s="5" t="inlineStr">
        <is>
          <t xml:space="preserve">  COST STRUCTURE (yellow = % of revenue)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>
      <c r="A14" s="4" t="inlineStr">
        <is>
          <t>Cost of revenue</t>
        </is>
      </c>
      <c r="B14" s="34">
        <f>SUM(Financials!I5:L5)</f>
        <v/>
      </c>
      <c r="C14" s="34">
        <f>SUM(Financials!M5:P5)</f>
        <v/>
      </c>
      <c r="D14" s="34">
        <f>SUM(Financials!Q5:T5)</f>
        <v/>
      </c>
      <c r="E14" s="34">
        <f>SUM(Financials!U5:X5)</f>
        <v/>
      </c>
      <c r="F14" s="34">
        <f>SUM(Financials!Y5:AB5)</f>
        <v/>
      </c>
      <c r="G14" s="42">
        <f>G10*G15</f>
        <v/>
      </c>
      <c r="H14" s="42">
        <f>H10*H15</f>
        <v/>
      </c>
      <c r="I14" s="42">
        <f>I10*I15</f>
        <v/>
      </c>
      <c r="J14" s="42">
        <f>J10*J15</f>
        <v/>
      </c>
      <c r="K14" s="42">
        <f>K10*K15</f>
        <v/>
      </c>
      <c r="L14" s="42">
        <f>L10*L15</f>
        <v/>
      </c>
      <c r="M14" s="42">
        <f>M10*M15</f>
        <v/>
      </c>
      <c r="N14" s="42">
        <f>N10*N15</f>
        <v/>
      </c>
      <c r="O14" s="42">
        <f>O10*O15</f>
        <v/>
      </c>
      <c r="P14" s="42">
        <f>P10*P15</f>
        <v/>
      </c>
    </row>
    <row r="15">
      <c r="A15" s="4" t="inlineStr">
        <is>
          <t xml:space="preserve">    % of revenue</t>
        </is>
      </c>
      <c r="B15" s="25">
        <f>IFERROR(B14/B10,"")</f>
        <v/>
      </c>
      <c r="C15" s="25">
        <f>IFERROR(C14/C10,"")</f>
        <v/>
      </c>
      <c r="D15" s="25">
        <f>IFERROR(D14/D10,"")</f>
        <v/>
      </c>
      <c r="E15" s="25">
        <f>IFERROR(E14/E10,"")</f>
        <v/>
      </c>
      <c r="F15" s="25">
        <f>IFERROR(F14/F10,"")</f>
        <v/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</row>
    <row r="16">
      <c r="A16" s="4" t="inlineStr">
        <is>
          <t>R&amp;D / Technology</t>
        </is>
      </c>
      <c r="B16" s="34">
        <f>SUM(Financials!I7:L7)</f>
        <v/>
      </c>
      <c r="C16" s="34">
        <f>SUM(Financials!M7:P7)</f>
        <v/>
      </c>
      <c r="D16" s="34">
        <f>SUM(Financials!Q7:T7)</f>
        <v/>
      </c>
      <c r="E16" s="34">
        <f>SUM(Financials!U7:X7)</f>
        <v/>
      </c>
      <c r="F16" s="34">
        <f>SUM(Financials!Y7:AB7)</f>
        <v/>
      </c>
      <c r="G16" s="42">
        <f>G10*G17</f>
        <v/>
      </c>
      <c r="H16" s="42">
        <f>H10*H17</f>
        <v/>
      </c>
      <c r="I16" s="42">
        <f>I10*I17</f>
        <v/>
      </c>
      <c r="J16" s="42">
        <f>J10*J17</f>
        <v/>
      </c>
      <c r="K16" s="42">
        <f>K10*K17</f>
        <v/>
      </c>
      <c r="L16" s="42">
        <f>L10*L17</f>
        <v/>
      </c>
      <c r="M16" s="42">
        <f>M10*M17</f>
        <v/>
      </c>
      <c r="N16" s="42">
        <f>N10*N17</f>
        <v/>
      </c>
      <c r="O16" s="42">
        <f>O10*O17</f>
        <v/>
      </c>
      <c r="P16" s="42">
        <f>P10*P17</f>
        <v/>
      </c>
    </row>
    <row r="17">
      <c r="A17" s="4" t="inlineStr">
        <is>
          <t xml:space="preserve">    % of revenue</t>
        </is>
      </c>
      <c r="B17" s="25">
        <f>IFERROR(B16/B10,"")</f>
        <v/>
      </c>
      <c r="C17" s="25">
        <f>IFERROR(C16/C10,"")</f>
        <v/>
      </c>
      <c r="D17" s="25">
        <f>IFERROR(D16/D10,"")</f>
        <v/>
      </c>
      <c r="E17" s="25">
        <f>IFERROR(E16/E10,"")</f>
        <v/>
      </c>
      <c r="F17" s="25">
        <f>IFERROR(F16/F10,"")</f>
        <v/>
      </c>
      <c r="G17" s="15" t="n">
        <v>0</v>
      </c>
      <c r="H17" s="15" t="n">
        <v>0</v>
      </c>
      <c r="I17" s="15" t="n">
        <v>0</v>
      </c>
      <c r="J17" s="15" t="n">
        <v>0</v>
      </c>
      <c r="K17" s="15" t="n">
        <v>0</v>
      </c>
      <c r="L17" s="15" t="n">
        <v>0</v>
      </c>
      <c r="M17" s="15" t="n">
        <v>0</v>
      </c>
      <c r="N17" s="15" t="n">
        <v>0</v>
      </c>
      <c r="O17" s="15" t="n">
        <v>0</v>
      </c>
      <c r="P17" s="15" t="n">
        <v>0</v>
      </c>
    </row>
    <row r="18">
      <c r="A18" s="4" t="inlineStr">
        <is>
          <t>SG&amp;A</t>
        </is>
      </c>
      <c r="B18" s="34">
        <f>SUM(Financials!I9:L9)</f>
        <v/>
      </c>
      <c r="C18" s="34">
        <f>SUM(Financials!M9:P9)</f>
        <v/>
      </c>
      <c r="D18" s="34">
        <f>SUM(Financials!Q9:T9)</f>
        <v/>
      </c>
      <c r="E18" s="34">
        <f>SUM(Financials!U9:X9)</f>
        <v/>
      </c>
      <c r="F18" s="34">
        <f>SUM(Financials!Y9:AB9)</f>
        <v/>
      </c>
      <c r="G18" s="42">
        <f>G10*G19</f>
        <v/>
      </c>
      <c r="H18" s="42">
        <f>H10*H19</f>
        <v/>
      </c>
      <c r="I18" s="42">
        <f>I10*I19</f>
        <v/>
      </c>
      <c r="J18" s="42">
        <f>J10*J19</f>
        <v/>
      </c>
      <c r="K18" s="42">
        <f>K10*K19</f>
        <v/>
      </c>
      <c r="L18" s="42">
        <f>L10*L19</f>
        <v/>
      </c>
      <c r="M18" s="42">
        <f>M10*M19</f>
        <v/>
      </c>
      <c r="N18" s="42">
        <f>N10*N19</f>
        <v/>
      </c>
      <c r="O18" s="42">
        <f>O10*O19</f>
        <v/>
      </c>
      <c r="P18" s="42">
        <f>P10*P19</f>
        <v/>
      </c>
    </row>
    <row r="19">
      <c r="A19" s="4" t="inlineStr">
        <is>
          <t xml:space="preserve">    % of revenue</t>
        </is>
      </c>
      <c r="B19" s="25">
        <f>IFERROR(B18/B10,"")</f>
        <v/>
      </c>
      <c r="C19" s="25">
        <f>IFERROR(C18/C10,"")</f>
        <v/>
      </c>
      <c r="D19" s="25">
        <f>IFERROR(D18/D10,"")</f>
        <v/>
      </c>
      <c r="E19" s="25">
        <f>IFERROR(E18/E10,"")</f>
        <v/>
      </c>
      <c r="F19" s="25">
        <f>IFERROR(F18/F10,"")</f>
        <v/>
      </c>
      <c r="G19" s="15" t="n">
        <v>0.590667607831482</v>
      </c>
      <c r="H19" s="15" t="n">
        <v>0.590667607831482</v>
      </c>
      <c r="I19" s="15" t="n">
        <v>0.590667607831482</v>
      </c>
      <c r="J19" s="15" t="n">
        <v>0.590667607831482</v>
      </c>
      <c r="K19" s="15" t="n">
        <v>0.590667607831482</v>
      </c>
      <c r="L19" s="15" t="n">
        <v>0.590667607831482</v>
      </c>
      <c r="M19" s="15" t="n">
        <v>0.590667607831482</v>
      </c>
      <c r="N19" s="15" t="n">
        <v>0.590667607831482</v>
      </c>
      <c r="O19" s="15" t="n">
        <v>0.590667607831482</v>
      </c>
      <c r="P19" s="15" t="n">
        <v>0.590667607831482</v>
      </c>
    </row>
    <row r="20">
      <c r="A20" s="4" t="inlineStr">
        <is>
          <t>Other opex (fulfilment, etc.)</t>
        </is>
      </c>
      <c r="B20" s="34">
        <f>B10-(B14+B16+B18)-SUM(Financials!I13:L13)</f>
        <v/>
      </c>
      <c r="C20" s="34">
        <f>C10-(C14+C16+C18)-SUM(Financials!M13:P13)</f>
        <v/>
      </c>
      <c r="D20" s="34">
        <f>D10-(D14+D16+D18)-SUM(Financials!Q13:T13)</f>
        <v/>
      </c>
      <c r="E20" s="34">
        <f>E10-(E14+E16+E18)-SUM(Financials!U13:X13)</f>
        <v/>
      </c>
      <c r="F20" s="34">
        <f>F10-(F14+F16+F18)-SUM(Financials!Y13:AB13)</f>
        <v/>
      </c>
      <c r="G20" s="34">
        <f>G10*(1-(Dashboard!$B$29+(Dashboard!$B$30-Dashboard!$B$29)*MIN(1,0/4)))-(G14+G16+G18)</f>
        <v/>
      </c>
      <c r="H20" s="34">
        <f>H10*(1-(Dashboard!$B$29+(Dashboard!$B$30-Dashboard!$B$29)*MIN(1,1/4)))-(H14+H16+H18)</f>
        <v/>
      </c>
      <c r="I20" s="34">
        <f>I10*(1-(Dashboard!$B$29+(Dashboard!$B$30-Dashboard!$B$29)*MIN(1,2/4)))-(I14+I16+I18)</f>
        <v/>
      </c>
      <c r="J20" s="34">
        <f>J10*(1-(Dashboard!$B$29+(Dashboard!$B$30-Dashboard!$B$29)*MIN(1,3/4)))-(J14+J16+J18)</f>
        <v/>
      </c>
      <c r="K20" s="34">
        <f>K10*(1-(Dashboard!$B$29+(Dashboard!$B$30-Dashboard!$B$29)*MIN(1,4/4)))-(K14+K16+K18)</f>
        <v/>
      </c>
      <c r="L20" s="34">
        <f>L10*(1-(Dashboard!$B$29+(Dashboard!$B$30-Dashboard!$B$29)*MIN(1,5/4)))-(L14+L16+L18)</f>
        <v/>
      </c>
      <c r="M20" s="34">
        <f>M10*(1-(Dashboard!$B$29+(Dashboard!$B$30-Dashboard!$B$29)*MIN(1,6/4)))-(M14+M16+M18)</f>
        <v/>
      </c>
      <c r="N20" s="34">
        <f>N10*(1-(Dashboard!$B$29+(Dashboard!$B$30-Dashboard!$B$29)*MIN(1,7/4)))-(N14+N16+N18)</f>
        <v/>
      </c>
      <c r="O20" s="34">
        <f>O10*(1-(Dashboard!$B$29+(Dashboard!$B$30-Dashboard!$B$29)*MIN(1,8/4)))-(O14+O16+O18)</f>
        <v/>
      </c>
      <c r="P20" s="34">
        <f>P10*(1-(Dashboard!$B$29+(Dashboard!$B$30-Dashboard!$B$29)*MIN(1,9/4)))-(P14+P16+P18)</f>
        <v/>
      </c>
    </row>
    <row r="21">
      <c r="A21" s="4" t="inlineStr">
        <is>
          <t xml:space="preserve">    % of revenue</t>
        </is>
      </c>
      <c r="B21" s="25">
        <f>IFERROR(B20/B10,"")</f>
        <v/>
      </c>
      <c r="C21" s="25">
        <f>IFERROR(C20/C10,"")</f>
        <v/>
      </c>
      <c r="D21" s="25">
        <f>IFERROR(D20/D10,"")</f>
        <v/>
      </c>
      <c r="E21" s="25">
        <f>IFERROR(E20/E10,"")</f>
        <v/>
      </c>
      <c r="F21" s="25">
        <f>IFERROR(F20/F10,"")</f>
        <v/>
      </c>
      <c r="G21" s="25">
        <f>IFERROR(G20/G10,"")</f>
        <v/>
      </c>
      <c r="H21" s="25">
        <f>IFERROR(H20/H10,"")</f>
        <v/>
      </c>
      <c r="I21" s="25">
        <f>IFERROR(I20/I10,"")</f>
        <v/>
      </c>
      <c r="J21" s="25">
        <f>IFERROR(J20/J10,"")</f>
        <v/>
      </c>
      <c r="K21" s="25">
        <f>IFERROR(K20/K10,"")</f>
        <v/>
      </c>
      <c r="L21" s="25">
        <f>IFERROR(L20/L10,"")</f>
        <v/>
      </c>
      <c r="M21" s="25">
        <f>IFERROR(M20/M10,"")</f>
        <v/>
      </c>
      <c r="N21" s="25">
        <f>IFERROR(N20/N10,"")</f>
        <v/>
      </c>
      <c r="O21" s="25">
        <f>IFERROR(O20/O10,"")</f>
        <v/>
      </c>
      <c r="P21" s="25">
        <f>IFERROR(P20/P10,"")</f>
        <v/>
      </c>
    </row>
    <row r="23">
      <c r="A23" s="3" t="inlineStr">
        <is>
          <t>Operating income (EBIT)</t>
        </is>
      </c>
      <c r="B23" s="43">
        <f>B10-(B14+B16+B18)-B20</f>
        <v/>
      </c>
      <c r="C23" s="43">
        <f>C10-(C14+C16+C18)-C20</f>
        <v/>
      </c>
      <c r="D23" s="43">
        <f>D10-(D14+D16+D18)-D20</f>
        <v/>
      </c>
      <c r="E23" s="43">
        <f>E10-(E14+E16+E18)-E20</f>
        <v/>
      </c>
      <c r="F23" s="43">
        <f>F10-(F14+F16+F18)-F20</f>
        <v/>
      </c>
      <c r="G23" s="43">
        <f>G10-(G14+G16+G18)-G20</f>
        <v/>
      </c>
      <c r="H23" s="43">
        <f>H10-(H14+H16+H18)-H20</f>
        <v/>
      </c>
      <c r="I23" s="43">
        <f>I10-(I14+I16+I18)-I20</f>
        <v/>
      </c>
      <c r="J23" s="43">
        <f>J10-(J14+J16+J18)-J20</f>
        <v/>
      </c>
      <c r="K23" s="43">
        <f>K10-(K14+K16+K18)-K20</f>
        <v/>
      </c>
      <c r="L23" s="43">
        <f>L10-(L14+L16+L18)-L20</f>
        <v/>
      </c>
      <c r="M23" s="43">
        <f>M10-(M14+M16+M18)-M20</f>
        <v/>
      </c>
      <c r="N23" s="43">
        <f>N10-(N14+N16+N18)-N20</f>
        <v/>
      </c>
      <c r="O23" s="43">
        <f>O10-(O14+O16+O18)-O20</f>
        <v/>
      </c>
      <c r="P23" s="43">
        <f>P10-(P14+P16+P18)-P20</f>
        <v/>
      </c>
    </row>
    <row r="24">
      <c r="A24" s="4" t="inlineStr">
        <is>
          <t xml:space="preserve">    operating margin</t>
        </is>
      </c>
      <c r="B24" s="25">
        <f>IFERROR(B23/B10,"")</f>
        <v/>
      </c>
      <c r="C24" s="25">
        <f>IFERROR(C23/C10,"")</f>
        <v/>
      </c>
      <c r="D24" s="25">
        <f>IFERROR(D23/D10,"")</f>
        <v/>
      </c>
      <c r="E24" s="25">
        <f>IFERROR(E23/E10,"")</f>
        <v/>
      </c>
      <c r="F24" s="25">
        <f>IFERROR(F23/F10,"")</f>
        <v/>
      </c>
      <c r="G24" s="25">
        <f>IFERROR(G23/G10,"")</f>
        <v/>
      </c>
      <c r="H24" s="25">
        <f>IFERROR(H23/H10,"")</f>
        <v/>
      </c>
      <c r="I24" s="25">
        <f>IFERROR(I23/I10,"")</f>
        <v/>
      </c>
      <c r="J24" s="25">
        <f>IFERROR(J23/J10,"")</f>
        <v/>
      </c>
      <c r="K24" s="25">
        <f>IFERROR(K23/K10,"")</f>
        <v/>
      </c>
      <c r="L24" s="25">
        <f>IFERROR(L23/L10,"")</f>
        <v/>
      </c>
      <c r="M24" s="25">
        <f>IFERROR(M23/M10,"")</f>
        <v/>
      </c>
      <c r="N24" s="25">
        <f>IFERROR(N23/N10,"")</f>
        <v/>
      </c>
      <c r="O24" s="25">
        <f>IFERROR(O23/O10,"")</f>
        <v/>
      </c>
      <c r="P24" s="25">
        <f>IFERROR(P23/P10,"")</f>
        <v/>
      </c>
    </row>
    <row r="26">
      <c r="A26" s="5" t="inlineStr">
        <is>
          <t xml:space="preserve">  FCF BRIDGE (NOPAT + D&amp;A + SBC - dNWC - Capex)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4" t="inlineStr">
        <is>
          <t>NOPAT = EBIT x (1 - tax)</t>
        </is>
      </c>
      <c r="B27" s="34">
        <f>B23*(1-Valuation!$B$5)</f>
        <v/>
      </c>
      <c r="C27" s="34">
        <f>C23*(1-Valuation!$B$5)</f>
        <v/>
      </c>
      <c r="D27" s="34">
        <f>D23*(1-Valuation!$B$5)</f>
        <v/>
      </c>
      <c r="E27" s="34">
        <f>E23*(1-Valuation!$B$5)</f>
        <v/>
      </c>
      <c r="F27" s="34">
        <f>F23*(1-Valuation!$B$5)</f>
        <v/>
      </c>
      <c r="G27" s="34">
        <f>G23*(1-Valuation!$B$5)</f>
        <v/>
      </c>
      <c r="H27" s="34">
        <f>H23*(1-Valuation!$B$5)</f>
        <v/>
      </c>
      <c r="I27" s="34">
        <f>I23*(1-Valuation!$B$5)</f>
        <v/>
      </c>
      <c r="J27" s="34">
        <f>J23*(1-Valuation!$B$5)</f>
        <v/>
      </c>
      <c r="K27" s="34">
        <f>K23*(1-Valuation!$B$5)</f>
        <v/>
      </c>
      <c r="L27" s="34">
        <f>L23*(1-Valuation!$B$5)</f>
        <v/>
      </c>
      <c r="M27" s="34">
        <f>M23*(1-Valuation!$B$5)</f>
        <v/>
      </c>
      <c r="N27" s="34">
        <f>N23*(1-Valuation!$B$5)</f>
        <v/>
      </c>
      <c r="O27" s="34">
        <f>O23*(1-Valuation!$B$5)</f>
        <v/>
      </c>
      <c r="P27" s="34">
        <f>P23*(1-Valuation!$B$5)</f>
        <v/>
      </c>
    </row>
    <row r="28">
      <c r="A28" s="4" t="inlineStr">
        <is>
          <t>+ D&amp;A</t>
        </is>
      </c>
      <c r="B28" s="34">
        <f>SUM(Financials!I37:L37)</f>
        <v/>
      </c>
      <c r="C28" s="34">
        <f>SUM(Financials!M37:P37)</f>
        <v/>
      </c>
      <c r="D28" s="34">
        <f>SUM(Financials!Q37:T37)</f>
        <v/>
      </c>
      <c r="E28" s="34">
        <f>SUM(Financials!U37:X37)</f>
        <v/>
      </c>
      <c r="F28" s="34">
        <f>SUM(Financials!Y37:AB37)</f>
        <v/>
      </c>
      <c r="G28" s="42">
        <f>G10*0.0285</f>
        <v/>
      </c>
      <c r="H28" s="42">
        <f>H10*0.0285</f>
        <v/>
      </c>
      <c r="I28" s="42">
        <f>I10*0.0285</f>
        <v/>
      </c>
      <c r="J28" s="42">
        <f>J10*0.0285</f>
        <v/>
      </c>
      <c r="K28" s="42">
        <f>K10*0.0285</f>
        <v/>
      </c>
      <c r="L28" s="42">
        <f>L10*0.0285</f>
        <v/>
      </c>
      <c r="M28" s="42">
        <f>M10*0.0285</f>
        <v/>
      </c>
      <c r="N28" s="42">
        <f>N10*0.0285</f>
        <v/>
      </c>
      <c r="O28" s="42">
        <f>O10*0.0285</f>
        <v/>
      </c>
      <c r="P28" s="42">
        <f>P10*0.0285</f>
        <v/>
      </c>
    </row>
    <row r="29">
      <c r="A29" s="4" t="inlineStr">
        <is>
          <t>+ SBC (non-cash)</t>
        </is>
      </c>
      <c r="B29" s="34">
        <f>SUM(Financials!I38:L38)</f>
        <v/>
      </c>
      <c r="C29" s="34">
        <f>SUM(Financials!M38:P38)</f>
        <v/>
      </c>
      <c r="D29" s="34">
        <f>SUM(Financials!Q38:T38)</f>
        <v/>
      </c>
      <c r="E29" s="34">
        <f>SUM(Financials!U38:X38)</f>
        <v/>
      </c>
      <c r="F29" s="34">
        <f>SUM(Financials!Y38:AB38)</f>
        <v/>
      </c>
      <c r="G29" s="34">
        <f>G10*(Dashboard!$B$65+(Dashboard!$B$66-Dashboard!$B$65)*0/9)</f>
        <v/>
      </c>
      <c r="H29" s="34">
        <f>H10*(Dashboard!$B$65+(Dashboard!$B$66-Dashboard!$B$65)*1/9)</f>
        <v/>
      </c>
      <c r="I29" s="34">
        <f>I10*(Dashboard!$B$65+(Dashboard!$B$66-Dashboard!$B$65)*2/9)</f>
        <v/>
      </c>
      <c r="J29" s="34">
        <f>J10*(Dashboard!$B$65+(Dashboard!$B$66-Dashboard!$B$65)*3/9)</f>
        <v/>
      </c>
      <c r="K29" s="34">
        <f>K10*(Dashboard!$B$65+(Dashboard!$B$66-Dashboard!$B$65)*4/9)</f>
        <v/>
      </c>
      <c r="L29" s="34">
        <f>L10*(Dashboard!$B$65+(Dashboard!$B$66-Dashboard!$B$65)*5/9)</f>
        <v/>
      </c>
      <c r="M29" s="34">
        <f>M10*(Dashboard!$B$65+(Dashboard!$B$66-Dashboard!$B$65)*6/9)</f>
        <v/>
      </c>
      <c r="N29" s="34">
        <f>N10*(Dashboard!$B$65+(Dashboard!$B$66-Dashboard!$B$65)*7/9)</f>
        <v/>
      </c>
      <c r="O29" s="34">
        <f>O10*(Dashboard!$B$65+(Dashboard!$B$66-Dashboard!$B$65)*8/9)</f>
        <v/>
      </c>
      <c r="P29" s="34">
        <f>P10*(Dashboard!$B$65+(Dashboard!$B$66-Dashboard!$B$65)*9/9)</f>
        <v/>
      </c>
    </row>
    <row r="30">
      <c r="A30" s="4" t="inlineStr">
        <is>
          <t>- dNWC</t>
        </is>
      </c>
      <c r="G30" s="42">
        <f>(G10-F10)*0.0050</f>
        <v/>
      </c>
      <c r="H30" s="42">
        <f>(H10-G10)*0.0050</f>
        <v/>
      </c>
      <c r="I30" s="42">
        <f>(I10-H10)*0.0050</f>
        <v/>
      </c>
      <c r="J30" s="42">
        <f>(J10-I10)*0.0050</f>
        <v/>
      </c>
      <c r="K30" s="42">
        <f>(K10-J10)*0.0050</f>
        <v/>
      </c>
      <c r="L30" s="42">
        <f>(L10-K10)*0.0050</f>
        <v/>
      </c>
      <c r="M30" s="42">
        <f>(M10-L10)*0.0050</f>
        <v/>
      </c>
      <c r="N30" s="42">
        <f>(N10-M10)*0.0050</f>
        <v/>
      </c>
      <c r="O30" s="42">
        <f>(O10-N10)*0.0050</f>
        <v/>
      </c>
      <c r="P30" s="42">
        <f>(P10-O10)*0.0050</f>
        <v/>
      </c>
    </row>
    <row r="31">
      <c r="A31" s="4" t="inlineStr">
        <is>
          <t>- Capex</t>
        </is>
      </c>
      <c r="B31" s="34">
        <f>-SUM(Financials!I41:L41)</f>
        <v/>
      </c>
      <c r="C31" s="34">
        <f>-SUM(Financials!M41:P41)</f>
        <v/>
      </c>
      <c r="D31" s="34">
        <f>-SUM(Financials!Q41:T41)</f>
        <v/>
      </c>
      <c r="E31" s="34">
        <f>-SUM(Financials!U41:X41)</f>
        <v/>
      </c>
      <c r="F31" s="34">
        <f>-SUM(Financials!Y41:AB41)</f>
        <v/>
      </c>
      <c r="G31" s="42">
        <f>G28*G32</f>
        <v/>
      </c>
      <c r="H31" s="42">
        <f>H28*H32</f>
        <v/>
      </c>
      <c r="I31" s="42">
        <f>I28*I32</f>
        <v/>
      </c>
      <c r="J31" s="42">
        <f>J28*J32</f>
        <v/>
      </c>
      <c r="K31" s="42">
        <f>K28*K32</f>
        <v/>
      </c>
      <c r="L31" s="42">
        <f>L28*L32</f>
        <v/>
      </c>
      <c r="M31" s="42">
        <f>M28*M32</f>
        <v/>
      </c>
      <c r="N31" s="42">
        <f>N28*N32</f>
        <v/>
      </c>
      <c r="O31" s="42">
        <f>O28*O32</f>
        <v/>
      </c>
      <c r="P31" s="42">
        <f>P28*P32</f>
        <v/>
      </c>
    </row>
    <row r="32">
      <c r="A32" s="4" t="inlineStr">
        <is>
          <t xml:space="preserve">    Capex / D&amp;A  (from Dashboard: $cap'26 -&gt; terminal)</t>
        </is>
      </c>
      <c r="B32" s="26">
        <f>IFERROR(B31/B28,"")</f>
        <v/>
      </c>
      <c r="C32" s="26">
        <f>IFERROR(C31/C28,"")</f>
        <v/>
      </c>
      <c r="D32" s="26">
        <f>IFERROR(D31/D28,"")</f>
        <v/>
      </c>
      <c r="E32" s="26">
        <f>IFERROR(E31/E28,"")</f>
        <v/>
      </c>
      <c r="F32" s="26">
        <f>IFERROR(F31/F28,"")</f>
        <v/>
      </c>
      <c r="G32" s="13">
        <f>(Dashboard!$B$34/G28)+(Dashboard!$B$35-(Dashboard!$B$34/G28))*0/9</f>
        <v/>
      </c>
      <c r="H32" s="13">
        <f>(Dashboard!$B$34/G28)+(Dashboard!$B$35-(Dashboard!$B$34/G28))*1/9</f>
        <v/>
      </c>
      <c r="I32" s="13">
        <f>(Dashboard!$B$34/G28)+(Dashboard!$B$35-(Dashboard!$B$34/G28))*2/9</f>
        <v/>
      </c>
      <c r="J32" s="13">
        <f>(Dashboard!$B$34/G28)+(Dashboard!$B$35-(Dashboard!$B$34/G28))*3/9</f>
        <v/>
      </c>
      <c r="K32" s="13">
        <f>(Dashboard!$B$34/G28)+(Dashboard!$B$35-(Dashboard!$B$34/G28))*4/9</f>
        <v/>
      </c>
      <c r="L32" s="13">
        <f>(Dashboard!$B$34/G28)+(Dashboard!$B$35-(Dashboard!$B$34/G28))*5/9</f>
        <v/>
      </c>
      <c r="M32" s="13">
        <f>(Dashboard!$B$34/G28)+(Dashboard!$B$35-(Dashboard!$B$34/G28))*6/9</f>
        <v/>
      </c>
      <c r="N32" s="13">
        <f>(Dashboard!$B$34/G28)+(Dashboard!$B$35-(Dashboard!$B$34/G28))*7/9</f>
        <v/>
      </c>
      <c r="O32" s="13">
        <f>(Dashboard!$B$34/G28)+(Dashboard!$B$35-(Dashboard!$B$34/G28))*8/9</f>
        <v/>
      </c>
      <c r="P32" s="13">
        <f>(Dashboard!$B$34/G28)+(Dashboard!$B$35-(Dashboard!$B$34/G28))*9/9</f>
        <v/>
      </c>
    </row>
    <row r="34">
      <c r="A34" s="3" t="inlineStr">
        <is>
          <t>FCFF (firm)</t>
        </is>
      </c>
      <c r="B34" s="43">
        <f>B27+B28+B29-B30-B31</f>
        <v/>
      </c>
      <c r="C34" s="43">
        <f>C27+C28+C29-C30-C31</f>
        <v/>
      </c>
      <c r="D34" s="43">
        <f>D27+D28+D29-D30-D31</f>
        <v/>
      </c>
      <c r="E34" s="43">
        <f>E27+E28+E29-E30-E31</f>
        <v/>
      </c>
      <c r="F34" s="43">
        <f>F27+F28+F29-F30-F31</f>
        <v/>
      </c>
      <c r="G34" s="43">
        <f>G27+G28+G29-G30-G31</f>
        <v/>
      </c>
      <c r="H34" s="43">
        <f>H27+H28+H29-H30-H31</f>
        <v/>
      </c>
      <c r="I34" s="43">
        <f>I27+I28+I29-I30-I31</f>
        <v/>
      </c>
      <c r="J34" s="43">
        <f>J27+J28+J29-J30-J31</f>
        <v/>
      </c>
      <c r="K34" s="43">
        <f>K27+K28+K29-K30-K31</f>
        <v/>
      </c>
      <c r="L34" s="43">
        <f>L27+L28+L29-L30-L31</f>
        <v/>
      </c>
      <c r="M34" s="43">
        <f>M27+M28+M29-M30-M31</f>
        <v/>
      </c>
      <c r="N34" s="43">
        <f>N27+N28+N29-N30-N31</f>
        <v/>
      </c>
      <c r="O34" s="43">
        <f>O27+O28+O29-O30-O31</f>
        <v/>
      </c>
      <c r="P34" s="43">
        <f>P27+P28+P29-P30-P31</f>
        <v/>
      </c>
    </row>
    <row r="35">
      <c r="A35" s="3" t="inlineStr">
        <is>
          <t>Valuation FCF (NOPAT + D&amp;A - dNWC - Capex - after-tax SBC)</t>
        </is>
      </c>
      <c r="B35" s="44">
        <f>B34-B29-B29*(1-Valuation!$B$5)</f>
        <v/>
      </c>
      <c r="C35" s="44">
        <f>C34-C29-C29*(1-Valuation!$B$5)</f>
        <v/>
      </c>
      <c r="D35" s="44">
        <f>D34-D29-D29*(1-Valuation!$B$5)</f>
        <v/>
      </c>
      <c r="E35" s="44">
        <f>E34-E29-E29*(1-Valuation!$B$5)</f>
        <v/>
      </c>
      <c r="F35" s="44">
        <f>F34-F29-F29*(1-Valuation!$B$5)</f>
        <v/>
      </c>
      <c r="G35" s="44">
        <f>G34-G29-G29*(1-Valuation!$B$5)</f>
        <v/>
      </c>
      <c r="H35" s="44">
        <f>H34-H29-H29*(1-Valuation!$B$5)</f>
        <v/>
      </c>
      <c r="I35" s="44">
        <f>I34-I29-I29*(1-Valuation!$B$5)</f>
        <v/>
      </c>
      <c r="J35" s="44">
        <f>J34-J29-J29*(1-Valuation!$B$5)</f>
        <v/>
      </c>
      <c r="K35" s="44">
        <f>K34-K29-K29*(1-Valuation!$B$5)</f>
        <v/>
      </c>
      <c r="L35" s="44">
        <f>L34-L29-L29*(1-Valuation!$B$5)</f>
        <v/>
      </c>
      <c r="M35" s="44">
        <f>M34-M29-M29*(1-Valuation!$B$5)</f>
        <v/>
      </c>
      <c r="N35" s="44">
        <f>N34-N29-N29*(1-Valuation!$B$5)</f>
        <v/>
      </c>
      <c r="O35" s="44">
        <f>O34-O29-O29*(1-Valuation!$B$5)</f>
        <v/>
      </c>
      <c r="P35" s="44">
        <f>P34-P29-P29*(1-Valuation!$B$5)</f>
        <v/>
      </c>
    </row>
    <row r="37">
      <c r="A37" s="5" t="inlineStr">
        <is>
          <t xml:space="preserve">  RETURNS ON CAPITAL &amp; EFFICIENCY  (is new revenue/capital earning its keep?)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4" t="inlineStr">
        <is>
          <t>Invested capital (debt + equity - cash)</t>
        </is>
      </c>
      <c r="B38" s="34">
        <f>Financials!L35+Financials!L34-Financials!L29</f>
        <v/>
      </c>
      <c r="C38" s="34">
        <f>Financials!P35+Financials!P34-Financials!P29</f>
        <v/>
      </c>
      <c r="D38" s="34">
        <f>Financials!T35+Financials!T34-Financials!T29</f>
        <v/>
      </c>
      <c r="E38" s="34">
        <f>Financials!X35+Financials!X34-Financials!X29</f>
        <v/>
      </c>
      <c r="F38" s="34">
        <f>Financials!AB35+Financials!AB34-Financials!AB29</f>
        <v/>
      </c>
      <c r="G38" s="42">
        <f>F38+G31-G28+G30</f>
        <v/>
      </c>
      <c r="H38" s="42">
        <f>G38+H31-H28+H30</f>
        <v/>
      </c>
      <c r="I38" s="42">
        <f>H38+I31-I28+I30</f>
        <v/>
      </c>
      <c r="J38" s="42">
        <f>I38+J31-J28+J30</f>
        <v/>
      </c>
      <c r="K38" s="42">
        <f>J38+K31-K28+K30</f>
        <v/>
      </c>
      <c r="L38" s="42">
        <f>K38+L31-L28+L30</f>
        <v/>
      </c>
      <c r="M38" s="42">
        <f>L38+M31-M28+M30</f>
        <v/>
      </c>
      <c r="N38" s="42">
        <f>M38+N31-N28+N30</f>
        <v/>
      </c>
      <c r="O38" s="42">
        <f>N38+O31-O28+O30</f>
        <v/>
      </c>
      <c r="P38" s="42">
        <f>O38+P31-P28+P30</f>
        <v/>
      </c>
    </row>
    <row r="39">
      <c r="A39" s="4" t="inlineStr">
        <is>
          <t>Book equity (year-end)</t>
        </is>
      </c>
      <c r="B39" s="34">
        <f>Financials!L35</f>
        <v/>
      </c>
      <c r="C39" s="34">
        <f>Financials!P35</f>
        <v/>
      </c>
      <c r="D39" s="34">
        <f>Financials!T35</f>
        <v/>
      </c>
      <c r="E39" s="34">
        <f>Financials!X35</f>
        <v/>
      </c>
      <c r="F39" s="34">
        <f>Financials!AB35</f>
        <v/>
      </c>
      <c r="G39" s="42">
        <f>F39+G27</f>
        <v/>
      </c>
      <c r="H39" s="42">
        <f>G39+H27</f>
        <v/>
      </c>
      <c r="I39" s="42">
        <f>H39+I27</f>
        <v/>
      </c>
      <c r="J39" s="42">
        <f>I39+J27</f>
        <v/>
      </c>
      <c r="K39" s="42">
        <f>J39+K27</f>
        <v/>
      </c>
      <c r="L39" s="42">
        <f>K39+L27</f>
        <v/>
      </c>
      <c r="M39" s="42">
        <f>L39+M27</f>
        <v/>
      </c>
      <c r="N39" s="42">
        <f>M39+N27</f>
        <v/>
      </c>
      <c r="O39" s="42">
        <f>N39+O27</f>
        <v/>
      </c>
      <c r="P39" s="42">
        <f>O39+P27</f>
        <v/>
      </c>
    </row>
    <row r="40">
      <c r="A40" s="3" t="inlineStr">
        <is>
          <t xml:space="preserve">  ROIC (NOPAT / beg. invested capital)</t>
        </is>
      </c>
      <c r="C40" s="25">
        <f>IFERROR(C27/B38,"")</f>
        <v/>
      </c>
      <c r="D40" s="25">
        <f>IFERROR(D27/C38,"")</f>
        <v/>
      </c>
      <c r="E40" s="25">
        <f>IFERROR(E27/D38,"")</f>
        <v/>
      </c>
      <c r="F40" s="25">
        <f>IFERROR(F27/E38,"")</f>
        <v/>
      </c>
      <c r="G40" s="25">
        <f>IFERROR(G27/F38,"")</f>
        <v/>
      </c>
      <c r="H40" s="25">
        <f>IFERROR(H27/G38,"")</f>
        <v/>
      </c>
      <c r="I40" s="25">
        <f>IFERROR(I27/H38,"")</f>
        <v/>
      </c>
      <c r="J40" s="25">
        <f>IFERROR(J27/I38,"")</f>
        <v/>
      </c>
      <c r="K40" s="25">
        <f>IFERROR(K27/J38,"")</f>
        <v/>
      </c>
      <c r="L40" s="25">
        <f>IFERROR(L27/K38,"")</f>
        <v/>
      </c>
      <c r="M40" s="25">
        <f>IFERROR(M27/L38,"")</f>
        <v/>
      </c>
      <c r="N40" s="25">
        <f>IFERROR(N27/M38,"")</f>
        <v/>
      </c>
      <c r="O40" s="25">
        <f>IFERROR(O27/N38,"")</f>
        <v/>
      </c>
      <c r="P40" s="25">
        <f>IFERROR(P27/O38,"")</f>
        <v/>
      </c>
    </row>
    <row r="41">
      <c r="A41" s="3" t="inlineStr">
        <is>
          <t xml:space="preserve">  ROE (earnings / beg. equity)</t>
        </is>
      </c>
      <c r="C41" s="11">
        <f>IFERROR(SUM(Financials!M15:P15)/B39,"")</f>
        <v/>
      </c>
      <c r="D41" s="11">
        <f>IFERROR(SUM(Financials!Q15:T15)/C39,"")</f>
        <v/>
      </c>
      <c r="E41" s="11">
        <f>IFERROR(SUM(Financials!U15:X15)/D39,"")</f>
        <v/>
      </c>
      <c r="F41" s="11">
        <f>IFERROR(SUM(Financials!Y15:AB15)/E39,"")</f>
        <v/>
      </c>
      <c r="G41" s="25">
        <f>IFERROR(G27/F39,"")</f>
        <v/>
      </c>
      <c r="H41" s="25">
        <f>IFERROR(H27/G39,"")</f>
        <v/>
      </c>
      <c r="I41" s="25">
        <f>IFERROR(I27/H39,"")</f>
        <v/>
      </c>
      <c r="J41" s="25">
        <f>IFERROR(J27/I39,"")</f>
        <v/>
      </c>
      <c r="K41" s="25">
        <f>IFERROR(K27/J39,"")</f>
        <v/>
      </c>
      <c r="L41" s="25">
        <f>IFERROR(L27/K39,"")</f>
        <v/>
      </c>
      <c r="M41" s="25">
        <f>IFERROR(M27/L39,"")</f>
        <v/>
      </c>
      <c r="N41" s="25">
        <f>IFERROR(N27/M39,"")</f>
        <v/>
      </c>
      <c r="O41" s="25">
        <f>IFERROR(O27/N39,"")</f>
        <v/>
      </c>
      <c r="P41" s="25">
        <f>IFERROR(P27/O39,"")</f>
        <v/>
      </c>
    </row>
    <row r="42">
      <c r="A42" s="4" t="inlineStr">
        <is>
          <t xml:space="preserve">  ROIC - WACC spread (value created)</t>
        </is>
      </c>
      <c r="C42" s="11">
        <f>IFERROR(C40-WACC!$B$15,"")</f>
        <v/>
      </c>
      <c r="D42" s="11">
        <f>IFERROR(D40-WACC!$B$15,"")</f>
        <v/>
      </c>
      <c r="E42" s="11">
        <f>IFERROR(E40-WACC!$B$15,"")</f>
        <v/>
      </c>
      <c r="F42" s="11">
        <f>IFERROR(F40-WACC!$B$15,"")</f>
        <v/>
      </c>
      <c r="G42" s="11">
        <f>IFERROR(G40-WACC!$B$15,"")</f>
        <v/>
      </c>
      <c r="H42" s="11">
        <f>IFERROR(H40-WACC!$B$15,"")</f>
        <v/>
      </c>
      <c r="I42" s="11">
        <f>IFERROR(I40-WACC!$B$15,"")</f>
        <v/>
      </c>
      <c r="J42" s="11">
        <f>IFERROR(J40-WACC!$B$15,"")</f>
        <v/>
      </c>
      <c r="K42" s="11">
        <f>IFERROR(K40-WACC!$B$15,"")</f>
        <v/>
      </c>
      <c r="L42" s="11">
        <f>IFERROR(L40-WACC!$B$15,"")</f>
        <v/>
      </c>
      <c r="M42" s="11">
        <f>IFERROR(M40-WACC!$B$15,"")</f>
        <v/>
      </c>
      <c r="N42" s="11">
        <f>IFERROR(N40-WACC!$B$15,"")</f>
        <v/>
      </c>
      <c r="O42" s="11">
        <f>IFERROR(O40-WACC!$B$15,"")</f>
        <v/>
      </c>
      <c r="P42" s="11">
        <f>IFERROR(P40-WACC!$B$15,"")</f>
        <v/>
      </c>
    </row>
    <row r="43">
      <c r="A43" s="4" t="inlineStr">
        <is>
          <t xml:space="preserve">  Incremental op margin (ΔEBIT / ΔRev)</t>
        </is>
      </c>
      <c r="C43" s="25">
        <f>IFERROR((C23-B23)/(C10-B10),"")</f>
        <v/>
      </c>
      <c r="D43" s="25">
        <f>IFERROR((D23-C23)/(D10-C10),"")</f>
        <v/>
      </c>
      <c r="E43" s="25">
        <f>IFERROR((E23-D23)/(E10-D10),"")</f>
        <v/>
      </c>
      <c r="F43" s="25">
        <f>IFERROR((F23-E23)/(F10-E10),"")</f>
        <v/>
      </c>
      <c r="G43" s="25">
        <f>IFERROR((G23-F23)/(G10-F10),"")</f>
        <v/>
      </c>
      <c r="H43" s="25">
        <f>IFERROR((H23-G23)/(H10-G10),"")</f>
        <v/>
      </c>
      <c r="I43" s="25">
        <f>IFERROR((I23-H23)/(I10-H10),"")</f>
        <v/>
      </c>
      <c r="J43" s="25">
        <f>IFERROR((J23-I23)/(J10-I10),"")</f>
        <v/>
      </c>
      <c r="K43" s="25">
        <f>IFERROR((K23-J23)/(K10-J10),"")</f>
        <v/>
      </c>
      <c r="L43" s="25">
        <f>IFERROR((L23-K23)/(L10-K10),"")</f>
        <v/>
      </c>
      <c r="M43" s="25">
        <f>IFERROR((M23-L23)/(M10-L10),"")</f>
        <v/>
      </c>
      <c r="N43" s="25">
        <f>IFERROR((N23-M23)/(N10-M10),"")</f>
        <v/>
      </c>
      <c r="O43" s="25">
        <f>IFERROR((O23-N23)/(O10-N10),"")</f>
        <v/>
      </c>
      <c r="P43" s="25">
        <f>IFERROR((P23-O23)/(P10-O10),"")</f>
        <v/>
      </c>
    </row>
    <row r="44">
      <c r="A44" s="3" t="inlineStr">
        <is>
          <t xml:space="preserve">  ROIIC (ΔNOPAT / ΔInvested capital)</t>
        </is>
      </c>
      <c r="C44" s="25">
        <f>IFERROR((C27-B27)/(C38-B38),"")</f>
        <v/>
      </c>
      <c r="D44" s="25">
        <f>IFERROR((D27-C27)/(D38-C38),"")</f>
        <v/>
      </c>
      <c r="E44" s="25">
        <f>IFERROR((E27-D27)/(E38-D38),"")</f>
        <v/>
      </c>
      <c r="F44" s="25">
        <f>IFERROR((F27-E27)/(F38-E38),"")</f>
        <v/>
      </c>
      <c r="G44" s="25">
        <f>IFERROR((G27-F27)/(G38-F38),"")</f>
        <v/>
      </c>
      <c r="H44" s="25">
        <f>IFERROR((H27-G27)/(H38-G38),"")</f>
        <v/>
      </c>
      <c r="I44" s="25">
        <f>IFERROR((I27-H27)/(I38-H38),"")</f>
        <v/>
      </c>
      <c r="J44" s="25">
        <f>IFERROR((J27-I27)/(J38-I38),"")</f>
        <v/>
      </c>
      <c r="K44" s="25">
        <f>IFERROR((K27-J27)/(K38-J38),"")</f>
        <v/>
      </c>
      <c r="L44" s="25">
        <f>IFERROR((L27-K27)/(L38-K38),"")</f>
        <v/>
      </c>
      <c r="M44" s="25">
        <f>IFERROR((M27-L27)/(M38-L38),"")</f>
        <v/>
      </c>
      <c r="N44" s="25">
        <f>IFERROR((N27-M27)/(N38-M38),"")</f>
        <v/>
      </c>
      <c r="O44" s="25">
        <f>IFERROR((O27-N27)/(O38-N38),"")</f>
        <v/>
      </c>
      <c r="P44" s="25">
        <f>IFERROR((P27-O27)/(P38-O38),"")</f>
        <v/>
      </c>
    </row>
    <row r="45">
      <c r="A45" s="4" t="inlineStr">
        <is>
          <t xml:space="preserve">  Sales-to-capital (ΔRev / ΔInvested capital)</t>
        </is>
      </c>
      <c r="C45" s="45">
        <f>IFERROR((C10-B10)/(C38-B38),"")</f>
        <v/>
      </c>
      <c r="D45" s="45">
        <f>IFERROR((D10-C10)/(D38-C38),"")</f>
        <v/>
      </c>
      <c r="E45" s="45">
        <f>IFERROR((E10-D10)/(E38-D38),"")</f>
        <v/>
      </c>
      <c r="F45" s="45">
        <f>IFERROR((F10-E10)/(F38-E38),"")</f>
        <v/>
      </c>
      <c r="G45" s="45">
        <f>IFERROR((G10-F10)/(G38-F38),"")</f>
        <v/>
      </c>
      <c r="H45" s="45">
        <f>IFERROR((H10-G10)/(H38-G38),"")</f>
        <v/>
      </c>
      <c r="I45" s="45">
        <f>IFERROR((I10-H10)/(I38-H38),"")</f>
        <v/>
      </c>
      <c r="J45" s="45">
        <f>IFERROR((J10-I10)/(J38-I38),"")</f>
        <v/>
      </c>
      <c r="K45" s="45">
        <f>IFERROR((K10-J10)/(K38-J38),"")</f>
        <v/>
      </c>
      <c r="L45" s="45">
        <f>IFERROR((L10-K10)/(L38-K38),"")</f>
        <v/>
      </c>
      <c r="M45" s="45">
        <f>IFERROR((M10-L10)/(M38-L38),"")</f>
        <v/>
      </c>
      <c r="N45" s="45">
        <f>IFERROR((N10-M10)/(N38-M38),"")</f>
        <v/>
      </c>
      <c r="O45" s="45">
        <f>IFERROR((O10-N10)/(O38-N38),"")</f>
        <v/>
      </c>
      <c r="P45" s="45">
        <f>IFERROR((P10-O10)/(P38-O38),"")</f>
        <v/>
      </c>
    </row>
    <row r="46">
      <c r="A46" s="4" t="inlineStr">
        <is>
          <t xml:space="preserve">  Reinvestment rate (ΔInvested capital / NOPAT)</t>
        </is>
      </c>
      <c r="C46" s="25">
        <f>IFERROR((C38-B38)/C27,"")</f>
        <v/>
      </c>
      <c r="D46" s="25">
        <f>IFERROR((D38-C38)/D27,"")</f>
        <v/>
      </c>
      <c r="E46" s="25">
        <f>IFERROR((E38-D38)/E27,"")</f>
        <v/>
      </c>
      <c r="F46" s="25">
        <f>IFERROR((F38-E38)/F27,"")</f>
        <v/>
      </c>
      <c r="G46" s="25">
        <f>IFERROR((G38-F38)/G27,"")</f>
        <v/>
      </c>
      <c r="H46" s="25">
        <f>IFERROR((H38-G38)/H27,"")</f>
        <v/>
      </c>
      <c r="I46" s="25">
        <f>IFERROR((I38-H38)/I27,"")</f>
        <v/>
      </c>
      <c r="J46" s="25">
        <f>IFERROR((J38-I38)/J27,"")</f>
        <v/>
      </c>
      <c r="K46" s="25">
        <f>IFERROR((K38-J38)/K27,"")</f>
        <v/>
      </c>
      <c r="L46" s="25">
        <f>IFERROR((L38-K38)/L27,"")</f>
        <v/>
      </c>
      <c r="M46" s="25">
        <f>IFERROR((M38-L38)/M27,"")</f>
        <v/>
      </c>
      <c r="N46" s="25">
        <f>IFERROR((N38-M38)/N27,"")</f>
        <v/>
      </c>
      <c r="O46" s="25">
        <f>IFERROR((O38-N38)/O27,"")</f>
        <v/>
      </c>
      <c r="P46" s="25">
        <f>IFERROR((P38-O38)/P27,"")</f>
        <v/>
      </c>
    </row>
    <row r="48">
      <c r="A48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6" t="inlineStr">
        <is>
          <t>Q2 2019</t>
        </is>
      </c>
      <c r="C1" s="46" t="inlineStr">
        <is>
          <t>Q3 2019</t>
        </is>
      </c>
      <c r="D1" s="46" t="inlineStr">
        <is>
          <t>Q4 2019</t>
        </is>
      </c>
      <c r="E1" s="46" t="inlineStr">
        <is>
          <t>Q1 2020</t>
        </is>
      </c>
      <c r="F1" s="46" t="inlineStr">
        <is>
          <t>Q2 2020</t>
        </is>
      </c>
      <c r="G1" s="46" t="inlineStr">
        <is>
          <t>Q3 2020</t>
        </is>
      </c>
      <c r="H1" s="46" t="inlineStr">
        <is>
          <t>Q4 2020</t>
        </is>
      </c>
      <c r="I1" s="46" t="inlineStr">
        <is>
          <t>Q1 2021</t>
        </is>
      </c>
      <c r="J1" s="46" t="inlineStr">
        <is>
          <t>Q2 2021</t>
        </is>
      </c>
      <c r="K1" s="46" t="inlineStr">
        <is>
          <t>Q3 2021</t>
        </is>
      </c>
      <c r="L1" s="46" t="inlineStr">
        <is>
          <t>Q4 2021</t>
        </is>
      </c>
      <c r="M1" s="46" t="inlineStr">
        <is>
          <t>Q1 2022</t>
        </is>
      </c>
      <c r="N1" s="46" t="inlineStr">
        <is>
          <t>Q2 2022</t>
        </is>
      </c>
      <c r="O1" s="46" t="inlineStr">
        <is>
          <t>Q3 2022</t>
        </is>
      </c>
      <c r="P1" s="46" t="inlineStr">
        <is>
          <t>Q4 2022</t>
        </is>
      </c>
      <c r="Q1" s="46" t="inlineStr">
        <is>
          <t>Q1 2023</t>
        </is>
      </c>
      <c r="R1" s="46" t="inlineStr">
        <is>
          <t>Q2 2023</t>
        </is>
      </c>
      <c r="S1" s="46" t="inlineStr">
        <is>
          <t>Q3 2023</t>
        </is>
      </c>
      <c r="T1" s="46" t="inlineStr">
        <is>
          <t>Q4 2023</t>
        </is>
      </c>
      <c r="U1" s="46" t="inlineStr">
        <is>
          <t>Q1 2024</t>
        </is>
      </c>
      <c r="V1" s="46" t="inlineStr">
        <is>
          <t>Q2 2024</t>
        </is>
      </c>
      <c r="W1" s="46" t="inlineStr">
        <is>
          <t>Q3 2024</t>
        </is>
      </c>
      <c r="X1" s="46" t="inlineStr">
        <is>
          <t>Q4 2024</t>
        </is>
      </c>
      <c r="Y1" s="46" t="inlineStr">
        <is>
          <t>Q1 2025</t>
        </is>
      </c>
      <c r="Z1" s="46" t="inlineStr">
        <is>
          <t>Q2 2025</t>
        </is>
      </c>
      <c r="AA1" s="46" t="inlineStr">
        <is>
          <t>Q3 2025</t>
        </is>
      </c>
      <c r="AB1" s="46" t="inlineStr">
        <is>
          <t>Q4 2025</t>
        </is>
      </c>
      <c r="AC1" s="4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3850</v>
      </c>
      <c r="C3" s="18" t="n">
        <v>5040</v>
      </c>
      <c r="D3" s="18" t="n">
        <v>3339</v>
      </c>
      <c r="E3" s="18" t="n">
        <v>2288</v>
      </c>
      <c r="F3" s="18" t="n">
        <v>630</v>
      </c>
      <c r="G3" s="18" t="n">
        <v>2640</v>
      </c>
      <c r="H3" s="18" t="n">
        <v>1238</v>
      </c>
      <c r="I3" s="18" t="n">
        <v>1141</v>
      </c>
      <c r="J3" s="18" t="n">
        <v>2160</v>
      </c>
      <c r="K3" s="18" t="n">
        <v>4676</v>
      </c>
      <c r="L3" s="18" t="n">
        <v>2981</v>
      </c>
      <c r="M3" s="18" t="n">
        <v>2695</v>
      </c>
      <c r="N3" s="18" t="n">
        <v>4294</v>
      </c>
      <c r="O3" s="18" t="n">
        <v>6052</v>
      </c>
      <c r="P3" s="18" t="n">
        <v>4049</v>
      </c>
      <c r="Q3" s="18" t="n">
        <v>3778</v>
      </c>
      <c r="R3" s="18" t="n">
        <v>5462</v>
      </c>
      <c r="S3" s="18" t="n">
        <v>7341</v>
      </c>
      <c r="T3" s="18" t="n">
        <v>4784</v>
      </c>
      <c r="U3" s="18" t="n">
        <v>4415</v>
      </c>
      <c r="V3" s="18" t="n">
        <v>5859</v>
      </c>
      <c r="W3" s="18" t="n">
        <v>7994</v>
      </c>
      <c r="X3" s="18" t="n">
        <v>5471</v>
      </c>
      <c r="Y3" s="18" t="n">
        <v>4762</v>
      </c>
      <c r="Z3" s="18" t="n">
        <v>6798</v>
      </c>
      <c r="AA3" s="18" t="n">
        <v>9008</v>
      </c>
      <c r="AB3" s="18" t="n">
        <v>6349</v>
      </c>
      <c r="AC3" s="18" t="n">
        <v>5532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0</v>
      </c>
      <c r="C5" s="18" t="n">
        <v>0</v>
      </c>
      <c r="D5" s="18" t="n">
        <v>0</v>
      </c>
      <c r="E5" s="18" t="n">
        <v>0</v>
      </c>
      <c r="F5" s="18" t="n">
        <v>0</v>
      </c>
      <c r="G5" s="18" t="n">
        <v>0</v>
      </c>
      <c r="H5" s="18" t="n">
        <v>0</v>
      </c>
      <c r="I5" s="18" t="n">
        <v>0</v>
      </c>
      <c r="J5" s="18" t="n">
        <v>0</v>
      </c>
      <c r="K5" s="18" t="n">
        <v>0</v>
      </c>
      <c r="L5" s="18" t="n">
        <v>0</v>
      </c>
      <c r="M5" s="18" t="n">
        <v>0</v>
      </c>
      <c r="N5" s="18" t="n">
        <v>0</v>
      </c>
      <c r="O5" s="18" t="n">
        <v>0</v>
      </c>
      <c r="P5" s="18" t="n">
        <v>0</v>
      </c>
      <c r="Q5" s="18" t="n">
        <v>0</v>
      </c>
      <c r="R5" s="18" t="n">
        <v>0</v>
      </c>
      <c r="S5" s="18" t="n">
        <v>0</v>
      </c>
      <c r="T5" s="18" t="n">
        <v>0</v>
      </c>
      <c r="U5" s="18" t="n">
        <v>0</v>
      </c>
      <c r="V5" s="18" t="n">
        <v>0</v>
      </c>
      <c r="W5" s="18" t="n">
        <v>0</v>
      </c>
      <c r="X5" s="18" t="n">
        <v>0</v>
      </c>
      <c r="Y5" s="18" t="n">
        <v>0</v>
      </c>
      <c r="Z5" s="18" t="n">
        <v>0</v>
      </c>
      <c r="AA5" s="18" t="n">
        <v>0</v>
      </c>
      <c r="AB5" s="18" t="n">
        <v>0</v>
      </c>
      <c r="AC5" s="18" t="n">
        <v>0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70</v>
      </c>
      <c r="C7" s="18" t="n">
        <v>71</v>
      </c>
      <c r="D7" s="18" t="n">
        <v>79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2414</v>
      </c>
      <c r="C9" s="18" t="n">
        <v>2482</v>
      </c>
      <c r="D9" s="18" t="n">
        <v>1971</v>
      </c>
      <c r="E9" s="18" t="n">
        <v>1913</v>
      </c>
      <c r="F9" s="18" t="n">
        <v>898</v>
      </c>
      <c r="G9" s="18" t="n">
        <v>1525</v>
      </c>
      <c r="H9" s="18" t="n">
        <v>1123</v>
      </c>
      <c r="I9" s="18" t="n">
        <v>1244</v>
      </c>
      <c r="J9" s="18" t="n">
        <v>2014</v>
      </c>
      <c r="K9" s="18" t="n">
        <v>2450</v>
      </c>
      <c r="L9" s="18" t="n">
        <v>1908</v>
      </c>
      <c r="M9" s="18" t="n">
        <v>2240</v>
      </c>
      <c r="N9" s="18" t="n">
        <v>3044</v>
      </c>
      <c r="O9" s="18" t="n">
        <v>3233</v>
      </c>
      <c r="P9" s="18" t="n">
        <v>2693</v>
      </c>
      <c r="Q9" s="18" t="n">
        <v>3071</v>
      </c>
      <c r="R9" s="18" t="n">
        <v>3524</v>
      </c>
      <c r="S9" s="18" t="n">
        <v>3922</v>
      </c>
      <c r="T9" s="18" t="n">
        <v>3853</v>
      </c>
      <c r="U9" s="18" t="n">
        <v>3300</v>
      </c>
      <c r="V9" s="18" t="n">
        <v>3678</v>
      </c>
      <c r="W9" s="18" t="n">
        <v>4466</v>
      </c>
      <c r="X9" s="18" t="n">
        <v>3344</v>
      </c>
      <c r="Y9" s="18" t="n">
        <v>3314</v>
      </c>
      <c r="Z9" s="18" t="n">
        <v>4133</v>
      </c>
      <c r="AA9" s="18" t="n">
        <v>4561</v>
      </c>
      <c r="AB9" s="18" t="n">
        <v>3891</v>
      </c>
      <c r="AC9" s="18" t="n">
        <v>2168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3850</v>
      </c>
      <c r="C11" s="18" t="n">
        <v>5040</v>
      </c>
      <c r="D11" s="18" t="n">
        <v>3339</v>
      </c>
      <c r="E11" s="18" t="n">
        <v>2288</v>
      </c>
      <c r="F11" s="18" t="n">
        <v>630</v>
      </c>
      <c r="G11" s="18" t="n">
        <v>2640</v>
      </c>
      <c r="H11" s="18" t="n">
        <v>1238</v>
      </c>
      <c r="I11" s="18" t="n">
        <v>1141</v>
      </c>
      <c r="J11" s="18" t="n">
        <v>2160</v>
      </c>
      <c r="K11" s="18" t="n">
        <v>4676</v>
      </c>
      <c r="L11" s="18" t="n">
        <v>2981</v>
      </c>
      <c r="M11" s="18" t="n">
        <v>2695</v>
      </c>
      <c r="N11" s="18" t="n">
        <v>4294</v>
      </c>
      <c r="O11" s="18" t="n">
        <v>6052</v>
      </c>
      <c r="P11" s="18" t="n">
        <v>4049</v>
      </c>
      <c r="Q11" s="18" t="n">
        <v>3778</v>
      </c>
      <c r="R11" s="18" t="n">
        <v>5462</v>
      </c>
      <c r="S11" s="18" t="n">
        <v>7341</v>
      </c>
      <c r="T11" s="18" t="n">
        <v>4784</v>
      </c>
      <c r="U11" s="18" t="n">
        <v>4415</v>
      </c>
      <c r="V11" s="18" t="n">
        <v>5859</v>
      </c>
      <c r="W11" s="18" t="n">
        <v>7994</v>
      </c>
      <c r="X11" s="18" t="n">
        <v>5471</v>
      </c>
      <c r="Y11" s="18" t="n">
        <v>4762</v>
      </c>
      <c r="Z11" s="18" t="n">
        <v>6798</v>
      </c>
      <c r="AA11" s="18" t="n">
        <v>9008</v>
      </c>
      <c r="AB11" s="18" t="n">
        <v>6349</v>
      </c>
      <c r="AC11" s="18" t="n">
        <v>5532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1247</v>
      </c>
      <c r="C13" s="18" t="n">
        <v>2370</v>
      </c>
      <c r="D13" s="18" t="n">
        <v>1172</v>
      </c>
      <c r="E13" s="18" t="n">
        <v>-309</v>
      </c>
      <c r="F13" s="18" t="n">
        <v>-484</v>
      </c>
      <c r="G13" s="18" t="n">
        <v>315</v>
      </c>
      <c r="H13" s="18" t="n">
        <v>-153</v>
      </c>
      <c r="I13" s="18" t="n">
        <v>-311</v>
      </c>
      <c r="J13" s="18" t="n">
        <v>-56</v>
      </c>
      <c r="K13" s="18" t="n">
        <v>2015</v>
      </c>
      <c r="L13" s="18" t="n">
        <v>848</v>
      </c>
      <c r="M13" s="18" t="n">
        <v>174</v>
      </c>
      <c r="N13" s="18" t="n">
        <v>1000</v>
      </c>
      <c r="O13" s="18" t="n">
        <v>2583</v>
      </c>
      <c r="P13" s="18" t="n">
        <v>1345</v>
      </c>
      <c r="Q13" s="18" t="n">
        <v>450</v>
      </c>
      <c r="R13" s="18" t="n">
        <v>1673</v>
      </c>
      <c r="S13" s="18" t="n">
        <v>3103</v>
      </c>
      <c r="T13" s="18" t="n">
        <v>609</v>
      </c>
      <c r="U13" s="18" t="n">
        <v>791</v>
      </c>
      <c r="V13" s="18" t="n">
        <v>1856</v>
      </c>
      <c r="W13" s="18" t="n">
        <v>3179</v>
      </c>
      <c r="X13" s="18" t="n">
        <v>1729</v>
      </c>
      <c r="Y13" s="18" t="n">
        <v>1062</v>
      </c>
      <c r="Z13" s="18" t="n">
        <v>2250</v>
      </c>
      <c r="AA13" s="18" t="n">
        <v>3940</v>
      </c>
      <c r="AB13" s="18" t="n">
        <v>2030</v>
      </c>
      <c r="AC13" s="18" t="n">
        <v>1271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979</v>
      </c>
      <c r="C15" s="18" t="n">
        <v>1950</v>
      </c>
      <c r="D15" s="18" t="n">
        <v>1171</v>
      </c>
      <c r="E15" s="18" t="n">
        <v>-699</v>
      </c>
      <c r="F15" s="18" t="n">
        <v>122</v>
      </c>
      <c r="G15" s="18" t="n">
        <v>801</v>
      </c>
      <c r="H15" s="18" t="n">
        <v>-165</v>
      </c>
      <c r="I15" s="18" t="n">
        <v>-55</v>
      </c>
      <c r="J15" s="18" t="n">
        <v>-167</v>
      </c>
      <c r="K15" s="18" t="n">
        <v>769</v>
      </c>
      <c r="L15" s="18" t="n">
        <v>618</v>
      </c>
      <c r="M15" s="18" t="n">
        <v>-700</v>
      </c>
      <c r="N15" s="18" t="n">
        <v>857</v>
      </c>
      <c r="O15" s="18" t="n">
        <v>1666</v>
      </c>
      <c r="P15" s="18" t="n">
        <v>1235</v>
      </c>
      <c r="Q15" s="18" t="n">
        <v>266</v>
      </c>
      <c r="R15" s="18" t="n">
        <v>1290</v>
      </c>
      <c r="S15" s="18" t="n">
        <v>2511</v>
      </c>
      <c r="T15" s="18" t="n">
        <v>222</v>
      </c>
      <c r="U15" s="18" t="n">
        <v>776</v>
      </c>
      <c r="V15" s="18" t="n">
        <v>1521</v>
      </c>
      <c r="W15" s="18" t="n">
        <v>2517</v>
      </c>
      <c r="X15" s="18" t="n">
        <v>1068</v>
      </c>
      <c r="Y15" s="18" t="n">
        <v>333</v>
      </c>
      <c r="Z15" s="18" t="n">
        <v>895</v>
      </c>
      <c r="AA15" s="18" t="n">
        <v>2748</v>
      </c>
      <c r="AB15" s="18" t="n">
        <v>1428</v>
      </c>
      <c r="AC15" s="18" t="n">
        <v>1083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1090.025</v>
      </c>
      <c r="C17" s="18" t="n">
        <v>1070.775</v>
      </c>
      <c r="D17" s="18" t="n">
        <v>1055.25</v>
      </c>
      <c r="E17" s="18" t="n">
        <v>1027.325</v>
      </c>
      <c r="F17" s="18" t="n">
        <v>1024.875</v>
      </c>
      <c r="G17" s="18" t="n">
        <v>1027.025</v>
      </c>
      <c r="H17" s="18" t="n">
        <v>1023.6</v>
      </c>
      <c r="I17" s="18" t="n">
        <v>1024.325</v>
      </c>
      <c r="J17" s="18" t="n">
        <v>1026.35</v>
      </c>
      <c r="K17" s="18" t="n">
        <v>1033.55</v>
      </c>
      <c r="L17" s="18" t="n">
        <v>1034.275</v>
      </c>
      <c r="M17" s="18" t="n">
        <v>1023.025</v>
      </c>
      <c r="N17" s="18" t="n">
        <v>1016.625</v>
      </c>
      <c r="O17" s="18" t="n">
        <v>991.775</v>
      </c>
      <c r="P17" s="18" t="n">
        <v>967.725</v>
      </c>
      <c r="Q17" s="18" t="n">
        <v>949.575</v>
      </c>
      <c r="R17" s="18" t="n">
        <v>924.1</v>
      </c>
      <c r="S17" s="18" t="n">
        <v>899.675</v>
      </c>
      <c r="T17" s="18" t="n">
        <v>880.55</v>
      </c>
      <c r="U17" s="18" t="n">
        <v>867.65</v>
      </c>
      <c r="V17" s="18" t="n">
        <v>856.675</v>
      </c>
      <c r="W17" s="18" t="n">
        <v>846.6</v>
      </c>
      <c r="X17" s="18" t="n">
        <v>835.65</v>
      </c>
      <c r="Y17" s="18" t="n">
        <v>827.325</v>
      </c>
      <c r="Z17" s="18" t="n">
        <v>815.475</v>
      </c>
      <c r="AA17" s="18" t="n">
        <v>813.95</v>
      </c>
      <c r="AB17" s="18" t="n">
        <v>815.975</v>
      </c>
      <c r="AC17" s="18" t="n">
        <v>794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Merchant Revenue</t>
        </is>
      </c>
      <c r="E19" s="18" t="n">
        <v>659</v>
      </c>
      <c r="F19" s="18" t="n">
        <v>245</v>
      </c>
      <c r="G19" s="18" t="n">
        <v>837</v>
      </c>
      <c r="H19" s="18" t="n">
        <v>376</v>
      </c>
      <c r="I19" s="18" t="n">
        <v>373</v>
      </c>
      <c r="J19" s="18" t="n">
        <v>661</v>
      </c>
      <c r="K19" s="18" t="n">
        <v>1622</v>
      </c>
      <c r="L19" s="18" t="n">
        <v>1040</v>
      </c>
      <c r="M19" s="18" t="n">
        <v>1050</v>
      </c>
      <c r="N19" s="18" t="n">
        <v>1749</v>
      </c>
      <c r="O19" s="18" t="n">
        <v>2614</v>
      </c>
      <c r="P19" s="18" t="n">
        <v>1780</v>
      </c>
      <c r="Q19" s="18" t="n">
        <v>1752</v>
      </c>
      <c r="R19" s="18" t="n">
        <v>2770</v>
      </c>
      <c r="S19" s="18" t="n">
        <v>3945</v>
      </c>
      <c r="T19" s="18" t="n">
        <v>2469</v>
      </c>
      <c r="U19" s="18" t="n">
        <v>2388</v>
      </c>
      <c r="V19" s="18" t="n">
        <v>3446</v>
      </c>
      <c r="W19" s="18" t="n">
        <v>4972</v>
      </c>
      <c r="X19" s="18" t="n">
        <v>3336</v>
      </c>
      <c r="Y19" s="18" t="n">
        <v>2918</v>
      </c>
      <c r="Z19" s="18" t="n">
        <v>4457</v>
      </c>
      <c r="AA19" s="18" t="n">
        <v>6131</v>
      </c>
      <c r="AB19" s="18" t="n">
        <v>4249</v>
      </c>
      <c r="AC19" s="18" t="n">
        <v>3698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Agency Revenue</t>
        </is>
      </c>
      <c r="E22" s="18" t="n">
        <v>1424</v>
      </c>
      <c r="F22" s="18" t="n">
        <v>357</v>
      </c>
      <c r="G22" s="18" t="n">
        <v>1723</v>
      </c>
      <c r="H22" s="18" t="n">
        <v>810</v>
      </c>
      <c r="I22" s="18" t="n">
        <v>717</v>
      </c>
      <c r="J22" s="18" t="n">
        <v>1328</v>
      </c>
      <c r="K22" s="18" t="n">
        <v>2867</v>
      </c>
      <c r="L22" s="18" t="n">
        <v>1751</v>
      </c>
      <c r="M22" s="18" t="n">
        <v>1450</v>
      </c>
      <c r="N22" s="18" t="n">
        <v>2301</v>
      </c>
      <c r="O22" s="18" t="n">
        <v>3203</v>
      </c>
      <c r="P22" s="18" t="n">
        <v>2049</v>
      </c>
      <c r="Q22" s="18" t="n">
        <v>1782</v>
      </c>
      <c r="R22" s="18" t="n">
        <v>2429</v>
      </c>
      <c r="S22" s="18" t="n">
        <v>3135</v>
      </c>
      <c r="T22" s="18" t="n">
        <v>2068</v>
      </c>
      <c r="U22" s="18" t="n">
        <v>1763</v>
      </c>
      <c r="V22" s="18" t="n">
        <v>2144</v>
      </c>
      <c r="W22" s="18" t="n">
        <v>2753</v>
      </c>
      <c r="X22" s="18" t="n">
        <v>1864</v>
      </c>
      <c r="Y22" s="18" t="n">
        <v>1564</v>
      </c>
      <c r="Z22" s="18" t="n">
        <v>2044</v>
      </c>
      <c r="AA22" s="18" t="n">
        <v>2569</v>
      </c>
      <c r="AB22" s="18" t="n">
        <v>1791</v>
      </c>
      <c r="AC22" s="18" t="n">
        <v>1528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Advertising and other revenues</t>
        </is>
      </c>
      <c r="E25" s="18" t="n">
        <v>205</v>
      </c>
      <c r="F25" s="18" t="n">
        <v>28</v>
      </c>
      <c r="G25" s="18" t="n">
        <v>80</v>
      </c>
      <c r="H25" s="18" t="n">
        <v>52</v>
      </c>
      <c r="I25" s="18" t="n">
        <v>51</v>
      </c>
      <c r="J25" s="18" t="n">
        <v>171</v>
      </c>
      <c r="K25" s="18" t="n">
        <v>187</v>
      </c>
      <c r="L25" s="18" t="n">
        <v>190</v>
      </c>
      <c r="M25" s="18" t="n">
        <v>195</v>
      </c>
      <c r="N25" s="18" t="n">
        <v>244</v>
      </c>
      <c r="O25" s="18" t="n">
        <v>235</v>
      </c>
      <c r="P25" s="18" t="n">
        <v>220</v>
      </c>
      <c r="Q25" s="18" t="n">
        <v>244</v>
      </c>
      <c r="R25" s="18" t="n">
        <v>263</v>
      </c>
      <c r="S25" s="18" t="n">
        <v>261</v>
      </c>
      <c r="T25" s="18" t="n">
        <v>247</v>
      </c>
      <c r="U25" s="18" t="n">
        <v>264</v>
      </c>
      <c r="V25" s="18" t="n">
        <v>269</v>
      </c>
      <c r="W25" s="18" t="n">
        <v>269</v>
      </c>
      <c r="X25" s="18" t="n">
        <v>271</v>
      </c>
      <c r="Y25" s="18" t="n">
        <v>280</v>
      </c>
      <c r="Z25" s="18" t="n">
        <v>297</v>
      </c>
      <c r="AA25" s="18" t="n">
        <v>308</v>
      </c>
      <c r="AB25" s="18" t="n">
        <v>309</v>
      </c>
      <c r="AC25" s="18" t="n">
        <v>306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5" t="inlineStr">
        <is>
          <t xml:space="preserve">  BALANCE SHEET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>
      <c r="A29" s="4" t="inlineStr">
        <is>
          <t>Cash &amp; ST Investments</t>
        </is>
      </c>
      <c r="B29" s="18" t="n">
        <v>6809</v>
      </c>
      <c r="C29" s="18" t="n">
        <v>7439</v>
      </c>
      <c r="D29" s="18" t="n">
        <v>7310</v>
      </c>
      <c r="E29" s="18" t="n">
        <v>7189</v>
      </c>
      <c r="F29" s="18" t="n">
        <v>10404</v>
      </c>
      <c r="G29" s="18" t="n">
        <v>11197</v>
      </c>
      <c r="H29" s="18" t="n">
        <v>11063</v>
      </c>
      <c r="I29" s="18" t="n">
        <v>12651</v>
      </c>
      <c r="J29" s="18" t="n">
        <v>11732</v>
      </c>
      <c r="K29" s="18" t="n">
        <v>12165</v>
      </c>
      <c r="L29" s="18" t="n">
        <v>11152</v>
      </c>
      <c r="M29" s="18" t="n">
        <v>10549</v>
      </c>
      <c r="N29" s="18" t="n">
        <v>11841</v>
      </c>
      <c r="O29" s="18" t="n">
        <v>9137</v>
      </c>
      <c r="P29" s="18" t="n">
        <v>12426</v>
      </c>
      <c r="Q29" s="18" t="n">
        <v>14499</v>
      </c>
      <c r="R29" s="18" t="n">
        <v>15242</v>
      </c>
      <c r="S29" s="18" t="n">
        <v>13918</v>
      </c>
      <c r="T29" s="18" t="n">
        <v>12683</v>
      </c>
      <c r="U29" s="18" t="n">
        <v>15991</v>
      </c>
      <c r="V29" s="18" t="n">
        <v>16327</v>
      </c>
      <c r="W29" s="18" t="n">
        <v>15775</v>
      </c>
      <c r="X29" s="18" t="n">
        <v>16164</v>
      </c>
      <c r="Y29" s="18" t="n">
        <v>15578</v>
      </c>
      <c r="Z29" s="18" t="n">
        <v>17595</v>
      </c>
      <c r="AA29" s="18" t="n">
        <v>16509</v>
      </c>
      <c r="AB29" s="18" t="n">
        <v>17785</v>
      </c>
      <c r="AC29" s="18" t="n">
        <v>16024</v>
      </c>
    </row>
    <row r="30">
      <c r="A30" s="4" t="inlineStr">
        <is>
          <t>Total Current Assets</t>
        </is>
      </c>
      <c r="B30" s="18" t="n">
        <v>10020</v>
      </c>
      <c r="C30" s="18" t="n">
        <v>10056</v>
      </c>
      <c r="D30" s="18" t="n">
        <v>9833</v>
      </c>
      <c r="E30" s="18" t="n">
        <v>9260</v>
      </c>
      <c r="F30" s="18" t="n">
        <v>11453</v>
      </c>
      <c r="G30" s="18" t="n">
        <v>12583</v>
      </c>
      <c r="H30" s="18" t="n">
        <v>12206</v>
      </c>
      <c r="I30" s="18" t="n">
        <v>14108</v>
      </c>
      <c r="J30" s="18" t="n">
        <v>13789</v>
      </c>
      <c r="K30" s="18" t="n">
        <v>14352</v>
      </c>
      <c r="L30" s="18" t="n">
        <v>13145</v>
      </c>
      <c r="M30" s="18" t="n">
        <v>12875</v>
      </c>
      <c r="N30" s="18" t="n">
        <v>14924</v>
      </c>
      <c r="O30" s="18" t="n">
        <v>12410</v>
      </c>
      <c r="P30" s="18" t="n">
        <v>15798</v>
      </c>
      <c r="Q30" s="18" t="n">
        <v>17632</v>
      </c>
      <c r="R30" s="18" t="n">
        <v>19349</v>
      </c>
      <c r="S30" s="18" t="n">
        <v>18479</v>
      </c>
      <c r="T30" s="18" t="n">
        <v>17034</v>
      </c>
      <c r="U30" s="18" t="n">
        <v>20476</v>
      </c>
      <c r="V30" s="18" t="n">
        <v>21293</v>
      </c>
      <c r="W30" s="18" t="n">
        <v>20529</v>
      </c>
      <c r="X30" s="18" t="n">
        <v>20491</v>
      </c>
      <c r="Y30" s="18" t="n">
        <v>19950</v>
      </c>
      <c r="Z30" s="18" t="n">
        <v>23263</v>
      </c>
      <c r="AA30" s="18" t="n">
        <v>21703</v>
      </c>
      <c r="AB30" s="18" t="n">
        <v>22264</v>
      </c>
      <c r="AC30" s="18" t="n">
        <v>20934</v>
      </c>
    </row>
    <row r="31">
      <c r="A31" s="4" t="inlineStr">
        <is>
          <t>PP&amp;E (net)</t>
        </is>
      </c>
      <c r="B31" s="18" t="n">
        <v>1355</v>
      </c>
      <c r="C31" s="18" t="n">
        <v>1316</v>
      </c>
      <c r="D31" s="18" t="n">
        <v>1358</v>
      </c>
      <c r="E31" s="18" t="n">
        <v>1316</v>
      </c>
      <c r="F31" s="18" t="n">
        <v>1313</v>
      </c>
      <c r="G31" s="18" t="n">
        <v>1312</v>
      </c>
      <c r="H31" s="18" t="n">
        <v>1285</v>
      </c>
      <c r="I31" s="18" t="n">
        <v>1214</v>
      </c>
      <c r="J31" s="18" t="n">
        <v>1205</v>
      </c>
      <c r="K31" s="18" t="n">
        <v>1207</v>
      </c>
      <c r="L31" s="18" t="n">
        <v>1318</v>
      </c>
      <c r="M31" s="18" t="n">
        <v>1331</v>
      </c>
      <c r="N31" s="18" t="n">
        <v>1303</v>
      </c>
      <c r="O31" s="18" t="n">
        <v>1281</v>
      </c>
      <c r="P31" s="18" t="n">
        <v>1314</v>
      </c>
      <c r="Q31" s="18" t="n">
        <v>1321</v>
      </c>
      <c r="R31" s="18" t="n">
        <v>1340</v>
      </c>
      <c r="S31" s="18" t="n">
        <v>1376</v>
      </c>
      <c r="T31" s="18" t="n">
        <v>1489</v>
      </c>
      <c r="U31" s="18" t="n">
        <v>1468</v>
      </c>
      <c r="V31" s="18" t="n">
        <v>1512</v>
      </c>
      <c r="W31" s="18" t="n">
        <v>1482</v>
      </c>
      <c r="X31" s="18" t="n">
        <v>1391</v>
      </c>
      <c r="Y31" s="18" t="n">
        <v>1412</v>
      </c>
      <c r="Z31" s="18" t="n">
        <v>1441</v>
      </c>
      <c r="AA31" s="18" t="n">
        <v>1422</v>
      </c>
      <c r="AB31" s="18" t="n">
        <v>807</v>
      </c>
      <c r="AC31" s="18" t="n">
        <v>784</v>
      </c>
    </row>
    <row r="32">
      <c r="A32" s="4" t="inlineStr">
        <is>
          <t>Total Assets</t>
        </is>
      </c>
      <c r="B32" s="18" t="n">
        <v>21494</v>
      </c>
      <c r="C32" s="18" t="n">
        <v>21446</v>
      </c>
      <c r="D32" s="18" t="n">
        <v>21402</v>
      </c>
      <c r="E32" s="18" t="n">
        <v>17862</v>
      </c>
      <c r="F32" s="18" t="n">
        <v>20912</v>
      </c>
      <c r="G32" s="18" t="n">
        <v>22145</v>
      </c>
      <c r="H32" s="18" t="n">
        <v>21874</v>
      </c>
      <c r="I32" s="18" t="n">
        <v>23655</v>
      </c>
      <c r="J32" s="18" t="n">
        <v>23881</v>
      </c>
      <c r="K32" s="18" t="n">
        <v>23341</v>
      </c>
      <c r="L32" s="18" t="n">
        <v>23641</v>
      </c>
      <c r="M32" s="18" t="n">
        <v>22384</v>
      </c>
      <c r="N32" s="18" t="n">
        <v>24493</v>
      </c>
      <c r="O32" s="18" t="n">
        <v>22063</v>
      </c>
      <c r="P32" s="18" t="n">
        <v>25361</v>
      </c>
      <c r="Q32" s="18" t="n">
        <v>25206</v>
      </c>
      <c r="R32" s="18" t="n">
        <v>26558</v>
      </c>
      <c r="S32" s="18" t="n">
        <v>25635</v>
      </c>
      <c r="T32" s="18" t="n">
        <v>24342</v>
      </c>
      <c r="U32" s="18" t="n">
        <v>27728</v>
      </c>
      <c r="V32" s="18" t="n">
        <v>28541</v>
      </c>
      <c r="W32" s="18" t="n">
        <v>27978</v>
      </c>
      <c r="X32" s="18" t="n">
        <v>27708</v>
      </c>
      <c r="Y32" s="18" t="n">
        <v>27191</v>
      </c>
      <c r="Z32" s="18" t="n">
        <v>30684</v>
      </c>
      <c r="AA32" s="18" t="n">
        <v>28752</v>
      </c>
      <c r="AB32" s="18" t="n">
        <v>29264</v>
      </c>
      <c r="AC32" s="18" t="n">
        <v>27720</v>
      </c>
    </row>
    <row r="33">
      <c r="A33" s="4" t="inlineStr">
        <is>
          <t>Total Current Liabilities</t>
        </is>
      </c>
      <c r="B33" s="18" t="n">
        <v>6349</v>
      </c>
      <c r="C33" s="18" t="n">
        <v>5528</v>
      </c>
      <c r="D33" s="18" t="n">
        <v>5366</v>
      </c>
      <c r="E33" s="18" t="n">
        <v>4136</v>
      </c>
      <c r="F33" s="18" t="n">
        <v>3909</v>
      </c>
      <c r="G33" s="18" t="n">
        <v>3968</v>
      </c>
      <c r="H33" s="18" t="n">
        <v>3425</v>
      </c>
      <c r="I33" s="18" t="n">
        <v>6468</v>
      </c>
      <c r="J33" s="18" t="n">
        <v>6724</v>
      </c>
      <c r="K33" s="18" t="n">
        <v>5779</v>
      </c>
      <c r="L33" s="18" t="n">
        <v>6246</v>
      </c>
      <c r="M33" s="18" t="n">
        <v>7478</v>
      </c>
      <c r="N33" s="18" t="n">
        <v>10282</v>
      </c>
      <c r="O33" s="18" t="n">
        <v>8543</v>
      </c>
      <c r="P33" s="18" t="n">
        <v>8474</v>
      </c>
      <c r="Q33" s="18" t="n">
        <v>11070</v>
      </c>
      <c r="R33" s="18" t="n">
        <v>12481</v>
      </c>
      <c r="S33" s="18" t="n">
        <v>12832</v>
      </c>
      <c r="T33" s="18" t="n">
        <v>13330</v>
      </c>
      <c r="U33" s="18" t="n">
        <v>16832</v>
      </c>
      <c r="V33" s="18" t="n">
        <v>18206</v>
      </c>
      <c r="W33" s="18" t="n">
        <v>16678</v>
      </c>
      <c r="X33" s="18" t="n">
        <v>15647</v>
      </c>
      <c r="Y33" s="18" t="n">
        <v>16394</v>
      </c>
      <c r="Z33" s="18" t="n">
        <v>18636</v>
      </c>
      <c r="AA33" s="18" t="n">
        <v>16265</v>
      </c>
      <c r="AB33" s="18" t="n">
        <v>16698</v>
      </c>
      <c r="AC33" s="18" t="n">
        <v>19811</v>
      </c>
    </row>
    <row r="34">
      <c r="A34" s="4" t="inlineStr">
        <is>
          <t>Long-term Debt</t>
        </is>
      </c>
      <c r="B34" s="18" t="n">
        <v>7686</v>
      </c>
      <c r="C34" s="18" t="n">
        <v>7512</v>
      </c>
      <c r="D34" s="18" t="n">
        <v>7640</v>
      </c>
      <c r="E34" s="18" t="n">
        <v>7553</v>
      </c>
      <c r="F34" s="18" t="n">
        <v>10633</v>
      </c>
      <c r="G34" s="18" t="n">
        <v>10829</v>
      </c>
      <c r="H34" s="18" t="n">
        <v>11029</v>
      </c>
      <c r="I34" s="18" t="n">
        <v>9930</v>
      </c>
      <c r="J34" s="18" t="n">
        <v>9986</v>
      </c>
      <c r="K34" s="18" t="n">
        <v>9876</v>
      </c>
      <c r="L34" s="18" t="n">
        <v>8937</v>
      </c>
      <c r="M34" s="18" t="n">
        <v>8435</v>
      </c>
      <c r="N34" s="18" t="n">
        <v>8190</v>
      </c>
      <c r="O34" s="18" t="n">
        <v>7950</v>
      </c>
      <c r="P34" s="18" t="n">
        <v>11985</v>
      </c>
      <c r="Q34" s="18" t="n">
        <v>11272</v>
      </c>
      <c r="R34" s="18" t="n">
        <v>13198</v>
      </c>
      <c r="S34" s="18" t="n">
        <v>11856</v>
      </c>
      <c r="T34" s="18" t="n">
        <v>12223</v>
      </c>
      <c r="U34" s="18" t="n">
        <v>13438</v>
      </c>
      <c r="V34" s="18" t="n">
        <v>13361</v>
      </c>
      <c r="W34" s="18" t="n">
        <v>13793</v>
      </c>
      <c r="X34" s="18" t="n">
        <v>14853</v>
      </c>
      <c r="Y34" s="18" t="n">
        <v>15369</v>
      </c>
      <c r="Z34" s="18" t="n">
        <v>17473</v>
      </c>
      <c r="AA34" s="18" t="n">
        <v>15997</v>
      </c>
      <c r="AB34" s="18" t="n">
        <v>16856</v>
      </c>
      <c r="AC34" s="18" t="n">
        <v>15398</v>
      </c>
    </row>
    <row r="35">
      <c r="A35" s="4" t="inlineStr">
        <is>
          <t>Total Equity</t>
        </is>
      </c>
      <c r="B35" s="18" t="n">
        <v>5307</v>
      </c>
      <c r="C35" s="18" t="n">
        <v>5951</v>
      </c>
      <c r="D35" s="18" t="n">
        <v>5933</v>
      </c>
      <c r="E35" s="18" t="n">
        <v>3835</v>
      </c>
      <c r="F35" s="18" t="n">
        <v>3999</v>
      </c>
      <c r="G35" s="18" t="n">
        <v>4913</v>
      </c>
      <c r="H35" s="18" t="n">
        <v>4893</v>
      </c>
      <c r="I35" s="18" t="n">
        <v>4764</v>
      </c>
      <c r="J35" s="18" t="n">
        <v>4804</v>
      </c>
      <c r="K35" s="18" t="n">
        <v>5545</v>
      </c>
      <c r="L35" s="18" t="n">
        <v>6178</v>
      </c>
      <c r="M35" s="18" t="n">
        <v>4373</v>
      </c>
      <c r="N35" s="18" t="n">
        <v>4002</v>
      </c>
      <c r="O35" s="18" t="n">
        <v>3670</v>
      </c>
      <c r="P35" s="18" t="n">
        <v>2782</v>
      </c>
      <c r="Q35" s="18" t="n">
        <v>1074</v>
      </c>
      <c r="R35" s="18" t="n">
        <v>-665</v>
      </c>
      <c r="S35" s="18" t="n">
        <v>-625</v>
      </c>
      <c r="T35" s="18" t="n">
        <v>-2744</v>
      </c>
      <c r="U35" s="18" t="n">
        <v>-4052</v>
      </c>
      <c r="V35" s="18" t="n">
        <v>-4276</v>
      </c>
      <c r="W35" s="18" t="n">
        <v>-3653</v>
      </c>
      <c r="X35" s="18" t="n">
        <v>-4020</v>
      </c>
      <c r="Y35" s="18" t="n">
        <v>-6112</v>
      </c>
      <c r="Z35" s="18" t="n">
        <v>-6657</v>
      </c>
      <c r="AA35" s="18" t="n">
        <v>-4736</v>
      </c>
      <c r="AB35" s="18" t="n">
        <v>-5578</v>
      </c>
      <c r="AC35" s="18" t="n">
        <v>-8724</v>
      </c>
    </row>
    <row r="36">
      <c r="A36" s="5" t="inlineStr">
        <is>
          <t xml:space="preserve">  CASH FLOW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</row>
    <row r="37">
      <c r="A37" s="4" t="inlineStr">
        <is>
          <t>D&amp;A</t>
        </is>
      </c>
      <c r="B37" s="18" t="n">
        <v>162</v>
      </c>
      <c r="C37" s="18" t="n">
        <v>159</v>
      </c>
      <c r="D37" s="18" t="n">
        <v>162</v>
      </c>
      <c r="E37" s="18" t="n">
        <v>163</v>
      </c>
      <c r="F37" s="18" t="n">
        <v>157</v>
      </c>
      <c r="G37" s="18" t="n">
        <v>161</v>
      </c>
      <c r="H37" s="18" t="n">
        <v>161</v>
      </c>
      <c r="I37" s="18" t="n">
        <v>158</v>
      </c>
      <c r="J37" s="18" t="n">
        <v>154</v>
      </c>
      <c r="K37" s="18" t="n">
        <v>146</v>
      </c>
      <c r="L37" s="18" t="n">
        <v>141</v>
      </c>
      <c r="M37" s="18" t="n">
        <v>150</v>
      </c>
      <c r="N37" s="18" t="n">
        <v>149</v>
      </c>
      <c r="O37" s="18" t="n">
        <v>145</v>
      </c>
      <c r="P37" s="18" t="n">
        <v>163</v>
      </c>
      <c r="Q37" s="18" t="n">
        <v>161</v>
      </c>
      <c r="R37" s="18" t="n">
        <v>160</v>
      </c>
      <c r="S37" s="18" t="n">
        <v>169</v>
      </c>
      <c r="T37" s="18" t="n">
        <v>175</v>
      </c>
      <c r="U37" s="18" t="n">
        <v>177</v>
      </c>
      <c r="V37" s="18" t="n">
        <v>181</v>
      </c>
      <c r="W37" s="18" t="n">
        <v>190</v>
      </c>
      <c r="X37" s="18" t="n">
        <v>203</v>
      </c>
      <c r="Y37" s="18" t="n">
        <v>184</v>
      </c>
      <c r="Z37" s="18" t="n">
        <v>194</v>
      </c>
      <c r="AA37" s="18" t="n">
        <v>199</v>
      </c>
      <c r="AB37" s="18" t="n">
        <v>191</v>
      </c>
      <c r="AC37" s="18" t="n">
        <v>131</v>
      </c>
    </row>
    <row r="38">
      <c r="A38" s="4" t="inlineStr">
        <is>
          <t>Stock-based Compensation</t>
        </is>
      </c>
      <c r="B38" s="18" t="n">
        <v>84</v>
      </c>
      <c r="C38" s="18" t="n">
        <v>83</v>
      </c>
      <c r="D38" s="18" t="n">
        <v>80</v>
      </c>
      <c r="E38" s="18" t="n">
        <v>11</v>
      </c>
      <c r="F38" s="18" t="n">
        <v>83</v>
      </c>
      <c r="G38" s="18" t="n">
        <v>85</v>
      </c>
      <c r="H38" s="18" t="n">
        <v>76</v>
      </c>
      <c r="I38" s="18" t="n">
        <v>113</v>
      </c>
      <c r="J38" s="18" t="n">
        <v>91</v>
      </c>
      <c r="K38" s="18" t="n">
        <v>86</v>
      </c>
      <c r="L38" s="18" t="n">
        <v>86</v>
      </c>
      <c r="M38" s="18" t="n">
        <v>93</v>
      </c>
      <c r="N38" s="18" t="n">
        <v>108</v>
      </c>
      <c r="O38" s="18" t="n">
        <v>101</v>
      </c>
      <c r="P38" s="18" t="n">
        <v>102</v>
      </c>
      <c r="Q38" s="18" t="n">
        <v>113</v>
      </c>
      <c r="R38" s="18" t="n">
        <v>128</v>
      </c>
      <c r="S38" s="18" t="n">
        <v>128</v>
      </c>
      <c r="T38" s="18" t="n">
        <v>161</v>
      </c>
      <c r="U38" s="18" t="n">
        <v>144</v>
      </c>
      <c r="V38" s="18" t="n">
        <v>140</v>
      </c>
      <c r="W38" s="18" t="n">
        <v>148</v>
      </c>
      <c r="X38" s="18" t="n">
        <v>167</v>
      </c>
      <c r="Y38" s="18" t="n">
        <v>143</v>
      </c>
      <c r="Z38" s="18" t="n">
        <v>154</v>
      </c>
      <c r="AA38" s="18" t="n">
        <v>153</v>
      </c>
      <c r="AB38" s="18" t="n">
        <v>0</v>
      </c>
      <c r="AC38" s="18" t="n">
        <v>141</v>
      </c>
    </row>
    <row r="39">
      <c r="A39" s="4" t="inlineStr">
        <is>
          <t>Change in Working Capital</t>
        </is>
      </c>
      <c r="B39" s="18" t="n">
        <v>558</v>
      </c>
      <c r="C39" s="18" t="n">
        <v>-364</v>
      </c>
      <c r="D39" s="18" t="n">
        <v>-183</v>
      </c>
      <c r="E39" s="18" t="n">
        <v>-897</v>
      </c>
      <c r="F39" s="18" t="n">
        <v>353</v>
      </c>
      <c r="G39" s="18" t="n">
        <v>-177</v>
      </c>
      <c r="H39" s="18" t="n">
        <v>-299</v>
      </c>
      <c r="I39" s="18" t="n">
        <v>-262</v>
      </c>
      <c r="J39" s="18" t="n">
        <v>1188</v>
      </c>
      <c r="K39" s="18" t="n">
        <v>-209</v>
      </c>
      <c r="L39" s="18" t="n">
        <v>-448</v>
      </c>
      <c r="M39" s="18" t="n">
        <v>1326</v>
      </c>
      <c r="N39" s="18" t="n">
        <v>1670</v>
      </c>
      <c r="O39" s="18" t="n">
        <v>-2229</v>
      </c>
      <c r="P39" s="18" t="n">
        <v>1028</v>
      </c>
      <c r="Q39" s="18" t="n">
        <v>2476</v>
      </c>
      <c r="R39" s="18" t="n">
        <v>85</v>
      </c>
      <c r="S39" s="18" t="n">
        <v>-1456</v>
      </c>
      <c r="T39" s="18" t="n">
        <v>604</v>
      </c>
      <c r="U39" s="18" t="n">
        <v>1704</v>
      </c>
      <c r="V39" s="18" t="n">
        <v>626</v>
      </c>
      <c r="W39" s="18" t="n">
        <v>-2330</v>
      </c>
      <c r="X39" s="18" t="n">
        <v>-1143</v>
      </c>
      <c r="Y39" s="18" t="n">
        <v>2051</v>
      </c>
      <c r="Z39" s="18" t="n">
        <v>1035</v>
      </c>
      <c r="AA39" s="18" t="n">
        <v>-2102</v>
      </c>
      <c r="AB39" s="18" t="n">
        <v>-449</v>
      </c>
      <c r="AC39" s="18" t="n">
        <v>1892</v>
      </c>
    </row>
    <row r="40">
      <c r="A40" s="4" t="inlineStr">
        <is>
          <t>Operating Cash Flow</t>
        </is>
      </c>
      <c r="B40" s="18" t="n">
        <v>1787</v>
      </c>
      <c r="C40" s="18" t="n">
        <v>1851</v>
      </c>
      <c r="D40" s="18" t="n">
        <v>1077</v>
      </c>
      <c r="E40" s="18" t="n">
        <v>-380</v>
      </c>
      <c r="F40" s="18" t="n">
        <v>122</v>
      </c>
      <c r="G40" s="18" t="n">
        <v>920</v>
      </c>
      <c r="H40" s="18" t="n">
        <v>-577</v>
      </c>
      <c r="I40" s="18" t="n">
        <v>-207</v>
      </c>
      <c r="J40" s="18" t="n">
        <v>1152</v>
      </c>
      <c r="K40" s="18" t="n">
        <v>1596</v>
      </c>
      <c r="L40" s="18" t="n">
        <v>279</v>
      </c>
      <c r="M40" s="18" t="n">
        <v>1695</v>
      </c>
      <c r="N40" s="18" t="n">
        <v>2684</v>
      </c>
      <c r="O40" s="18" t="n">
        <v>2</v>
      </c>
      <c r="P40" s="18" t="n">
        <v>2173</v>
      </c>
      <c r="Q40" s="18" t="n">
        <v>2889</v>
      </c>
      <c r="R40" s="18" t="n">
        <v>1737</v>
      </c>
      <c r="S40" s="18" t="n">
        <v>1372</v>
      </c>
      <c r="T40" s="18" t="n">
        <v>1346</v>
      </c>
      <c r="U40" s="18" t="n">
        <v>2704</v>
      </c>
      <c r="V40" s="18" t="n">
        <v>2525</v>
      </c>
      <c r="W40" s="18" t="n">
        <v>2373</v>
      </c>
      <c r="X40" s="18" t="n">
        <v>721</v>
      </c>
      <c r="Y40" s="18" t="n">
        <v>3283</v>
      </c>
      <c r="Z40" s="18" t="n">
        <v>3201</v>
      </c>
      <c r="AA40" s="18" t="n">
        <v>1435</v>
      </c>
      <c r="AB40" s="18" t="n">
        <v>1490</v>
      </c>
      <c r="AC40" s="18" t="n">
        <v>3215</v>
      </c>
    </row>
    <row r="41">
      <c r="A41" s="4" t="inlineStr">
        <is>
          <t>Capex</t>
        </is>
      </c>
      <c r="B41" s="18" t="n">
        <v>-88</v>
      </c>
      <c r="C41" s="18" t="n">
        <v>-82</v>
      </c>
      <c r="D41" s="18" t="n">
        <v>-87</v>
      </c>
      <c r="E41" s="18" t="n">
        <v>-80</v>
      </c>
      <c r="F41" s="18" t="n">
        <v>-70</v>
      </c>
      <c r="G41" s="18" t="n">
        <v>-72</v>
      </c>
      <c r="H41" s="18" t="n">
        <v>-64</v>
      </c>
      <c r="I41" s="18" t="n">
        <v>-65</v>
      </c>
      <c r="J41" s="18" t="n">
        <v>-59</v>
      </c>
      <c r="K41" s="18" t="n">
        <v>-79</v>
      </c>
      <c r="L41" s="18" t="n">
        <v>-101</v>
      </c>
      <c r="M41" s="18" t="n">
        <v>-109</v>
      </c>
      <c r="N41" s="18" t="n">
        <v>-86</v>
      </c>
      <c r="O41" s="18" t="n">
        <v>-98</v>
      </c>
      <c r="P41" s="18" t="n">
        <v>-75</v>
      </c>
      <c r="Q41" s="18" t="n">
        <v>-88</v>
      </c>
      <c r="R41" s="18" t="n">
        <v>-92</v>
      </c>
      <c r="S41" s="18" t="n">
        <v>-71</v>
      </c>
      <c r="T41" s="18" t="n">
        <v>-94</v>
      </c>
      <c r="U41" s="18" t="n">
        <v>-130</v>
      </c>
      <c r="V41" s="18" t="n">
        <v>-146</v>
      </c>
      <c r="W41" s="18" t="n">
        <v>-77</v>
      </c>
      <c r="X41" s="18" t="n">
        <v>-76</v>
      </c>
      <c r="Y41" s="18" t="n">
        <v>-121</v>
      </c>
      <c r="Z41" s="18" t="n">
        <v>-64</v>
      </c>
      <c r="AA41" s="18" t="n">
        <v>-64</v>
      </c>
      <c r="AB41" s="18" t="n">
        <v>-73</v>
      </c>
      <c r="AC41" s="18" t="n">
        <v>-107</v>
      </c>
    </row>
    <row r="42">
      <c r="A42" s="4" t="inlineStr">
        <is>
          <t>Free Cash Flow</t>
        </is>
      </c>
      <c r="B42" s="18" t="n">
        <v>1699</v>
      </c>
      <c r="C42" s="18" t="n">
        <v>1769</v>
      </c>
      <c r="D42" s="18" t="n">
        <v>990</v>
      </c>
      <c r="E42" s="18" t="n">
        <v>-460</v>
      </c>
      <c r="F42" s="18" t="n">
        <v>52</v>
      </c>
      <c r="G42" s="18" t="n">
        <v>848</v>
      </c>
      <c r="H42" s="18" t="n">
        <v>-641</v>
      </c>
      <c r="I42" s="18" t="n">
        <v>-272</v>
      </c>
      <c r="J42" s="18" t="n">
        <v>1093</v>
      </c>
      <c r="K42" s="18" t="n">
        <v>1517</v>
      </c>
      <c r="L42" s="18" t="n">
        <v>178</v>
      </c>
      <c r="M42" s="18" t="n">
        <v>1586</v>
      </c>
      <c r="N42" s="18" t="n">
        <v>2598</v>
      </c>
      <c r="O42" s="18" t="n">
        <v>-96</v>
      </c>
      <c r="P42" s="18" t="n">
        <v>2098</v>
      </c>
      <c r="Q42" s="18" t="n">
        <v>2801</v>
      </c>
      <c r="R42" s="18" t="n">
        <v>1645</v>
      </c>
      <c r="S42" s="18" t="n">
        <v>1301</v>
      </c>
      <c r="T42" s="18" t="n">
        <v>1252</v>
      </c>
      <c r="U42" s="18" t="n">
        <v>2574</v>
      </c>
      <c r="V42" s="18" t="n">
        <v>2379</v>
      </c>
      <c r="W42" s="18" t="n">
        <v>2296</v>
      </c>
      <c r="X42" s="18" t="n">
        <v>645</v>
      </c>
      <c r="Y42" s="18" t="n">
        <v>3162</v>
      </c>
      <c r="Z42" s="18" t="n">
        <v>3137</v>
      </c>
      <c r="AA42" s="18" t="n">
        <v>1371</v>
      </c>
      <c r="AB42" s="18" t="n">
        <v>1417</v>
      </c>
      <c r="AC42" s="18" t="n">
        <v>3108</v>
      </c>
    </row>
    <row r="44">
      <c r="A4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  <c r="E2" s="46" t="n">
        <v>2029</v>
      </c>
      <c r="F2" s="4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29442.509888</v>
      </c>
      <c r="C4" s="18" t="n">
        <v>32156.729956</v>
      </c>
      <c r="D4" s="18" t="n">
        <v>34738.826717</v>
      </c>
      <c r="E4" s="18" t="n">
        <v>37700.017479</v>
      </c>
      <c r="F4" s="18" t="n">
        <v>40059.2</v>
      </c>
    </row>
    <row r="5">
      <c r="A5" s="4" t="inlineStr">
        <is>
          <t xml:space="preserve">  model</t>
        </is>
      </c>
      <c r="B5" s="34">
        <f>Model!G10</f>
        <v/>
      </c>
      <c r="C5" s="34">
        <f>Model!H10</f>
        <v/>
      </c>
      <c r="D5" s="34">
        <f>Model!I10</f>
        <v/>
      </c>
      <c r="E5" s="34">
        <f>Model!J10</f>
        <v/>
      </c>
      <c r="F5" s="34">
        <f>Model!K10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  <c r="F6" s="47">
        <f>IFERROR(F5/F4-1,"")</f>
        <v/>
      </c>
    </row>
    <row r="8">
      <c r="A8" s="3" t="inlineStr">
        <is>
          <t>EBITDA* — consensus</t>
        </is>
      </c>
      <c r="B8" s="18" t="n">
        <v>14399.515777</v>
      </c>
      <c r="C8" s="18" t="n">
        <v>15726.965605</v>
      </c>
      <c r="D8" s="18" t="n">
        <v>16989.797585</v>
      </c>
      <c r="E8" s="18" t="n">
        <v>18438.033936</v>
      </c>
      <c r="F8" s="18" t="n">
        <v>19591.844737</v>
      </c>
    </row>
    <row r="9">
      <c r="A9" s="4" t="inlineStr">
        <is>
          <t xml:space="preserve">  model</t>
        </is>
      </c>
      <c r="B9" s="34">
        <f>Model!G23+Model!G28</f>
        <v/>
      </c>
      <c r="C9" s="34">
        <f>Model!H23+Model!H28</f>
        <v/>
      </c>
      <c r="D9" s="34">
        <f>Model!I23+Model!I28</f>
        <v/>
      </c>
      <c r="E9" s="34">
        <f>Model!J23+Model!J28</f>
        <v/>
      </c>
      <c r="F9" s="34">
        <f>Model!K23+Model!K28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  <c r="F10" s="47">
        <f>IFERROR(F9/F8-1,"")</f>
        <v/>
      </c>
    </row>
    <row r="12">
      <c r="A12" s="3" t="inlineStr">
        <is>
          <t>EBIT* — consensus</t>
        </is>
      </c>
      <c r="B12" s="18" t="n">
        <v>14120.284735</v>
      </c>
      <c r="C12" s="18" t="n">
        <v>15421.993059</v>
      </c>
      <c r="D12" s="18" t="n">
        <v>16660.336584</v>
      </c>
      <c r="E12" s="18" t="n">
        <v>18080.489175</v>
      </c>
      <c r="F12" s="18" t="n">
        <v>19211.925627</v>
      </c>
    </row>
    <row r="13">
      <c r="A13" s="4" t="inlineStr">
        <is>
          <t xml:space="preserve">  model</t>
        </is>
      </c>
      <c r="B13" s="34">
        <f>Model!G23</f>
        <v/>
      </c>
      <c r="C13" s="34">
        <f>Model!H23</f>
        <v/>
      </c>
      <c r="D13" s="34">
        <f>Model!I23</f>
        <v/>
      </c>
      <c r="E13" s="34">
        <f>Model!J23</f>
        <v/>
      </c>
      <c r="F13" s="34">
        <f>Model!K23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  <c r="F14" s="47">
        <f>IFERROR(F13/F12-1,"")</f>
        <v/>
      </c>
    </row>
    <row r="16">
      <c r="A16" s="3" t="inlineStr">
        <is>
          <t>SG&amp;A — consensus</t>
        </is>
      </c>
      <c r="B16" s="18" t="n">
        <v>19062.30227</v>
      </c>
      <c r="C16" s="18" t="n">
        <v>20819.600937</v>
      </c>
      <c r="D16" s="18" t="n">
        <v>22491.357493</v>
      </c>
      <c r="E16" s="18" t="n">
        <v>24408.555232</v>
      </c>
      <c r="F16" s="18" t="n">
        <v>25935.987863</v>
      </c>
    </row>
    <row r="17">
      <c r="A17" s="4" t="inlineStr">
        <is>
          <t xml:space="preserve">  model</t>
        </is>
      </c>
      <c r="B17" s="34">
        <f>Model!G18</f>
        <v/>
      </c>
      <c r="C17" s="34">
        <f>Model!H18</f>
        <v/>
      </c>
      <c r="D17" s="34">
        <f>Model!I18</f>
        <v/>
      </c>
      <c r="E17" s="34">
        <f>Model!J18</f>
        <v/>
      </c>
      <c r="F17" s="34">
        <f>Model!K18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  <c r="F18" s="47">
        <f>IFERROR(F17/F16-1,"")</f>
        <v/>
      </c>
    </row>
    <row r="20">
      <c r="A20" s="3" t="inlineStr">
        <is>
          <t>Net income (NOPAT) — consensus</t>
        </is>
      </c>
      <c r="B20" s="18" t="n">
        <v>8177.4738</v>
      </c>
      <c r="C20" s="18" t="n">
        <v>10037.1289725</v>
      </c>
      <c r="D20" s="18" t="n">
        <v>11818.38608</v>
      </c>
      <c r="E20" s="18" t="n">
        <v>14060.514028</v>
      </c>
      <c r="F20" s="18" t="n">
        <v>15803.395831</v>
      </c>
    </row>
    <row r="21">
      <c r="A21" s="4" t="inlineStr">
        <is>
          <t xml:space="preserve">  model</t>
        </is>
      </c>
      <c r="B21" s="34">
        <f>Model!G27</f>
        <v/>
      </c>
      <c r="C21" s="34">
        <f>Model!H27</f>
        <v/>
      </c>
      <c r="D21" s="34">
        <f>Model!I27</f>
        <v/>
      </c>
      <c r="E21" s="34">
        <f>Model!J27</f>
        <v/>
      </c>
      <c r="F21" s="34">
        <f>Model!K27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  <c r="F22" s="47">
        <f>IFERROR(F21/F20-1,"")</f>
        <v/>
      </c>
    </row>
    <row r="24">
      <c r="A24" s="3" t="inlineStr">
        <is>
          <t>EPS — consensus</t>
        </is>
      </c>
      <c r="B24" s="48" t="n">
        <v>10.45799</v>
      </c>
      <c r="C24" s="48" t="n">
        <v>12.32573</v>
      </c>
      <c r="D24" s="48" t="n">
        <v>14.35071</v>
      </c>
      <c r="E24" s="48" t="n">
        <v>17.23155</v>
      </c>
      <c r="F24" s="48" t="n">
        <v>19.3675</v>
      </c>
    </row>
    <row r="25">
      <c r="A25" s="4" t="inlineStr">
        <is>
          <t xml:space="preserve">  model</t>
        </is>
      </c>
      <c r="B25" s="8">
        <f>Model!G27/Financials!AC17</f>
        <v/>
      </c>
      <c r="C25" s="8">
        <f>Model!H27/Financials!AC17</f>
        <v/>
      </c>
      <c r="D25" s="8">
        <f>Model!I27/Financials!AC17</f>
        <v/>
      </c>
      <c r="E25" s="8">
        <f>Model!J27/Financials!AC17</f>
        <v/>
      </c>
      <c r="F25" s="8">
        <f>Model!K27/Financials!AC17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  <c r="F26" s="4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Booking Holdings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Model!G35</f>
        <v/>
      </c>
      <c r="D12" s="34">
        <f>Model!H35</f>
        <v/>
      </c>
      <c r="E12" s="34">
        <f>Model!I35</f>
        <v/>
      </c>
      <c r="F12" s="34">
        <f>Model!J35</f>
        <v/>
      </c>
      <c r="G12" s="34">
        <f>Model!K35</f>
        <v/>
      </c>
      <c r="H12" s="34">
        <f>Model!L35</f>
        <v/>
      </c>
      <c r="I12" s="34">
        <f>Model!M35</f>
        <v/>
      </c>
      <c r="J12" s="34">
        <f>Model!N35</f>
        <v/>
      </c>
      <c r="K12" s="34">
        <f>Model!O35</f>
        <v/>
      </c>
      <c r="L12" s="34">
        <f>Model!P35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Model!P10</f>
        <v/>
      </c>
    </row>
    <row r="21">
      <c r="A21" s="4" t="inlineStr">
        <is>
          <t>Terminal EBIT</t>
        </is>
      </c>
      <c r="B21" s="34">
        <f>Model!P23</f>
        <v/>
      </c>
    </row>
    <row r="22">
      <c r="A22" s="4" t="inlineStr">
        <is>
          <t>Terminal EBITDA (SBC-burdened)</t>
        </is>
      </c>
      <c r="B22" s="34">
        <f>Model!P23+Model!P28-Model!P29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Financials!AC29</f>
        <v/>
      </c>
    </row>
    <row r="33">
      <c r="A33" s="4" t="inlineStr">
        <is>
          <t>- Long-term debt</t>
        </is>
      </c>
      <c r="B33" s="34">
        <f>-Financials!AC34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0.0719852003987678</v>
      </c>
      <c r="C4" s="52" t="n">
        <v>0.0769852003987678</v>
      </c>
      <c r="D4" s="52" t="n">
        <v>0.08198520039876779</v>
      </c>
      <c r="E4" s="52" t="n">
        <v>0.0869852003987678</v>
      </c>
      <c r="F4" s="52" t="n">
        <v>0.0919852003987678</v>
      </c>
      <c r="G4" s="52" t="n">
        <v>0.09698520039876779</v>
      </c>
      <c r="H4" s="52" t="n">
        <v>0.1019852003987678</v>
      </c>
    </row>
    <row r="5">
      <c r="A5" s="53" t="n">
        <v>10</v>
      </c>
      <c r="B5" s="8" t="n">
        <v>243.6845156981178</v>
      </c>
      <c r="C5" s="8" t="n">
        <v>234.6371661589346</v>
      </c>
      <c r="D5" s="8" t="n">
        <v>226.0062258004537</v>
      </c>
      <c r="E5" s="8" t="n">
        <v>217.7701125205051</v>
      </c>
      <c r="F5" s="8" t="n">
        <v>209.9084698173345</v>
      </c>
      <c r="G5" s="8" t="n">
        <v>202.4020915472697</v>
      </c>
      <c r="H5" s="8" t="n">
        <v>195.2328516339391</v>
      </c>
    </row>
    <row r="6">
      <c r="A6" s="53" t="n">
        <v>11</v>
      </c>
      <c r="B6" s="8" t="n">
        <v>257.9705133982172</v>
      </c>
      <c r="C6" s="8" t="n">
        <v>248.2736096807786</v>
      </c>
      <c r="D6" s="8" t="n">
        <v>239.0254548472986</v>
      </c>
      <c r="E6" s="8" t="n">
        <v>230.202718248291</v>
      </c>
      <c r="F6" s="8" t="n">
        <v>221.7833967928259</v>
      </c>
      <c r="G6" s="8" t="n">
        <v>213.7467333323585</v>
      </c>
      <c r="H6" s="8" t="n">
        <v>206.0731404211238</v>
      </c>
    </row>
    <row r="7">
      <c r="A7" s="53" t="n">
        <v>12</v>
      </c>
      <c r="B7" s="8" t="n">
        <v>272.2565110983165</v>
      </c>
      <c r="C7" s="8" t="n">
        <v>261.9100532026225</v>
      </c>
      <c r="D7" s="8" t="n">
        <v>252.0446838941436</v>
      </c>
      <c r="E7" s="8" t="n">
        <v>242.635323976077</v>
      </c>
      <c r="F7" s="8" t="n">
        <v>233.6583237683172</v>
      </c>
      <c r="G7" s="8" t="n">
        <v>225.0913751174474</v>
      </c>
      <c r="H7" s="8" t="n">
        <v>216.9134292083083</v>
      </c>
    </row>
    <row r="8">
      <c r="A8" s="53" t="n">
        <v>13</v>
      </c>
      <c r="B8" s="8" t="n">
        <v>286.5425087984158</v>
      </c>
      <c r="C8" s="8" t="n">
        <v>275.5464967244665</v>
      </c>
      <c r="D8" s="8" t="n">
        <v>265.0639129409886</v>
      </c>
      <c r="E8" s="54" t="n">
        <v>255.0679297038629</v>
      </c>
      <c r="F8" s="8" t="n">
        <v>245.5332507438086</v>
      </c>
      <c r="G8" s="8" t="n">
        <v>236.4360169025362</v>
      </c>
      <c r="H8" s="8" t="n">
        <v>227.753717995493</v>
      </c>
    </row>
    <row r="9">
      <c r="A9" s="53" t="n">
        <v>14</v>
      </c>
      <c r="B9" s="8" t="n">
        <v>300.8285064985153</v>
      </c>
      <c r="C9" s="8" t="n">
        <v>289.1829402463104</v>
      </c>
      <c r="D9" s="8" t="n">
        <v>278.0831419878335</v>
      </c>
      <c r="E9" s="8" t="n">
        <v>267.5005354316489</v>
      </c>
      <c r="F9" s="8" t="n">
        <v>257.4081777193</v>
      </c>
      <c r="G9" s="8" t="n">
        <v>247.7806586876251</v>
      </c>
      <c r="H9" s="8" t="n">
        <v>238.5940067826776</v>
      </c>
    </row>
    <row r="10">
      <c r="A10" s="53" t="n">
        <v>15</v>
      </c>
      <c r="B10" s="8" t="n">
        <v>315.1145041986146</v>
      </c>
      <c r="C10" s="8" t="n">
        <v>302.8193837681543</v>
      </c>
      <c r="D10" s="8" t="n">
        <v>291.1023710346785</v>
      </c>
      <c r="E10" s="8" t="n">
        <v>279.9331411594349</v>
      </c>
      <c r="F10" s="8" t="n">
        <v>269.2831046947913</v>
      </c>
      <c r="G10" s="8" t="n">
        <v>259.1253004727139</v>
      </c>
      <c r="H10" s="8" t="n">
        <v>249.4342955698622</v>
      </c>
    </row>
    <row r="11">
      <c r="A11" s="53" t="n">
        <v>16</v>
      </c>
      <c r="B11" s="8" t="n">
        <v>329.4005018987139</v>
      </c>
      <c r="C11" s="8" t="n">
        <v>316.4558272899983</v>
      </c>
      <c r="D11" s="8" t="n">
        <v>304.1216000815235</v>
      </c>
      <c r="E11" s="8" t="n">
        <v>292.3657468872208</v>
      </c>
      <c r="F11" s="8" t="n">
        <v>281.1580316702827</v>
      </c>
      <c r="G11" s="8" t="n">
        <v>270.4699422578028</v>
      </c>
      <c r="H11" s="8" t="n">
        <v>260.2745843570468</v>
      </c>
    </row>
    <row r="13">
      <c r="A13" s="3" t="inlineStr">
        <is>
          <t>Current price</t>
        </is>
      </c>
      <c r="B13" s="55" t="n">
        <v>182.64</v>
      </c>
    </row>
    <row r="14">
      <c r="A14" s="3" t="inlineStr">
        <is>
          <t>Base WACC / multiple</t>
        </is>
      </c>
      <c r="B14" s="56" t="n">
        <v>0.0869852003987678</v>
      </c>
      <c r="C14" s="57" t="n">
        <v>13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Model!F10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Model!F24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0.0285321544005647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0.52572265625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(Model!P10/Model!F10)^(1/10)-1</f>
        <v/>
      </c>
      <c r="D6" s="15" t="n">
        <v>0.03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0.9899897606079839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Financials!AC29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2026-07-08T07:03:22Z</dcterms:created>
  <dcterms:modified xmlns:dcterms="http://purl.org/dc/terms/" xmlns:xsi="http://www.w3.org/2001/XMLSchema-instance" xsi:type="dcterms:W3CDTF">2026-07-08T07:03:22Z</dcterms:modified>
</cp:coreProperties>
</file>