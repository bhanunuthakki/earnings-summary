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5.0%</t>
      </text>
    </comment>
    <comment ref="C20" authorId="0" shapeId="0">
      <text>
        <t>Opus: 2.8%</t>
      </text>
    </comment>
    <comment ref="B21" authorId="0" shapeId="0">
      <text>
        <t>Opus: 6.0%</t>
      </text>
    </comment>
    <comment ref="C21" authorId="0" shapeId="0">
      <text>
        <t>Opus: 3.0%</t>
      </text>
    </comment>
    <comment ref="B22" authorId="0" shapeId="0">
      <text>
        <t>Opus: 3.0%</t>
      </text>
    </comment>
    <comment ref="C22" authorId="0" shapeId="0">
      <text>
        <t>Opus: 2.5%</t>
      </text>
    </comment>
    <comment ref="B29" authorId="0" shapeId="0">
      <text>
        <t>Opus: 18.5%</t>
      </text>
    </comment>
    <comment ref="B30" authorId="0" shapeId="0">
      <text>
        <t>Opus: 21.0%</t>
      </text>
    </comment>
    <comment ref="B31" authorId="0" shapeId="0">
      <text>
        <t>Opus: 16.0%</t>
      </text>
    </comment>
    <comment ref="B34" authorId="0" shapeId="0">
      <text>
        <t>Opus: —
set from Opus 3%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15.5x</t>
      </text>
    </comment>
    <comment ref="B46" authorId="0" shapeId="0">
      <text>
        <t>Opus: 2.8%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Thermo Fisher Scientific Inc. (TMO)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Thermo Fisher is a high-quality, diversified life-sciences platform where ~84% of revenue is recurring consumables and services, providing durable mid-single-digit organic growth as bioprocessing and analytical-instrument demand normalize post-COVID destocking. Scale, pricing power, and a deep distribution moat support gradual operating-margin expansion from 18% toward 21% via operating leverage and mix shift to consumables. As a mature, cash-generative compounder, terminal value is anchored on a defensible mid-teens EV/EBITDA exit with capex converging to maintenance levels.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Thermo Fisher Scientific Inc. (TMO)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Service</t>
        </is>
      </c>
      <c r="B20" s="15" t="n">
        <v>0.05</v>
      </c>
      <c r="C20" s="15" t="n">
        <v>0.028</v>
      </c>
      <c r="D20" s="16" t="n">
        <v>0.05</v>
      </c>
      <c r="E20" s="2" t="inlineStr"/>
    </row>
    <row r="21">
      <c r="A21" s="4" t="inlineStr">
        <is>
          <t>Consumables</t>
        </is>
      </c>
      <c r="B21" s="15" t="n">
        <v>0.06</v>
      </c>
      <c r="C21" s="15" t="n">
        <v>0.03</v>
      </c>
      <c r="D21" s="16" t="n">
        <v>0.06</v>
      </c>
      <c r="E21" s="2" t="inlineStr"/>
    </row>
    <row r="22">
      <c r="A22" s="4" t="inlineStr">
        <is>
          <t>Instruments</t>
        </is>
      </c>
      <c r="B22" s="15" t="n">
        <v>0.03</v>
      </c>
      <c r="C22" s="15" t="n">
        <v>0.025</v>
      </c>
      <c r="D22" s="16" t="n">
        <v>0.03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0.185</v>
      </c>
      <c r="D29" s="16" t="n">
        <v>0.185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0.21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0.16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1624.620024158</v>
      </c>
      <c r="D34" s="18" t="n">
        <v>1624.620024158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0.883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15.5</v>
      </c>
    </row>
    <row r="46">
      <c r="A46" s="4" t="inlineStr">
        <is>
          <t>Terminal growth (g)</t>
        </is>
      </c>
      <c r="B46" s="15" t="n">
        <v>0.028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461.6900024414062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453.0225848682206</v>
      </c>
      <c r="C58" s="28" t="n">
        <v>662.9820078309989</v>
      </c>
      <c r="D58" s="28" t="n">
        <v>296.842566520349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TMO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Thermo Fisher is a high-quality, diversified life-sciences platform where ~84% of revenue is recurring consumables and services, providing durable mid-single-digit organic growth as bioprocessing and analytical-instrument demand normalize post-COVID destocking. Scale, pricing power, and a deep distribution moat support gradual operating-margin expansion from 18% toward 21% via operating leverage and mix shift to consumables. As a mature, cash-generative compounder, terminal value is anchored on a defensible mid-teens EV/EBITDA exit with capex converging to maintenance levels.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revenue is anchored to Street consensus (~6-7% blended), with segment growth fading toward a ~2.5-3% terminal rate near the risk-free anchor; Instruments is set conservatively for a modest cyclical recovery rather than a sharp rebound. The 16% tax rate normalizes TMO's historically low-teens effective rate upward toward a sustainable level, and EV/EBITDA is chosen because it is the multiple the market actually uses for TMO, set at 15.5x to reflect a mature but premium franchise.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Service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5.0%</t>
        </is>
      </c>
      <c r="F20" s="31" t="inlineStr"/>
    </row>
    <row r="21">
      <c r="A21" t="inlineStr">
        <is>
          <t>Service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2.8%</t>
        </is>
      </c>
      <c r="F21" s="31" t="inlineStr"/>
    </row>
    <row r="22">
      <c r="A22" t="inlineStr">
        <is>
          <t>Consumables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6.0%</t>
        </is>
      </c>
      <c r="F22" s="31" t="inlineStr"/>
    </row>
    <row r="23">
      <c r="A23" t="inlineStr">
        <is>
          <t>Consumables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3.0%</t>
        </is>
      </c>
      <c r="F23" s="31" t="inlineStr"/>
    </row>
    <row r="24">
      <c r="A24" t="inlineStr">
        <is>
          <t>Instruments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3.0%</t>
        </is>
      </c>
      <c r="F24" s="31" t="inlineStr"/>
    </row>
    <row r="25">
      <c r="A25" t="inlineStr">
        <is>
          <t>Instruments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2.5%</t>
        </is>
      </c>
      <c r="F25" s="31" t="inlineStr"/>
    </row>
    <row r="26">
      <c r="A26" t="inlineStr">
        <is>
          <t>Near-term operating margin</t>
        </is>
      </c>
      <c r="B26" t="inlineStr">
        <is>
          <t>B29</t>
        </is>
      </c>
      <c r="C26" s="11">
        <f>Dashboard!B29</f>
        <v/>
      </c>
      <c r="D26" t="inlineStr">
        <is>
          <t>Opus</t>
        </is>
      </c>
      <c r="E26" t="inlineStr">
        <is>
          <t>18.5%</t>
        </is>
      </c>
      <c r="F26" s="31" t="inlineStr"/>
    </row>
    <row r="27">
      <c r="A27" t="inlineStr">
        <is>
          <t>Terminal operating margin</t>
        </is>
      </c>
      <c r="B27" t="inlineStr">
        <is>
          <t>B30</t>
        </is>
      </c>
      <c r="C27" s="11">
        <f>Dashboard!B30</f>
        <v/>
      </c>
      <c r="D27" t="inlineStr">
        <is>
          <t>Opus</t>
        </is>
      </c>
      <c r="E27" t="inlineStr">
        <is>
          <t>21.0%</t>
        </is>
      </c>
      <c r="F27" s="31" t="inlineStr"/>
    </row>
    <row r="28">
      <c r="A28" t="inlineStr">
        <is>
          <t>Tax rate</t>
        </is>
      </c>
      <c r="B28" t="inlineStr">
        <is>
          <t>B31</t>
        </is>
      </c>
      <c r="C28" s="11">
        <f>Dashboard!B31</f>
        <v/>
      </c>
      <c r="D28" t="inlineStr">
        <is>
          <t>Opus</t>
        </is>
      </c>
      <c r="E28" t="inlineStr">
        <is>
          <t>16.0%</t>
        </is>
      </c>
      <c r="F28" s="31" t="inlineStr"/>
    </row>
    <row r="29">
      <c r="A29" t="inlineStr">
        <is>
          <t>Terminal capex / D&amp;A</t>
        </is>
      </c>
      <c r="B29" t="inlineStr">
        <is>
          <t>B35</t>
        </is>
      </c>
      <c r="C29" s="13">
        <f>Dashboard!B35</f>
        <v/>
      </c>
      <c r="D29" s="32" t="inlineStr">
        <is>
          <t>user-edited</t>
        </is>
      </c>
      <c r="E29" t="inlineStr">
        <is>
          <t>1.1x</t>
        </is>
      </c>
      <c r="F29" s="31" t="inlineStr">
        <is>
          <t>overridden from Opus 1.1x on 2026-06-11</t>
        </is>
      </c>
    </row>
    <row r="30">
      <c r="A30" t="inlineStr">
        <is>
          <t>Risk-free rate (10Y)</t>
        </is>
      </c>
      <c r="B30" t="inlineStr">
        <is>
          <t>B38</t>
        </is>
      </c>
      <c r="C30" s="11">
        <f>Dashboard!B38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Equity risk premium</t>
        </is>
      </c>
      <c r="B31" t="inlineStr">
        <is>
          <t>B39</t>
        </is>
      </c>
      <c r="C31" s="11">
        <f>Dashboard!B39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Beta (levered)</t>
        </is>
      </c>
      <c r="B32" t="inlineStr">
        <is>
          <t>B40</t>
        </is>
      </c>
      <c r="C32" s="33">
        <f>Dashboard!B40</f>
        <v/>
      </c>
      <c r="D32" t="inlineStr">
        <is>
          <t>builder default</t>
        </is>
      </c>
      <c r="E32" t="inlineStr">
        <is>
          <t>—</t>
        </is>
      </c>
      <c r="F32" s="31" t="inlineStr"/>
    </row>
    <row r="33">
      <c r="A33" t="inlineStr">
        <is>
          <t>Pre-tax cost of debt</t>
        </is>
      </c>
      <c r="B33" t="inlineStr">
        <is>
          <t>B41</t>
        </is>
      </c>
      <c r="C33" s="11">
        <f>Dashboard!B41</f>
        <v/>
      </c>
      <c r="D33" t="inlineStr">
        <is>
          <t>builder default</t>
        </is>
      </c>
      <c r="E33" t="inlineStr">
        <is>
          <t>—</t>
        </is>
      </c>
      <c r="F33" s="31" t="inlineStr"/>
    </row>
    <row r="34">
      <c r="A34" t="inlineStr">
        <is>
          <t>Terminal method</t>
        </is>
      </c>
      <c r="B34" t="inlineStr">
        <is>
          <t>B43</t>
        </is>
      </c>
      <c r="C34" s="12">
        <f>Dashboard!B43</f>
        <v/>
      </c>
      <c r="D34" t="inlineStr">
        <is>
          <t>Opus</t>
        </is>
      </c>
      <c r="E34" t="inlineStr">
        <is>
          <t>Exit multiple</t>
        </is>
      </c>
      <c r="F34" s="31" t="inlineStr"/>
    </row>
    <row r="35">
      <c r="A35" t="inlineStr">
        <is>
          <t>Exit basis</t>
        </is>
      </c>
      <c r="B35" t="inlineStr">
        <is>
          <t>B44</t>
        </is>
      </c>
      <c r="C35" s="12">
        <f>Dashboard!B44</f>
        <v/>
      </c>
      <c r="D35" t="inlineStr">
        <is>
          <t>Opus</t>
        </is>
      </c>
      <c r="E35" t="inlineStr">
        <is>
          <t>EV/EBITDA</t>
        </is>
      </c>
      <c r="F35" s="31" t="inlineStr"/>
    </row>
    <row r="36">
      <c r="A36" t="inlineStr">
        <is>
          <t>Exit multiple</t>
        </is>
      </c>
      <c r="B36" t="inlineStr">
        <is>
          <t>B45</t>
        </is>
      </c>
      <c r="C36" s="13">
        <f>Dashboard!B45</f>
        <v/>
      </c>
      <c r="D36" t="inlineStr">
        <is>
          <t>Opus</t>
        </is>
      </c>
      <c r="E36" t="inlineStr">
        <is>
          <t>15.5x</t>
        </is>
      </c>
      <c r="F36" s="31" t="inlineStr"/>
    </row>
    <row r="37">
      <c r="A37" t="inlineStr">
        <is>
          <t>Terminal growth (g)</t>
        </is>
      </c>
      <c r="B37" t="inlineStr">
        <is>
          <t>B46</t>
        </is>
      </c>
      <c r="C37" s="11">
        <f>Dashboard!B46</f>
        <v/>
      </c>
      <c r="D37" t="inlineStr">
        <is>
          <t>Opus</t>
        </is>
      </c>
      <c r="E37" t="inlineStr">
        <is>
          <t>2.8%</t>
        </is>
      </c>
      <c r="F37" s="31" t="inlineStr"/>
    </row>
    <row r="38">
      <c r="A38" t="inlineStr">
        <is>
          <t>2026 capex ($M)</t>
        </is>
      </c>
      <c r="B38" t="inlineStr">
        <is>
          <t>B34</t>
        </is>
      </c>
      <c r="C38" s="34">
        <f>Dashboard!B34</f>
        <v/>
      </c>
      <c r="D38" t="inlineStr">
        <is>
          <t>Opus</t>
        </is>
      </c>
      <c r="E38" t="inlineStr">
        <is>
          <t>—</t>
        </is>
      </c>
      <c r="F38" s="31" t="inlineStr">
        <is>
          <t>set from Opus 3% of FY1E revenue; edits not tracked (unit differs from the JSON)</t>
        </is>
      </c>
    </row>
    <row r="39">
      <c r="A39" t="inlineStr">
        <is>
          <t>Bull Δ — segment growth, near-term</t>
        </is>
      </c>
      <c r="B39" t="inlineStr">
        <is>
          <t>C52</t>
        </is>
      </c>
      <c r="C39" s="35">
        <f>Dashboard!C52</f>
        <v/>
      </c>
      <c r="D39" t="inlineStr">
        <is>
          <t>seed default</t>
        </is>
      </c>
      <c r="E39" t="inlineStr">
        <is>
          <t>3.0%</t>
        </is>
      </c>
      <c r="F39" s="31" t="inlineStr"/>
    </row>
    <row r="40">
      <c r="A40" t="inlineStr">
        <is>
          <t>Bear Δ — segment growth, near-term</t>
        </is>
      </c>
      <c r="B40" t="inlineStr">
        <is>
          <t>D52</t>
        </is>
      </c>
      <c r="C40" s="35">
        <f>Dashboard!D52</f>
        <v/>
      </c>
      <c r="D40" t="inlineStr">
        <is>
          <t>seed default</t>
        </is>
      </c>
      <c r="E40" t="inlineStr">
        <is>
          <t>-3.0%</t>
        </is>
      </c>
      <c r="F40" s="31" t="inlineStr"/>
    </row>
    <row r="41">
      <c r="A41" t="inlineStr">
        <is>
          <t>Bull Δ — segment growth, terminal</t>
        </is>
      </c>
      <c r="B41" t="inlineStr">
        <is>
          <t>C53</t>
        </is>
      </c>
      <c r="C41" s="35">
        <f>Dashboard!C53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segment growth, terminal</t>
        </is>
      </c>
      <c r="B42" t="inlineStr">
        <is>
          <t>D53</t>
        </is>
      </c>
      <c r="C42" s="35">
        <f>Dashboard!D53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near-term</t>
        </is>
      </c>
      <c r="B43" t="inlineStr">
        <is>
          <t>C54</t>
        </is>
      </c>
      <c r="C43" s="35">
        <f>Dashboard!C54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operating margin, near-term</t>
        </is>
      </c>
      <c r="B44" t="inlineStr">
        <is>
          <t>D54</t>
        </is>
      </c>
      <c r="C44" s="35">
        <f>Dashboard!D54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terminal</t>
        </is>
      </c>
      <c r="B45" t="inlineStr">
        <is>
          <t>C55</t>
        </is>
      </c>
      <c r="C45" s="35">
        <f>Dashboard!C55</f>
        <v/>
      </c>
      <c r="D45" t="inlineStr">
        <is>
          <t>seed default</t>
        </is>
      </c>
      <c r="E45" t="inlineStr">
        <is>
          <t>2.0%</t>
        </is>
      </c>
      <c r="F45" s="31" t="inlineStr"/>
    </row>
    <row r="46">
      <c r="A46" t="inlineStr">
        <is>
          <t>Bear Δ — operating margin, terminal</t>
        </is>
      </c>
      <c r="B46" t="inlineStr">
        <is>
          <t>D55</t>
        </is>
      </c>
      <c r="C46" s="35">
        <f>Dashboard!D55</f>
        <v/>
      </c>
      <c r="D46" t="inlineStr">
        <is>
          <t>seed default</t>
        </is>
      </c>
      <c r="E46" t="inlineStr">
        <is>
          <t>-2.0%</t>
        </is>
      </c>
      <c r="F46" s="31" t="inlineStr"/>
    </row>
    <row r="47">
      <c r="A47" t="inlineStr">
        <is>
          <t>Bull Δ — exit multiple</t>
        </is>
      </c>
      <c r="B47" t="inlineStr">
        <is>
          <t>C56</t>
        </is>
      </c>
      <c r="C47" s="36">
        <f>Dashboard!C56</f>
        <v/>
      </c>
      <c r="D47" t="inlineStr">
        <is>
          <t>seed default</t>
        </is>
      </c>
      <c r="E47" t="inlineStr">
        <is>
          <t>2.0x</t>
        </is>
      </c>
      <c r="F47" s="31" t="inlineStr"/>
    </row>
    <row r="48">
      <c r="A48" t="inlineStr">
        <is>
          <t>Bear Δ — exit multiple</t>
        </is>
      </c>
      <c r="B48" t="inlineStr">
        <is>
          <t>D56</t>
        </is>
      </c>
      <c r="C48" s="36">
        <f>Dashboard!D56</f>
        <v/>
      </c>
      <c r="D48" t="inlineStr">
        <is>
          <t>seed default</t>
        </is>
      </c>
      <c r="E48" t="inlineStr">
        <is>
          <t>-2.0x</t>
        </is>
      </c>
      <c r="F48" s="31" t="inlineStr"/>
    </row>
    <row r="49">
      <c r="A49" t="inlineStr">
        <is>
          <t>Bull Δ — terminal growth (g)</t>
        </is>
      </c>
      <c r="B49" t="inlineStr">
        <is>
          <t>C57</t>
        </is>
      </c>
      <c r="C49" s="35">
        <f>Dashboard!C57</f>
        <v/>
      </c>
      <c r="D49" t="inlineStr">
        <is>
          <t>seed default</t>
        </is>
      </c>
      <c r="E49" t="inlineStr">
        <is>
          <t>0.5%</t>
        </is>
      </c>
      <c r="F49" s="31" t="inlineStr"/>
    </row>
    <row r="50">
      <c r="A50" t="inlineStr">
        <is>
          <t>Bear Δ — terminal growth (g)</t>
        </is>
      </c>
      <c r="B50" t="inlineStr">
        <is>
          <t>D57</t>
        </is>
      </c>
      <c r="C50" s="35">
        <f>Dashboard!D57</f>
        <v/>
      </c>
      <c r="D50" t="inlineStr">
        <is>
          <t>seed default</t>
        </is>
      </c>
      <c r="E50" t="inlineStr">
        <is>
          <t>-0.5%</t>
        </is>
      </c>
      <c r="F50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Service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Consumables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Instruments</t>
        </is>
      </c>
      <c r="B8" s="34">
        <f>SUM(Financials!I25:L25)</f>
        <v/>
      </c>
      <c r="C8" s="34">
        <f>SUM(Financials!M25:P25)</f>
        <v/>
      </c>
      <c r="D8" s="34">
        <f>SUM(Financials!Q25:T25)</f>
        <v/>
      </c>
      <c r="E8" s="34">
        <f>SUM(Financials!U25:X25)</f>
        <v/>
      </c>
      <c r="F8" s="34">
        <f>SUM(Financials!Y25:AB25)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3">
        <f>B4+B6+B8</f>
        <v/>
      </c>
      <c r="C10" s="43">
        <f>C4+C6+C8</f>
        <v/>
      </c>
      <c r="D10" s="43">
        <f>D4+D6+D8</f>
        <v/>
      </c>
      <c r="E10" s="43">
        <f>E4+E6+E8</f>
        <v/>
      </c>
      <c r="F10" s="43">
        <f>F4+F6+F8</f>
        <v/>
      </c>
      <c r="G10" s="43">
        <f>G4+G6+G8</f>
        <v/>
      </c>
      <c r="H10" s="43">
        <f>H4+H6+H8</f>
        <v/>
      </c>
      <c r="I10" s="43">
        <f>I4+I6+I8</f>
        <v/>
      </c>
      <c r="J10" s="43">
        <f>J4+J6+J8</f>
        <v/>
      </c>
      <c r="K10" s="43">
        <f>K4+K6+K8</f>
        <v/>
      </c>
      <c r="L10" s="43">
        <f>L4+L6+L8</f>
        <v/>
      </c>
      <c r="M10" s="43">
        <f>M4+M6+M8</f>
        <v/>
      </c>
      <c r="N10" s="43">
        <f>N4+N6+N8</f>
        <v/>
      </c>
      <c r="O10" s="43">
        <f>O4+O6+O8</f>
        <v/>
      </c>
      <c r="P10" s="43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4">
        <f>SUM(Financials!I5:L5)</f>
        <v/>
      </c>
      <c r="C14" s="34">
        <f>SUM(Financials!M5:P5)</f>
        <v/>
      </c>
      <c r="D14" s="34">
        <f>SUM(Financials!Q5:T5)</f>
        <v/>
      </c>
      <c r="E14" s="34">
        <f>SUM(Financials!U5:X5)</f>
        <v/>
      </c>
      <c r="F14" s="34">
        <f>SUM(Financials!Y5:AB5)</f>
        <v/>
      </c>
      <c r="G14" s="42">
        <f>G10*G15</f>
        <v/>
      </c>
      <c r="H14" s="42">
        <f>H10*H15</f>
        <v/>
      </c>
      <c r="I14" s="42">
        <f>I10*I15</f>
        <v/>
      </c>
      <c r="J14" s="42">
        <f>J10*J15</f>
        <v/>
      </c>
      <c r="K14" s="42">
        <f>K10*K15</f>
        <v/>
      </c>
      <c r="L14" s="42">
        <f>L10*L15</f>
        <v/>
      </c>
      <c r="M14" s="42">
        <f>M10*M15</f>
        <v/>
      </c>
      <c r="N14" s="42">
        <f>N10*N15</f>
        <v/>
      </c>
      <c r="O14" s="42">
        <f>O10*O15</f>
        <v/>
      </c>
      <c r="P14" s="42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0.6054179010683185</v>
      </c>
      <c r="H15" s="15" t="n">
        <v>0.6054179010683185</v>
      </c>
      <c r="I15" s="15" t="n">
        <v>0.6054179010683185</v>
      </c>
      <c r="J15" s="15" t="n">
        <v>0.6054179010683185</v>
      </c>
      <c r="K15" s="15" t="n">
        <v>0.6054179010683185</v>
      </c>
      <c r="L15" s="15" t="n">
        <v>0.6054179010683185</v>
      </c>
      <c r="M15" s="15" t="n">
        <v>0.6054179010683185</v>
      </c>
      <c r="N15" s="15" t="n">
        <v>0.6054179010683185</v>
      </c>
      <c r="O15" s="15" t="n">
        <v>0.6054179010683185</v>
      </c>
      <c r="P15" s="15" t="n">
        <v>0.6054179010683185</v>
      </c>
    </row>
    <row r="16">
      <c r="A16" s="4" t="inlineStr">
        <is>
          <t>R&amp;D / Technology</t>
        </is>
      </c>
      <c r="B16" s="34">
        <f>SUM(Financials!I7:L7)</f>
        <v/>
      </c>
      <c r="C16" s="34">
        <f>SUM(Financials!M7:P7)</f>
        <v/>
      </c>
      <c r="D16" s="34">
        <f>SUM(Financials!Q7:T7)</f>
        <v/>
      </c>
      <c r="E16" s="34">
        <f>SUM(Financials!U7:X7)</f>
        <v/>
      </c>
      <c r="F16" s="34">
        <f>SUM(Financials!Y7:AB7)</f>
        <v/>
      </c>
      <c r="G16" s="42">
        <f>G10*G17</f>
        <v/>
      </c>
      <c r="H16" s="42">
        <f>H10*H17</f>
        <v/>
      </c>
      <c r="I16" s="42">
        <f>I10*I17</f>
        <v/>
      </c>
      <c r="J16" s="42">
        <f>J10*J17</f>
        <v/>
      </c>
      <c r="K16" s="42">
        <f>K10*K17</f>
        <v/>
      </c>
      <c r="L16" s="42">
        <f>L10*L17</f>
        <v/>
      </c>
      <c r="M16" s="42">
        <f>M10*M17</f>
        <v/>
      </c>
      <c r="N16" s="42">
        <f>N10*N17</f>
        <v/>
      </c>
      <c r="O16" s="42">
        <f>O10*O17</f>
        <v/>
      </c>
      <c r="P16" s="42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0.03137624562348505</v>
      </c>
      <c r="H17" s="15" t="n">
        <v>0.03137624562348505</v>
      </c>
      <c r="I17" s="15" t="n">
        <v>0.03137624562348505</v>
      </c>
      <c r="J17" s="15" t="n">
        <v>0.03137624562348505</v>
      </c>
      <c r="K17" s="15" t="n">
        <v>0.03137624562348505</v>
      </c>
      <c r="L17" s="15" t="n">
        <v>0.03137624562348505</v>
      </c>
      <c r="M17" s="15" t="n">
        <v>0.03137624562348505</v>
      </c>
      <c r="N17" s="15" t="n">
        <v>0.03137624562348505</v>
      </c>
      <c r="O17" s="15" t="n">
        <v>0.03137624562348505</v>
      </c>
      <c r="P17" s="15" t="n">
        <v>0.03137624562348505</v>
      </c>
    </row>
    <row r="18">
      <c r="A18" s="4" t="inlineStr">
        <is>
          <t>SG&amp;A</t>
        </is>
      </c>
      <c r="B18" s="34">
        <f>SUM(Financials!I9:L9)</f>
        <v/>
      </c>
      <c r="C18" s="34">
        <f>SUM(Financials!M9:P9)</f>
        <v/>
      </c>
      <c r="D18" s="34">
        <f>SUM(Financials!Q9:T9)</f>
        <v/>
      </c>
      <c r="E18" s="34">
        <f>SUM(Financials!U9:X9)</f>
        <v/>
      </c>
      <c r="F18" s="34">
        <f>SUM(Financials!Y9:AB9)</f>
        <v/>
      </c>
      <c r="G18" s="42">
        <f>G10*G19</f>
        <v/>
      </c>
      <c r="H18" s="42">
        <f>H10*H19</f>
        <v/>
      </c>
      <c r="I18" s="42">
        <f>I10*I19</f>
        <v/>
      </c>
      <c r="J18" s="42">
        <f>J10*J19</f>
        <v/>
      </c>
      <c r="K18" s="42">
        <f>K10*K19</f>
        <v/>
      </c>
      <c r="L18" s="42">
        <f>L10*L19</f>
        <v/>
      </c>
      <c r="M18" s="42">
        <f>M10*M19</f>
        <v/>
      </c>
      <c r="N18" s="42">
        <f>N10*N19</f>
        <v/>
      </c>
      <c r="O18" s="42">
        <f>O10*O19</f>
        <v/>
      </c>
      <c r="P18" s="42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0.1836789657958524</v>
      </c>
      <c r="H19" s="15" t="n">
        <v>0.1836789657958524</v>
      </c>
      <c r="I19" s="15" t="n">
        <v>0.1836789657958524</v>
      </c>
      <c r="J19" s="15" t="n">
        <v>0.1836789657958524</v>
      </c>
      <c r="K19" s="15" t="n">
        <v>0.1836789657958524</v>
      </c>
      <c r="L19" s="15" t="n">
        <v>0.1836789657958524</v>
      </c>
      <c r="M19" s="15" t="n">
        <v>0.1836789657958524</v>
      </c>
      <c r="N19" s="15" t="n">
        <v>0.1836789657958524</v>
      </c>
      <c r="O19" s="15" t="n">
        <v>0.1836789657958524</v>
      </c>
      <c r="P19" s="15" t="n">
        <v>0.1836789657958524</v>
      </c>
    </row>
    <row r="20">
      <c r="A20" s="4" t="inlineStr">
        <is>
          <t>Other opex (fulfilment, etc.)</t>
        </is>
      </c>
      <c r="B20" s="34">
        <f>B10-(B14+B16+B18)-SUM(Financials!I13:L13)</f>
        <v/>
      </c>
      <c r="C20" s="34">
        <f>C10-(C14+C16+C18)-SUM(Financials!M13:P13)</f>
        <v/>
      </c>
      <c r="D20" s="34">
        <f>D10-(D14+D16+D18)-SUM(Financials!Q13:T13)</f>
        <v/>
      </c>
      <c r="E20" s="34">
        <f>E10-(E14+E16+E18)-SUM(Financials!U13:X13)</f>
        <v/>
      </c>
      <c r="F20" s="34">
        <f>F10-(F14+F16+F18)-SUM(Financials!Y13:AB13)</f>
        <v/>
      </c>
      <c r="G20" s="34">
        <f>G10*(1-(Dashboard!$B$29+(Dashboard!$B$30-Dashboard!$B$29)*MIN(1,0/4)))-(G14+G16+G18)</f>
        <v/>
      </c>
      <c r="H20" s="34">
        <f>H10*(1-(Dashboard!$B$29+(Dashboard!$B$30-Dashboard!$B$29)*MIN(1,1/4)))-(H14+H16+H18)</f>
        <v/>
      </c>
      <c r="I20" s="34">
        <f>I10*(1-(Dashboard!$B$29+(Dashboard!$B$30-Dashboard!$B$29)*MIN(1,2/4)))-(I14+I16+I18)</f>
        <v/>
      </c>
      <c r="J20" s="34">
        <f>J10*(1-(Dashboard!$B$29+(Dashboard!$B$30-Dashboard!$B$29)*MIN(1,3/4)))-(J14+J16+J18)</f>
        <v/>
      </c>
      <c r="K20" s="34">
        <f>K10*(1-(Dashboard!$B$29+(Dashboard!$B$30-Dashboard!$B$29)*MIN(1,4/4)))-(K14+K16+K18)</f>
        <v/>
      </c>
      <c r="L20" s="34">
        <f>L10*(1-(Dashboard!$B$29+(Dashboard!$B$30-Dashboard!$B$29)*MIN(1,5/4)))-(L14+L16+L18)</f>
        <v/>
      </c>
      <c r="M20" s="34">
        <f>M10*(1-(Dashboard!$B$29+(Dashboard!$B$30-Dashboard!$B$29)*MIN(1,6/4)))-(M14+M16+M18)</f>
        <v/>
      </c>
      <c r="N20" s="34">
        <f>N10*(1-(Dashboard!$B$29+(Dashboard!$B$30-Dashboard!$B$29)*MIN(1,7/4)))-(N14+N16+N18)</f>
        <v/>
      </c>
      <c r="O20" s="34">
        <f>O10*(1-(Dashboard!$B$29+(Dashboard!$B$30-Dashboard!$B$29)*MIN(1,8/4)))-(O14+O16+O18)</f>
        <v/>
      </c>
      <c r="P20" s="34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3">
        <f>B10-(B14+B16+B18)-B20</f>
        <v/>
      </c>
      <c r="C23" s="43">
        <f>C10-(C14+C16+C18)-C20</f>
        <v/>
      </c>
      <c r="D23" s="43">
        <f>D10-(D14+D16+D18)-D20</f>
        <v/>
      </c>
      <c r="E23" s="43">
        <f>E10-(E14+E16+E18)-E20</f>
        <v/>
      </c>
      <c r="F23" s="43">
        <f>F10-(F14+F16+F18)-F20</f>
        <v/>
      </c>
      <c r="G23" s="43">
        <f>G10-(G14+G16+G18)-G20</f>
        <v/>
      </c>
      <c r="H23" s="43">
        <f>H10-(H14+H16+H18)-H20</f>
        <v/>
      </c>
      <c r="I23" s="43">
        <f>I10-(I14+I16+I18)-I20</f>
        <v/>
      </c>
      <c r="J23" s="43">
        <f>J10-(J14+J16+J18)-J20</f>
        <v/>
      </c>
      <c r="K23" s="43">
        <f>K10-(K14+K16+K18)-K20</f>
        <v/>
      </c>
      <c r="L23" s="43">
        <f>L10-(L14+L16+L18)-L20</f>
        <v/>
      </c>
      <c r="M23" s="43">
        <f>M10-(M14+M16+M18)-M20</f>
        <v/>
      </c>
      <c r="N23" s="43">
        <f>N10-(N14+N16+N18)-N20</f>
        <v/>
      </c>
      <c r="O23" s="43">
        <f>O10-(O14+O16+O18)-O20</f>
        <v/>
      </c>
      <c r="P23" s="43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4">
        <f>B23*(1-Valuation!$B$5)</f>
        <v/>
      </c>
      <c r="C27" s="34">
        <f>C23*(1-Valuation!$B$5)</f>
        <v/>
      </c>
      <c r="D27" s="34">
        <f>D23*(1-Valuation!$B$5)</f>
        <v/>
      </c>
      <c r="E27" s="34">
        <f>E23*(1-Valuation!$B$5)</f>
        <v/>
      </c>
      <c r="F27" s="34">
        <f>F23*(1-Valuation!$B$5)</f>
        <v/>
      </c>
      <c r="G27" s="34">
        <f>G23*(1-Valuation!$B$5)</f>
        <v/>
      </c>
      <c r="H27" s="34">
        <f>H23*(1-Valuation!$B$5)</f>
        <v/>
      </c>
      <c r="I27" s="34">
        <f>I23*(1-Valuation!$B$5)</f>
        <v/>
      </c>
      <c r="J27" s="34">
        <f>J23*(1-Valuation!$B$5)</f>
        <v/>
      </c>
      <c r="K27" s="34">
        <f>K23*(1-Valuation!$B$5)</f>
        <v/>
      </c>
      <c r="L27" s="34">
        <f>L23*(1-Valuation!$B$5)</f>
        <v/>
      </c>
      <c r="M27" s="34">
        <f>M23*(1-Valuation!$B$5)</f>
        <v/>
      </c>
      <c r="N27" s="34">
        <f>N23*(1-Valuation!$B$5)</f>
        <v/>
      </c>
      <c r="O27" s="34">
        <f>O23*(1-Valuation!$B$5)</f>
        <v/>
      </c>
      <c r="P27" s="34">
        <f>P23*(1-Valuation!$B$5)</f>
        <v/>
      </c>
    </row>
    <row r="28">
      <c r="A28" s="4" t="inlineStr">
        <is>
          <t>+ D&amp;A</t>
        </is>
      </c>
      <c r="B28" s="34">
        <f>SUM(Financials!I50:L50)</f>
        <v/>
      </c>
      <c r="C28" s="34">
        <f>SUM(Financials!M50:P50)</f>
        <v/>
      </c>
      <c r="D28" s="34">
        <f>SUM(Financials!Q50:T50)</f>
        <v/>
      </c>
      <c r="E28" s="34">
        <f>SUM(Financials!U50:X50)</f>
        <v/>
      </c>
      <c r="F28" s="34">
        <f>SUM(Financials!Y50:AB50)</f>
        <v/>
      </c>
      <c r="G28" s="42">
        <f>G10*0.0624</f>
        <v/>
      </c>
      <c r="H28" s="42">
        <f>H10*0.0624</f>
        <v/>
      </c>
      <c r="I28" s="42">
        <f>I10*0.0624</f>
        <v/>
      </c>
      <c r="J28" s="42">
        <f>J10*0.0624</f>
        <v/>
      </c>
      <c r="K28" s="42">
        <f>K10*0.0624</f>
        <v/>
      </c>
      <c r="L28" s="42">
        <f>L10*0.0624</f>
        <v/>
      </c>
      <c r="M28" s="42">
        <f>M10*0.0624</f>
        <v/>
      </c>
      <c r="N28" s="42">
        <f>N10*0.0624</f>
        <v/>
      </c>
      <c r="O28" s="42">
        <f>O10*0.0624</f>
        <v/>
      </c>
      <c r="P28" s="42">
        <f>P10*0.0624</f>
        <v/>
      </c>
    </row>
    <row r="29">
      <c r="A29" s="4" t="inlineStr">
        <is>
          <t>+ SBC (non-cash)</t>
        </is>
      </c>
      <c r="B29" s="34">
        <f>SUM(Financials!I51:L51)</f>
        <v/>
      </c>
      <c r="C29" s="34">
        <f>SUM(Financials!M51:P51)</f>
        <v/>
      </c>
      <c r="D29" s="34">
        <f>SUM(Financials!Q51:T51)</f>
        <v/>
      </c>
      <c r="E29" s="34">
        <f>SUM(Financials!U51:X51)</f>
        <v/>
      </c>
      <c r="F29" s="34">
        <f>SUM(Financials!Y51:AB51)</f>
        <v/>
      </c>
      <c r="G29" s="34">
        <f>G10*(Dashboard!$B$65+(Dashboard!$B$66-Dashboard!$B$65)*0/9)</f>
        <v/>
      </c>
      <c r="H29" s="34">
        <f>H10*(Dashboard!$B$65+(Dashboard!$B$66-Dashboard!$B$65)*1/9)</f>
        <v/>
      </c>
      <c r="I29" s="34">
        <f>I10*(Dashboard!$B$65+(Dashboard!$B$66-Dashboard!$B$65)*2/9)</f>
        <v/>
      </c>
      <c r="J29" s="34">
        <f>J10*(Dashboard!$B$65+(Dashboard!$B$66-Dashboard!$B$65)*3/9)</f>
        <v/>
      </c>
      <c r="K29" s="34">
        <f>K10*(Dashboard!$B$65+(Dashboard!$B$66-Dashboard!$B$65)*4/9)</f>
        <v/>
      </c>
      <c r="L29" s="34">
        <f>L10*(Dashboard!$B$65+(Dashboard!$B$66-Dashboard!$B$65)*5/9)</f>
        <v/>
      </c>
      <c r="M29" s="34">
        <f>M10*(Dashboard!$B$65+(Dashboard!$B$66-Dashboard!$B$65)*6/9)</f>
        <v/>
      </c>
      <c r="N29" s="34">
        <f>N10*(Dashboard!$B$65+(Dashboard!$B$66-Dashboard!$B$65)*7/9)</f>
        <v/>
      </c>
      <c r="O29" s="34">
        <f>O10*(Dashboard!$B$65+(Dashboard!$B$66-Dashboard!$B$65)*8/9)</f>
        <v/>
      </c>
      <c r="P29" s="34">
        <f>P10*(Dashboard!$B$65+(Dashboard!$B$66-Dashboard!$B$65)*9/9)</f>
        <v/>
      </c>
    </row>
    <row r="30">
      <c r="A30" s="4" t="inlineStr">
        <is>
          <t>- dNWC</t>
        </is>
      </c>
      <c r="G30" s="42">
        <f>(G10-F10)*0.0050</f>
        <v/>
      </c>
      <c r="H30" s="42">
        <f>(H10-G10)*0.0050</f>
        <v/>
      </c>
      <c r="I30" s="42">
        <f>(I10-H10)*0.0050</f>
        <v/>
      </c>
      <c r="J30" s="42">
        <f>(J10-I10)*0.0050</f>
        <v/>
      </c>
      <c r="K30" s="42">
        <f>(K10-J10)*0.0050</f>
        <v/>
      </c>
      <c r="L30" s="42">
        <f>(L10-K10)*0.0050</f>
        <v/>
      </c>
      <c r="M30" s="42">
        <f>(M10-L10)*0.0050</f>
        <v/>
      </c>
      <c r="N30" s="42">
        <f>(N10-M10)*0.0050</f>
        <v/>
      </c>
      <c r="O30" s="42">
        <f>(O10-N10)*0.0050</f>
        <v/>
      </c>
      <c r="P30" s="42">
        <f>(P10-O10)*0.0050</f>
        <v/>
      </c>
    </row>
    <row r="31">
      <c r="A31" s="4" t="inlineStr">
        <is>
          <t>- Capex</t>
        </is>
      </c>
      <c r="B31" s="34">
        <f>-SUM(Financials!I54:L54)</f>
        <v/>
      </c>
      <c r="C31" s="34">
        <f>-SUM(Financials!M54:P54)</f>
        <v/>
      </c>
      <c r="D31" s="34">
        <f>-SUM(Financials!Q54:T54)</f>
        <v/>
      </c>
      <c r="E31" s="34">
        <f>-SUM(Financials!U54:X54)</f>
        <v/>
      </c>
      <c r="F31" s="34">
        <f>-SUM(Financials!Y54:AB54)</f>
        <v/>
      </c>
      <c r="G31" s="42">
        <f>G28*G32</f>
        <v/>
      </c>
      <c r="H31" s="42">
        <f>H28*H32</f>
        <v/>
      </c>
      <c r="I31" s="42">
        <f>I28*I32</f>
        <v/>
      </c>
      <c r="J31" s="42">
        <f>J28*J32</f>
        <v/>
      </c>
      <c r="K31" s="42">
        <f>K28*K32</f>
        <v/>
      </c>
      <c r="L31" s="42">
        <f>L28*L32</f>
        <v/>
      </c>
      <c r="M31" s="42">
        <f>M28*M32</f>
        <v/>
      </c>
      <c r="N31" s="42">
        <f>N28*N32</f>
        <v/>
      </c>
      <c r="O31" s="42">
        <f>O28*O32</f>
        <v/>
      </c>
      <c r="P31" s="42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3">
        <f>B27+B28+B29-B30-B31</f>
        <v/>
      </c>
      <c r="C34" s="43">
        <f>C27+C28+C29-C30-C31</f>
        <v/>
      </c>
      <c r="D34" s="43">
        <f>D27+D28+D29-D30-D31</f>
        <v/>
      </c>
      <c r="E34" s="43">
        <f>E27+E28+E29-E30-E31</f>
        <v/>
      </c>
      <c r="F34" s="43">
        <f>F27+F28+F29-F30-F31</f>
        <v/>
      </c>
      <c r="G34" s="43">
        <f>G27+G28+G29-G30-G31</f>
        <v/>
      </c>
      <c r="H34" s="43">
        <f>H27+H28+H29-H30-H31</f>
        <v/>
      </c>
      <c r="I34" s="43">
        <f>I27+I28+I29-I30-I31</f>
        <v/>
      </c>
      <c r="J34" s="43">
        <f>J27+J28+J29-J30-J31</f>
        <v/>
      </c>
      <c r="K34" s="43">
        <f>K27+K28+K29-K30-K31</f>
        <v/>
      </c>
      <c r="L34" s="43">
        <f>L27+L28+L29-L30-L31</f>
        <v/>
      </c>
      <c r="M34" s="43">
        <f>M27+M28+M29-M30-M31</f>
        <v/>
      </c>
      <c r="N34" s="43">
        <f>N27+N28+N29-N30-N31</f>
        <v/>
      </c>
      <c r="O34" s="43">
        <f>O27+O28+O29-O30-O31</f>
        <v/>
      </c>
      <c r="P34" s="43">
        <f>P27+P28+P29-P30-P31</f>
        <v/>
      </c>
    </row>
    <row r="35">
      <c r="A35" s="3" t="inlineStr">
        <is>
          <t>Valuation FCF (NOPAT + D&amp;A - dNWC - Capex - after-tax SBC)</t>
        </is>
      </c>
      <c r="B35" s="44">
        <f>B34-B29-B29*(1-Valuation!$B$5)</f>
        <v/>
      </c>
      <c r="C35" s="44">
        <f>C34-C29-C29*(1-Valuation!$B$5)</f>
        <v/>
      </c>
      <c r="D35" s="44">
        <f>D34-D29-D29*(1-Valuation!$B$5)</f>
        <v/>
      </c>
      <c r="E35" s="44">
        <f>E34-E29-E29*(1-Valuation!$B$5)</f>
        <v/>
      </c>
      <c r="F35" s="44">
        <f>F34-F29-F29*(1-Valuation!$B$5)</f>
        <v/>
      </c>
      <c r="G35" s="44">
        <f>G34-G29-G29*(1-Valuation!$B$5)</f>
        <v/>
      </c>
      <c r="H35" s="44">
        <f>H34-H29-H29*(1-Valuation!$B$5)</f>
        <v/>
      </c>
      <c r="I35" s="44">
        <f>I34-I29-I29*(1-Valuation!$B$5)</f>
        <v/>
      </c>
      <c r="J35" s="44">
        <f>J34-J29-J29*(1-Valuation!$B$5)</f>
        <v/>
      </c>
      <c r="K35" s="44">
        <f>K34-K29-K29*(1-Valuation!$B$5)</f>
        <v/>
      </c>
      <c r="L35" s="44">
        <f>L34-L29-L29*(1-Valuation!$B$5)</f>
        <v/>
      </c>
      <c r="M35" s="44">
        <f>M34-M29-M29*(1-Valuation!$B$5)</f>
        <v/>
      </c>
      <c r="N35" s="44">
        <f>N34-N29-N29*(1-Valuation!$B$5)</f>
        <v/>
      </c>
      <c r="O35" s="44">
        <f>O34-O29-O29*(1-Valuation!$B$5)</f>
        <v/>
      </c>
      <c r="P35" s="44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4">
        <f>Financials!L48+Financials!L47-Financials!L42</f>
        <v/>
      </c>
      <c r="C38" s="34">
        <f>Financials!P48+Financials!P47-Financials!P42</f>
        <v/>
      </c>
      <c r="D38" s="34">
        <f>Financials!T48+Financials!T47-Financials!T42</f>
        <v/>
      </c>
      <c r="E38" s="34">
        <f>Financials!X48+Financials!X47-Financials!X42</f>
        <v/>
      </c>
      <c r="F38" s="34">
        <f>Financials!AB48+Financials!AB47-Financials!AB42</f>
        <v/>
      </c>
      <c r="G38" s="42">
        <f>F38+G31-G28+G30</f>
        <v/>
      </c>
      <c r="H38" s="42">
        <f>G38+H31-H28+H30</f>
        <v/>
      </c>
      <c r="I38" s="42">
        <f>H38+I31-I28+I30</f>
        <v/>
      </c>
      <c r="J38" s="42">
        <f>I38+J31-J28+J30</f>
        <v/>
      </c>
      <c r="K38" s="42">
        <f>J38+K31-K28+K30</f>
        <v/>
      </c>
      <c r="L38" s="42">
        <f>K38+L31-L28+L30</f>
        <v/>
      </c>
      <c r="M38" s="42">
        <f>L38+M31-M28+M30</f>
        <v/>
      </c>
      <c r="N38" s="42">
        <f>M38+N31-N28+N30</f>
        <v/>
      </c>
      <c r="O38" s="42">
        <f>N38+O31-O28+O30</f>
        <v/>
      </c>
      <c r="P38" s="42">
        <f>O38+P31-P28+P30</f>
        <v/>
      </c>
    </row>
    <row r="39">
      <c r="A39" s="4" t="inlineStr">
        <is>
          <t>Book equity (year-end)</t>
        </is>
      </c>
      <c r="B39" s="34">
        <f>Financials!L48</f>
        <v/>
      </c>
      <c r="C39" s="34">
        <f>Financials!P48</f>
        <v/>
      </c>
      <c r="D39" s="34">
        <f>Financials!T48</f>
        <v/>
      </c>
      <c r="E39" s="34">
        <f>Financials!X48</f>
        <v/>
      </c>
      <c r="F39" s="34">
        <f>Financials!AB48</f>
        <v/>
      </c>
      <c r="G39" s="42">
        <f>F39+G27</f>
        <v/>
      </c>
      <c r="H39" s="42">
        <f>G39+H27</f>
        <v/>
      </c>
      <c r="I39" s="42">
        <f>H39+I27</f>
        <v/>
      </c>
      <c r="J39" s="42">
        <f>I39+J27</f>
        <v/>
      </c>
      <c r="K39" s="42">
        <f>J39+K27</f>
        <v/>
      </c>
      <c r="L39" s="42">
        <f>K39+L27</f>
        <v/>
      </c>
      <c r="M39" s="42">
        <f>L39+M27</f>
        <v/>
      </c>
      <c r="N39" s="42">
        <f>M39+N27</f>
        <v/>
      </c>
      <c r="O39" s="42">
        <f>N39+O27</f>
        <v/>
      </c>
      <c r="P39" s="42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5">
        <f>IFERROR((C10-B10)/(C38-B38),"")</f>
        <v/>
      </c>
      <c r="D45" s="45">
        <f>IFERROR((D10-C10)/(D38-C38),"")</f>
        <v/>
      </c>
      <c r="E45" s="45">
        <f>IFERROR((E10-D10)/(E38-D38),"")</f>
        <v/>
      </c>
      <c r="F45" s="45">
        <f>IFERROR((F10-E10)/(F38-E38),"")</f>
        <v/>
      </c>
      <c r="G45" s="45">
        <f>IFERROR((G10-F10)/(G38-F38),"")</f>
        <v/>
      </c>
      <c r="H45" s="45">
        <f>IFERROR((H10-G10)/(H38-G38),"")</f>
        <v/>
      </c>
      <c r="I45" s="45">
        <f>IFERROR((I10-H10)/(I38-H38),"")</f>
        <v/>
      </c>
      <c r="J45" s="45">
        <f>IFERROR((J10-I10)/(J38-I38),"")</f>
        <v/>
      </c>
      <c r="K45" s="45">
        <f>IFERROR((K10-J10)/(K38-J38),"")</f>
        <v/>
      </c>
      <c r="L45" s="45">
        <f>IFERROR((L10-K10)/(L38-K38),"")</f>
        <v/>
      </c>
      <c r="M45" s="45">
        <f>IFERROR((M10-L10)/(M38-L38),"")</f>
        <v/>
      </c>
      <c r="N45" s="45">
        <f>IFERROR((N10-M10)/(N38-M38),"")</f>
        <v/>
      </c>
      <c r="O45" s="45">
        <f>IFERROR((O10-N10)/(O38-N38),"")</f>
        <v/>
      </c>
      <c r="P45" s="45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6316</v>
      </c>
      <c r="C3" s="18" t="n">
        <v>6272</v>
      </c>
      <c r="D3" s="18" t="n">
        <v>6829</v>
      </c>
      <c r="E3" s="18" t="n">
        <v>6230</v>
      </c>
      <c r="F3" s="18" t="n">
        <v>6917</v>
      </c>
      <c r="G3" s="18" t="n">
        <v>8521</v>
      </c>
      <c r="H3" s="18" t="n">
        <v>10550</v>
      </c>
      <c r="I3" s="18" t="n">
        <v>9906</v>
      </c>
      <c r="J3" s="18" t="n">
        <v>9273</v>
      </c>
      <c r="K3" s="18" t="n">
        <v>9330</v>
      </c>
      <c r="L3" s="18" t="n">
        <v>10702</v>
      </c>
      <c r="M3" s="18" t="n">
        <v>11818</v>
      </c>
      <c r="N3" s="18" t="n">
        <v>10970</v>
      </c>
      <c r="O3" s="18" t="n">
        <v>10677</v>
      </c>
      <c r="P3" s="18" t="n">
        <v>11450</v>
      </c>
      <c r="Q3" s="18" t="n">
        <v>10710</v>
      </c>
      <c r="R3" s="18" t="n">
        <v>10687</v>
      </c>
      <c r="S3" s="18" t="n">
        <v>10574</v>
      </c>
      <c r="T3" s="18" t="n">
        <v>10886</v>
      </c>
      <c r="U3" s="18" t="n">
        <v>10345</v>
      </c>
      <c r="V3" s="18" t="n">
        <v>10541</v>
      </c>
      <c r="W3" s="18" t="n">
        <v>10598</v>
      </c>
      <c r="X3" s="18" t="n">
        <v>11395</v>
      </c>
      <c r="Y3" s="18" t="n">
        <v>10364</v>
      </c>
      <c r="Z3" s="18" t="n">
        <v>10855</v>
      </c>
      <c r="AA3" s="18" t="n">
        <v>11122</v>
      </c>
      <c r="AB3" s="18" t="n">
        <v>12215</v>
      </c>
      <c r="AC3" s="18" t="n">
        <v>11005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3485</v>
      </c>
      <c r="C5" s="18" t="n">
        <v>3505</v>
      </c>
      <c r="D5" s="18" t="n">
        <v>4098</v>
      </c>
      <c r="E5" s="18" t="n">
        <v>3491</v>
      </c>
      <c r="F5" s="18" t="n">
        <v>3538</v>
      </c>
      <c r="G5" s="18" t="n">
        <v>4187</v>
      </c>
      <c r="H5" s="18" t="n">
        <v>5262</v>
      </c>
      <c r="I5" s="18" t="n">
        <v>4701</v>
      </c>
      <c r="J5" s="18" t="n">
        <v>4738</v>
      </c>
      <c r="K5" s="18" t="n">
        <v>4686</v>
      </c>
      <c r="L5" s="18" t="n">
        <v>5772</v>
      </c>
      <c r="M5" s="18" t="n">
        <v>6334</v>
      </c>
      <c r="N5" s="18" t="n">
        <v>6384</v>
      </c>
      <c r="O5" s="18" t="n">
        <v>6356</v>
      </c>
      <c r="P5" s="18" t="n">
        <v>7293</v>
      </c>
      <c r="Q5" s="18" t="n">
        <v>6526</v>
      </c>
      <c r="R5" s="18" t="n">
        <v>6418</v>
      </c>
      <c r="S5" s="18" t="n">
        <v>6242</v>
      </c>
      <c r="T5" s="18" t="n">
        <v>6933</v>
      </c>
      <c r="U5" s="18" t="n">
        <v>6128</v>
      </c>
      <c r="V5" s="18" t="n">
        <v>6197</v>
      </c>
      <c r="W5" s="18" t="n">
        <v>6255</v>
      </c>
      <c r="X5" s="18" t="n">
        <v>6928</v>
      </c>
      <c r="Y5" s="18" t="n">
        <v>6119</v>
      </c>
      <c r="Z5" s="18" t="n">
        <v>6807</v>
      </c>
      <c r="AA5" s="18" t="n">
        <v>6470</v>
      </c>
      <c r="AB5" s="18" t="n">
        <v>7579</v>
      </c>
      <c r="AC5" s="18" t="n">
        <v>6529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246</v>
      </c>
      <c r="C7" s="18" t="n">
        <v>247</v>
      </c>
      <c r="D7" s="18" t="n">
        <v>262</v>
      </c>
      <c r="E7" s="18" t="n">
        <v>245</v>
      </c>
      <c r="F7" s="18" t="n">
        <v>264</v>
      </c>
      <c r="G7" s="18" t="n">
        <v>296</v>
      </c>
      <c r="H7" s="18" t="n">
        <v>376</v>
      </c>
      <c r="I7" s="18" t="n">
        <v>320</v>
      </c>
      <c r="J7" s="18" t="n">
        <v>343</v>
      </c>
      <c r="K7" s="18" t="n">
        <v>351</v>
      </c>
      <c r="L7" s="18" t="n">
        <v>392</v>
      </c>
      <c r="M7" s="18" t="n">
        <v>364</v>
      </c>
      <c r="N7" s="18" t="n">
        <v>365</v>
      </c>
      <c r="O7" s="18" t="n">
        <v>351</v>
      </c>
      <c r="P7" s="18" t="n">
        <v>391</v>
      </c>
      <c r="Q7" s="18" t="n">
        <v>346</v>
      </c>
      <c r="R7" s="18" t="n">
        <v>345</v>
      </c>
      <c r="S7" s="18" t="n">
        <v>319</v>
      </c>
      <c r="T7" s="18" t="n">
        <v>327</v>
      </c>
      <c r="U7" s="18" t="n">
        <v>331</v>
      </c>
      <c r="V7" s="18" t="n">
        <v>339</v>
      </c>
      <c r="W7" s="18" t="n">
        <v>346</v>
      </c>
      <c r="X7" s="18" t="n">
        <v>374</v>
      </c>
      <c r="Y7" s="18" t="n">
        <v>342</v>
      </c>
      <c r="Z7" s="18" t="n">
        <v>352</v>
      </c>
      <c r="AA7" s="18" t="n">
        <v>347</v>
      </c>
      <c r="AB7" s="18" t="n">
        <v>357</v>
      </c>
      <c r="AC7" s="18" t="n">
        <v>336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1503</v>
      </c>
      <c r="C9" s="18" t="n">
        <v>1505</v>
      </c>
      <c r="D9" s="18" t="n">
        <v>1200</v>
      </c>
      <c r="E9" s="18" t="n">
        <v>1545</v>
      </c>
      <c r="F9" s="18" t="n">
        <v>1668</v>
      </c>
      <c r="G9" s="18" t="n">
        <v>1647</v>
      </c>
      <c r="H9" s="18" t="n">
        <v>1776</v>
      </c>
      <c r="I9" s="18" t="n">
        <v>1810</v>
      </c>
      <c r="J9" s="18" t="n">
        <v>1941</v>
      </c>
      <c r="K9" s="18" t="n">
        <v>1945</v>
      </c>
      <c r="L9" s="18" t="n">
        <v>1859</v>
      </c>
      <c r="M9" s="18" t="n">
        <v>2278</v>
      </c>
      <c r="N9" s="18" t="n">
        <v>2280</v>
      </c>
      <c r="O9" s="18" t="n">
        <v>2213</v>
      </c>
      <c r="P9" s="18" t="n">
        <v>1781</v>
      </c>
      <c r="Q9" s="18" t="n">
        <v>2134</v>
      </c>
      <c r="R9" s="18" t="n">
        <v>2143</v>
      </c>
      <c r="S9" s="18" t="n">
        <v>2039</v>
      </c>
      <c r="T9" s="18" t="n">
        <v>1635</v>
      </c>
      <c r="U9" s="18" t="n">
        <v>2166</v>
      </c>
      <c r="V9" s="18" t="n">
        <v>2247</v>
      </c>
      <c r="W9" s="18" t="n">
        <v>2081</v>
      </c>
      <c r="X9" s="18" t="n">
        <v>1825</v>
      </c>
      <c r="Y9" s="18" t="n">
        <v>2063</v>
      </c>
      <c r="Z9" s="18" t="n">
        <v>1779</v>
      </c>
      <c r="AA9" s="18" t="n">
        <v>2365</v>
      </c>
      <c r="AB9" s="18" t="n">
        <v>1977</v>
      </c>
      <c r="AC9" s="18" t="n">
        <v>1798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2831</v>
      </c>
      <c r="C11" s="18" t="n">
        <v>2767</v>
      </c>
      <c r="D11" s="18" t="n">
        <v>2731</v>
      </c>
      <c r="E11" s="18" t="n">
        <v>2739</v>
      </c>
      <c r="F11" s="18" t="n">
        <v>3379</v>
      </c>
      <c r="G11" s="18" t="n">
        <v>4334</v>
      </c>
      <c r="H11" s="18" t="n">
        <v>5288</v>
      </c>
      <c r="I11" s="18" t="n">
        <v>5205</v>
      </c>
      <c r="J11" s="18" t="n">
        <v>4535</v>
      </c>
      <c r="K11" s="18" t="n">
        <v>4644</v>
      </c>
      <c r="L11" s="18" t="n">
        <v>4930</v>
      </c>
      <c r="M11" s="18" t="n">
        <v>5484</v>
      </c>
      <c r="N11" s="18" t="n">
        <v>4586</v>
      </c>
      <c r="O11" s="18" t="n">
        <v>4321</v>
      </c>
      <c r="P11" s="18" t="n">
        <v>4157</v>
      </c>
      <c r="Q11" s="18" t="n">
        <v>4184</v>
      </c>
      <c r="R11" s="18" t="n">
        <v>4269</v>
      </c>
      <c r="S11" s="18" t="n">
        <v>4332</v>
      </c>
      <c r="T11" s="18" t="n">
        <v>3953</v>
      </c>
      <c r="U11" s="18" t="n">
        <v>4217</v>
      </c>
      <c r="V11" s="18" t="n">
        <v>4344</v>
      </c>
      <c r="W11" s="18" t="n">
        <v>4343</v>
      </c>
      <c r="X11" s="18" t="n">
        <v>4467</v>
      </c>
      <c r="Y11" s="18" t="n">
        <v>4245</v>
      </c>
      <c r="Z11" s="18" t="n">
        <v>4048</v>
      </c>
      <c r="AA11" s="18" t="n">
        <v>4652</v>
      </c>
      <c r="AB11" s="18" t="n">
        <v>4636</v>
      </c>
      <c r="AC11" s="18" t="n">
        <v>4476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1056</v>
      </c>
      <c r="C13" s="18" t="n">
        <v>988</v>
      </c>
      <c r="D13" s="18" t="n">
        <v>1269</v>
      </c>
      <c r="E13" s="18" t="n">
        <v>949</v>
      </c>
      <c r="F13" s="18" t="n">
        <v>1447</v>
      </c>
      <c r="G13" s="18" t="n">
        <v>2391</v>
      </c>
      <c r="H13" s="18" t="n">
        <v>3136</v>
      </c>
      <c r="I13" s="18" t="n">
        <v>3075</v>
      </c>
      <c r="J13" s="18" t="n">
        <v>2251</v>
      </c>
      <c r="K13" s="18" t="n">
        <v>2348</v>
      </c>
      <c r="L13" s="18" t="n">
        <v>2679</v>
      </c>
      <c r="M13" s="18" t="n">
        <v>2842</v>
      </c>
      <c r="N13" s="18" t="n">
        <v>1941</v>
      </c>
      <c r="O13" s="18" t="n">
        <v>1757</v>
      </c>
      <c r="P13" s="18" t="n">
        <v>1985</v>
      </c>
      <c r="Q13" s="18" t="n">
        <v>1704</v>
      </c>
      <c r="R13" s="18" t="n">
        <v>1781</v>
      </c>
      <c r="S13" s="18" t="n">
        <v>1974</v>
      </c>
      <c r="T13" s="18" t="n">
        <v>1991</v>
      </c>
      <c r="U13" s="18" t="n">
        <v>1720</v>
      </c>
      <c r="V13" s="18" t="n">
        <v>1758</v>
      </c>
      <c r="W13" s="18" t="n">
        <v>1916</v>
      </c>
      <c r="X13" s="18" t="n">
        <v>2268</v>
      </c>
      <c r="Y13" s="18" t="n">
        <v>1840</v>
      </c>
      <c r="Z13" s="18" t="n">
        <v>1917</v>
      </c>
      <c r="AA13" s="18" t="n">
        <v>1943</v>
      </c>
      <c r="AB13" s="18" t="n">
        <v>2302</v>
      </c>
      <c r="AC13" s="18" t="n">
        <v>1863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1119</v>
      </c>
      <c r="C15" s="18" t="n">
        <v>760</v>
      </c>
      <c r="D15" s="18" t="n">
        <v>1002</v>
      </c>
      <c r="E15" s="18" t="n">
        <v>788</v>
      </c>
      <c r="F15" s="18" t="n">
        <v>1156</v>
      </c>
      <c r="G15" s="18" t="n">
        <v>1933</v>
      </c>
      <c r="H15" s="18" t="n">
        <v>2498</v>
      </c>
      <c r="I15" s="18" t="n">
        <v>2337</v>
      </c>
      <c r="J15" s="18" t="n">
        <v>1828</v>
      </c>
      <c r="K15" s="18" t="n">
        <v>1902</v>
      </c>
      <c r="L15" s="18" t="n">
        <v>1658</v>
      </c>
      <c r="M15" s="18" t="n">
        <v>2215</v>
      </c>
      <c r="N15" s="18" t="n">
        <v>1664</v>
      </c>
      <c r="O15" s="18" t="n">
        <v>1495</v>
      </c>
      <c r="P15" s="18" t="n">
        <v>1576</v>
      </c>
      <c r="Q15" s="18" t="n">
        <v>1289</v>
      </c>
      <c r="R15" s="18" t="n">
        <v>1361</v>
      </c>
      <c r="S15" s="18" t="n">
        <v>1715</v>
      </c>
      <c r="T15" s="18" t="n">
        <v>1630</v>
      </c>
      <c r="U15" s="18" t="n">
        <v>1328</v>
      </c>
      <c r="V15" s="18" t="n">
        <v>1548</v>
      </c>
      <c r="W15" s="18" t="n">
        <v>1630</v>
      </c>
      <c r="X15" s="18" t="n">
        <v>1830</v>
      </c>
      <c r="Y15" s="18" t="n">
        <v>1507</v>
      </c>
      <c r="Z15" s="18" t="n">
        <v>1617</v>
      </c>
      <c r="AA15" s="18" t="n">
        <v>1616</v>
      </c>
      <c r="AB15" s="18" t="n">
        <v>1975</v>
      </c>
      <c r="AC15" s="18" t="n">
        <v>1651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400.475744</v>
      </c>
      <c r="C17" s="18" t="n">
        <v>404</v>
      </c>
      <c r="D17" s="18" t="n">
        <v>402</v>
      </c>
      <c r="E17" s="18" t="n">
        <v>400</v>
      </c>
      <c r="F17" s="18" t="n">
        <v>398</v>
      </c>
      <c r="G17" s="18" t="n">
        <v>399</v>
      </c>
      <c r="H17" s="18" t="n">
        <v>400</v>
      </c>
      <c r="I17" s="18" t="n">
        <v>397</v>
      </c>
      <c r="J17" s="18" t="n">
        <v>396</v>
      </c>
      <c r="K17" s="18" t="n">
        <v>397</v>
      </c>
      <c r="L17" s="18" t="n">
        <v>398</v>
      </c>
      <c r="M17" s="18" t="n">
        <v>395</v>
      </c>
      <c r="N17" s="18" t="n">
        <v>394</v>
      </c>
      <c r="O17" s="18" t="n">
        <v>395</v>
      </c>
      <c r="P17" s="18" t="n">
        <v>393</v>
      </c>
      <c r="Q17" s="18" t="n">
        <v>388</v>
      </c>
      <c r="R17" s="18" t="n">
        <v>388</v>
      </c>
      <c r="S17" s="18" t="n">
        <v>388</v>
      </c>
      <c r="T17" s="18" t="n">
        <v>388</v>
      </c>
      <c r="U17" s="18" t="n">
        <v>384</v>
      </c>
      <c r="V17" s="18" t="n">
        <v>383</v>
      </c>
      <c r="W17" s="18" t="n">
        <v>384</v>
      </c>
      <c r="X17" s="18" t="n">
        <v>383</v>
      </c>
      <c r="Y17" s="18" t="n">
        <v>379</v>
      </c>
      <c r="Z17" s="18" t="n">
        <v>378</v>
      </c>
      <c r="AA17" s="18" t="n">
        <v>378</v>
      </c>
      <c r="AB17" s="18" t="n">
        <v>377</v>
      </c>
      <c r="AC17" s="18" t="n">
        <v>373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Service</t>
        </is>
      </c>
      <c r="B19" s="18" t="n">
        <v>1489</v>
      </c>
      <c r="C19" s="18" t="n">
        <v>1474</v>
      </c>
      <c r="D19" s="18" t="n">
        <v>1678</v>
      </c>
      <c r="E19" s="18" t="n">
        <v>1600</v>
      </c>
      <c r="F19" s="18" t="n">
        <v>1667</v>
      </c>
      <c r="G19" s="18" t="n">
        <v>1739</v>
      </c>
      <c r="H19" s="18" t="n">
        <v>1906</v>
      </c>
      <c r="I19" s="18" t="n">
        <v>2050</v>
      </c>
      <c r="J19" s="18" t="n">
        <v>2059</v>
      </c>
      <c r="K19" s="18" t="n">
        <v>1970</v>
      </c>
      <c r="L19" s="18" t="n">
        <v>2771</v>
      </c>
      <c r="M19" s="18" t="n">
        <v>3801</v>
      </c>
      <c r="N19" s="18" t="n">
        <v>3967</v>
      </c>
      <c r="O19" s="18" t="n">
        <v>4094</v>
      </c>
      <c r="P19" s="18" t="n">
        <v>4505</v>
      </c>
      <c r="Q19" s="18" t="n">
        <v>4306</v>
      </c>
      <c r="R19" s="18" t="n">
        <v>4416</v>
      </c>
      <c r="S19" s="18" t="n">
        <v>4417</v>
      </c>
      <c r="T19" s="18" t="n">
        <v>4475</v>
      </c>
      <c r="U19" s="18" t="n">
        <v>4390</v>
      </c>
      <c r="V19" s="18" t="n">
        <v>4378</v>
      </c>
      <c r="W19" s="18" t="n">
        <v>4450</v>
      </c>
      <c r="X19" s="18" t="n">
        <v>4627</v>
      </c>
      <c r="Y19" s="18" t="n">
        <v>4384</v>
      </c>
      <c r="Z19" s="18" t="n">
        <v>4605</v>
      </c>
      <c r="AA19" s="18" t="n">
        <v>4633</v>
      </c>
      <c r="AB19" s="18" t="n">
        <v>4970</v>
      </c>
      <c r="AC19" s="18" t="n">
        <v>4728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Consumables</t>
        </is>
      </c>
      <c r="B22" s="18" t="n">
        <v>3268</v>
      </c>
      <c r="C22" s="18" t="n">
        <v>3228</v>
      </c>
      <c r="D22" s="18" t="n">
        <v>3383</v>
      </c>
      <c r="E22" s="18" t="n">
        <v>3379</v>
      </c>
      <c r="F22" s="18" t="n">
        <v>3879</v>
      </c>
      <c r="G22" s="18" t="n">
        <v>4956</v>
      </c>
      <c r="H22" s="18" t="n">
        <v>6313</v>
      </c>
      <c r="I22" s="18" t="n">
        <v>5964</v>
      </c>
      <c r="J22" s="18" t="n">
        <v>5372</v>
      </c>
      <c r="K22" s="18" t="n">
        <v>5544</v>
      </c>
      <c r="L22" s="18" t="n">
        <v>5728</v>
      </c>
      <c r="M22" s="18" t="n">
        <v>6110</v>
      </c>
      <c r="N22" s="18" t="n">
        <v>4993</v>
      </c>
      <c r="O22" s="18" t="n">
        <v>4651</v>
      </c>
      <c r="P22" s="18" t="n">
        <v>4870</v>
      </c>
      <c r="Q22" s="18" t="n">
        <v>4506</v>
      </c>
      <c r="R22" s="18" t="n">
        <v>4433</v>
      </c>
      <c r="S22" s="18" t="n">
        <v>4289</v>
      </c>
      <c r="T22" s="18" t="n">
        <v>4369</v>
      </c>
      <c r="U22" s="18" t="n">
        <v>4328</v>
      </c>
      <c r="V22" s="18" t="n">
        <v>4363</v>
      </c>
      <c r="W22" s="18" t="n">
        <v>4379</v>
      </c>
      <c r="X22" s="18" t="n">
        <v>4517</v>
      </c>
      <c r="Y22" s="18" t="n">
        <v>4354</v>
      </c>
      <c r="Z22" s="18" t="n">
        <v>4606</v>
      </c>
      <c r="AA22" s="18" t="n">
        <v>4679</v>
      </c>
      <c r="AB22" s="18" t="n">
        <v>5025</v>
      </c>
      <c r="AC22" s="18" t="n">
        <v>4722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Instruments</t>
        </is>
      </c>
      <c r="B25" s="18" t="n">
        <v>1559</v>
      </c>
      <c r="C25" s="18" t="n">
        <v>1570</v>
      </c>
      <c r="D25" s="18" t="n">
        <v>1768</v>
      </c>
      <c r="E25" s="18" t="n">
        <v>1251</v>
      </c>
      <c r="F25" s="18" t="n">
        <v>1371</v>
      </c>
      <c r="G25" s="18" t="n">
        <v>1826</v>
      </c>
      <c r="H25" s="18" t="n">
        <v>2331</v>
      </c>
      <c r="I25" s="18" t="n">
        <v>1892</v>
      </c>
      <c r="J25" s="18" t="n">
        <v>1842</v>
      </c>
      <c r="K25" s="18" t="n">
        <v>1816</v>
      </c>
      <c r="L25" s="18" t="n">
        <v>2203</v>
      </c>
      <c r="M25" s="18" t="n">
        <v>1907</v>
      </c>
      <c r="N25" s="18" t="n">
        <v>2010</v>
      </c>
      <c r="O25" s="18" t="n">
        <v>1932</v>
      </c>
      <c r="P25" s="18" t="n">
        <v>2075</v>
      </c>
      <c r="Q25" s="18" t="n">
        <v>1898</v>
      </c>
      <c r="R25" s="18" t="n">
        <v>1838</v>
      </c>
      <c r="S25" s="18" t="n">
        <v>1868</v>
      </c>
      <c r="T25" s="18" t="n">
        <v>2042</v>
      </c>
      <c r="U25" s="18" t="n">
        <v>1627</v>
      </c>
      <c r="V25" s="18" t="n">
        <v>1800</v>
      </c>
      <c r="W25" s="18" t="n">
        <v>1769</v>
      </c>
      <c r="X25" s="18" t="n">
        <v>2250</v>
      </c>
      <c r="Y25" s="18" t="n">
        <v>1626</v>
      </c>
      <c r="Z25" s="18" t="n">
        <v>1644</v>
      </c>
      <c r="AA25" s="18" t="n">
        <v>1811</v>
      </c>
      <c r="AB25" s="18" t="n">
        <v>2220</v>
      </c>
      <c r="AC25" s="18" t="n">
        <v>1555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UNITED STATES</t>
        </is>
      </c>
      <c r="B29" s="18" t="n">
        <v>3103</v>
      </c>
      <c r="C29" s="18" t="n">
        <v>3096</v>
      </c>
      <c r="E29" s="18" t="n">
        <v>3139</v>
      </c>
      <c r="V29" s="18" t="n">
        <v>5529</v>
      </c>
      <c r="W29" s="18" t="n">
        <v>5591</v>
      </c>
      <c r="X29" s="18" t="n">
        <v>5865</v>
      </c>
      <c r="Y29" s="18" t="n">
        <v>5513</v>
      </c>
      <c r="Z29" s="18" t="n">
        <v>5722</v>
      </c>
      <c r="AA29" s="18" t="n">
        <v>5689</v>
      </c>
      <c r="AB29" s="18" t="n">
        <v>6109</v>
      </c>
      <c r="AC29" s="18" t="n">
        <v>5705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Europe</t>
        </is>
      </c>
      <c r="D32" s="18" t="n">
        <v>1789</v>
      </c>
      <c r="F32" s="18" t="n">
        <v>1783</v>
      </c>
      <c r="G32" s="18" t="n">
        <v>2032</v>
      </c>
      <c r="H32" s="18" t="n">
        <v>2820</v>
      </c>
      <c r="I32" s="18" t="n">
        <v>2785</v>
      </c>
      <c r="J32" s="18" t="n">
        <v>2695</v>
      </c>
      <c r="K32" s="18" t="n">
        <v>2557</v>
      </c>
      <c r="L32" s="18" t="n">
        <v>3097</v>
      </c>
      <c r="M32" s="18" t="n">
        <v>3050</v>
      </c>
      <c r="N32" s="18" t="n">
        <v>2551</v>
      </c>
      <c r="O32" s="18" t="n">
        <v>2406</v>
      </c>
      <c r="P32" s="18" t="n">
        <v>2755</v>
      </c>
      <c r="Q32" s="18" t="n">
        <v>2601</v>
      </c>
      <c r="R32" s="18" t="n">
        <v>2654</v>
      </c>
      <c r="S32" s="18" t="n">
        <v>2643</v>
      </c>
      <c r="T32" s="18" t="n">
        <v>2843</v>
      </c>
      <c r="U32" s="18" t="n">
        <v>2619</v>
      </c>
      <c r="V32" s="18" t="n">
        <v>2663</v>
      </c>
      <c r="W32" s="18" t="n">
        <v>2686</v>
      </c>
      <c r="X32" s="18" t="n">
        <v>2889</v>
      </c>
      <c r="Y32" s="18" t="n">
        <v>2624</v>
      </c>
      <c r="Z32" s="18" t="n">
        <v>2830</v>
      </c>
      <c r="AA32" s="18" t="n">
        <v>3005</v>
      </c>
      <c r="AB32" s="18" t="n">
        <v>3367</v>
      </c>
      <c r="AC32" s="18" t="n">
        <v>2957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Asia Pacific</t>
        </is>
      </c>
      <c r="D35" s="18" t="n">
        <v>1444</v>
      </c>
      <c r="F35" s="18" t="n">
        <v>1329</v>
      </c>
      <c r="G35" s="18" t="n">
        <v>1607</v>
      </c>
      <c r="H35" s="18" t="n">
        <v>1768</v>
      </c>
      <c r="I35" s="18" t="n">
        <v>1709</v>
      </c>
      <c r="J35" s="18" t="n">
        <v>1749</v>
      </c>
      <c r="K35" s="18" t="n">
        <v>1836</v>
      </c>
      <c r="L35" s="18" t="n">
        <v>1924</v>
      </c>
      <c r="M35" s="18" t="n">
        <v>2064</v>
      </c>
      <c r="N35" s="18" t="n">
        <v>2042</v>
      </c>
      <c r="O35" s="18" t="n">
        <v>1971</v>
      </c>
      <c r="P35" s="18" t="n">
        <v>2038</v>
      </c>
      <c r="Q35" s="18" t="n">
        <v>1986</v>
      </c>
      <c r="R35" s="18" t="n">
        <v>1902</v>
      </c>
      <c r="S35" s="18" t="n">
        <v>1913</v>
      </c>
      <c r="T35" s="18" t="n">
        <v>2072</v>
      </c>
      <c r="U35" s="18" t="n">
        <v>1861</v>
      </c>
      <c r="V35" s="18" t="n">
        <v>1971</v>
      </c>
      <c r="W35" s="18" t="n">
        <v>1923</v>
      </c>
      <c r="X35" s="18" t="n">
        <v>2201</v>
      </c>
      <c r="Y35" s="18" t="n">
        <v>1891</v>
      </c>
      <c r="Z35" s="18" t="n">
        <v>1920</v>
      </c>
      <c r="AA35" s="18" t="n">
        <v>2013</v>
      </c>
      <c r="AB35" s="18" t="n">
        <v>2277</v>
      </c>
      <c r="AC35" s="18" t="n">
        <v>1970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All Other Countries</t>
        </is>
      </c>
      <c r="B38" s="18" t="n">
        <v>2489</v>
      </c>
      <c r="C38" s="18" t="n">
        <v>2482</v>
      </c>
      <c r="E38" s="18" t="n">
        <v>2627</v>
      </c>
      <c r="V38" s="18" t="n">
        <v>379</v>
      </c>
      <c r="W38" s="18" t="n">
        <v>397</v>
      </c>
      <c r="X38" s="18" t="n">
        <v>439</v>
      </c>
      <c r="Y38" s="18" t="n">
        <v>337</v>
      </c>
      <c r="Z38" s="18" t="n">
        <v>383</v>
      </c>
      <c r="AA38" s="18" t="n">
        <v>415</v>
      </c>
      <c r="AB38" s="18" t="n">
        <v>462</v>
      </c>
      <c r="AC38" s="18" t="n">
        <v>372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5" t="inlineStr">
        <is>
          <t xml:space="preserve">  BALANCE SHEET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4" t="inlineStr">
        <is>
          <t>Cash &amp; ST Investments</t>
        </is>
      </c>
      <c r="B42" s="18" t="n">
        <v>2288</v>
      </c>
      <c r="C42" s="18" t="n">
        <v>1273</v>
      </c>
      <c r="D42" s="18" t="n">
        <v>2399</v>
      </c>
      <c r="E42" s="18" t="n">
        <v>2981</v>
      </c>
      <c r="F42" s="18" t="n">
        <v>5818</v>
      </c>
      <c r="G42" s="18" t="n">
        <v>7540</v>
      </c>
      <c r="H42" s="18" t="n">
        <v>10325</v>
      </c>
      <c r="I42" s="18" t="n">
        <v>5583</v>
      </c>
      <c r="J42" s="18" t="n">
        <v>7023</v>
      </c>
      <c r="K42" s="18" t="n">
        <v>12027</v>
      </c>
      <c r="L42" s="18" t="n">
        <v>4477</v>
      </c>
      <c r="M42" s="18" t="n">
        <v>2752</v>
      </c>
      <c r="N42" s="18" t="n">
        <v>1888</v>
      </c>
      <c r="O42" s="18" t="n">
        <v>2919</v>
      </c>
      <c r="P42" s="18" t="n">
        <v>8524</v>
      </c>
      <c r="Q42" s="18" t="n">
        <v>3482</v>
      </c>
      <c r="R42" s="18" t="n">
        <v>3133</v>
      </c>
      <c r="S42" s="18" t="n">
        <v>6151</v>
      </c>
      <c r="T42" s="18" t="n">
        <v>8077</v>
      </c>
      <c r="U42" s="18" t="n">
        <v>7257</v>
      </c>
      <c r="V42" s="18" t="n">
        <v>8834</v>
      </c>
      <c r="W42" s="18" t="n">
        <v>6645</v>
      </c>
      <c r="X42" s="18" t="n">
        <v>5580</v>
      </c>
      <c r="Y42" s="18" t="n">
        <v>5947</v>
      </c>
      <c r="Z42" s="18" t="n">
        <v>6393</v>
      </c>
      <c r="AA42" s="18" t="n">
        <v>3546</v>
      </c>
      <c r="AB42" s="18" t="n">
        <v>10110</v>
      </c>
      <c r="AC42" s="18" t="n">
        <v>3256</v>
      </c>
    </row>
    <row r="43">
      <c r="A43" s="4" t="inlineStr">
        <is>
          <t>Total Current Assets</t>
        </is>
      </c>
      <c r="B43" s="18" t="n">
        <v>11223</v>
      </c>
      <c r="C43" s="18" t="n">
        <v>10514</v>
      </c>
      <c r="D43" s="18" t="n">
        <v>11893</v>
      </c>
      <c r="E43" s="18" t="n">
        <v>12738</v>
      </c>
      <c r="F43" s="18" t="n">
        <v>15775</v>
      </c>
      <c r="G43" s="18" t="n">
        <v>18234</v>
      </c>
      <c r="H43" s="18" t="n">
        <v>21957</v>
      </c>
      <c r="I43" s="18" t="n">
        <v>17685</v>
      </c>
      <c r="J43" s="18" t="n">
        <v>19260</v>
      </c>
      <c r="K43" s="18" t="n">
        <v>24724</v>
      </c>
      <c r="L43" s="18" t="n">
        <v>20113</v>
      </c>
      <c r="M43" s="18" t="n">
        <v>18776</v>
      </c>
      <c r="N43" s="18" t="n">
        <v>18100</v>
      </c>
      <c r="O43" s="18" t="n">
        <v>19299</v>
      </c>
      <c r="P43" s="18" t="n">
        <v>25229</v>
      </c>
      <c r="Q43" s="18" t="n">
        <v>20209</v>
      </c>
      <c r="R43" s="18" t="n">
        <v>19995</v>
      </c>
      <c r="S43" s="18" t="n">
        <v>23092</v>
      </c>
      <c r="T43" s="18" t="n">
        <v>24589</v>
      </c>
      <c r="U43" s="18" t="n">
        <v>23640</v>
      </c>
      <c r="V43" s="18" t="n">
        <v>25476</v>
      </c>
      <c r="W43" s="18" t="n">
        <v>23783</v>
      </c>
      <c r="X43" s="18" t="n">
        <v>22137</v>
      </c>
      <c r="Y43" s="18" t="n">
        <v>23378</v>
      </c>
      <c r="Z43" s="18" t="n">
        <v>24584</v>
      </c>
      <c r="AA43" s="18" t="n">
        <v>22295</v>
      </c>
      <c r="AB43" s="18" t="n">
        <v>28707</v>
      </c>
      <c r="AC43" s="18" t="n">
        <v>22316</v>
      </c>
    </row>
    <row r="44">
      <c r="A44" s="4" t="inlineStr">
        <is>
          <t>PP&amp;E (net)</t>
        </is>
      </c>
      <c r="B44" s="18" t="n">
        <v>5027</v>
      </c>
      <c r="C44" s="18" t="n">
        <v>5065</v>
      </c>
      <c r="D44" s="18" t="n">
        <v>5448</v>
      </c>
      <c r="E44" s="18" t="n">
        <v>4736</v>
      </c>
      <c r="F44" s="18" t="n">
        <v>4887</v>
      </c>
      <c r="G44" s="18" t="n">
        <v>5180</v>
      </c>
      <c r="H44" s="18" t="n">
        <v>6687</v>
      </c>
      <c r="I44" s="18" t="n">
        <v>6133</v>
      </c>
      <c r="J44" s="18" t="n">
        <v>6560</v>
      </c>
      <c r="K44" s="18" t="n">
        <v>7049</v>
      </c>
      <c r="L44" s="18" t="n">
        <v>9864</v>
      </c>
      <c r="M44" s="18" t="n">
        <v>8448</v>
      </c>
      <c r="N44" s="18" t="n">
        <v>8529</v>
      </c>
      <c r="O44" s="18" t="n">
        <v>8628</v>
      </c>
      <c r="P44" s="18" t="n">
        <v>10873</v>
      </c>
      <c r="Q44" s="18" t="n">
        <v>9354</v>
      </c>
      <c r="R44" s="18" t="n">
        <v>9292</v>
      </c>
      <c r="S44" s="18" t="n">
        <v>9167</v>
      </c>
      <c r="T44" s="18" t="n">
        <v>11004</v>
      </c>
      <c r="U44" s="18" t="n">
        <v>9324</v>
      </c>
      <c r="V44" s="18" t="n">
        <v>9282</v>
      </c>
      <c r="W44" s="18" t="n">
        <v>9412</v>
      </c>
      <c r="X44" s="18" t="n">
        <v>10795</v>
      </c>
      <c r="Y44" s="18" t="n">
        <v>9331</v>
      </c>
      <c r="Z44" s="18" t="n">
        <v>9635</v>
      </c>
      <c r="AA44" s="18" t="n">
        <v>10177</v>
      </c>
      <c r="AB44" s="18" t="n">
        <v>12012</v>
      </c>
      <c r="AC44" s="18" t="n">
        <v>10658</v>
      </c>
    </row>
    <row r="45">
      <c r="A45" s="4" t="inlineStr">
        <is>
          <t>Total Assets</t>
        </is>
      </c>
      <c r="B45" s="18" t="n">
        <v>57970</v>
      </c>
      <c r="C45" s="18" t="n">
        <v>56729</v>
      </c>
      <c r="D45" s="18" t="n">
        <v>58381</v>
      </c>
      <c r="E45" s="18" t="n">
        <v>58688</v>
      </c>
      <c r="F45" s="18" t="n">
        <v>61593</v>
      </c>
      <c r="G45" s="18" t="n">
        <v>64061</v>
      </c>
      <c r="H45" s="18" t="n">
        <v>69052</v>
      </c>
      <c r="I45" s="18" t="n">
        <v>65931</v>
      </c>
      <c r="J45" s="18" t="n">
        <v>67698</v>
      </c>
      <c r="K45" s="18" t="n">
        <v>73600</v>
      </c>
      <c r="L45" s="18" t="n">
        <v>95123</v>
      </c>
      <c r="M45" s="18" t="n">
        <v>92747</v>
      </c>
      <c r="N45" s="18" t="n">
        <v>90579</v>
      </c>
      <c r="O45" s="18" t="n">
        <v>90536</v>
      </c>
      <c r="P45" s="18" t="n">
        <v>97154</v>
      </c>
      <c r="Q45" s="18" t="n">
        <v>94658</v>
      </c>
      <c r="R45" s="18" t="n">
        <v>94105</v>
      </c>
      <c r="S45" s="18" t="n">
        <v>97057</v>
      </c>
      <c r="T45" s="18" t="n">
        <v>98726</v>
      </c>
      <c r="U45" s="18" t="n">
        <v>97095</v>
      </c>
      <c r="V45" s="18" t="n">
        <v>98496</v>
      </c>
      <c r="W45" s="18" t="n">
        <v>100364</v>
      </c>
      <c r="X45" s="18" t="n">
        <v>97321</v>
      </c>
      <c r="Y45" s="18" t="n">
        <v>99041</v>
      </c>
      <c r="Z45" s="18" t="n">
        <v>101230</v>
      </c>
      <c r="AA45" s="18" t="n">
        <v>103020</v>
      </c>
      <c r="AB45" s="18" t="n">
        <v>110343</v>
      </c>
      <c r="AC45" s="18" t="n">
        <v>113281</v>
      </c>
    </row>
    <row r="46">
      <c r="A46" s="4" t="inlineStr">
        <is>
          <t>Total Current Liabilities</t>
        </is>
      </c>
      <c r="B46" s="18" t="n">
        <v>7509</v>
      </c>
      <c r="C46" s="18" t="n">
        <v>5844</v>
      </c>
      <c r="D46" s="18" t="n">
        <v>6197</v>
      </c>
      <c r="E46" s="18" t="n">
        <v>5500</v>
      </c>
      <c r="F46" s="18" t="n">
        <v>6013</v>
      </c>
      <c r="G46" s="18" t="n">
        <v>6228</v>
      </c>
      <c r="H46" s="18" t="n">
        <v>10304</v>
      </c>
      <c r="I46" s="18" t="n">
        <v>6995</v>
      </c>
      <c r="J46" s="18" t="n">
        <v>6925</v>
      </c>
      <c r="K46" s="18" t="n">
        <v>7753</v>
      </c>
      <c r="L46" s="18" t="n">
        <v>13436</v>
      </c>
      <c r="M46" s="18" t="n">
        <v>12070</v>
      </c>
      <c r="N46" s="18" t="n">
        <v>10997</v>
      </c>
      <c r="O46" s="18" t="n">
        <v>11118</v>
      </c>
      <c r="P46" s="18" t="n">
        <v>17010</v>
      </c>
      <c r="Q46" s="18" t="n">
        <v>15884</v>
      </c>
      <c r="R46" s="18" t="n">
        <v>14112</v>
      </c>
      <c r="S46" s="18" t="n">
        <v>14158</v>
      </c>
      <c r="T46" s="18" t="n">
        <v>14012</v>
      </c>
      <c r="U46" s="18" t="n">
        <v>13937</v>
      </c>
      <c r="V46" s="18" t="n">
        <v>14772</v>
      </c>
      <c r="W46" s="18" t="n">
        <v>14601</v>
      </c>
      <c r="X46" s="18" t="n">
        <v>13332</v>
      </c>
      <c r="Y46" s="18" t="n">
        <v>13174</v>
      </c>
      <c r="Z46" s="18" t="n">
        <v>12718</v>
      </c>
      <c r="AA46" s="18" t="n">
        <v>14888</v>
      </c>
      <c r="AB46" s="18" t="n">
        <v>15189</v>
      </c>
      <c r="AC46" s="18" t="n">
        <v>14621</v>
      </c>
    </row>
    <row r="47">
      <c r="A47" s="4" t="inlineStr">
        <is>
          <t>Long-term Debt</t>
        </is>
      </c>
      <c r="B47" s="18" t="n">
        <v>16663</v>
      </c>
      <c r="C47" s="18" t="n">
        <v>16392</v>
      </c>
      <c r="D47" s="18" t="n">
        <v>17076</v>
      </c>
      <c r="E47" s="18" t="n">
        <v>19231</v>
      </c>
      <c r="F47" s="18" t="n">
        <v>20638</v>
      </c>
      <c r="G47" s="18" t="n">
        <v>21091</v>
      </c>
      <c r="H47" s="18" t="n">
        <v>19107</v>
      </c>
      <c r="I47" s="18" t="n">
        <v>18641</v>
      </c>
      <c r="J47" s="18" t="n">
        <v>18773</v>
      </c>
      <c r="K47" s="18" t="n">
        <v>21688</v>
      </c>
      <c r="L47" s="18" t="n">
        <v>32148</v>
      </c>
      <c r="M47" s="18" t="n">
        <v>31389</v>
      </c>
      <c r="N47" s="18" t="n">
        <v>29250</v>
      </c>
      <c r="O47" s="18" t="n">
        <v>28150</v>
      </c>
      <c r="P47" s="18" t="n">
        <v>28909</v>
      </c>
      <c r="Q47" s="18" t="n">
        <v>29135</v>
      </c>
      <c r="R47" s="18" t="n">
        <v>29194</v>
      </c>
      <c r="S47" s="18" t="n">
        <v>30489</v>
      </c>
      <c r="T47" s="18" t="n">
        <v>31308</v>
      </c>
      <c r="U47" s="18" t="n">
        <v>31157</v>
      </c>
      <c r="V47" s="18" t="n">
        <v>30284</v>
      </c>
      <c r="W47" s="18" t="n">
        <v>31197</v>
      </c>
      <c r="X47" s="18" t="n">
        <v>29061</v>
      </c>
      <c r="Y47" s="18" t="n">
        <v>31370</v>
      </c>
      <c r="Z47" s="18" t="n">
        <v>33015</v>
      </c>
      <c r="AA47" s="18" t="n">
        <v>31857</v>
      </c>
      <c r="AB47" s="18" t="n">
        <v>35852</v>
      </c>
      <c r="AC47" s="18" t="n">
        <v>40071</v>
      </c>
    </row>
    <row r="48">
      <c r="A48" s="4" t="inlineStr">
        <is>
          <t>Total Equity</t>
        </is>
      </c>
      <c r="B48" s="18" t="n">
        <v>28729</v>
      </c>
      <c r="C48" s="18" t="n">
        <v>29355</v>
      </c>
      <c r="D48" s="18" t="n">
        <v>29675</v>
      </c>
      <c r="E48" s="18" t="n">
        <v>28559</v>
      </c>
      <c r="F48" s="18" t="n">
        <v>29875</v>
      </c>
      <c r="G48" s="18" t="n">
        <v>31824</v>
      </c>
      <c r="H48" s="18" t="n">
        <v>34507</v>
      </c>
      <c r="I48" s="18" t="n">
        <v>35058</v>
      </c>
      <c r="J48" s="18" t="n">
        <v>36854</v>
      </c>
      <c r="K48" s="18" t="n">
        <v>38710</v>
      </c>
      <c r="L48" s="18" t="n">
        <v>40793</v>
      </c>
      <c r="M48" s="18" t="n">
        <v>40956</v>
      </c>
      <c r="N48" s="18" t="n">
        <v>42293</v>
      </c>
      <c r="O48" s="18" t="n">
        <v>43549</v>
      </c>
      <c r="P48" s="18" t="n">
        <v>43978</v>
      </c>
      <c r="Q48" s="18" t="n">
        <v>42257</v>
      </c>
      <c r="R48" s="18" t="n">
        <v>43752</v>
      </c>
      <c r="S48" s="18" t="n">
        <v>45328</v>
      </c>
      <c r="T48" s="18" t="n">
        <v>46735</v>
      </c>
      <c r="U48" s="18" t="n">
        <v>45516</v>
      </c>
      <c r="V48" s="18" t="n">
        <v>47432</v>
      </c>
      <c r="W48" s="18" t="n">
        <v>48992</v>
      </c>
      <c r="X48" s="18" t="n">
        <v>49584</v>
      </c>
      <c r="Y48" s="18" t="n">
        <v>49390</v>
      </c>
      <c r="Z48" s="18" t="n">
        <v>50511</v>
      </c>
      <c r="AA48" s="18" t="n">
        <v>51024</v>
      </c>
      <c r="AB48" s="18" t="n">
        <v>53407</v>
      </c>
      <c r="AC48" s="18" t="n">
        <v>51940</v>
      </c>
    </row>
    <row r="49">
      <c r="A49" s="5" t="inlineStr">
        <is>
          <t xml:space="preserve">  CASH FLOW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D&amp;A</t>
        </is>
      </c>
      <c r="B50" s="18" t="n">
        <v>571</v>
      </c>
      <c r="C50" s="18" t="n">
        <v>575</v>
      </c>
      <c r="D50" s="18" t="n">
        <v>576</v>
      </c>
      <c r="E50" s="18" t="n">
        <v>574</v>
      </c>
      <c r="F50" s="18" t="n">
        <v>574</v>
      </c>
      <c r="G50" s="18" t="n">
        <v>575</v>
      </c>
      <c r="H50" s="18" t="n">
        <v>602</v>
      </c>
      <c r="I50" s="18" t="n">
        <v>621</v>
      </c>
      <c r="J50" s="18" t="n">
        <v>660</v>
      </c>
      <c r="K50" s="18" t="n">
        <v>628</v>
      </c>
      <c r="L50" s="18" t="n">
        <v>683</v>
      </c>
      <c r="M50" s="18" t="n">
        <v>859</v>
      </c>
      <c r="N50" s="18" t="n">
        <v>836</v>
      </c>
      <c r="O50" s="18" t="n">
        <v>838</v>
      </c>
      <c r="P50" s="18" t="n">
        <v>848</v>
      </c>
      <c r="Q50" s="18" t="n">
        <v>859</v>
      </c>
      <c r="R50" s="18" t="n">
        <v>855</v>
      </c>
      <c r="S50" s="18" t="n">
        <v>853</v>
      </c>
      <c r="T50" s="18" t="n">
        <v>839</v>
      </c>
      <c r="U50" s="18" t="n">
        <v>836</v>
      </c>
      <c r="V50" s="18" t="n">
        <v>790</v>
      </c>
      <c r="W50" s="18" t="n">
        <v>740</v>
      </c>
      <c r="X50" s="18" t="n">
        <v>740</v>
      </c>
      <c r="Y50" s="18" t="n">
        <v>706</v>
      </c>
      <c r="Z50" s="18" t="n">
        <v>685</v>
      </c>
      <c r="AA50" s="18" t="n">
        <v>662</v>
      </c>
      <c r="AB50" s="18" t="n">
        <v>727</v>
      </c>
      <c r="AC50" s="18" t="n">
        <v>736</v>
      </c>
    </row>
    <row r="51">
      <c r="A51" s="4" t="inlineStr">
        <is>
          <t>Stock-based Compensation</t>
        </is>
      </c>
      <c r="B51" s="18" t="n">
        <v>52</v>
      </c>
      <c r="C51" s="18" t="n">
        <v>42</v>
      </c>
      <c r="D51" s="18" t="n">
        <v>43</v>
      </c>
      <c r="E51" s="18" t="n">
        <v>46</v>
      </c>
      <c r="F51" s="18" t="n">
        <v>47</v>
      </c>
      <c r="G51" s="18" t="n">
        <v>52</v>
      </c>
      <c r="H51" s="18" t="n">
        <v>51</v>
      </c>
      <c r="I51" s="18" t="n">
        <v>51</v>
      </c>
      <c r="J51" s="18" t="n">
        <v>51</v>
      </c>
      <c r="K51" s="18" t="n">
        <v>51</v>
      </c>
      <c r="L51" s="18" t="n">
        <v>77</v>
      </c>
      <c r="M51" s="18" t="n">
        <v>78</v>
      </c>
      <c r="N51" s="18" t="n">
        <v>77</v>
      </c>
      <c r="O51" s="18" t="n">
        <v>77</v>
      </c>
      <c r="P51" s="18" t="n">
        <v>75</v>
      </c>
      <c r="Q51" s="18" t="n">
        <v>76</v>
      </c>
      <c r="R51" s="18" t="n">
        <v>74</v>
      </c>
      <c r="S51" s="18" t="n">
        <v>67</v>
      </c>
      <c r="T51" s="18" t="n">
        <v>61</v>
      </c>
      <c r="U51" s="18" t="n">
        <v>70</v>
      </c>
      <c r="V51" s="18" t="n">
        <v>84</v>
      </c>
      <c r="W51" s="18" t="n">
        <v>68</v>
      </c>
      <c r="X51" s="18" t="n">
        <v>0</v>
      </c>
      <c r="Y51" s="18" t="n">
        <v>0</v>
      </c>
      <c r="Z51" s="18" t="n">
        <v>0</v>
      </c>
      <c r="AA51" s="18" t="n">
        <v>0</v>
      </c>
      <c r="AB51" s="18" t="n">
        <v>0</v>
      </c>
      <c r="AC51" s="18" t="n">
        <v>0</v>
      </c>
    </row>
    <row r="52">
      <c r="A52" s="4" t="inlineStr">
        <is>
          <t>Change in Working Capital</t>
        </is>
      </c>
      <c r="B52" s="18" t="n">
        <v>286</v>
      </c>
      <c r="C52" s="18" t="n">
        <v>-363</v>
      </c>
      <c r="D52" s="18" t="n">
        <v>135</v>
      </c>
      <c r="E52" s="18" t="n">
        <v>-1075</v>
      </c>
      <c r="F52" s="18" t="n">
        <v>341</v>
      </c>
      <c r="G52" s="18" t="n">
        <v>226</v>
      </c>
      <c r="H52" s="18" t="n">
        <v>113</v>
      </c>
      <c r="I52" s="18" t="n">
        <v>-1321</v>
      </c>
      <c r="J52" s="18" t="n">
        <v>-126</v>
      </c>
      <c r="K52" s="18" t="n">
        <v>237</v>
      </c>
      <c r="L52" s="18" t="n">
        <v>-348</v>
      </c>
      <c r="M52" s="18" t="n">
        <v>-875</v>
      </c>
      <c r="N52" s="18" t="n">
        <v>-849</v>
      </c>
      <c r="O52" s="18" t="n">
        <v>-367</v>
      </c>
      <c r="P52" s="18" t="n">
        <v>1042</v>
      </c>
      <c r="Q52" s="18" t="n">
        <v>-1533</v>
      </c>
      <c r="R52" s="18" t="n">
        <v>-718</v>
      </c>
      <c r="S52" s="18" t="n">
        <v>-9</v>
      </c>
      <c r="T52" s="18" t="n">
        <v>1723</v>
      </c>
      <c r="U52" s="18" t="n">
        <v>-787</v>
      </c>
      <c r="V52" s="18" t="n">
        <v>-216</v>
      </c>
      <c r="W52" s="18" t="n">
        <v>30</v>
      </c>
      <c r="X52" s="18" t="n">
        <v>594</v>
      </c>
      <c r="Y52" s="18" t="n">
        <v>-1425</v>
      </c>
      <c r="Z52" s="18" t="n">
        <v>-726</v>
      </c>
      <c r="AA52" s="18" t="n">
        <v>2151</v>
      </c>
      <c r="AB52" s="18" t="n">
        <v>447</v>
      </c>
      <c r="AC52" s="18" t="n">
        <v>-1112</v>
      </c>
    </row>
    <row r="53">
      <c r="A53" s="4" t="inlineStr">
        <is>
          <t>Operating Cash Flow</t>
        </is>
      </c>
      <c r="B53" s="18" t="n">
        <v>1294</v>
      </c>
      <c r="C53" s="18" t="n">
        <v>1117</v>
      </c>
      <c r="D53" s="18" t="n">
        <v>1913</v>
      </c>
      <c r="E53" s="18" t="n">
        <v>356</v>
      </c>
      <c r="F53" s="18" t="n">
        <v>1886</v>
      </c>
      <c r="G53" s="18" t="n">
        <v>2708</v>
      </c>
      <c r="H53" s="18" t="n">
        <v>3339</v>
      </c>
      <c r="I53" s="18" t="n">
        <v>1978</v>
      </c>
      <c r="J53" s="18" t="n">
        <v>2227</v>
      </c>
      <c r="K53" s="18" t="n">
        <v>2650</v>
      </c>
      <c r="L53" s="18" t="n">
        <v>2688</v>
      </c>
      <c r="M53" s="18" t="n">
        <v>2202</v>
      </c>
      <c r="N53" s="18" t="n">
        <v>1528</v>
      </c>
      <c r="O53" s="18" t="n">
        <v>1937</v>
      </c>
      <c r="P53" s="18" t="n">
        <v>3487</v>
      </c>
      <c r="Q53" s="18" t="n">
        <v>729</v>
      </c>
      <c r="R53" s="18" t="n">
        <v>1540</v>
      </c>
      <c r="S53" s="18" t="n">
        <v>2414</v>
      </c>
      <c r="T53" s="18" t="n">
        <v>3723</v>
      </c>
      <c r="U53" s="18" t="n">
        <v>1251</v>
      </c>
      <c r="V53" s="18" t="n">
        <v>1960</v>
      </c>
      <c r="W53" s="18" t="n">
        <v>2166</v>
      </c>
      <c r="X53" s="18" t="n">
        <v>3290</v>
      </c>
      <c r="Y53" s="18" t="n">
        <v>723</v>
      </c>
      <c r="Z53" s="18" t="n">
        <v>1399</v>
      </c>
      <c r="AA53" s="18" t="n">
        <v>2239</v>
      </c>
      <c r="AB53" s="18" t="n">
        <v>3457</v>
      </c>
      <c r="AC53" s="18" t="n">
        <v>1192</v>
      </c>
    </row>
    <row r="54">
      <c r="A54" s="4" t="inlineStr">
        <is>
          <t>Capex</t>
        </is>
      </c>
      <c r="B54" s="18" t="n">
        <v>-220</v>
      </c>
      <c r="C54" s="18" t="n">
        <v>-216</v>
      </c>
      <c r="D54" s="18" t="n">
        <v>-289</v>
      </c>
      <c r="E54" s="18" t="n">
        <v>-253</v>
      </c>
      <c r="F54" s="18" t="n">
        <v>-269</v>
      </c>
      <c r="G54" s="18" t="n">
        <v>-366</v>
      </c>
      <c r="H54" s="18" t="n">
        <v>-586</v>
      </c>
      <c r="I54" s="18" t="n">
        <v>-628</v>
      </c>
      <c r="J54" s="18" t="n">
        <v>-540</v>
      </c>
      <c r="K54" s="18" t="n">
        <v>-524</v>
      </c>
      <c r="L54" s="18" t="n">
        <v>-831</v>
      </c>
      <c r="M54" s="18" t="n">
        <v>-640</v>
      </c>
      <c r="N54" s="18" t="n">
        <v>-506</v>
      </c>
      <c r="O54" s="18" t="n">
        <v>-547</v>
      </c>
      <c r="P54" s="18" t="n">
        <v>-550</v>
      </c>
      <c r="Q54" s="18" t="n">
        <v>-458</v>
      </c>
      <c r="R54" s="18" t="n">
        <v>-284</v>
      </c>
      <c r="S54" s="18" t="n">
        <v>-332</v>
      </c>
      <c r="T54" s="18" t="n">
        <v>-405</v>
      </c>
      <c r="U54" s="18" t="n">
        <v>-347</v>
      </c>
      <c r="V54" s="18" t="n">
        <v>-301</v>
      </c>
      <c r="W54" s="18" t="n">
        <v>-272</v>
      </c>
      <c r="X54" s="18" t="n">
        <v>-480</v>
      </c>
      <c r="Y54" s="18" t="n">
        <v>-362</v>
      </c>
      <c r="Z54" s="18" t="n">
        <v>-294</v>
      </c>
      <c r="AA54" s="18" t="n">
        <v>-404</v>
      </c>
      <c r="AB54" s="18" t="n">
        <v>-465</v>
      </c>
      <c r="AC54" s="18" t="n">
        <v>-376</v>
      </c>
    </row>
    <row r="55">
      <c r="A55" s="4" t="inlineStr">
        <is>
          <t>Free Cash Flow</t>
        </is>
      </c>
      <c r="B55" s="18" t="n">
        <v>1074</v>
      </c>
      <c r="C55" s="18" t="n">
        <v>901</v>
      </c>
      <c r="D55" s="18" t="n">
        <v>1624</v>
      </c>
      <c r="E55" s="18" t="n">
        <v>103</v>
      </c>
      <c r="F55" s="18" t="n">
        <v>1617</v>
      </c>
      <c r="G55" s="18" t="n">
        <v>2342</v>
      </c>
      <c r="H55" s="18" t="n">
        <v>2753</v>
      </c>
      <c r="I55" s="18" t="n">
        <v>1350</v>
      </c>
      <c r="J55" s="18" t="n">
        <v>1687</v>
      </c>
      <c r="K55" s="18" t="n">
        <v>2126</v>
      </c>
      <c r="L55" s="18" t="n">
        <v>1857</v>
      </c>
      <c r="M55" s="18" t="n">
        <v>1562</v>
      </c>
      <c r="N55" s="18" t="n">
        <v>1022</v>
      </c>
      <c r="O55" s="18" t="n">
        <v>1390</v>
      </c>
      <c r="P55" s="18" t="n">
        <v>2937</v>
      </c>
      <c r="Q55" s="18" t="n">
        <v>271</v>
      </c>
      <c r="R55" s="18" t="n">
        <v>1256</v>
      </c>
      <c r="S55" s="18" t="n">
        <v>2082</v>
      </c>
      <c r="T55" s="18" t="n">
        <v>3318</v>
      </c>
      <c r="U55" s="18" t="n">
        <v>904</v>
      </c>
      <c r="V55" s="18" t="n">
        <v>1659</v>
      </c>
      <c r="W55" s="18" t="n">
        <v>1894</v>
      </c>
      <c r="X55" s="18" t="n">
        <v>2810</v>
      </c>
      <c r="Y55" s="18" t="n">
        <v>361</v>
      </c>
      <c r="Z55" s="18" t="n">
        <v>1105</v>
      </c>
      <c r="AA55" s="18" t="n">
        <v>1835</v>
      </c>
      <c r="AB55" s="18" t="n">
        <v>2992</v>
      </c>
      <c r="AC55" s="18" t="n">
        <v>816</v>
      </c>
    </row>
    <row r="57">
      <c r="A5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47782.941887</v>
      </c>
      <c r="C4" s="18" t="n">
        <v>50395.780317</v>
      </c>
      <c r="D4" s="18" t="n">
        <v>53572.957607</v>
      </c>
      <c r="E4" s="18" t="n">
        <v>56468.230331</v>
      </c>
      <c r="F4" s="18" t="n">
        <v>58183</v>
      </c>
    </row>
    <row r="5">
      <c r="A5" s="4" t="inlineStr">
        <is>
          <t xml:space="preserve">  model</t>
        </is>
      </c>
      <c r="B5" s="34">
        <f>Model!G10</f>
        <v/>
      </c>
      <c r="C5" s="34">
        <f>Model!H10</f>
        <v/>
      </c>
      <c r="D5" s="34">
        <f>Model!I10</f>
        <v/>
      </c>
      <c r="E5" s="34">
        <f>Model!J10</f>
        <v/>
      </c>
      <c r="F5" s="34">
        <f>Model!K10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13043.554043</v>
      </c>
      <c r="C8" s="18" t="n">
        <v>13756.793914</v>
      </c>
      <c r="D8" s="18" t="n">
        <v>14624.084249</v>
      </c>
      <c r="E8" s="18" t="n">
        <v>15414.421653</v>
      </c>
      <c r="F8" s="18" t="n">
        <v>15882.5111</v>
      </c>
    </row>
    <row r="9">
      <c r="A9" s="4" t="inlineStr">
        <is>
          <t xml:space="preserve">  model</t>
        </is>
      </c>
      <c r="B9" s="34">
        <f>Model!G23+Model!G28</f>
        <v/>
      </c>
      <c r="C9" s="34">
        <f>Model!H23+Model!H28</f>
        <v/>
      </c>
      <c r="D9" s="34">
        <f>Model!I23+Model!I28</f>
        <v/>
      </c>
      <c r="E9" s="34">
        <f>Model!J23+Model!J28</f>
        <v/>
      </c>
      <c r="F9" s="34">
        <f>Model!K23+Model!K28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9643.99417</v>
      </c>
      <c r="C12" s="18" t="n">
        <v>10171.341328</v>
      </c>
      <c r="D12" s="18" t="n">
        <v>10812.588561</v>
      </c>
      <c r="E12" s="18" t="n">
        <v>11396.939213</v>
      </c>
      <c r="F12" s="18" t="n">
        <v>11743.029848</v>
      </c>
    </row>
    <row r="13">
      <c r="A13" s="4" t="inlineStr">
        <is>
          <t xml:space="preserve">  model</t>
        </is>
      </c>
      <c r="B13" s="34">
        <f>Model!G23</f>
        <v/>
      </c>
      <c r="C13" s="34">
        <f>Model!H23</f>
        <v/>
      </c>
      <c r="D13" s="34">
        <f>Model!I23</f>
        <v/>
      </c>
      <c r="E13" s="34">
        <f>Model!J23</f>
        <v/>
      </c>
      <c r="F13" s="34">
        <f>Model!K23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9214.902447</v>
      </c>
      <c r="C16" s="18" t="n">
        <v>9718.786265999999</v>
      </c>
      <c r="D16" s="18" t="n">
        <v>10331.502387</v>
      </c>
      <c r="E16" s="18" t="n">
        <v>10889.853435</v>
      </c>
      <c r="F16" s="18" t="n">
        <v>11220.545406</v>
      </c>
    </row>
    <row r="17">
      <c r="A17" s="4" t="inlineStr">
        <is>
          <t xml:space="preserve">  model</t>
        </is>
      </c>
      <c r="B17" s="34">
        <f>Model!G18</f>
        <v/>
      </c>
      <c r="C17" s="34">
        <f>Model!H18</f>
        <v/>
      </c>
      <c r="D17" s="34">
        <f>Model!I18</f>
        <v/>
      </c>
      <c r="E17" s="34">
        <f>Model!J18</f>
        <v/>
      </c>
      <c r="F17" s="34">
        <f>Model!K18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9487.4029495</v>
      </c>
      <c r="C20" s="18" t="n">
        <v>10282.825827</v>
      </c>
      <c r="D20" s="18" t="n">
        <v>11343.4700895</v>
      </c>
      <c r="E20" s="18" t="n">
        <v>12736.134483</v>
      </c>
      <c r="F20" s="18" t="n">
        <v>14244.315447</v>
      </c>
    </row>
    <row r="21">
      <c r="A21" s="4" t="inlineStr">
        <is>
          <t xml:space="preserve">  model</t>
        </is>
      </c>
      <c r="B21" s="34">
        <f>Model!G27</f>
        <v/>
      </c>
      <c r="C21" s="34">
        <f>Model!H27</f>
        <v/>
      </c>
      <c r="D21" s="34">
        <f>Model!I27</f>
        <v/>
      </c>
      <c r="E21" s="34">
        <f>Model!J27</f>
        <v/>
      </c>
      <c r="F21" s="34">
        <f>Model!K27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24.86653</v>
      </c>
      <c r="C24" s="48" t="n">
        <v>27.23548</v>
      </c>
      <c r="D24" s="48" t="n">
        <v>30.048</v>
      </c>
      <c r="E24" s="48" t="n">
        <v>33.78285</v>
      </c>
      <c r="F24" s="48" t="n">
        <v>37.78333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Thermo Fisher Scientific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Model!G35</f>
        <v/>
      </c>
      <c r="D12" s="34">
        <f>Model!H35</f>
        <v/>
      </c>
      <c r="E12" s="34">
        <f>Model!I35</f>
        <v/>
      </c>
      <c r="F12" s="34">
        <f>Model!J35</f>
        <v/>
      </c>
      <c r="G12" s="34">
        <f>Model!K35</f>
        <v/>
      </c>
      <c r="H12" s="34">
        <f>Model!L35</f>
        <v/>
      </c>
      <c r="I12" s="34">
        <f>Model!M35</f>
        <v/>
      </c>
      <c r="J12" s="34">
        <f>Model!N35</f>
        <v/>
      </c>
      <c r="K12" s="34">
        <f>Model!O35</f>
        <v/>
      </c>
      <c r="L12" s="34">
        <f>Model!P35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Model!P10</f>
        <v/>
      </c>
    </row>
    <row r="21">
      <c r="A21" s="4" t="inlineStr">
        <is>
          <t>Terminal EBIT</t>
        </is>
      </c>
      <c r="B21" s="34">
        <f>Model!P23</f>
        <v/>
      </c>
    </row>
    <row r="22">
      <c r="A22" s="4" t="inlineStr">
        <is>
          <t>Terminal EBITDA (SBC-burdened)</t>
        </is>
      </c>
      <c r="B22" s="34">
        <f>Model!P23+Model!P28-Model!P29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Financials!AC42</f>
        <v/>
      </c>
    </row>
    <row r="33">
      <c r="A33" s="4" t="inlineStr">
        <is>
          <t>- Long-term debt</t>
        </is>
      </c>
      <c r="B33" s="34">
        <f>-Financials!AC47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0.05925290674200083</v>
      </c>
      <c r="C4" s="52" t="n">
        <v>0.06425290674200083</v>
      </c>
      <c r="D4" s="52" t="n">
        <v>0.06925290674200082</v>
      </c>
      <c r="E4" s="52" t="n">
        <v>0.07425290674200083</v>
      </c>
      <c r="F4" s="52" t="n">
        <v>0.07925290674200083</v>
      </c>
      <c r="G4" s="52" t="n">
        <v>0.08425290674200082</v>
      </c>
      <c r="H4" s="52" t="n">
        <v>0.08925290674200083</v>
      </c>
    </row>
    <row r="5">
      <c r="A5" s="53" t="n">
        <v>12.5</v>
      </c>
      <c r="B5" s="54" t="n">
        <v>441.2389358662862</v>
      </c>
      <c r="C5" s="54" t="n">
        <v>420.7461359518995</v>
      </c>
      <c r="D5" s="54" t="n">
        <v>401.2136815157696</v>
      </c>
      <c r="E5" s="54" t="n">
        <v>382.5909832485135</v>
      </c>
      <c r="F5" s="54" t="n">
        <v>364.8303680275876</v>
      </c>
      <c r="G5" s="54" t="n">
        <v>347.8868973465355</v>
      </c>
      <c r="H5" s="54" t="n">
        <v>331.7181978549232</v>
      </c>
    </row>
    <row r="6">
      <c r="A6" s="53" t="n">
        <v>13.5</v>
      </c>
      <c r="B6" s="8" t="n">
        <v>468.2607834544075</v>
      </c>
      <c r="C6" s="54" t="n">
        <v>446.5249678383585</v>
      </c>
      <c r="D6" s="54" t="n">
        <v>425.8121058484942</v>
      </c>
      <c r="E6" s="54" t="n">
        <v>406.0681837884158</v>
      </c>
      <c r="F6" s="54" t="n">
        <v>387.2423061317561</v>
      </c>
      <c r="G6" s="54" t="n">
        <v>369.2865011794049</v>
      </c>
      <c r="H6" s="54" t="n">
        <v>352.1555396888211</v>
      </c>
    </row>
    <row r="7">
      <c r="A7" s="53" t="n">
        <v>14.5</v>
      </c>
      <c r="B7" s="8" t="n">
        <v>495.282631042529</v>
      </c>
      <c r="C7" s="8" t="n">
        <v>472.3037997248177</v>
      </c>
      <c r="D7" s="54" t="n">
        <v>450.4105301812187</v>
      </c>
      <c r="E7" s="54" t="n">
        <v>429.5453843283182</v>
      </c>
      <c r="F7" s="54" t="n">
        <v>409.6542442359246</v>
      </c>
      <c r="G7" s="54" t="n">
        <v>390.6861050122745</v>
      </c>
      <c r="H7" s="54" t="n">
        <v>372.5928815227189</v>
      </c>
    </row>
    <row r="8">
      <c r="A8" s="53" t="n">
        <v>15.5</v>
      </c>
      <c r="B8" s="8" t="n">
        <v>522.3044786306504</v>
      </c>
      <c r="C8" s="8" t="n">
        <v>498.0826316112767</v>
      </c>
      <c r="D8" s="8" t="n">
        <v>475.0089545139432</v>
      </c>
      <c r="E8" s="55" t="n">
        <v>453.0225848682206</v>
      </c>
      <c r="F8" s="54" t="n">
        <v>432.0661823400931</v>
      </c>
      <c r="G8" s="54" t="n">
        <v>412.085708845144</v>
      </c>
      <c r="H8" s="54" t="n">
        <v>393.0302233566168</v>
      </c>
    </row>
    <row r="9">
      <c r="A9" s="53" t="n">
        <v>16.5</v>
      </c>
      <c r="B9" s="8" t="n">
        <v>549.3263262187719</v>
      </c>
      <c r="C9" s="8" t="n">
        <v>523.8614634977359</v>
      </c>
      <c r="D9" s="8" t="n">
        <v>499.6073788466678</v>
      </c>
      <c r="E9" s="8" t="n">
        <v>476.499785408123</v>
      </c>
      <c r="F9" s="54" t="n">
        <v>454.4781204442617</v>
      </c>
      <c r="G9" s="54" t="n">
        <v>433.4853126780135</v>
      </c>
      <c r="H9" s="54" t="n">
        <v>413.4675651905148</v>
      </c>
    </row>
    <row r="10">
      <c r="A10" s="53" t="n">
        <v>17.5</v>
      </c>
      <c r="B10" s="8" t="n">
        <v>576.3481738068932</v>
      </c>
      <c r="C10" s="8" t="n">
        <v>549.640295384195</v>
      </c>
      <c r="D10" s="8" t="n">
        <v>524.2058031793923</v>
      </c>
      <c r="E10" s="8" t="n">
        <v>499.9769859480253</v>
      </c>
      <c r="F10" s="8" t="n">
        <v>476.8900585484302</v>
      </c>
      <c r="G10" s="54" t="n">
        <v>454.8849165108829</v>
      </c>
      <c r="H10" s="54" t="n">
        <v>433.9049070244127</v>
      </c>
    </row>
    <row r="11">
      <c r="A11" s="53" t="n">
        <v>18.5</v>
      </c>
      <c r="B11" s="8" t="n">
        <v>603.3700213950146</v>
      </c>
      <c r="C11" s="8" t="n">
        <v>575.4191272706541</v>
      </c>
      <c r="D11" s="8" t="n">
        <v>548.804227512117</v>
      </c>
      <c r="E11" s="8" t="n">
        <v>523.4541864879276</v>
      </c>
      <c r="F11" s="8" t="n">
        <v>499.3019966525989</v>
      </c>
      <c r="G11" s="8" t="n">
        <v>476.2845203437524</v>
      </c>
      <c r="H11" s="54" t="n">
        <v>454.3422488583105</v>
      </c>
    </row>
    <row r="13">
      <c r="A13" s="3" t="inlineStr">
        <is>
          <t>Current price</t>
        </is>
      </c>
      <c r="B13" s="54" t="n">
        <v>461.6900024414062</v>
      </c>
    </row>
    <row r="14">
      <c r="A14" s="3" t="inlineStr">
        <is>
          <t>Base WACC / multiple</t>
        </is>
      </c>
      <c r="B14" s="56" t="n">
        <v>0.07425290674200083</v>
      </c>
      <c r="C14" s="57" t="n">
        <v>15.5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0.06239339258461262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0.5449294964028778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1.026632042024658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2026-07-06T20:35:48Z</dcterms:created>
  <dcterms:modified xmlns:dcterms="http://purl.org/dc/terms/" xmlns:xsi="http://www.w3.org/2001/XMLSchema-instance" xsi:type="dcterms:W3CDTF">2026-07-06T20:35:48Z</dcterms:modified>
</cp:coreProperties>
</file>