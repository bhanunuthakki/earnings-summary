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GeneDx Holdings Corp. (WGS)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2026-06-08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GeneDx is an exome/genome diagnostics business that has crossed an inflection point — revenue scaled from $203M (FY23) to $428M (FY25) while operating margin compressed losses from -89% to -3%, driven by reimbursement wins in third-party insurance (its largest, fastest-growing channel at +47% YoY). The story is durable double-digit volume growth as whole-genome sequencing penetrates rare-disease and pediatric testing, with operating leverage carrying a high-fixed-cost lab platform from breakeven toward mid-teens-plus mature margins typical of scaled diagnostics players. We fade revenue growth from ~25% near-term toward a ~3.5% mature rate and let margins normalize to 18% as throughput rises on a largely built-out lab footprint.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GeneDx Holdings Corp. (WGS)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Model!G44-WACC!B14</f>
        <v/>
      </c>
      <c r="C15" s="10">
        <f>IF(Model!G44-WACC!B14&lt;0,"!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Diagnostic Test</t>
        </is>
      </c>
      <c r="B20" s="50" t="n">
        <v>0.26</v>
      </c>
      <c r="C20" s="50" t="n">
        <v>0.035</v>
      </c>
      <c r="D20" s="51" t="n">
        <v>0.26</v>
      </c>
      <c r="E20" s="2" t="inlineStr"/>
    </row>
    <row r="21">
      <c r="A21" s="4" t="inlineStr">
        <is>
          <t>Diagnostic Test, Third Party Insurance</t>
        </is>
      </c>
      <c r="B21" s="50" t="n">
        <v>0.3</v>
      </c>
      <c r="C21" s="50" t="n">
        <v>0.04</v>
      </c>
      <c r="D21" s="51" t="n">
        <v>0.3</v>
      </c>
      <c r="E21" s="2" t="inlineStr"/>
    </row>
    <row r="22">
      <c r="A22" s="4" t="inlineStr">
        <is>
          <t>Diagnostic Test, Institutional Customers</t>
        </is>
      </c>
      <c r="B22" s="50" t="n">
        <v>0.1</v>
      </c>
      <c r="C22" s="50" t="n">
        <v>0.03</v>
      </c>
      <c r="D22" s="51" t="n">
        <v>0.1</v>
      </c>
      <c r="E22" s="2" t="inlineStr"/>
    </row>
    <row r="23">
      <c r="A23" s="4" t="inlineStr">
        <is>
          <t>Product and Service, Other</t>
        </is>
      </c>
      <c r="B23" s="50" t="n">
        <v>0.28</v>
      </c>
      <c r="C23" s="50" t="n">
        <v>0.04</v>
      </c>
      <c r="D23" s="51" t="n">
        <v>0.28</v>
      </c>
      <c r="E23" s="2" t="inlineStr"/>
    </row>
    <row r="24">
      <c r="A24" s="4" t="inlineStr">
        <is>
          <t>Diagnostic Test, Self Pay</t>
        </is>
      </c>
      <c r="B24" s="50" t="n">
        <v>0.02</v>
      </c>
      <c r="C24" s="50" t="n">
        <v>0.02</v>
      </c>
      <c r="D24" s="51" t="n">
        <v>0.02</v>
      </c>
      <c r="E24" s="2" t="inlineStr"/>
    </row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0.08</v>
      </c>
      <c r="D29" s="51" t="n">
        <v>0.08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0.18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19.13511112</v>
      </c>
      <c r="D34" s="18" t="n">
        <v>19.13511112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2.072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13</v>
      </c>
    </row>
    <row r="46">
      <c r="A46" s="4" t="inlineStr">
        <is>
          <t>Terminal growth (g)</t>
        </is>
      </c>
      <c r="B46" s="50" t="n">
        <v>0.04</v>
      </c>
    </row>
    <row r="48">
      <c r="A48" s="4" t="inlineStr">
        <is>
          <t>Current price</t>
        </is>
      </c>
      <c r="B48" s="55" t="n">
        <v>52.63000106811523</v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Dashboard!$B$48*Financials!X17</f>
        <v/>
      </c>
    </row>
    <row r="10">
      <c r="A10" s="4" t="inlineStr">
        <is>
          <t>Total debt (D)</t>
        </is>
      </c>
      <c r="B10" s="28">
        <f>Financials!X40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Diagnostic Test</t>
        </is>
      </c>
      <c r="B4" s="28">
        <f>SUM(Financials!D19:G19)</f>
        <v/>
      </c>
      <c r="C4" s="28">
        <f>SUM(Financials!H19:K19)</f>
        <v/>
      </c>
      <c r="D4" s="28">
        <f>SUM(Financials!L19:O19)</f>
        <v/>
      </c>
      <c r="E4" s="28">
        <f>SUM(Financials!P19:S19)</f>
        <v/>
      </c>
      <c r="F4" s="28">
        <f>SUM(Financials!T19:W19)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Diagnostic Test, Third Party Insurance</t>
        </is>
      </c>
      <c r="B6" s="28">
        <f>SUM(Financials!D22:G22)</f>
        <v/>
      </c>
      <c r="C6" s="28">
        <f>SUM(Financials!H22:K22)</f>
        <v/>
      </c>
      <c r="D6" s="28">
        <f>SUM(Financials!L22:O22)</f>
        <v/>
      </c>
      <c r="E6" s="28">
        <f>SUM(Financials!P22:S22)</f>
        <v/>
      </c>
      <c r="F6" s="28">
        <f>SUM(Financials!T22:W22)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Diagnostic Test, Institutional Customers</t>
        </is>
      </c>
      <c r="B8" s="28">
        <f>SUM(Financials!D25:G25)</f>
        <v/>
      </c>
      <c r="C8" s="28">
        <f>SUM(Financials!H25:K25)</f>
        <v/>
      </c>
      <c r="D8" s="28">
        <f>SUM(Financials!L25:O25)</f>
        <v/>
      </c>
      <c r="E8" s="28">
        <f>SUM(Financials!P25:S25)</f>
        <v/>
      </c>
      <c r="F8" s="28">
        <f>SUM(Financials!T25:W25)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4" t="inlineStr">
        <is>
          <t>Product and Service, Other</t>
        </is>
      </c>
      <c r="B10" s="28">
        <f>SUM(Financials!D28:G28)</f>
        <v/>
      </c>
      <c r="C10" s="28">
        <f>SUM(Financials!H28:K28)</f>
        <v/>
      </c>
      <c r="D10" s="28">
        <f>SUM(Financials!L28:O28)</f>
        <v/>
      </c>
      <c r="E10" s="28">
        <f>SUM(Financials!P28:S28)</f>
        <v/>
      </c>
      <c r="F10" s="28">
        <f>SUM(Financials!T28:W28)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48">
        <f>Dashboard!$B$23+(Dashboard!$C$23-Dashboard!$B$23)*MAX(0,0-2)/7</f>
        <v/>
      </c>
      <c r="H11" s="48">
        <f>Dashboard!$B$23+(Dashboard!$C$23-Dashboard!$B$23)*MAX(0,1-2)/7</f>
        <v/>
      </c>
      <c r="I11" s="48">
        <f>Dashboard!$B$23+(Dashboard!$C$23-Dashboard!$B$23)*MAX(0,2-2)/7</f>
        <v/>
      </c>
      <c r="J11" s="48">
        <f>Dashboard!$B$23+(Dashboard!$C$23-Dashboard!$B$23)*MAX(0,3-2)/7</f>
        <v/>
      </c>
      <c r="K11" s="48">
        <f>Dashboard!$B$23+(Dashboard!$C$23-Dashboard!$B$23)*MAX(0,4-2)/7</f>
        <v/>
      </c>
      <c r="L11" s="48">
        <f>Dashboard!$B$23+(Dashboard!$C$23-Dashboard!$B$23)*MAX(0,5-2)/7</f>
        <v/>
      </c>
      <c r="M11" s="48">
        <f>Dashboard!$B$23+(Dashboard!$C$23-Dashboard!$B$23)*MAX(0,6-2)/7</f>
        <v/>
      </c>
      <c r="N11" s="48">
        <f>Dashboard!$B$23+(Dashboard!$C$23-Dashboard!$B$23)*MAX(0,7-2)/7</f>
        <v/>
      </c>
      <c r="O11" s="48">
        <f>Dashboard!$B$23+(Dashboard!$C$23-Dashboard!$B$23)*MAX(0,8-2)/7</f>
        <v/>
      </c>
      <c r="P11" s="48">
        <f>Dashboard!$B$23+(Dashboard!$C$23-Dashboard!$B$23)*MAX(0,9-2)/7</f>
        <v/>
      </c>
    </row>
    <row r="12">
      <c r="A12" s="4" t="inlineStr">
        <is>
          <t>Diagnostic Test, Self Pay</t>
        </is>
      </c>
      <c r="B12" s="28">
        <f>SUM(Financials!D31:G31)</f>
        <v/>
      </c>
      <c r="C12" s="28">
        <f>SUM(Financials!H31:K31)</f>
        <v/>
      </c>
      <c r="D12" s="28">
        <f>SUM(Financials!L31:O31)</f>
        <v/>
      </c>
      <c r="E12" s="28">
        <f>SUM(Financials!P31:S31)</f>
        <v/>
      </c>
      <c r="F12" s="28">
        <f>SUM(Financials!T31:W31)</f>
        <v/>
      </c>
      <c r="G12" s="32">
        <f>F12*(1+G13)</f>
        <v/>
      </c>
      <c r="H12" s="32">
        <f>G12*(1+H13)</f>
        <v/>
      </c>
      <c r="I12" s="32">
        <f>H12*(1+I13)</f>
        <v/>
      </c>
      <c r="J12" s="32">
        <f>I12*(1+J13)</f>
        <v/>
      </c>
      <c r="K12" s="32">
        <f>J12*(1+K13)</f>
        <v/>
      </c>
      <c r="L12" s="32">
        <f>K12*(1+L13)</f>
        <v/>
      </c>
      <c r="M12" s="32">
        <f>L12*(1+M13)</f>
        <v/>
      </c>
      <c r="N12" s="32">
        <f>M12*(1+N13)</f>
        <v/>
      </c>
      <c r="O12" s="32">
        <f>N12*(1+O13)</f>
        <v/>
      </c>
      <c r="P12" s="32">
        <f>O12*(1+P13)</f>
        <v/>
      </c>
    </row>
    <row r="13">
      <c r="A13" s="4" t="inlineStr">
        <is>
          <t xml:space="preserve">    growth % (interpolated from Dashboard)</t>
        </is>
      </c>
      <c r="C13" s="57">
        <f>IFERROR(C12/B12-1,"")</f>
        <v/>
      </c>
      <c r="D13" s="57">
        <f>IFERROR(D12/C12-1,"")</f>
        <v/>
      </c>
      <c r="E13" s="57">
        <f>IFERROR(E12/D12-1,"")</f>
        <v/>
      </c>
      <c r="F13" s="57">
        <f>IFERROR(F12/E12-1,"")</f>
        <v/>
      </c>
      <c r="G13" s="48">
        <f>Dashboard!$B$24+(Dashboard!$C$24-Dashboard!$B$24)*MAX(0,0-2)/7</f>
        <v/>
      </c>
      <c r="H13" s="48">
        <f>Dashboard!$B$24+(Dashboard!$C$24-Dashboard!$B$24)*MAX(0,1-2)/7</f>
        <v/>
      </c>
      <c r="I13" s="48">
        <f>Dashboard!$B$24+(Dashboard!$C$24-Dashboard!$B$24)*MAX(0,2-2)/7</f>
        <v/>
      </c>
      <c r="J13" s="48">
        <f>Dashboard!$B$24+(Dashboard!$C$24-Dashboard!$B$24)*MAX(0,3-2)/7</f>
        <v/>
      </c>
      <c r="K13" s="48">
        <f>Dashboard!$B$24+(Dashboard!$C$24-Dashboard!$B$24)*MAX(0,4-2)/7</f>
        <v/>
      </c>
      <c r="L13" s="48">
        <f>Dashboard!$B$24+(Dashboard!$C$24-Dashboard!$B$24)*MAX(0,5-2)/7</f>
        <v/>
      </c>
      <c r="M13" s="48">
        <f>Dashboard!$B$24+(Dashboard!$C$24-Dashboard!$B$24)*MAX(0,6-2)/7</f>
        <v/>
      </c>
      <c r="N13" s="48">
        <f>Dashboard!$B$24+(Dashboard!$C$24-Dashboard!$B$24)*MAX(0,7-2)/7</f>
        <v/>
      </c>
      <c r="O13" s="48">
        <f>Dashboard!$B$24+(Dashboard!$C$24-Dashboard!$B$24)*MAX(0,8-2)/7</f>
        <v/>
      </c>
      <c r="P13" s="48">
        <f>Dashboard!$B$24+(Dashboard!$C$24-Dashboard!$B$24)*MAX(0,9-2)/7</f>
        <v/>
      </c>
    </row>
    <row r="14">
      <c r="A14" s="3" t="inlineStr">
        <is>
          <t>Total revenue</t>
        </is>
      </c>
      <c r="B14" s="33">
        <f>B4+B6+B8+B10+B12</f>
        <v/>
      </c>
      <c r="C14" s="33">
        <f>C4+C6+C8+C10+C12</f>
        <v/>
      </c>
      <c r="D14" s="33">
        <f>D4+D6+D8+D10+D12</f>
        <v/>
      </c>
      <c r="E14" s="33">
        <f>E4+E6+E8+E10+E12</f>
        <v/>
      </c>
      <c r="F14" s="33">
        <f>F4+F6+F8+F10+F12</f>
        <v/>
      </c>
      <c r="G14" s="33">
        <f>G4+G6+G8+G10+G12</f>
        <v/>
      </c>
      <c r="H14" s="33">
        <f>H4+H6+H8+H10+H12</f>
        <v/>
      </c>
      <c r="I14" s="33">
        <f>I4+I6+I8+I10+I12</f>
        <v/>
      </c>
      <c r="J14" s="33">
        <f>J4+J6+J8+J10+J12</f>
        <v/>
      </c>
      <c r="K14" s="33">
        <f>K4+K6+K8+K10+K12</f>
        <v/>
      </c>
      <c r="L14" s="33">
        <f>L4+L6+L8+L10+L12</f>
        <v/>
      </c>
      <c r="M14" s="33">
        <f>M4+M6+M8+M10+M12</f>
        <v/>
      </c>
      <c r="N14" s="33">
        <f>N4+N6+N8+N10+N12</f>
        <v/>
      </c>
      <c r="O14" s="33">
        <f>O4+O6+O8+O10+O12</f>
        <v/>
      </c>
      <c r="P14" s="33">
        <f>P4+P6+P8+P10+P12</f>
        <v/>
      </c>
    </row>
    <row r="15">
      <c r="A15" s="4" t="inlineStr">
        <is>
          <t xml:space="preserve">    growth %</t>
        </is>
      </c>
      <c r="C15" s="57">
        <f>IFERROR(C14/B14-1,"")</f>
        <v/>
      </c>
      <c r="D15" s="57">
        <f>IFERROR(D14/C14-1,"")</f>
        <v/>
      </c>
      <c r="E15" s="57">
        <f>IFERROR(E14/D14-1,"")</f>
        <v/>
      </c>
      <c r="F15" s="57">
        <f>IFERROR(F14/E14-1,"")</f>
        <v/>
      </c>
      <c r="G15" s="57">
        <f>IFERROR(G14/F14-1,"")</f>
        <v/>
      </c>
      <c r="H15" s="57">
        <f>IFERROR(H14/G14-1,"")</f>
        <v/>
      </c>
      <c r="I15" s="57">
        <f>IFERROR(I14/H14-1,"")</f>
        <v/>
      </c>
      <c r="J15" s="57">
        <f>IFERROR(J14/I14-1,"")</f>
        <v/>
      </c>
      <c r="K15" s="57">
        <f>IFERROR(K14/J14-1,"")</f>
        <v/>
      </c>
      <c r="L15" s="57">
        <f>IFERROR(L14/K14-1,"")</f>
        <v/>
      </c>
      <c r="M15" s="57">
        <f>IFERROR(M14/L14-1,"")</f>
        <v/>
      </c>
      <c r="N15" s="57">
        <f>IFERROR(N14/M14-1,"")</f>
        <v/>
      </c>
      <c r="O15" s="57">
        <f>IFERROR(O14/N14-1,"")</f>
        <v/>
      </c>
      <c r="P15" s="57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28">
        <f>SUM(Financials!D5:G5)</f>
        <v/>
      </c>
      <c r="C18" s="28">
        <f>SUM(Financials!H5:K5)</f>
        <v/>
      </c>
      <c r="D18" s="28">
        <f>SUM(Financials!L5:O5)</f>
        <v/>
      </c>
      <c r="E18" s="28">
        <f>SUM(Financials!P5:S5)</f>
        <v/>
      </c>
      <c r="F18" s="28">
        <f>SUM(Financials!T5:W5)</f>
        <v/>
      </c>
      <c r="G18" s="32">
        <f>G14*G19</f>
        <v/>
      </c>
      <c r="H18" s="32">
        <f>H14*H19</f>
        <v/>
      </c>
      <c r="I18" s="32">
        <f>I14*I19</f>
        <v/>
      </c>
      <c r="J18" s="32">
        <f>J14*J19</f>
        <v/>
      </c>
      <c r="K18" s="32">
        <f>K14*K19</f>
        <v/>
      </c>
      <c r="L18" s="32">
        <f>L14*L19</f>
        <v/>
      </c>
      <c r="M18" s="32">
        <f>M14*M19</f>
        <v/>
      </c>
      <c r="N18" s="32">
        <f>N14*N19</f>
        <v/>
      </c>
      <c r="O18" s="32">
        <f>O14*O19</f>
        <v/>
      </c>
      <c r="P18" s="32">
        <f>P14*P19</f>
        <v/>
      </c>
    </row>
    <row r="19">
      <c r="A19" s="4" t="inlineStr">
        <is>
          <t xml:space="preserve">    % of revenue</t>
        </is>
      </c>
      <c r="B19" s="57">
        <f>IFERROR(B18/B14,"")</f>
        <v/>
      </c>
      <c r="C19" s="57">
        <f>IFERROR(C18/C14,"")</f>
        <v/>
      </c>
      <c r="D19" s="57">
        <f>IFERROR(D18/D14,"")</f>
        <v/>
      </c>
      <c r="E19" s="57">
        <f>IFERROR(E18/E14,"")</f>
        <v/>
      </c>
      <c r="F19" s="57">
        <f>IFERROR(F18/F14,"")</f>
        <v/>
      </c>
      <c r="G19" s="50" t="n">
        <v>0.3150847057227528</v>
      </c>
      <c r="H19" s="50" t="n">
        <v>0.3150847057227528</v>
      </c>
      <c r="I19" s="50" t="n">
        <v>0.3150847057227528</v>
      </c>
      <c r="J19" s="50" t="n">
        <v>0.3150847057227528</v>
      </c>
      <c r="K19" s="50" t="n">
        <v>0.3150847057227528</v>
      </c>
      <c r="L19" s="50" t="n">
        <v>0.3150847057227528</v>
      </c>
      <c r="M19" s="50" t="n">
        <v>0.3150847057227528</v>
      </c>
      <c r="N19" s="50" t="n">
        <v>0.3150847057227528</v>
      </c>
      <c r="O19" s="50" t="n">
        <v>0.3150847057227528</v>
      </c>
      <c r="P19" s="50" t="n">
        <v>0.3150847057227528</v>
      </c>
    </row>
    <row r="20">
      <c r="A20" s="4" t="inlineStr">
        <is>
          <t>R&amp;D / Technology</t>
        </is>
      </c>
      <c r="B20" s="28">
        <f>SUM(Financials!D7:G7)</f>
        <v/>
      </c>
      <c r="C20" s="28">
        <f>SUM(Financials!H7:K7)</f>
        <v/>
      </c>
      <c r="D20" s="28">
        <f>SUM(Financials!L7:O7)</f>
        <v/>
      </c>
      <c r="E20" s="28">
        <f>SUM(Financials!P7:S7)</f>
        <v/>
      </c>
      <c r="F20" s="28">
        <f>SUM(Financials!T7:W7)</f>
        <v/>
      </c>
      <c r="G20" s="32">
        <f>G14*G21</f>
        <v/>
      </c>
      <c r="H20" s="32">
        <f>H14*H21</f>
        <v/>
      </c>
      <c r="I20" s="32">
        <f>I14*I21</f>
        <v/>
      </c>
      <c r="J20" s="32">
        <f>J14*J21</f>
        <v/>
      </c>
      <c r="K20" s="32">
        <f>K14*K21</f>
        <v/>
      </c>
      <c r="L20" s="32">
        <f>L14*L21</f>
        <v/>
      </c>
      <c r="M20" s="32">
        <f>M14*M21</f>
        <v/>
      </c>
      <c r="N20" s="32">
        <f>N14*N21</f>
        <v/>
      </c>
      <c r="O20" s="32">
        <f>O14*O21</f>
        <v/>
      </c>
      <c r="P20" s="32">
        <f>P14*P21</f>
        <v/>
      </c>
    </row>
    <row r="21">
      <c r="A21" s="4" t="inlineStr">
        <is>
          <t xml:space="preserve">    % of revenue</t>
        </is>
      </c>
      <c r="B21" s="57">
        <f>IFERROR(B20/B14,"")</f>
        <v/>
      </c>
      <c r="C21" s="57">
        <f>IFERROR(C20/C14,"")</f>
        <v/>
      </c>
      <c r="D21" s="57">
        <f>IFERROR(D20/D14,"")</f>
        <v/>
      </c>
      <c r="E21" s="57">
        <f>IFERROR(E20/E14,"")</f>
        <v/>
      </c>
      <c r="F21" s="57">
        <f>IFERROR(F20/F14,"")</f>
        <v/>
      </c>
      <c r="G21" s="50" t="n">
        <v>0.1667871235138783</v>
      </c>
      <c r="H21" s="50" t="n">
        <v>0.1667871235138783</v>
      </c>
      <c r="I21" s="50" t="n">
        <v>0.1667871235138783</v>
      </c>
      <c r="J21" s="50" t="n">
        <v>0.1667871235138783</v>
      </c>
      <c r="K21" s="50" t="n">
        <v>0.1667871235138783</v>
      </c>
      <c r="L21" s="50" t="n">
        <v>0.1667871235138783</v>
      </c>
      <c r="M21" s="50" t="n">
        <v>0.1667871235138783</v>
      </c>
      <c r="N21" s="50" t="n">
        <v>0.1667871235138783</v>
      </c>
      <c r="O21" s="50" t="n">
        <v>0.1667871235138783</v>
      </c>
      <c r="P21" s="50" t="n">
        <v>0.1667871235138783</v>
      </c>
    </row>
    <row r="22">
      <c r="A22" s="4" t="inlineStr">
        <is>
          <t>SG&amp;A</t>
        </is>
      </c>
      <c r="B22" s="28">
        <f>SUM(Financials!D9:G9)</f>
        <v/>
      </c>
      <c r="C22" s="28">
        <f>SUM(Financials!H9:K9)</f>
        <v/>
      </c>
      <c r="D22" s="28">
        <f>SUM(Financials!L9:O9)</f>
        <v/>
      </c>
      <c r="E22" s="28">
        <f>SUM(Financials!P9:S9)</f>
        <v/>
      </c>
      <c r="F22" s="28">
        <f>SUM(Financials!T9:W9)</f>
        <v/>
      </c>
      <c r="G22" s="32">
        <f>G14*G23</f>
        <v/>
      </c>
      <c r="H22" s="32">
        <f>H14*H23</f>
        <v/>
      </c>
      <c r="I22" s="32">
        <f>I14*I23</f>
        <v/>
      </c>
      <c r="J22" s="32">
        <f>J14*J23</f>
        <v/>
      </c>
      <c r="K22" s="32">
        <f>K14*K23</f>
        <v/>
      </c>
      <c r="L22" s="32">
        <f>L14*L23</f>
        <v/>
      </c>
      <c r="M22" s="32">
        <f>M14*M23</f>
        <v/>
      </c>
      <c r="N22" s="32">
        <f>N14*N23</f>
        <v/>
      </c>
      <c r="O22" s="32">
        <f>O14*O23</f>
        <v/>
      </c>
      <c r="P22" s="32">
        <f>P14*P23</f>
        <v/>
      </c>
    </row>
    <row r="23">
      <c r="A23" s="4" t="inlineStr">
        <is>
          <t xml:space="preserve">    % of revenue</t>
        </is>
      </c>
      <c r="B23" s="57">
        <f>IFERROR(B22/B14,"")</f>
        <v/>
      </c>
      <c r="C23" s="57">
        <f>IFERROR(C22/C14,"")</f>
        <v/>
      </c>
      <c r="D23" s="57">
        <f>IFERROR(D22/D14,"")</f>
        <v/>
      </c>
      <c r="E23" s="57">
        <f>IFERROR(E22/E14,"")</f>
        <v/>
      </c>
      <c r="F23" s="57">
        <f>IFERROR(F22/F14,"")</f>
        <v/>
      </c>
      <c r="G23" s="50" t="n">
        <v>0.5595372585892749</v>
      </c>
      <c r="H23" s="50" t="n">
        <v>0.5595372585892749</v>
      </c>
      <c r="I23" s="50" t="n">
        <v>0.5595372585892749</v>
      </c>
      <c r="J23" s="50" t="n">
        <v>0.5595372585892749</v>
      </c>
      <c r="K23" s="50" t="n">
        <v>0.5595372585892749</v>
      </c>
      <c r="L23" s="50" t="n">
        <v>0.5595372585892749</v>
      </c>
      <c r="M23" s="50" t="n">
        <v>0.5595372585892749</v>
      </c>
      <c r="N23" s="50" t="n">
        <v>0.5595372585892749</v>
      </c>
      <c r="O23" s="50" t="n">
        <v>0.5595372585892749</v>
      </c>
      <c r="P23" s="50" t="n">
        <v>0.5595372585892749</v>
      </c>
    </row>
    <row r="24">
      <c r="A24" s="4" t="inlineStr">
        <is>
          <t>Other opex (fulfilment, etc.)</t>
        </is>
      </c>
      <c r="B24" s="28">
        <f>B14-(B18+B20+B22)-SUM(Financials!D13:G13)</f>
        <v/>
      </c>
      <c r="C24" s="28">
        <f>C14-(C18+C20+C22)-SUM(Financials!H13:K13)</f>
        <v/>
      </c>
      <c r="D24" s="28">
        <f>D14-(D18+D20+D22)-SUM(Financials!L13:O13)</f>
        <v/>
      </c>
      <c r="E24" s="28">
        <f>E14-(E18+E20+E22)-SUM(Financials!P13:S13)</f>
        <v/>
      </c>
      <c r="F24" s="28">
        <f>F14-(F18+F20+F22)-SUM(Financials!T13:W13)</f>
        <v/>
      </c>
      <c r="G24" s="28">
        <f>G14*(1-(Dashboard!$B$29+(Dashboard!$B$30-Dashboard!$B$29)*MIN(1,0/4)))-(G18+G20+G22)</f>
        <v/>
      </c>
      <c r="H24" s="28">
        <f>H14*(1-(Dashboard!$B$29+(Dashboard!$B$30-Dashboard!$B$29)*MIN(1,1/4)))-(H18+H20+H22)</f>
        <v/>
      </c>
      <c r="I24" s="28">
        <f>I14*(1-(Dashboard!$B$29+(Dashboard!$B$30-Dashboard!$B$29)*MIN(1,2/4)))-(I18+I20+I22)</f>
        <v/>
      </c>
      <c r="J24" s="28">
        <f>J14*(1-(Dashboard!$B$29+(Dashboard!$B$30-Dashboard!$B$29)*MIN(1,3/4)))-(J18+J20+J22)</f>
        <v/>
      </c>
      <c r="K24" s="28">
        <f>K14*(1-(Dashboard!$B$29+(Dashboard!$B$30-Dashboard!$B$29)*MIN(1,4/4)))-(K18+K20+K22)</f>
        <v/>
      </c>
      <c r="L24" s="28">
        <f>L14*(1-(Dashboard!$B$29+(Dashboard!$B$30-Dashboard!$B$29)*MIN(1,5/4)))-(L18+L20+L22)</f>
        <v/>
      </c>
      <c r="M24" s="28">
        <f>M14*(1-(Dashboard!$B$29+(Dashboard!$B$30-Dashboard!$B$29)*MIN(1,6/4)))-(M18+M20+M22)</f>
        <v/>
      </c>
      <c r="N24" s="28">
        <f>N14*(1-(Dashboard!$B$29+(Dashboard!$B$30-Dashboard!$B$29)*MIN(1,7/4)))-(N18+N20+N22)</f>
        <v/>
      </c>
      <c r="O24" s="28">
        <f>O14*(1-(Dashboard!$B$29+(Dashboard!$B$30-Dashboard!$B$29)*MIN(1,8/4)))-(O18+O20+O22)</f>
        <v/>
      </c>
      <c r="P24" s="28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57">
        <f>IFERROR(B24/B14,"")</f>
        <v/>
      </c>
      <c r="C25" s="57">
        <f>IFERROR(C24/C14,"")</f>
        <v/>
      </c>
      <c r="D25" s="57">
        <f>IFERROR(D24/D14,"")</f>
        <v/>
      </c>
      <c r="E25" s="57">
        <f>IFERROR(E24/E14,"")</f>
        <v/>
      </c>
      <c r="F25" s="57">
        <f>IFERROR(F24/F14,"")</f>
        <v/>
      </c>
      <c r="G25" s="57">
        <f>IFERROR(G24/G14,"")</f>
        <v/>
      </c>
      <c r="H25" s="57">
        <f>IFERROR(H24/H14,"")</f>
        <v/>
      </c>
      <c r="I25" s="57">
        <f>IFERROR(I24/I14,"")</f>
        <v/>
      </c>
      <c r="J25" s="57">
        <f>IFERROR(J24/J14,"")</f>
        <v/>
      </c>
      <c r="K25" s="57">
        <f>IFERROR(K24/K14,"")</f>
        <v/>
      </c>
      <c r="L25" s="57">
        <f>IFERROR(L24/L14,"")</f>
        <v/>
      </c>
      <c r="M25" s="57">
        <f>IFERROR(M24/M14,"")</f>
        <v/>
      </c>
      <c r="N25" s="57">
        <f>IFERROR(N24/N14,"")</f>
        <v/>
      </c>
      <c r="O25" s="57">
        <f>IFERROR(O24/O14,"")</f>
        <v/>
      </c>
      <c r="P25" s="57">
        <f>IFERROR(P24/P14,"")</f>
        <v/>
      </c>
    </row>
    <row r="27">
      <c r="A27" s="3" t="inlineStr">
        <is>
          <t>Operating income (EBIT)</t>
        </is>
      </c>
      <c r="B27" s="33">
        <f>B14-(B18+B20+B22)-B24</f>
        <v/>
      </c>
      <c r="C27" s="33">
        <f>C14-(C18+C20+C22)-C24</f>
        <v/>
      </c>
      <c r="D27" s="33">
        <f>D14-(D18+D20+D22)-D24</f>
        <v/>
      </c>
      <c r="E27" s="33">
        <f>E14-(E18+E20+E22)-E24</f>
        <v/>
      </c>
      <c r="F27" s="33">
        <f>F14-(F18+F20+F22)-F24</f>
        <v/>
      </c>
      <c r="G27" s="33">
        <f>G14-(G18+G20+G22)-G24</f>
        <v/>
      </c>
      <c r="H27" s="33">
        <f>H14-(H18+H20+H22)-H24</f>
        <v/>
      </c>
      <c r="I27" s="33">
        <f>I14-(I18+I20+I22)-I24</f>
        <v/>
      </c>
      <c r="J27" s="33">
        <f>J14-(J18+J20+J22)-J24</f>
        <v/>
      </c>
      <c r="K27" s="33">
        <f>K14-(K18+K20+K22)-K24</f>
        <v/>
      </c>
      <c r="L27" s="33">
        <f>L14-(L18+L20+L22)-L24</f>
        <v/>
      </c>
      <c r="M27" s="33">
        <f>M14-(M18+M20+M22)-M24</f>
        <v/>
      </c>
      <c r="N27" s="33">
        <f>N14-(N18+N20+N22)-N24</f>
        <v/>
      </c>
      <c r="O27" s="33">
        <f>O14-(O18+O20+O22)-O24</f>
        <v/>
      </c>
      <c r="P27" s="33">
        <f>P14-(P18+P20+P22)-P24</f>
        <v/>
      </c>
    </row>
    <row r="28">
      <c r="A28" s="4" t="inlineStr">
        <is>
          <t xml:space="preserve">    operating margin</t>
        </is>
      </c>
      <c r="B28" s="57">
        <f>IFERROR(B27/B14,"")</f>
        <v/>
      </c>
      <c r="C28" s="57">
        <f>IFERROR(C27/C14,"")</f>
        <v/>
      </c>
      <c r="D28" s="57">
        <f>IFERROR(D27/D14,"")</f>
        <v/>
      </c>
      <c r="E28" s="57">
        <f>IFERROR(E27/E14,"")</f>
        <v/>
      </c>
      <c r="F28" s="57">
        <f>IFERROR(F27/F14,"")</f>
        <v/>
      </c>
      <c r="G28" s="57">
        <f>IFERROR(G27/G14,"")</f>
        <v/>
      </c>
      <c r="H28" s="57">
        <f>IFERROR(H27/H14,"")</f>
        <v/>
      </c>
      <c r="I28" s="57">
        <f>IFERROR(I27/I14,"")</f>
        <v/>
      </c>
      <c r="J28" s="57">
        <f>IFERROR(J27/J14,"")</f>
        <v/>
      </c>
      <c r="K28" s="57">
        <f>IFERROR(K27/K14,"")</f>
        <v/>
      </c>
      <c r="L28" s="57">
        <f>IFERROR(L27/L14,"")</f>
        <v/>
      </c>
      <c r="M28" s="57">
        <f>IFERROR(M27/M14,"")</f>
        <v/>
      </c>
      <c r="N28" s="57">
        <f>IFERROR(N27/N14,"")</f>
        <v/>
      </c>
      <c r="O28" s="57">
        <f>IFERROR(O27/O14,"")</f>
        <v/>
      </c>
      <c r="P28" s="57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28">
        <f>B27*(1-Valuation!$B$5)</f>
        <v/>
      </c>
      <c r="C31" s="28">
        <f>C27*(1-Valuation!$B$5)</f>
        <v/>
      </c>
      <c r="D31" s="28">
        <f>D27*(1-Valuation!$B$5)</f>
        <v/>
      </c>
      <c r="E31" s="28">
        <f>E27*(1-Valuation!$B$5)</f>
        <v/>
      </c>
      <c r="F31" s="28">
        <f>F27*(1-Valuation!$B$5)</f>
        <v/>
      </c>
      <c r="G31" s="28">
        <f>G27*(1-Valuation!$B$5)</f>
        <v/>
      </c>
      <c r="H31" s="28">
        <f>H27*(1-Valuation!$B$5)</f>
        <v/>
      </c>
      <c r="I31" s="28">
        <f>I27*(1-Valuation!$B$5)</f>
        <v/>
      </c>
      <c r="J31" s="28">
        <f>J27*(1-Valuation!$B$5)</f>
        <v/>
      </c>
      <c r="K31" s="28">
        <f>K27*(1-Valuation!$B$5)</f>
        <v/>
      </c>
      <c r="L31" s="28">
        <f>L27*(1-Valuation!$B$5)</f>
        <v/>
      </c>
      <c r="M31" s="28">
        <f>M27*(1-Valuation!$B$5)</f>
        <v/>
      </c>
      <c r="N31" s="28">
        <f>N27*(1-Valuation!$B$5)</f>
        <v/>
      </c>
      <c r="O31" s="28">
        <f>O27*(1-Valuation!$B$5)</f>
        <v/>
      </c>
      <c r="P31" s="28">
        <f>P27*(1-Valuation!$B$5)</f>
        <v/>
      </c>
    </row>
    <row r="32">
      <c r="A32" s="4" t="inlineStr">
        <is>
          <t>+ D&amp;A</t>
        </is>
      </c>
      <c r="B32" s="28">
        <f>SUM(Financials!D43:G43)</f>
        <v/>
      </c>
      <c r="C32" s="28">
        <f>SUM(Financials!H43:K43)</f>
        <v/>
      </c>
      <c r="D32" s="28">
        <f>SUM(Financials!L43:O43)</f>
        <v/>
      </c>
      <c r="E32" s="28">
        <f>SUM(Financials!P43:S43)</f>
        <v/>
      </c>
      <c r="F32" s="28">
        <f>SUM(Financials!T43:W43)</f>
        <v/>
      </c>
      <c r="G32" s="32">
        <f>G14*0.0590</f>
        <v/>
      </c>
      <c r="H32" s="32">
        <f>H14*0.0590</f>
        <v/>
      </c>
      <c r="I32" s="32">
        <f>I14*0.0590</f>
        <v/>
      </c>
      <c r="J32" s="32">
        <f>J14*0.0590</f>
        <v/>
      </c>
      <c r="K32" s="32">
        <f>K14*0.0590</f>
        <v/>
      </c>
      <c r="L32" s="32">
        <f>L14*0.0590</f>
        <v/>
      </c>
      <c r="M32" s="32">
        <f>M14*0.0590</f>
        <v/>
      </c>
      <c r="N32" s="32">
        <f>N14*0.0590</f>
        <v/>
      </c>
      <c r="O32" s="32">
        <f>O14*0.0590</f>
        <v/>
      </c>
      <c r="P32" s="32">
        <f>P14*0.0590</f>
        <v/>
      </c>
    </row>
    <row r="33">
      <c r="A33" s="4" t="inlineStr">
        <is>
          <t>+ SBC (non-cash)</t>
        </is>
      </c>
      <c r="B33" s="28">
        <f>SUM(Financials!D44:G44)</f>
        <v/>
      </c>
      <c r="C33" s="28">
        <f>SUM(Financials!H44:K44)</f>
        <v/>
      </c>
      <c r="D33" s="28">
        <f>SUM(Financials!L44:O44)</f>
        <v/>
      </c>
      <c r="E33" s="28">
        <f>SUM(Financials!P44:S44)</f>
        <v/>
      </c>
      <c r="F33" s="28">
        <f>SUM(Financials!T44:W44)</f>
        <v/>
      </c>
      <c r="G33" s="32">
        <f>G14*0.0752</f>
        <v/>
      </c>
      <c r="H33" s="32">
        <f>H14*0.0719</f>
        <v/>
      </c>
      <c r="I33" s="32">
        <f>I14*0.0685</f>
        <v/>
      </c>
      <c r="J33" s="32">
        <f>J14*0.0652</f>
        <v/>
      </c>
      <c r="K33" s="32">
        <f>K14*0.0619</f>
        <v/>
      </c>
      <c r="L33" s="32">
        <f>L14*0.0585</f>
        <v/>
      </c>
      <c r="M33" s="32">
        <f>M14*0.0552</f>
        <v/>
      </c>
      <c r="N33" s="32">
        <f>N14*0.0518</f>
        <v/>
      </c>
      <c r="O33" s="32">
        <f>O14*0.0485</f>
        <v/>
      </c>
      <c r="P33" s="32">
        <f>P14*0.0451</f>
        <v/>
      </c>
    </row>
    <row r="34">
      <c r="A34" s="4" t="inlineStr">
        <is>
          <t>- dNWC</t>
        </is>
      </c>
      <c r="G34" s="32">
        <f>(G14-F14)*0.0050</f>
        <v/>
      </c>
      <c r="H34" s="32">
        <f>(H14-G14)*0.0050</f>
        <v/>
      </c>
      <c r="I34" s="32">
        <f>(I14-H14)*0.0050</f>
        <v/>
      </c>
      <c r="J34" s="32">
        <f>(J14-I14)*0.0050</f>
        <v/>
      </c>
      <c r="K34" s="32">
        <f>(K14-J14)*0.0050</f>
        <v/>
      </c>
      <c r="L34" s="32">
        <f>(L14-K14)*0.0050</f>
        <v/>
      </c>
      <c r="M34" s="32">
        <f>(M14-L14)*0.0050</f>
        <v/>
      </c>
      <c r="N34" s="32">
        <f>(N14-M14)*0.0050</f>
        <v/>
      </c>
      <c r="O34" s="32">
        <f>(O14-N14)*0.0050</f>
        <v/>
      </c>
      <c r="P34" s="32">
        <f>(P14-O14)*0.0050</f>
        <v/>
      </c>
    </row>
    <row r="35">
      <c r="A35" s="4" t="inlineStr">
        <is>
          <t>- Capex</t>
        </is>
      </c>
      <c r="B35" s="28">
        <f>-SUM(Financials!D47:G47)</f>
        <v/>
      </c>
      <c r="C35" s="28">
        <f>-SUM(Financials!H47:K47)</f>
        <v/>
      </c>
      <c r="D35" s="28">
        <f>-SUM(Financials!L47:O47)</f>
        <v/>
      </c>
      <c r="E35" s="28">
        <f>-SUM(Financials!P47:S47)</f>
        <v/>
      </c>
      <c r="F35" s="28">
        <f>-SUM(Financials!T47:W47)</f>
        <v/>
      </c>
      <c r="G35" s="32">
        <f>G32*G36</f>
        <v/>
      </c>
      <c r="H35" s="32">
        <f>H32*H36</f>
        <v/>
      </c>
      <c r="I35" s="32">
        <f>I32*I36</f>
        <v/>
      </c>
      <c r="J35" s="32">
        <f>J32*J36</f>
        <v/>
      </c>
      <c r="K35" s="32">
        <f>K32*K36</f>
        <v/>
      </c>
      <c r="L35" s="32">
        <f>L32*L36</f>
        <v/>
      </c>
      <c r="M35" s="32">
        <f>M32*M36</f>
        <v/>
      </c>
      <c r="N35" s="32">
        <f>N32*N36</f>
        <v/>
      </c>
      <c r="O35" s="32">
        <f>O32*O36</f>
        <v/>
      </c>
      <c r="P35" s="32">
        <f>P32*P36</f>
        <v/>
      </c>
    </row>
    <row r="36">
      <c r="A36" s="4" t="inlineStr">
        <is>
          <t xml:space="preserve">    Capex / D&amp;A  (from Dashboard: $cap'26 -&gt; terminal)</t>
        </is>
      </c>
      <c r="B36" s="59">
        <f>IFERROR(B35/B32,"")</f>
        <v/>
      </c>
      <c r="C36" s="59">
        <f>IFERROR(C35/C32,"")</f>
        <v/>
      </c>
      <c r="D36" s="59">
        <f>IFERROR(D35/D32,"")</f>
        <v/>
      </c>
      <c r="E36" s="59">
        <f>IFERROR(E35/E32,"")</f>
        <v/>
      </c>
      <c r="F36" s="59">
        <f>IFERROR(F35/F32,"")</f>
        <v/>
      </c>
      <c r="G36" s="49">
        <f>(Dashboard!$B$34/G32)+(Dashboard!$B$35-(Dashboard!$B$34/G32))*0/9</f>
        <v/>
      </c>
      <c r="H36" s="49">
        <f>(Dashboard!$B$34/G32)+(Dashboard!$B$35-(Dashboard!$B$34/G32))*1/9</f>
        <v/>
      </c>
      <c r="I36" s="49">
        <f>(Dashboard!$B$34/G32)+(Dashboard!$B$35-(Dashboard!$B$34/G32))*2/9</f>
        <v/>
      </c>
      <c r="J36" s="49">
        <f>(Dashboard!$B$34/G32)+(Dashboard!$B$35-(Dashboard!$B$34/G32))*3/9</f>
        <v/>
      </c>
      <c r="K36" s="49">
        <f>(Dashboard!$B$34/G32)+(Dashboard!$B$35-(Dashboard!$B$34/G32))*4/9</f>
        <v/>
      </c>
      <c r="L36" s="49">
        <f>(Dashboard!$B$34/G32)+(Dashboard!$B$35-(Dashboard!$B$34/G32))*5/9</f>
        <v/>
      </c>
      <c r="M36" s="49">
        <f>(Dashboard!$B$34/G32)+(Dashboard!$B$35-(Dashboard!$B$34/G32))*6/9</f>
        <v/>
      </c>
      <c r="N36" s="49">
        <f>(Dashboard!$B$34/G32)+(Dashboard!$B$35-(Dashboard!$B$34/G32))*7/9</f>
        <v/>
      </c>
      <c r="O36" s="49">
        <f>(Dashboard!$B$34/G32)+(Dashboard!$B$35-(Dashboard!$B$34/G32))*8/9</f>
        <v/>
      </c>
      <c r="P36" s="49">
        <f>(Dashboard!$B$34/G32)+(Dashboard!$B$35-(Dashboard!$B$34/G32))*9/9</f>
        <v/>
      </c>
    </row>
    <row r="38">
      <c r="A38" s="3" t="inlineStr">
        <is>
          <t>FCFF (firm)</t>
        </is>
      </c>
      <c r="B38" s="33">
        <f>B31+B32+B33-B34-B35</f>
        <v/>
      </c>
      <c r="C38" s="33">
        <f>C31+C32+C33-C34-C35</f>
        <v/>
      </c>
      <c r="D38" s="33">
        <f>D31+D32+D33-D34-D35</f>
        <v/>
      </c>
      <c r="E38" s="33">
        <f>E31+E32+E33-E34-E35</f>
        <v/>
      </c>
      <c r="F38" s="33">
        <f>F31+F32+F33-F34-F35</f>
        <v/>
      </c>
      <c r="G38" s="33">
        <f>G31+G32+G33-G34-G35</f>
        <v/>
      </c>
      <c r="H38" s="33">
        <f>H31+H32+H33-H34-H35</f>
        <v/>
      </c>
      <c r="I38" s="33">
        <f>I31+I32+I33-I34-I35</f>
        <v/>
      </c>
      <c r="J38" s="33">
        <f>J31+J32+J33-J34-J35</f>
        <v/>
      </c>
      <c r="K38" s="33">
        <f>K31+K32+K33-K34-K35</f>
        <v/>
      </c>
      <c r="L38" s="33">
        <f>L31+L32+L33-L34-L35</f>
        <v/>
      </c>
      <c r="M38" s="33">
        <f>M31+M32+M33-M34-M35</f>
        <v/>
      </c>
      <c r="N38" s="33">
        <f>N31+N32+N33-N34-N35</f>
        <v/>
      </c>
      <c r="O38" s="33">
        <f>O31+O32+O33-O34-O35</f>
        <v/>
      </c>
      <c r="P38" s="33">
        <f>P31+P32+P33-P34-P35</f>
        <v/>
      </c>
    </row>
    <row r="39">
      <c r="A39" s="3" t="inlineStr">
        <is>
          <t>Valuation FCF (FCFF - SBC)</t>
        </is>
      </c>
      <c r="B39" s="33">
        <f>B38-B33</f>
        <v/>
      </c>
      <c r="C39" s="33">
        <f>C38-C33</f>
        <v/>
      </c>
      <c r="D39" s="33">
        <f>D38-D33</f>
        <v/>
      </c>
      <c r="E39" s="33">
        <f>E38-E33</f>
        <v/>
      </c>
      <c r="F39" s="33">
        <f>F38-F33</f>
        <v/>
      </c>
      <c r="G39" s="33">
        <f>G38-G33</f>
        <v/>
      </c>
      <c r="H39" s="33">
        <f>H38-H33</f>
        <v/>
      </c>
      <c r="I39" s="33">
        <f>I38-I33</f>
        <v/>
      </c>
      <c r="J39" s="33">
        <f>J38-J33</f>
        <v/>
      </c>
      <c r="K39" s="33">
        <f>K38-K33</f>
        <v/>
      </c>
      <c r="L39" s="33">
        <f>L38-L33</f>
        <v/>
      </c>
      <c r="M39" s="33">
        <f>M38-M33</f>
        <v/>
      </c>
      <c r="N39" s="33">
        <f>N38-N33</f>
        <v/>
      </c>
      <c r="O39" s="33">
        <f>O38-O33</f>
        <v/>
      </c>
      <c r="P39" s="33">
        <f>P38-P33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28">
        <f>Financials!G41+Financials!G40-Financials!G35</f>
        <v/>
      </c>
      <c r="C42" s="28">
        <f>Financials!K41+Financials!K40-Financials!K35</f>
        <v/>
      </c>
      <c r="D42" s="28">
        <f>Financials!O41+Financials!O40-Financials!O35</f>
        <v/>
      </c>
      <c r="E42" s="28">
        <f>Financials!S41+Financials!S40-Financials!S35</f>
        <v/>
      </c>
      <c r="F42" s="28">
        <f>Financials!W41+Financials!W40-Financials!W35</f>
        <v/>
      </c>
      <c r="G42" s="32">
        <f>F42+G35-G32+G34</f>
        <v/>
      </c>
      <c r="H42" s="32">
        <f>G42+H35-H32+H34</f>
        <v/>
      </c>
      <c r="I42" s="32">
        <f>H42+I35-I32+I34</f>
        <v/>
      </c>
      <c r="J42" s="32">
        <f>I42+J35-J32+J34</f>
        <v/>
      </c>
      <c r="K42" s="32">
        <f>J42+K35-K32+K34</f>
        <v/>
      </c>
      <c r="L42" s="32">
        <f>K42+L35-L32+L34</f>
        <v/>
      </c>
      <c r="M42" s="32">
        <f>L42+M35-M32+M34</f>
        <v/>
      </c>
      <c r="N42" s="32">
        <f>M42+N35-N32+N34</f>
        <v/>
      </c>
      <c r="O42" s="32">
        <f>N42+O35-O32+O34</f>
        <v/>
      </c>
      <c r="P42" s="32">
        <f>O42+P35-P32+P34</f>
        <v/>
      </c>
    </row>
    <row r="43">
      <c r="A43" s="4" t="inlineStr">
        <is>
          <t>Book equity (year-end)</t>
        </is>
      </c>
      <c r="B43" s="28">
        <f>Financials!G41</f>
        <v/>
      </c>
      <c r="C43" s="28">
        <f>Financials!K41</f>
        <v/>
      </c>
      <c r="D43" s="28">
        <f>Financials!O41</f>
        <v/>
      </c>
      <c r="E43" s="28">
        <f>Financials!S41</f>
        <v/>
      </c>
      <c r="F43" s="28">
        <f>Financials!W41</f>
        <v/>
      </c>
      <c r="G43" s="32">
        <f>F43+G31</f>
        <v/>
      </c>
      <c r="H43" s="32">
        <f>G43+H31</f>
        <v/>
      </c>
      <c r="I43" s="32">
        <f>H43+I31</f>
        <v/>
      </c>
      <c r="J43" s="32">
        <f>I43+J31</f>
        <v/>
      </c>
      <c r="K43" s="32">
        <f>J43+K31</f>
        <v/>
      </c>
      <c r="L43" s="32">
        <f>K43+L31</f>
        <v/>
      </c>
      <c r="M43" s="32">
        <f>L43+M31</f>
        <v/>
      </c>
      <c r="N43" s="32">
        <f>M43+N31</f>
        <v/>
      </c>
      <c r="O43" s="32">
        <f>N43+O31</f>
        <v/>
      </c>
      <c r="P43" s="32">
        <f>O43+P31</f>
        <v/>
      </c>
    </row>
    <row r="44">
      <c r="A44" s="3" t="inlineStr">
        <is>
          <t xml:space="preserve">  ROIC (NOPAT / beg. invested capital)</t>
        </is>
      </c>
      <c r="C44" s="57">
        <f>IFERROR(C31/B42,"")</f>
        <v/>
      </c>
      <c r="D44" s="57">
        <f>IFERROR(D31/C42,"")</f>
        <v/>
      </c>
      <c r="E44" s="57">
        <f>IFERROR(E31/D42,"")</f>
        <v/>
      </c>
      <c r="F44" s="57">
        <f>IFERROR(F31/E42,"")</f>
        <v/>
      </c>
      <c r="G44" s="57">
        <f>IFERROR(G31/F42,"")</f>
        <v/>
      </c>
      <c r="H44" s="57">
        <f>IFERROR(H31/G42,"")</f>
        <v/>
      </c>
      <c r="I44" s="57">
        <f>IFERROR(I31/H42,"")</f>
        <v/>
      </c>
      <c r="J44" s="57">
        <f>IFERROR(J31/I42,"")</f>
        <v/>
      </c>
      <c r="K44" s="57">
        <f>IFERROR(K31/J42,"")</f>
        <v/>
      </c>
      <c r="L44" s="57">
        <f>IFERROR(L31/K42,"")</f>
        <v/>
      </c>
      <c r="M44" s="57">
        <f>IFERROR(M31/L42,"")</f>
        <v/>
      </c>
      <c r="N44" s="57">
        <f>IFERROR(N31/M42,"")</f>
        <v/>
      </c>
      <c r="O44" s="57">
        <f>IFERROR(O31/N42,"")</f>
        <v/>
      </c>
      <c r="P44" s="57">
        <f>IFERROR(P31/O42,"")</f>
        <v/>
      </c>
    </row>
    <row r="45">
      <c r="A45" s="3" t="inlineStr">
        <is>
          <t xml:space="preserve">  ROE (earnings / beg. equity)</t>
        </is>
      </c>
      <c r="C45" s="48">
        <f>IFERROR(SUM(Financials!H15:K15)/B43,"")</f>
        <v/>
      </c>
      <c r="D45" s="48">
        <f>IFERROR(SUM(Financials!L15:O15)/C43,"")</f>
        <v/>
      </c>
      <c r="E45" s="48">
        <f>IFERROR(SUM(Financials!P15:S15)/D43,"")</f>
        <v/>
      </c>
      <c r="F45" s="48">
        <f>IFERROR(SUM(Financials!T15:W15)/E43,"")</f>
        <v/>
      </c>
      <c r="G45" s="57">
        <f>IFERROR(G31/F43,"")</f>
        <v/>
      </c>
      <c r="H45" s="57">
        <f>IFERROR(H31/G43,"")</f>
        <v/>
      </c>
      <c r="I45" s="57">
        <f>IFERROR(I31/H43,"")</f>
        <v/>
      </c>
      <c r="J45" s="57">
        <f>IFERROR(J31/I43,"")</f>
        <v/>
      </c>
      <c r="K45" s="57">
        <f>IFERROR(K31/J43,"")</f>
        <v/>
      </c>
      <c r="L45" s="57">
        <f>IFERROR(L31/K43,"")</f>
        <v/>
      </c>
      <c r="M45" s="57">
        <f>IFERROR(M31/L43,"")</f>
        <v/>
      </c>
      <c r="N45" s="57">
        <f>IFERROR(N31/M43,"")</f>
        <v/>
      </c>
      <c r="O45" s="57">
        <f>IFERROR(O31/N43,"")</f>
        <v/>
      </c>
      <c r="P45" s="57">
        <f>IFERROR(P31/O43,"")</f>
        <v/>
      </c>
    </row>
    <row r="46">
      <c r="A46" s="4" t="inlineStr">
        <is>
          <t xml:space="preserve">  ROIC - WACC spread (value created)</t>
        </is>
      </c>
      <c r="C46" s="48">
        <f>IFERROR(C44-WACC!$B$14,"")</f>
        <v/>
      </c>
      <c r="D46" s="48">
        <f>IFERROR(D44-WACC!$B$14,"")</f>
        <v/>
      </c>
      <c r="E46" s="48">
        <f>IFERROR(E44-WACC!$B$14,"")</f>
        <v/>
      </c>
      <c r="F46" s="48">
        <f>IFERROR(F44-WACC!$B$14,"")</f>
        <v/>
      </c>
      <c r="G46" s="48">
        <f>IFERROR(G44-WACC!$B$14,"")</f>
        <v/>
      </c>
      <c r="H46" s="48">
        <f>IFERROR(H44-WACC!$B$14,"")</f>
        <v/>
      </c>
      <c r="I46" s="48">
        <f>IFERROR(I44-WACC!$B$14,"")</f>
        <v/>
      </c>
      <c r="J46" s="48">
        <f>IFERROR(J44-WACC!$B$14,"")</f>
        <v/>
      </c>
      <c r="K46" s="48">
        <f>IFERROR(K44-WACC!$B$14,"")</f>
        <v/>
      </c>
      <c r="L46" s="48">
        <f>IFERROR(L44-WACC!$B$14,"")</f>
        <v/>
      </c>
      <c r="M46" s="48">
        <f>IFERROR(M44-WACC!$B$14,"")</f>
        <v/>
      </c>
      <c r="N46" s="48">
        <f>IFERROR(N44-WACC!$B$14,"")</f>
        <v/>
      </c>
      <c r="O46" s="48">
        <f>IFERROR(O44-WACC!$B$14,"")</f>
        <v/>
      </c>
      <c r="P46" s="48">
        <f>IFERROR(P44-WACC!$B$14,"")</f>
        <v/>
      </c>
    </row>
    <row r="47">
      <c r="A47" s="4" t="inlineStr">
        <is>
          <t xml:space="preserve">  Incremental op margin (ΔEBIT / ΔRev)</t>
        </is>
      </c>
      <c r="C47" s="57">
        <f>IFERROR((C27-B27)/(C14-B14),"")</f>
        <v/>
      </c>
      <c r="D47" s="57">
        <f>IFERROR((D27-C27)/(D14-C14),"")</f>
        <v/>
      </c>
      <c r="E47" s="57">
        <f>IFERROR((E27-D27)/(E14-D14),"")</f>
        <v/>
      </c>
      <c r="F47" s="57">
        <f>IFERROR((F27-E27)/(F14-E14),"")</f>
        <v/>
      </c>
      <c r="G47" s="57">
        <f>IFERROR((G27-F27)/(G14-F14),"")</f>
        <v/>
      </c>
      <c r="H47" s="57">
        <f>IFERROR((H27-G27)/(H14-G14),"")</f>
        <v/>
      </c>
      <c r="I47" s="57">
        <f>IFERROR((I27-H27)/(I14-H14),"")</f>
        <v/>
      </c>
      <c r="J47" s="57">
        <f>IFERROR((J27-I27)/(J14-I14),"")</f>
        <v/>
      </c>
      <c r="K47" s="57">
        <f>IFERROR((K27-J27)/(K14-J14),"")</f>
        <v/>
      </c>
      <c r="L47" s="57">
        <f>IFERROR((L27-K27)/(L14-K14),"")</f>
        <v/>
      </c>
      <c r="M47" s="57">
        <f>IFERROR((M27-L27)/(M14-L14),"")</f>
        <v/>
      </c>
      <c r="N47" s="57">
        <f>IFERROR((N27-M27)/(N14-M14),"")</f>
        <v/>
      </c>
      <c r="O47" s="57">
        <f>IFERROR((O27-N27)/(O14-N14),"")</f>
        <v/>
      </c>
      <c r="P47" s="57">
        <f>IFERROR((P27-O27)/(P14-O14),"")</f>
        <v/>
      </c>
    </row>
    <row r="48">
      <c r="A48" s="3" t="inlineStr">
        <is>
          <t xml:space="preserve">  ROIIC (ΔNOPAT / ΔInvested capital)</t>
        </is>
      </c>
      <c r="C48" s="57">
        <f>IFERROR((C31-B31)/(C42-B42),"")</f>
        <v/>
      </c>
      <c r="D48" s="57">
        <f>IFERROR((D31-C31)/(D42-C42),"")</f>
        <v/>
      </c>
      <c r="E48" s="57">
        <f>IFERROR((E31-D31)/(E42-D42),"")</f>
        <v/>
      </c>
      <c r="F48" s="57">
        <f>IFERROR((F31-E31)/(F42-E42),"")</f>
        <v/>
      </c>
      <c r="G48" s="57">
        <f>IFERROR((G31-F31)/(G42-F42),"")</f>
        <v/>
      </c>
      <c r="H48" s="57">
        <f>IFERROR((H31-G31)/(H42-G42),"")</f>
        <v/>
      </c>
      <c r="I48" s="57">
        <f>IFERROR((I31-H31)/(I42-H42),"")</f>
        <v/>
      </c>
      <c r="J48" s="57">
        <f>IFERROR((J31-I31)/(J42-I42),"")</f>
        <v/>
      </c>
      <c r="K48" s="57">
        <f>IFERROR((K31-J31)/(K42-J42),"")</f>
        <v/>
      </c>
      <c r="L48" s="57">
        <f>IFERROR((L31-K31)/(L42-K42),"")</f>
        <v/>
      </c>
      <c r="M48" s="57">
        <f>IFERROR((M31-L31)/(M42-L42),"")</f>
        <v/>
      </c>
      <c r="N48" s="57">
        <f>IFERROR((N31-M31)/(N42-M42),"")</f>
        <v/>
      </c>
      <c r="O48" s="57">
        <f>IFERROR((O31-N31)/(O42-N42),"")</f>
        <v/>
      </c>
      <c r="P48" s="57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60">
        <f>IFERROR((C14-B14)/(C42-B42),"")</f>
        <v/>
      </c>
      <c r="D49" s="60">
        <f>IFERROR((D14-C14)/(D42-C42),"")</f>
        <v/>
      </c>
      <c r="E49" s="60">
        <f>IFERROR((E14-D14)/(E42-D42),"")</f>
        <v/>
      </c>
      <c r="F49" s="60">
        <f>IFERROR((F14-E14)/(F42-E42),"")</f>
        <v/>
      </c>
      <c r="G49" s="60">
        <f>IFERROR((G14-F14)/(G42-F42),"")</f>
        <v/>
      </c>
      <c r="H49" s="60">
        <f>IFERROR((H14-G14)/(H42-G42),"")</f>
        <v/>
      </c>
      <c r="I49" s="60">
        <f>IFERROR((I14-H14)/(I42-H42),"")</f>
        <v/>
      </c>
      <c r="J49" s="60">
        <f>IFERROR((J14-I14)/(J42-I42),"")</f>
        <v/>
      </c>
      <c r="K49" s="60">
        <f>IFERROR((K14-J14)/(K42-J42),"")</f>
        <v/>
      </c>
      <c r="L49" s="60">
        <f>IFERROR((L14-K14)/(L42-K42),"")</f>
        <v/>
      </c>
      <c r="M49" s="60">
        <f>IFERROR((M14-L14)/(M42-L42),"")</f>
        <v/>
      </c>
      <c r="N49" s="60">
        <f>IFERROR((N14-M14)/(N42-M42),"")</f>
        <v/>
      </c>
      <c r="O49" s="60">
        <f>IFERROR((O14-N14)/(O42-N42),"")</f>
        <v/>
      </c>
      <c r="P49" s="60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57">
        <f>IFERROR((C42-B42)/C31,"")</f>
        <v/>
      </c>
      <c r="D50" s="57">
        <f>IFERROR((D42-C42)/D31,"")</f>
        <v/>
      </c>
      <c r="E50" s="57">
        <f>IFERROR((E42-D42)/E31,"")</f>
        <v/>
      </c>
      <c r="F50" s="57">
        <f>IFERROR((F42-E42)/F31,"")</f>
        <v/>
      </c>
      <c r="G50" s="57">
        <f>IFERROR((G42-F42)/G31,"")</f>
        <v/>
      </c>
      <c r="H50" s="57">
        <f>IFERROR((H42-G42)/H31,"")</f>
        <v/>
      </c>
      <c r="I50" s="57">
        <f>IFERROR((I42-H42)/I31,"")</f>
        <v/>
      </c>
      <c r="J50" s="57">
        <f>IFERROR((J42-I42)/J31,"")</f>
        <v/>
      </c>
      <c r="K50" s="57">
        <f>IFERROR((K42-J42)/K31,"")</f>
        <v/>
      </c>
      <c r="L50" s="57">
        <f>IFERROR((L42-K42)/L31,"")</f>
        <v/>
      </c>
      <c r="M50" s="57">
        <f>IFERROR((M42-L42)/M31,"")</f>
        <v/>
      </c>
      <c r="N50" s="57">
        <f>IFERROR((N42-M42)/N31,"")</f>
        <v/>
      </c>
      <c r="O50" s="57">
        <f>IFERROR((O42-N42)/O31,"")</f>
        <v/>
      </c>
      <c r="P50" s="57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3" t="inlineStr">
        <is>
          <t>Line Item ($M)</t>
        </is>
      </c>
      <c r="B1" s="36" t="inlineStr">
        <is>
          <t>Q3 2020</t>
        </is>
      </c>
      <c r="C1" s="36" t="inlineStr">
        <is>
          <t>Q4 2020</t>
        </is>
      </c>
      <c r="D1" s="36" t="inlineStr">
        <is>
          <t>Q1 2021</t>
        </is>
      </c>
      <c r="E1" s="36" t="inlineStr">
        <is>
          <t>Q2 2021</t>
        </is>
      </c>
      <c r="F1" s="36" t="inlineStr">
        <is>
          <t>Q3 2021</t>
        </is>
      </c>
      <c r="G1" s="36" t="inlineStr">
        <is>
          <t>Q4 2021</t>
        </is>
      </c>
      <c r="H1" s="36" t="inlineStr">
        <is>
          <t>Q1 2022</t>
        </is>
      </c>
      <c r="I1" s="36" t="inlineStr">
        <is>
          <t>Q2 2022</t>
        </is>
      </c>
      <c r="J1" s="36" t="inlineStr">
        <is>
          <t>Q3 2022</t>
        </is>
      </c>
      <c r="K1" s="36" t="inlineStr">
        <is>
          <t>Q4 2022</t>
        </is>
      </c>
      <c r="L1" s="36" t="inlineStr">
        <is>
          <t>Q1 2023</t>
        </is>
      </c>
      <c r="M1" s="36" t="inlineStr">
        <is>
          <t>Q2 2023</t>
        </is>
      </c>
      <c r="N1" s="36" t="inlineStr">
        <is>
          <t>Q3 2023</t>
        </is>
      </c>
      <c r="O1" s="36" t="inlineStr">
        <is>
          <t>Q4 2023</t>
        </is>
      </c>
      <c r="P1" s="36" t="inlineStr">
        <is>
          <t>Q1 2024</t>
        </is>
      </c>
      <c r="Q1" s="36" t="inlineStr">
        <is>
          <t>Q2 2024</t>
        </is>
      </c>
      <c r="R1" s="36" t="inlineStr">
        <is>
          <t>Q3 2024</t>
        </is>
      </c>
      <c r="S1" s="36" t="inlineStr">
        <is>
          <t>Q4 2024</t>
        </is>
      </c>
      <c r="T1" s="36" t="inlineStr">
        <is>
          <t>Q1 2025</t>
        </is>
      </c>
      <c r="U1" s="36" t="inlineStr">
        <is>
          <t>Q2 2025</t>
        </is>
      </c>
      <c r="V1" s="36" t="inlineStr">
        <is>
          <t>Q3 2025</t>
        </is>
      </c>
      <c r="W1" s="36" t="inlineStr">
        <is>
          <t>Q4 2025</t>
        </is>
      </c>
      <c r="X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>
      <c r="A3" s="4" t="inlineStr">
        <is>
          <t>Revenue</t>
        </is>
      </c>
      <c r="B3" s="18" t="n">
        <v>38.608</v>
      </c>
      <c r="C3" s="18" t="n">
        <v>63.957</v>
      </c>
      <c r="D3" s="18" t="n">
        <v>64.20099999999999</v>
      </c>
      <c r="E3" s="18" t="n">
        <v>47.015</v>
      </c>
      <c r="F3" s="18" t="n">
        <v>43.178</v>
      </c>
      <c r="G3" s="18" t="n">
        <v>57.801</v>
      </c>
      <c r="H3" s="18" t="n">
        <v>53.941</v>
      </c>
      <c r="I3" s="18" t="n">
        <v>36.169</v>
      </c>
      <c r="J3" s="18" t="n">
        <v>83.23399999999999</v>
      </c>
      <c r="K3" s="18" t="n">
        <v>61.35</v>
      </c>
      <c r="L3" s="18" t="n">
        <v>43.139</v>
      </c>
      <c r="M3" s="18" t="n">
        <v>48.706</v>
      </c>
      <c r="N3" s="18" t="n">
        <v>53.303</v>
      </c>
      <c r="O3" s="18" t="n">
        <v>57.418</v>
      </c>
      <c r="P3" s="18" t="n">
        <v>62.422</v>
      </c>
      <c r="Q3" s="18" t="n">
        <v>70.514</v>
      </c>
      <c r="R3" s="18" t="n">
        <v>76.874</v>
      </c>
      <c r="S3" s="18" t="n">
        <v>95.64</v>
      </c>
      <c r="T3" s="18" t="n">
        <v>87.11499999999999</v>
      </c>
      <c r="U3" s="18" t="n">
        <v>102.692</v>
      </c>
      <c r="V3" s="18" t="n">
        <v>116.743</v>
      </c>
      <c r="W3" s="18" t="n">
        <v>120.989</v>
      </c>
      <c r="X3" s="18" t="n">
        <v>102.254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</row>
    <row r="5">
      <c r="A5" s="4" t="inlineStr">
        <is>
          <t>Cost of Revenue</t>
        </is>
      </c>
      <c r="B5" s="18" t="n">
        <v>36.53</v>
      </c>
      <c r="C5" s="18" t="n">
        <v>63.542</v>
      </c>
      <c r="D5" s="18" t="n">
        <v>68.524</v>
      </c>
      <c r="E5" s="18" t="n">
        <v>48.179</v>
      </c>
      <c r="F5" s="18" t="n">
        <v>51.487</v>
      </c>
      <c r="G5" s="18" t="n">
        <v>48.602</v>
      </c>
      <c r="H5" s="18" t="n">
        <v>48.316</v>
      </c>
      <c r="I5" s="18" t="n">
        <v>65.767</v>
      </c>
      <c r="J5" s="18" t="n">
        <v>69.685</v>
      </c>
      <c r="K5" s="18" t="n">
        <v>77.676</v>
      </c>
      <c r="L5" s="18" t="n">
        <v>27.903</v>
      </c>
      <c r="M5" s="18" t="n">
        <v>29.949</v>
      </c>
      <c r="N5" s="18" t="n">
        <v>28.044</v>
      </c>
      <c r="O5" s="18" t="n">
        <v>26.664</v>
      </c>
      <c r="P5" s="18" t="n">
        <v>25.011</v>
      </c>
      <c r="Q5" s="18" t="n">
        <v>27.562</v>
      </c>
      <c r="R5" s="18" t="n">
        <v>29.045</v>
      </c>
      <c r="S5" s="18" t="n">
        <v>29.435</v>
      </c>
      <c r="T5" s="18" t="n">
        <v>28.639</v>
      </c>
      <c r="U5" s="18" t="n">
        <v>31.79</v>
      </c>
      <c r="V5" s="18" t="n">
        <v>32.216</v>
      </c>
      <c r="W5" s="18" t="n">
        <v>42.066</v>
      </c>
      <c r="X5" s="18" t="n">
        <v>34.043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</row>
    <row r="7">
      <c r="A7" s="4" t="inlineStr">
        <is>
          <t>R&amp;D Expense</t>
        </is>
      </c>
      <c r="B7" s="18" t="n">
        <v>19.083</v>
      </c>
      <c r="C7" s="18" t="n">
        <v>31.16</v>
      </c>
      <c r="D7" s="18" t="n">
        <v>53.133</v>
      </c>
      <c r="E7" s="18" t="n">
        <v>11.952</v>
      </c>
      <c r="F7" s="18" t="n">
        <v>17.831</v>
      </c>
      <c r="G7" s="18" t="n">
        <v>22.246</v>
      </c>
      <c r="H7" s="18" t="n">
        <v>21.315</v>
      </c>
      <c r="I7" s="18" t="n">
        <v>27.168</v>
      </c>
      <c r="J7" s="18" t="n">
        <v>13.354</v>
      </c>
      <c r="K7" s="18" t="n">
        <v>24.366</v>
      </c>
      <c r="L7" s="18" t="n">
        <v>14.592</v>
      </c>
      <c r="M7" s="18" t="n">
        <v>17.138</v>
      </c>
      <c r="N7" s="18" t="n">
        <v>14.288</v>
      </c>
      <c r="O7" s="18" t="n">
        <v>12.248</v>
      </c>
      <c r="P7" s="18" t="n">
        <v>11.567</v>
      </c>
      <c r="Q7" s="18" t="n">
        <v>10.691</v>
      </c>
      <c r="R7" s="18" t="n">
        <v>11.665</v>
      </c>
      <c r="S7" s="18" t="n">
        <v>11.588</v>
      </c>
      <c r="T7" s="18" t="n">
        <v>12.577</v>
      </c>
      <c r="U7" s="18" t="n">
        <v>14.87</v>
      </c>
      <c r="V7" s="18" t="n">
        <v>19.829</v>
      </c>
      <c r="W7" s="18" t="n">
        <v>24.032</v>
      </c>
      <c r="X7" s="18" t="n">
        <v>19.804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</row>
    <row r="9">
      <c r="A9" s="4" t="inlineStr">
        <is>
          <t>SG&amp;A Expense</t>
        </is>
      </c>
      <c r="B9" s="18" t="n">
        <v>37.077</v>
      </c>
      <c r="C9" s="18" t="n">
        <v>91.14400000000001</v>
      </c>
      <c r="D9" s="18" t="n">
        <v>137.404</v>
      </c>
      <c r="E9" s="18" t="n">
        <v>31.444</v>
      </c>
      <c r="F9" s="18" t="n">
        <v>61.277</v>
      </c>
      <c r="G9" s="18" t="n">
        <v>100.848</v>
      </c>
      <c r="H9" s="18" t="n">
        <v>72.331</v>
      </c>
      <c r="I9" s="18" t="n">
        <v>104.152</v>
      </c>
      <c r="J9" s="18" t="n">
        <v>89.31399999999999</v>
      </c>
      <c r="K9" s="18" t="n">
        <v>72.44499999999999</v>
      </c>
      <c r="L9" s="18" t="n">
        <v>57.141</v>
      </c>
      <c r="M9" s="18" t="n">
        <v>52.523</v>
      </c>
      <c r="N9" s="18" t="n">
        <v>42.862</v>
      </c>
      <c r="O9" s="18" t="n">
        <v>42.185</v>
      </c>
      <c r="P9" s="18" t="n">
        <v>39.504</v>
      </c>
      <c r="Q9" s="18" t="n">
        <v>42.147</v>
      </c>
      <c r="R9" s="18" t="n">
        <v>43.17</v>
      </c>
      <c r="S9" s="18" t="n">
        <v>45.026</v>
      </c>
      <c r="T9" s="18" t="n">
        <v>50.45</v>
      </c>
      <c r="U9" s="18" t="n">
        <v>46.384</v>
      </c>
      <c r="V9" s="18" t="n">
        <v>67.949</v>
      </c>
      <c r="W9" s="18" t="n">
        <v>74.441</v>
      </c>
      <c r="X9" s="18" t="n">
        <v>74.59099999999999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</row>
    <row r="11">
      <c r="A11" s="4" t="inlineStr">
        <is>
          <t>Gross Profit</t>
        </is>
      </c>
      <c r="B11" s="18" t="n">
        <v>2.078</v>
      </c>
      <c r="C11" s="18" t="n">
        <v>0.415</v>
      </c>
      <c r="D11" s="18" t="n">
        <v>-4.323</v>
      </c>
      <c r="E11" s="18" t="n">
        <v>-1.164</v>
      </c>
      <c r="F11" s="18" t="n">
        <v>-8.308999999999999</v>
      </c>
      <c r="G11" s="18" t="n">
        <v>9.199</v>
      </c>
      <c r="H11" s="18" t="n">
        <v>5.625</v>
      </c>
      <c r="I11" s="18" t="n">
        <v>-29.598</v>
      </c>
      <c r="J11" s="18" t="n">
        <v>13.549</v>
      </c>
      <c r="K11" s="18" t="n">
        <v>-16.326</v>
      </c>
      <c r="L11" s="18" t="n">
        <v>15.236</v>
      </c>
      <c r="M11" s="18" t="n">
        <v>18.757</v>
      </c>
      <c r="N11" s="18" t="n">
        <v>25.259</v>
      </c>
      <c r="O11" s="18" t="n">
        <v>30.754</v>
      </c>
      <c r="P11" s="18" t="n">
        <v>37.411</v>
      </c>
      <c r="Q11" s="18" t="n">
        <v>42.952</v>
      </c>
      <c r="R11" s="18" t="n">
        <v>47.829</v>
      </c>
      <c r="S11" s="18" t="n">
        <v>66.205</v>
      </c>
      <c r="T11" s="18" t="n">
        <v>58.476</v>
      </c>
      <c r="U11" s="18" t="n">
        <v>70.902</v>
      </c>
      <c r="V11" s="18" t="n">
        <v>84.527</v>
      </c>
      <c r="W11" s="18" t="n">
        <v>78.923</v>
      </c>
      <c r="X11" s="18" t="n">
        <v>68.211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</row>
    <row r="13">
      <c r="A13" s="4" t="inlineStr">
        <is>
          <t>Operating Income</t>
        </is>
      </c>
      <c r="B13" s="18" t="n">
        <v>-56.015</v>
      </c>
      <c r="C13" s="18" t="n">
        <v>-125.045</v>
      </c>
      <c r="D13" s="18" t="n">
        <v>-196.657</v>
      </c>
      <c r="E13" s="18" t="n">
        <v>-45.448</v>
      </c>
      <c r="F13" s="18" t="n">
        <v>-88.264</v>
      </c>
      <c r="G13" s="18" t="n">
        <v>-116.022</v>
      </c>
      <c r="H13" s="18" t="n">
        <v>-89.30500000000001</v>
      </c>
      <c r="I13" s="18" t="n">
        <v>-162.649</v>
      </c>
      <c r="J13" s="18" t="n">
        <v>-90.816</v>
      </c>
      <c r="K13" s="18" t="n">
        <v>-324.882</v>
      </c>
      <c r="L13" s="18" t="n">
        <v>-60.364</v>
      </c>
      <c r="M13" s="18" t="n">
        <v>-51.622</v>
      </c>
      <c r="N13" s="18" t="n">
        <v>-42.967</v>
      </c>
      <c r="O13" s="18" t="n">
        <v>-25.643</v>
      </c>
      <c r="P13" s="18" t="n">
        <v>-13.66</v>
      </c>
      <c r="Q13" s="18" t="n">
        <v>-10.579</v>
      </c>
      <c r="R13" s="18" t="n">
        <v>-7.78</v>
      </c>
      <c r="S13" s="18" t="n">
        <v>8.805999999999999</v>
      </c>
      <c r="T13" s="18" t="n">
        <v>-4.551</v>
      </c>
      <c r="U13" s="18" t="n">
        <v>8.960000000000001</v>
      </c>
      <c r="V13" s="18" t="n">
        <v>-3.251</v>
      </c>
      <c r="W13" s="18" t="n">
        <v>-13.719</v>
      </c>
      <c r="X13" s="18" t="n">
        <v>-26.184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</row>
    <row r="15">
      <c r="A15" s="4" t="inlineStr">
        <is>
          <t>Net Income</t>
        </is>
      </c>
      <c r="B15" s="18" t="n">
        <v>-56.615</v>
      </c>
      <c r="C15" s="18" t="n">
        <v>-125.683</v>
      </c>
      <c r="D15" s="18" t="n">
        <v>-191.775</v>
      </c>
      <c r="E15" s="18" t="n">
        <v>-46.161</v>
      </c>
      <c r="F15" s="18" t="n">
        <v>32.731</v>
      </c>
      <c r="G15" s="18" t="n">
        <v>-40.427</v>
      </c>
      <c r="H15" s="18" t="n">
        <v>-76.896</v>
      </c>
      <c r="I15" s="18" t="n">
        <v>-85.742</v>
      </c>
      <c r="J15" s="18" t="n">
        <v>-77.581</v>
      </c>
      <c r="K15" s="18" t="n">
        <v>-308.761</v>
      </c>
      <c r="L15" s="18" t="n">
        <v>-60.989</v>
      </c>
      <c r="M15" s="18" t="n">
        <v>-46.719</v>
      </c>
      <c r="N15" s="18" t="n">
        <v>-42.286</v>
      </c>
      <c r="O15" s="18" t="n">
        <v>-25.773</v>
      </c>
      <c r="P15" s="18" t="n">
        <v>-20.239</v>
      </c>
      <c r="Q15" s="18" t="n">
        <v>-29.173</v>
      </c>
      <c r="R15" s="18" t="n">
        <v>-8.311999999999999</v>
      </c>
      <c r="S15" s="18" t="n">
        <v>5.438</v>
      </c>
      <c r="T15" s="18" t="n">
        <v>-6.529</v>
      </c>
      <c r="U15" s="18" t="n">
        <v>10.809</v>
      </c>
      <c r="V15" s="18" t="n">
        <v>-7.635</v>
      </c>
      <c r="W15" s="18" t="n">
        <v>-17.666</v>
      </c>
      <c r="X15" s="18" t="n">
        <v>-63.316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</row>
    <row r="17">
      <c r="A17" s="4" t="inlineStr">
        <is>
          <t>Diluted Shares (M)</t>
        </is>
      </c>
      <c r="B17" s="18" t="n">
        <v>5.626678</v>
      </c>
      <c r="C17" s="18" t="n">
        <v>5.626678</v>
      </c>
      <c r="D17" s="18" t="n">
        <v>5.626678</v>
      </c>
      <c r="E17" s="18" t="n">
        <v>5.626678</v>
      </c>
      <c r="F17" s="18" t="n">
        <v>6.373665</v>
      </c>
      <c r="G17" s="18" t="n">
        <v>7.317962</v>
      </c>
      <c r="H17" s="18" t="n">
        <v>7.405113</v>
      </c>
      <c r="I17" s="18" t="n">
        <v>10.234909</v>
      </c>
      <c r="J17" s="18" t="n">
        <v>11.538308</v>
      </c>
      <c r="K17" s="18" t="n">
        <v>11.773064</v>
      </c>
      <c r="L17" s="18" t="n">
        <v>20.061965</v>
      </c>
      <c r="M17" s="18" t="n">
        <v>25.418358</v>
      </c>
      <c r="N17" s="18" t="n">
        <v>25.788747</v>
      </c>
      <c r="O17" s="18" t="n">
        <v>25.978863</v>
      </c>
      <c r="P17" s="18" t="n">
        <v>26.06217</v>
      </c>
      <c r="Q17" s="18" t="n">
        <v>26.617955</v>
      </c>
      <c r="R17" s="18" t="n">
        <v>27.095986</v>
      </c>
      <c r="S17" s="18" t="n">
        <v>26.9936</v>
      </c>
      <c r="T17" s="18" t="n">
        <v>28.147948</v>
      </c>
      <c r="U17" s="18" t="n">
        <v>29.753933</v>
      </c>
      <c r="V17" s="18" t="n">
        <v>28.79773</v>
      </c>
      <c r="W17" s="18" t="n">
        <v>26.891213</v>
      </c>
      <c r="X17" s="18" t="n">
        <v>29.335126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>
      <c r="A19" s="4" t="inlineStr">
        <is>
          <t>Diagnostic Test</t>
        </is>
      </c>
      <c r="H19" s="18" t="n">
        <v>52.495</v>
      </c>
      <c r="I19" s="18" t="n">
        <v>34.004</v>
      </c>
      <c r="J19" s="18" t="n">
        <v>81.48999999999999</v>
      </c>
      <c r="K19" s="18" t="n">
        <v>59.345</v>
      </c>
      <c r="Q19" s="18" t="n">
        <v>69.43899999999999</v>
      </c>
      <c r="R19" s="18" t="n">
        <v>77.41800000000001</v>
      </c>
      <c r="S19" s="18" t="n">
        <v>155.3</v>
      </c>
      <c r="T19" s="18" t="n">
        <v>85.759</v>
      </c>
      <c r="U19" s="18" t="n">
        <v>99.82299999999999</v>
      </c>
      <c r="V19" s="18" t="n">
        <v>113.523</v>
      </c>
      <c r="W19" s="18" t="n">
        <v>117.563</v>
      </c>
      <c r="X19" s="18" t="n">
        <v>101.299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</row>
    <row r="22">
      <c r="A22" s="4" t="inlineStr">
        <is>
          <t>Diagnostic Test, Third Party Insurance</t>
        </is>
      </c>
      <c r="H22" s="18" t="n">
        <v>47.462</v>
      </c>
      <c r="I22" s="18" t="n">
        <v>21.398</v>
      </c>
      <c r="J22" s="18" t="n">
        <v>64.39100000000001</v>
      </c>
      <c r="K22" s="18" t="n">
        <v>40.373</v>
      </c>
      <c r="Q22" s="18" t="n">
        <v>52.052</v>
      </c>
      <c r="R22" s="18" t="n">
        <v>59.543</v>
      </c>
      <c r="S22" s="18" t="n">
        <v>123.104</v>
      </c>
      <c r="T22" s="18" t="n">
        <v>68.059</v>
      </c>
      <c r="U22" s="18" t="n">
        <v>81.104</v>
      </c>
      <c r="V22" s="18" t="n">
        <v>95.02</v>
      </c>
      <c r="W22" s="18" t="n">
        <v>101.052</v>
      </c>
      <c r="X22" s="18" t="n">
        <v>84.919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</row>
    <row r="25">
      <c r="A25" s="4" t="inlineStr">
        <is>
          <t>Diagnostic Test, Institutional Customers</t>
        </is>
      </c>
      <c r="H25" s="18" t="n">
        <v>4.031</v>
      </c>
      <c r="I25" s="18" t="n">
        <v>11.12</v>
      </c>
      <c r="J25" s="18" t="n">
        <v>15.244</v>
      </c>
      <c r="K25" s="18" t="n">
        <v>15.729</v>
      </c>
      <c r="Q25" s="18" t="n">
        <v>16.695</v>
      </c>
      <c r="R25" s="18" t="n">
        <v>17.415</v>
      </c>
      <c r="S25" s="18" t="n">
        <v>31.005</v>
      </c>
      <c r="T25" s="18" t="n">
        <v>17.604</v>
      </c>
      <c r="U25" s="18" t="n">
        <v>18.38</v>
      </c>
      <c r="V25" s="18" t="n">
        <v>17.874</v>
      </c>
      <c r="W25" s="18" t="n">
        <v>16.214</v>
      </c>
      <c r="X25" s="18" t="n">
        <v>16.094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</row>
    <row r="28">
      <c r="A28" s="4" t="inlineStr">
        <is>
          <t>Product and Service, Other</t>
        </is>
      </c>
      <c r="H28" s="18" t="n">
        <v>1.446</v>
      </c>
      <c r="I28" s="18" t="n">
        <v>2.165</v>
      </c>
      <c r="J28" s="18" t="n">
        <v>1.744</v>
      </c>
      <c r="K28" s="18" t="n">
        <v>2.005</v>
      </c>
      <c r="Q28" s="18" t="n">
        <v>1.075</v>
      </c>
      <c r="R28" s="18" t="n">
        <v>-0.544</v>
      </c>
      <c r="S28" s="18" t="n">
        <v>2.762</v>
      </c>
      <c r="T28" s="18" t="n">
        <v>1.356</v>
      </c>
      <c r="U28" s="18" t="n">
        <v>2.869</v>
      </c>
      <c r="V28" s="18" t="n">
        <v>3.22</v>
      </c>
      <c r="W28" s="18" t="n">
        <v>3.426</v>
      </c>
      <c r="X28" s="18" t="n">
        <v>0.955</v>
      </c>
    </row>
    <row r="29">
      <c r="A29" s="4" t="inlineStr">
        <is>
          <t xml:space="preserve">    % YoY</t>
        </is>
      </c>
      <c r="F29" s="57">
        <f>IFERROR(F28/B28-1,"")</f>
        <v/>
      </c>
      <c r="G29" s="57">
        <f>IFERROR(G28/C28-1,"")</f>
        <v/>
      </c>
      <c r="H29" s="57">
        <f>IFERROR(H28/D28-1,"")</f>
        <v/>
      </c>
      <c r="I29" s="57">
        <f>IFERROR(I28/E28-1,"")</f>
        <v/>
      </c>
      <c r="J29" s="57">
        <f>IFERROR(J28/F28-1,"")</f>
        <v/>
      </c>
      <c r="K29" s="57">
        <f>IFERROR(K28/G28-1,"")</f>
        <v/>
      </c>
      <c r="L29" s="57">
        <f>IFERROR(L28/H28-1,"")</f>
        <v/>
      </c>
      <c r="M29" s="57">
        <f>IFERROR(M28/I28-1,"")</f>
        <v/>
      </c>
      <c r="N29" s="57">
        <f>IFERROR(N28/J28-1,"")</f>
        <v/>
      </c>
      <c r="O29" s="57">
        <f>IFERROR(O28/K28-1,"")</f>
        <v/>
      </c>
      <c r="P29" s="57">
        <f>IFERROR(P28/L28-1,"")</f>
        <v/>
      </c>
      <c r="Q29" s="57">
        <f>IFERROR(Q28/M28-1,"")</f>
        <v/>
      </c>
      <c r="R29" s="57">
        <f>IFERROR(R28/N28-1,"")</f>
        <v/>
      </c>
      <c r="S29" s="57">
        <f>IFERROR(S28/O28-1,"")</f>
        <v/>
      </c>
      <c r="T29" s="57">
        <f>IFERROR(T28/P28-1,"")</f>
        <v/>
      </c>
      <c r="U29" s="57">
        <f>IFERROR(U28/Q28-1,"")</f>
        <v/>
      </c>
      <c r="V29" s="57">
        <f>IFERROR(V28/R28-1,"")</f>
        <v/>
      </c>
      <c r="W29" s="57">
        <f>IFERROR(W28/S28-1,"")</f>
        <v/>
      </c>
      <c r="X29" s="57">
        <f>IFERROR(X28/T28-1,"")</f>
        <v/>
      </c>
    </row>
    <row r="30">
      <c r="A30" s="4" t="inlineStr">
        <is>
          <t xml:space="preserve">    % of revenue</t>
        </is>
      </c>
      <c r="B30" s="57">
        <f>IFERROR(B28/B3,"")</f>
        <v/>
      </c>
      <c r="C30" s="57">
        <f>IFERROR(C28/C3,"")</f>
        <v/>
      </c>
      <c r="D30" s="57">
        <f>IFERROR(D28/D3,"")</f>
        <v/>
      </c>
      <c r="E30" s="57">
        <f>IFERROR(E28/E3,"")</f>
        <v/>
      </c>
      <c r="F30" s="57">
        <f>IFERROR(F28/F3,"")</f>
        <v/>
      </c>
      <c r="G30" s="57">
        <f>IFERROR(G28/G3,"")</f>
        <v/>
      </c>
      <c r="H30" s="57">
        <f>IFERROR(H28/H3,"")</f>
        <v/>
      </c>
      <c r="I30" s="57">
        <f>IFERROR(I28/I3,"")</f>
        <v/>
      </c>
      <c r="J30" s="57">
        <f>IFERROR(J28/J3,"")</f>
        <v/>
      </c>
      <c r="K30" s="57">
        <f>IFERROR(K28/K3,"")</f>
        <v/>
      </c>
      <c r="L30" s="57">
        <f>IFERROR(L28/L3,"")</f>
        <v/>
      </c>
      <c r="M30" s="57">
        <f>IFERROR(M28/M3,"")</f>
        <v/>
      </c>
      <c r="N30" s="57">
        <f>IFERROR(N28/N3,"")</f>
        <v/>
      </c>
      <c r="O30" s="57">
        <f>IFERROR(O28/O3,"")</f>
        <v/>
      </c>
      <c r="P30" s="57">
        <f>IFERROR(P28/P3,"")</f>
        <v/>
      </c>
      <c r="Q30" s="57">
        <f>IFERROR(Q28/Q3,"")</f>
        <v/>
      </c>
      <c r="R30" s="57">
        <f>IFERROR(R28/R3,"")</f>
        <v/>
      </c>
      <c r="S30" s="57">
        <f>IFERROR(S28/S3,"")</f>
        <v/>
      </c>
      <c r="T30" s="57">
        <f>IFERROR(T28/T3,"")</f>
        <v/>
      </c>
      <c r="U30" s="57">
        <f>IFERROR(U28/U3,"")</f>
        <v/>
      </c>
      <c r="V30" s="57">
        <f>IFERROR(V28/V3,"")</f>
        <v/>
      </c>
      <c r="W30" s="57">
        <f>IFERROR(W28/W3,"")</f>
        <v/>
      </c>
      <c r="X30" s="57">
        <f>IFERROR(X28/X3,"")</f>
        <v/>
      </c>
    </row>
    <row r="31">
      <c r="A31" s="4" t="inlineStr">
        <is>
          <t>Diagnostic Test, Self Pay</t>
        </is>
      </c>
      <c r="H31" s="18" t="n">
        <v>1.002</v>
      </c>
      <c r="I31" s="18" t="n">
        <v>1.486</v>
      </c>
      <c r="J31" s="18" t="n">
        <v>1.855</v>
      </c>
      <c r="K31" s="18" t="n">
        <v>3.243</v>
      </c>
      <c r="Q31" s="18" t="n">
        <v>0.6919999999999999</v>
      </c>
      <c r="R31" s="18" t="n">
        <v>0.46</v>
      </c>
      <c r="S31" s="18" t="n">
        <v>1.191</v>
      </c>
      <c r="T31" s="18" t="n">
        <v>0.096</v>
      </c>
      <c r="U31" s="18" t="n">
        <v>0.339</v>
      </c>
      <c r="V31" s="18" t="n">
        <v>0.629</v>
      </c>
      <c r="W31" s="18" t="n">
        <v>0.297</v>
      </c>
      <c r="X31" s="18" t="n">
        <v>0.286</v>
      </c>
    </row>
    <row r="32">
      <c r="A32" s="4" t="inlineStr">
        <is>
          <t xml:space="preserve">    % YoY</t>
        </is>
      </c>
      <c r="F32" s="57">
        <f>IFERROR(F31/B31-1,"")</f>
        <v/>
      </c>
      <c r="G32" s="57">
        <f>IFERROR(G31/C31-1,"")</f>
        <v/>
      </c>
      <c r="H32" s="57">
        <f>IFERROR(H31/D31-1,"")</f>
        <v/>
      </c>
      <c r="I32" s="57">
        <f>IFERROR(I31/E31-1,"")</f>
        <v/>
      </c>
      <c r="J32" s="57">
        <f>IFERROR(J31/F31-1,"")</f>
        <v/>
      </c>
      <c r="K32" s="57">
        <f>IFERROR(K31/G31-1,"")</f>
        <v/>
      </c>
      <c r="L32" s="57">
        <f>IFERROR(L31/H31-1,"")</f>
        <v/>
      </c>
      <c r="M32" s="57">
        <f>IFERROR(M31/I31-1,"")</f>
        <v/>
      </c>
      <c r="N32" s="57">
        <f>IFERROR(N31/J31-1,"")</f>
        <v/>
      </c>
      <c r="O32" s="57">
        <f>IFERROR(O31/K31-1,"")</f>
        <v/>
      </c>
      <c r="P32" s="57">
        <f>IFERROR(P31/L31-1,"")</f>
        <v/>
      </c>
      <c r="Q32" s="57">
        <f>IFERROR(Q31/M31-1,"")</f>
        <v/>
      </c>
      <c r="R32" s="57">
        <f>IFERROR(R31/N31-1,"")</f>
        <v/>
      </c>
      <c r="S32" s="57">
        <f>IFERROR(S31/O31-1,"")</f>
        <v/>
      </c>
      <c r="T32" s="57">
        <f>IFERROR(T31/P31-1,"")</f>
        <v/>
      </c>
      <c r="U32" s="57">
        <f>IFERROR(U31/Q31-1,"")</f>
        <v/>
      </c>
      <c r="V32" s="57">
        <f>IFERROR(V31/R31-1,"")</f>
        <v/>
      </c>
      <c r="W32" s="57">
        <f>IFERROR(W31/S31-1,"")</f>
        <v/>
      </c>
      <c r="X32" s="57">
        <f>IFERROR(X31/T31-1,"")</f>
        <v/>
      </c>
    </row>
    <row r="33">
      <c r="A33" s="4" t="inlineStr">
        <is>
          <t xml:space="preserve">    % of revenue</t>
        </is>
      </c>
      <c r="B33" s="57">
        <f>IFERROR(B31/B3,"")</f>
        <v/>
      </c>
      <c r="C33" s="57">
        <f>IFERROR(C31/C3,"")</f>
        <v/>
      </c>
      <c r="D33" s="57">
        <f>IFERROR(D31/D3,"")</f>
        <v/>
      </c>
      <c r="E33" s="57">
        <f>IFERROR(E31/E3,"")</f>
        <v/>
      </c>
      <c r="F33" s="57">
        <f>IFERROR(F31/F3,"")</f>
        <v/>
      </c>
      <c r="G33" s="57">
        <f>IFERROR(G31/G3,"")</f>
        <v/>
      </c>
      <c r="H33" s="57">
        <f>IFERROR(H31/H3,"")</f>
        <v/>
      </c>
      <c r="I33" s="57">
        <f>IFERROR(I31/I3,"")</f>
        <v/>
      </c>
      <c r="J33" s="57">
        <f>IFERROR(J31/J3,"")</f>
        <v/>
      </c>
      <c r="K33" s="57">
        <f>IFERROR(K31/K3,"")</f>
        <v/>
      </c>
      <c r="L33" s="57">
        <f>IFERROR(L31/L3,"")</f>
        <v/>
      </c>
      <c r="M33" s="57">
        <f>IFERROR(M31/M3,"")</f>
        <v/>
      </c>
      <c r="N33" s="57">
        <f>IFERROR(N31/N3,"")</f>
        <v/>
      </c>
      <c r="O33" s="57">
        <f>IFERROR(O31/O3,"")</f>
        <v/>
      </c>
      <c r="P33" s="57">
        <f>IFERROR(P31/P3,"")</f>
        <v/>
      </c>
      <c r="Q33" s="57">
        <f>IFERROR(Q31/Q3,"")</f>
        <v/>
      </c>
      <c r="R33" s="57">
        <f>IFERROR(R31/R3,"")</f>
        <v/>
      </c>
      <c r="S33" s="57">
        <f>IFERROR(S31/S3,"")</f>
        <v/>
      </c>
      <c r="T33" s="57">
        <f>IFERROR(T31/T3,"")</f>
        <v/>
      </c>
      <c r="U33" s="57">
        <f>IFERROR(U31/U3,"")</f>
        <v/>
      </c>
      <c r="V33" s="57">
        <f>IFERROR(V31/V3,"")</f>
        <v/>
      </c>
      <c r="W33" s="57">
        <f>IFERROR(W31/W3,"")</f>
        <v/>
      </c>
      <c r="X33" s="57">
        <f>IFERROR(X31/X3,"")</f>
        <v/>
      </c>
    </row>
    <row r="34">
      <c r="A34" s="5" t="inlineStr">
        <is>
          <t xml:space="preserve">  BALANCE SHEET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>
      <c r="A35" s="4" t="inlineStr">
        <is>
          <t>Cash &amp; ST Investments</t>
        </is>
      </c>
      <c r="C35" s="18" t="n">
        <v>108.132</v>
      </c>
      <c r="D35" s="18" t="n">
        <v>58.652</v>
      </c>
      <c r="E35" s="18" t="n">
        <v>26.501</v>
      </c>
      <c r="F35" s="18" t="n">
        <v>461.276</v>
      </c>
      <c r="G35" s="18" t="n">
        <v>400.569</v>
      </c>
      <c r="H35" s="18" t="n">
        <v>315.002</v>
      </c>
      <c r="I35" s="18" t="n">
        <v>284.647</v>
      </c>
      <c r="J35" s="18" t="n">
        <v>191.36</v>
      </c>
      <c r="K35" s="18" t="n">
        <v>137.403</v>
      </c>
      <c r="L35" s="18" t="n">
        <v>214.039</v>
      </c>
      <c r="M35" s="18" t="n">
        <v>156.655</v>
      </c>
      <c r="N35" s="18" t="n">
        <v>114.297</v>
      </c>
      <c r="O35" s="18" t="n">
        <v>130.148</v>
      </c>
      <c r="P35" s="18" t="n">
        <v>112.912</v>
      </c>
      <c r="Q35" s="18" t="n">
        <v>106.86</v>
      </c>
      <c r="R35" s="18" t="n">
        <v>116.46</v>
      </c>
      <c r="S35" s="18" t="n">
        <v>141.185</v>
      </c>
      <c r="T35" s="18" t="n">
        <v>159.16</v>
      </c>
      <c r="U35" s="18" t="n">
        <v>134.558</v>
      </c>
      <c r="V35" s="18" t="n">
        <v>155.079</v>
      </c>
      <c r="W35" s="18" t="n">
        <v>171.282</v>
      </c>
      <c r="X35" s="18" t="n">
        <v>170.685</v>
      </c>
    </row>
    <row r="36">
      <c r="A36" s="4" t="inlineStr">
        <is>
          <t>Total Current Assets</t>
        </is>
      </c>
      <c r="C36" s="18" t="n">
        <v>174.108</v>
      </c>
      <c r="D36" s="18" t="n">
        <v>140.53</v>
      </c>
      <c r="E36" s="18" t="n">
        <v>99.012</v>
      </c>
      <c r="F36" s="18" t="n">
        <v>538.511</v>
      </c>
      <c r="G36" s="18" t="n">
        <v>483.544</v>
      </c>
      <c r="H36" s="18" t="n">
        <v>410.424</v>
      </c>
      <c r="I36" s="18" t="n">
        <v>402.701</v>
      </c>
      <c r="J36" s="18" t="n">
        <v>306.61</v>
      </c>
      <c r="K36" s="18" t="n">
        <v>212.622</v>
      </c>
      <c r="L36" s="18" t="n">
        <v>272.348</v>
      </c>
      <c r="M36" s="18" t="n">
        <v>213.277</v>
      </c>
      <c r="N36" s="18" t="n">
        <v>171.813</v>
      </c>
      <c r="O36" s="18" t="n">
        <v>182.339</v>
      </c>
      <c r="P36" s="18" t="n">
        <v>163.424</v>
      </c>
      <c r="Q36" s="18" t="n">
        <v>162.167</v>
      </c>
      <c r="R36" s="18" t="n">
        <v>186.01</v>
      </c>
      <c r="S36" s="18" t="n">
        <v>197.968</v>
      </c>
      <c r="T36" s="18" t="n">
        <v>225.816</v>
      </c>
      <c r="U36" s="18" t="n">
        <v>204.837</v>
      </c>
      <c r="V36" s="18" t="n">
        <v>237.583</v>
      </c>
      <c r="W36" s="18" t="n">
        <v>268.288</v>
      </c>
      <c r="X36" s="18" t="n">
        <v>270.629</v>
      </c>
    </row>
    <row r="37">
      <c r="A37" s="4" t="inlineStr">
        <is>
          <t>PP&amp;E (net)</t>
        </is>
      </c>
      <c r="C37" s="18" t="n">
        <v>63.11</v>
      </c>
      <c r="D37" s="18" t="n">
        <v>64.63200000000001</v>
      </c>
      <c r="E37" s="18" t="n">
        <v>62.097</v>
      </c>
      <c r="F37" s="18" t="n">
        <v>60.333</v>
      </c>
      <c r="G37" s="18" t="n">
        <v>62.719</v>
      </c>
      <c r="H37" s="18" t="n">
        <v>99.393</v>
      </c>
      <c r="I37" s="18" t="n">
        <v>133.493</v>
      </c>
      <c r="J37" s="18" t="n">
        <v>128.402</v>
      </c>
      <c r="K37" s="18" t="n">
        <v>84.285</v>
      </c>
      <c r="L37" s="18" t="n">
        <v>82.74299999999999</v>
      </c>
      <c r="M37" s="18" t="n">
        <v>77.01600000000001</v>
      </c>
      <c r="N37" s="18" t="n">
        <v>63.282</v>
      </c>
      <c r="O37" s="18" t="n">
        <v>59.379</v>
      </c>
      <c r="P37" s="18" t="n">
        <v>57.605</v>
      </c>
      <c r="Q37" s="18" t="n">
        <v>56.963</v>
      </c>
      <c r="R37" s="18" t="n">
        <v>56.388</v>
      </c>
      <c r="S37" s="18" t="n">
        <v>58.506</v>
      </c>
      <c r="T37" s="18" t="n">
        <v>61.266</v>
      </c>
      <c r="U37" s="18" t="n">
        <v>65.098</v>
      </c>
      <c r="V37" s="18" t="n">
        <v>66.622</v>
      </c>
      <c r="W37" s="18" t="n">
        <v>69.105</v>
      </c>
      <c r="X37" s="18" t="n">
        <v>84.77800000000001</v>
      </c>
    </row>
    <row r="38">
      <c r="A38" s="4" t="inlineStr">
        <is>
          <t>Total Assets</t>
        </is>
      </c>
      <c r="C38" s="18" t="n">
        <v>251.642</v>
      </c>
      <c r="D38" s="18" t="n">
        <v>219.586</v>
      </c>
      <c r="E38" s="18" t="n">
        <v>175.533</v>
      </c>
      <c r="F38" s="18" t="n">
        <v>603.357</v>
      </c>
      <c r="G38" s="18" t="n">
        <v>554.093</v>
      </c>
      <c r="H38" s="18" t="n">
        <v>517.67</v>
      </c>
      <c r="I38" s="18" t="n">
        <v>933.28</v>
      </c>
      <c r="J38" s="18" t="n">
        <v>828.974</v>
      </c>
      <c r="K38" s="18" t="n">
        <v>545.261</v>
      </c>
      <c r="L38" s="18" t="n">
        <v>545.295</v>
      </c>
      <c r="M38" s="18" t="n">
        <v>476.39</v>
      </c>
      <c r="N38" s="18" t="n">
        <v>417.285</v>
      </c>
      <c r="O38" s="18" t="n">
        <v>418.756</v>
      </c>
      <c r="P38" s="18" t="n">
        <v>394.528</v>
      </c>
      <c r="Q38" s="18" t="n">
        <v>389.1</v>
      </c>
      <c r="R38" s="18" t="n">
        <v>408.84</v>
      </c>
      <c r="S38" s="18" t="n">
        <v>419.38</v>
      </c>
      <c r="T38" s="18" t="n">
        <v>446.43</v>
      </c>
      <c r="U38" s="18" t="n">
        <v>463.863</v>
      </c>
      <c r="V38" s="18" t="n">
        <v>493.902</v>
      </c>
      <c r="W38" s="18" t="n">
        <v>570.1900000000001</v>
      </c>
      <c r="X38" s="18" t="n">
        <v>506.301</v>
      </c>
    </row>
    <row r="39">
      <c r="A39" s="4" t="inlineStr">
        <is>
          <t>Total Current Liabilities</t>
        </is>
      </c>
      <c r="C39" s="18" t="n">
        <v>73.44199999999999</v>
      </c>
      <c r="D39" s="18" t="n">
        <v>68.20699999999999</v>
      </c>
      <c r="E39" s="18" t="n">
        <v>71.033</v>
      </c>
      <c r="F39" s="18" t="n">
        <v>71.366</v>
      </c>
      <c r="G39" s="18" t="n">
        <v>101.284</v>
      </c>
      <c r="H39" s="18" t="n">
        <v>100.639</v>
      </c>
      <c r="I39" s="18" t="n">
        <v>204.606</v>
      </c>
      <c r="J39" s="18" t="n">
        <v>162.331</v>
      </c>
      <c r="K39" s="18" t="n">
        <v>144.297</v>
      </c>
      <c r="L39" s="18" t="n">
        <v>119.032</v>
      </c>
      <c r="M39" s="18" t="n">
        <v>84.36799999999999</v>
      </c>
      <c r="N39" s="18" t="n">
        <v>68.366</v>
      </c>
      <c r="O39" s="18" t="n">
        <v>58.818</v>
      </c>
      <c r="P39" s="18" t="n">
        <v>50.734</v>
      </c>
      <c r="Q39" s="18" t="n">
        <v>68.27</v>
      </c>
      <c r="R39" s="18" t="n">
        <v>77.342</v>
      </c>
      <c r="S39" s="18" t="n">
        <v>54.817</v>
      </c>
      <c r="T39" s="18" t="n">
        <v>69.541</v>
      </c>
      <c r="U39" s="18" t="n">
        <v>71.40600000000001</v>
      </c>
      <c r="V39" s="18" t="n">
        <v>87.621</v>
      </c>
      <c r="W39" s="18" t="n">
        <v>108.908</v>
      </c>
      <c r="X39" s="18" t="n">
        <v>87.639</v>
      </c>
    </row>
    <row r="40">
      <c r="A40" s="4" t="inlineStr">
        <is>
          <t>Long-term Debt</t>
        </is>
      </c>
      <c r="C40" s="18" t="n">
        <v>18.971</v>
      </c>
      <c r="D40" s="18" t="n">
        <v>18.502</v>
      </c>
      <c r="E40" s="18" t="n">
        <v>18.028</v>
      </c>
      <c r="F40" s="18" t="n">
        <v>11</v>
      </c>
      <c r="G40" s="18" t="n">
        <v>11</v>
      </c>
      <c r="H40" s="18" t="n">
        <v>11</v>
      </c>
      <c r="I40" s="18" t="n">
        <v>11</v>
      </c>
      <c r="J40" s="18" t="n">
        <v>10.651</v>
      </c>
      <c r="K40" s="18" t="n">
        <v>6.25</v>
      </c>
      <c r="L40" s="18" t="n">
        <v>6.25</v>
      </c>
      <c r="M40" s="18" t="n">
        <v>6.25</v>
      </c>
      <c r="N40" s="18" t="n">
        <v>6.052</v>
      </c>
      <c r="O40" s="18" t="n">
        <v>52.688</v>
      </c>
      <c r="P40" s="18" t="n">
        <v>52.293</v>
      </c>
      <c r="Q40" s="18" t="n">
        <v>52.16</v>
      </c>
      <c r="R40" s="18" t="n">
        <v>52.034</v>
      </c>
      <c r="S40" s="18" t="n">
        <v>51.913</v>
      </c>
      <c r="T40" s="18" t="n">
        <v>51.794</v>
      </c>
      <c r="U40" s="18" t="n">
        <v>51.683</v>
      </c>
      <c r="V40" s="18" t="n">
        <v>51.579</v>
      </c>
      <c r="W40" s="18" t="n">
        <v>86.95399999999999</v>
      </c>
      <c r="X40" s="18" t="n">
        <v>96.732</v>
      </c>
    </row>
    <row r="41">
      <c r="A41" s="4" t="inlineStr">
        <is>
          <t>Total Equity</t>
        </is>
      </c>
      <c r="C41" s="18" t="n">
        <v>4.388</v>
      </c>
      <c r="D41" s="18" t="n">
        <v>-186.605</v>
      </c>
      <c r="E41" s="18" t="n">
        <v>-230.484</v>
      </c>
      <c r="F41" s="18" t="n">
        <v>391.263</v>
      </c>
      <c r="G41" s="18" t="n">
        <v>388.103</v>
      </c>
      <c r="H41" s="18" t="n">
        <v>329.444</v>
      </c>
      <c r="I41" s="18" t="n">
        <v>637.274</v>
      </c>
      <c r="J41" s="18" t="n">
        <v>561.294</v>
      </c>
      <c r="K41" s="18" t="n">
        <v>253.705</v>
      </c>
      <c r="L41" s="18" t="n">
        <v>328.469</v>
      </c>
      <c r="M41" s="18" t="n">
        <v>296.113</v>
      </c>
      <c r="N41" s="18" t="n">
        <v>254.258</v>
      </c>
      <c r="O41" s="18" t="n">
        <v>228.017</v>
      </c>
      <c r="P41" s="18" t="n">
        <v>207.217</v>
      </c>
      <c r="Q41" s="18" t="n">
        <v>194.043</v>
      </c>
      <c r="R41" s="18" t="n">
        <v>204.501</v>
      </c>
      <c r="S41" s="18" t="n">
        <v>245.247</v>
      </c>
      <c r="T41" s="18" t="n">
        <v>257.405</v>
      </c>
      <c r="U41" s="18" t="n">
        <v>277.133</v>
      </c>
      <c r="V41" s="18" t="n">
        <v>292.258</v>
      </c>
      <c r="W41" s="18" t="n">
        <v>308.182</v>
      </c>
      <c r="X41" s="18" t="n">
        <v>254.124</v>
      </c>
    </row>
    <row r="42">
      <c r="A42" s="5" t="inlineStr">
        <is>
          <t xml:space="preserve">  CASH FLOW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>
      <c r="A43" s="4" t="inlineStr">
        <is>
          <t>D&amp;A</t>
        </is>
      </c>
      <c r="C43" s="18" t="n">
        <v>3.587</v>
      </c>
      <c r="D43" s="18" t="n">
        <v>4.902</v>
      </c>
      <c r="E43" s="18" t="n">
        <v>5.619</v>
      </c>
      <c r="F43" s="18" t="n">
        <v>5.491</v>
      </c>
      <c r="G43" s="18" t="n">
        <v>5.861</v>
      </c>
      <c r="H43" s="18" t="n">
        <v>5.803</v>
      </c>
      <c r="I43" s="18" t="n">
        <v>8.964</v>
      </c>
      <c r="J43" s="18" t="n">
        <v>10.502</v>
      </c>
      <c r="K43" s="18" t="n">
        <v>34.04</v>
      </c>
      <c r="L43" s="18" t="n">
        <v>8.635999999999999</v>
      </c>
      <c r="M43" s="18" t="n">
        <v>10.332</v>
      </c>
      <c r="N43" s="18" t="n">
        <v>8.672000000000001</v>
      </c>
      <c r="O43" s="18" t="n">
        <v>6.694</v>
      </c>
      <c r="P43" s="18" t="n">
        <v>5.248</v>
      </c>
      <c r="Q43" s="18" t="n">
        <v>5.218</v>
      </c>
      <c r="R43" s="18" t="n">
        <v>16.395</v>
      </c>
      <c r="S43" s="18" t="n">
        <v>-5.608</v>
      </c>
      <c r="T43" s="18" t="n">
        <v>5.678</v>
      </c>
      <c r="U43" s="18" t="n">
        <v>6.191</v>
      </c>
      <c r="V43" s="18" t="n">
        <v>6.474</v>
      </c>
      <c r="W43" s="18" t="n">
        <v>6.881</v>
      </c>
      <c r="X43" s="18" t="n">
        <v>6.809</v>
      </c>
    </row>
    <row r="44">
      <c r="A44" s="4" t="inlineStr">
        <is>
          <t>Stock-based Compensation</t>
        </is>
      </c>
      <c r="C44" s="18" t="n">
        <v>90.158</v>
      </c>
      <c r="D44" s="18" t="n">
        <v>164.962</v>
      </c>
      <c r="E44" s="18" t="n">
        <v>-0.519</v>
      </c>
      <c r="F44" s="18" t="n">
        <v>18.011</v>
      </c>
      <c r="G44" s="18" t="n">
        <v>37.467</v>
      </c>
      <c r="H44" s="18" t="n">
        <v>17.559</v>
      </c>
      <c r="I44" s="18" t="n">
        <v>22.721</v>
      </c>
      <c r="J44" s="18" t="n">
        <v>1.273</v>
      </c>
      <c r="K44" s="18" t="n">
        <v>0.422</v>
      </c>
      <c r="L44" s="18" t="n">
        <v>0.048</v>
      </c>
      <c r="M44" s="18" t="n">
        <v>0.108</v>
      </c>
      <c r="N44" s="18" t="n">
        <v>0.43</v>
      </c>
      <c r="O44" s="18" t="n">
        <v>-0.912</v>
      </c>
      <c r="P44" s="18" t="n">
        <v>-0.451</v>
      </c>
      <c r="Q44" s="18" t="n">
        <v>3.108</v>
      </c>
      <c r="R44" s="18" t="n">
        <v>3.636</v>
      </c>
      <c r="S44" s="18" t="n">
        <v>2.845</v>
      </c>
      <c r="T44" s="18" t="n">
        <v>3.983</v>
      </c>
      <c r="U44" s="18" t="n">
        <v>7.813</v>
      </c>
      <c r="V44" s="18" t="n">
        <v>10.586</v>
      </c>
      <c r="W44" s="18" t="n">
        <v>9.779999999999999</v>
      </c>
      <c r="X44" s="18" t="n">
        <v>8.996</v>
      </c>
    </row>
    <row r="45">
      <c r="A45" s="4" t="inlineStr">
        <is>
          <t>Change in Working Capital</t>
        </is>
      </c>
      <c r="C45" s="18" t="n">
        <v>13.408</v>
      </c>
      <c r="D45" s="18" t="n">
        <v>-22.309</v>
      </c>
      <c r="E45" s="18" t="n">
        <v>14.923</v>
      </c>
      <c r="F45" s="18" t="n">
        <v>-4.992</v>
      </c>
      <c r="G45" s="18" t="n">
        <v>-0.755</v>
      </c>
      <c r="H45" s="18" t="n">
        <v>-15.108</v>
      </c>
      <c r="I45" s="18" t="n">
        <v>46.074</v>
      </c>
      <c r="J45" s="18" t="n">
        <v>-10.775</v>
      </c>
      <c r="K45" s="18" t="n">
        <v>15.94</v>
      </c>
      <c r="L45" s="18" t="n">
        <v>-6.205</v>
      </c>
      <c r="M45" s="18" t="n">
        <v>-8.975</v>
      </c>
      <c r="N45" s="18" t="n">
        <v>-14.446</v>
      </c>
      <c r="O45" s="18" t="n">
        <v>-8.365</v>
      </c>
      <c r="P45" s="18" t="n">
        <v>-7.683</v>
      </c>
      <c r="Q45" s="18" t="n">
        <v>-3.547</v>
      </c>
      <c r="R45" s="18" t="n">
        <v>-5.754</v>
      </c>
      <c r="S45" s="18" t="n">
        <v>-7.761</v>
      </c>
      <c r="T45" s="18" t="n">
        <v>3.351</v>
      </c>
      <c r="U45" s="18" t="n">
        <v>-16.339</v>
      </c>
      <c r="V45" s="18" t="n">
        <v>-2.871</v>
      </c>
      <c r="W45" s="18" t="n">
        <v>0.262</v>
      </c>
      <c r="X45" s="18" t="n">
        <v>-23.162</v>
      </c>
    </row>
    <row r="46">
      <c r="A46" s="4" t="inlineStr">
        <is>
          <t>Operating Cash Flow</t>
        </is>
      </c>
      <c r="C46" s="18" t="n">
        <v>-18.333</v>
      </c>
      <c r="D46" s="18" t="n">
        <v>-42.208</v>
      </c>
      <c r="E46" s="18" t="n">
        <v>-25.301</v>
      </c>
      <c r="F46" s="18" t="n">
        <v>-70.94</v>
      </c>
      <c r="G46" s="18" t="n">
        <v>-51.985</v>
      </c>
      <c r="H46" s="18" t="n">
        <v>-81.494</v>
      </c>
      <c r="I46" s="18" t="n">
        <v>-84.645</v>
      </c>
      <c r="J46" s="18" t="n">
        <v>-88.36199999999999</v>
      </c>
      <c r="K46" s="18" t="n">
        <v>-64.654</v>
      </c>
      <c r="L46" s="18" t="n">
        <v>-55.56</v>
      </c>
      <c r="M46" s="18" t="n">
        <v>-53.501</v>
      </c>
      <c r="N46" s="18" t="n">
        <v>-40.978</v>
      </c>
      <c r="O46" s="18" t="n">
        <v>-29.858</v>
      </c>
      <c r="P46" s="18" t="n">
        <v>-16.413</v>
      </c>
      <c r="Q46" s="18" t="n">
        <v>-4.505</v>
      </c>
      <c r="R46" s="18" t="n">
        <v>-4.395</v>
      </c>
      <c r="S46" s="18" t="n">
        <v>-3.183</v>
      </c>
      <c r="T46" s="18" t="n">
        <v>10.182</v>
      </c>
      <c r="U46" s="18" t="n">
        <v>10.42</v>
      </c>
      <c r="V46" s="18" t="n">
        <v>15.767</v>
      </c>
      <c r="W46" s="18" t="n">
        <v>-3.09</v>
      </c>
      <c r="X46" s="18" t="n">
        <v>-32.408</v>
      </c>
    </row>
    <row r="47">
      <c r="A47" s="4" t="inlineStr">
        <is>
          <t>Capex</t>
        </is>
      </c>
      <c r="C47" s="18" t="n">
        <v>-11.499</v>
      </c>
      <c r="D47" s="18" t="n">
        <v>-4.994</v>
      </c>
      <c r="E47" s="18" t="n">
        <v>-4.481</v>
      </c>
      <c r="F47" s="18" t="n">
        <v>-3.618</v>
      </c>
      <c r="G47" s="18" t="n">
        <v>-5.056</v>
      </c>
      <c r="H47" s="18" t="n">
        <v>-3.913</v>
      </c>
      <c r="I47" s="18" t="n">
        <v>-3.293</v>
      </c>
      <c r="J47" s="18" t="n">
        <v>-4.278</v>
      </c>
      <c r="K47" s="18" t="n">
        <v>-2.838</v>
      </c>
      <c r="L47" s="18" t="n">
        <v>-0.462</v>
      </c>
      <c r="M47" s="18" t="n">
        <v>-2.761</v>
      </c>
      <c r="N47" s="18" t="n">
        <v>-0.112</v>
      </c>
      <c r="O47" s="18" t="n">
        <v>-2.376</v>
      </c>
      <c r="P47" s="18" t="n">
        <v>-0.443</v>
      </c>
      <c r="Q47" s="18" t="n">
        <v>-1.352</v>
      </c>
      <c r="R47" s="18" t="n">
        <v>-0.646</v>
      </c>
      <c r="S47" s="18" t="n">
        <v>-3.05</v>
      </c>
      <c r="T47" s="18" t="n">
        <v>-6.129</v>
      </c>
      <c r="U47" s="18" t="n">
        <v>-2.369</v>
      </c>
      <c r="V47" s="18" t="n">
        <v>-6.172</v>
      </c>
      <c r="W47" s="18" t="n">
        <v>-4.347</v>
      </c>
      <c r="X47" s="18" t="n">
        <v>-6.453</v>
      </c>
    </row>
    <row r="48">
      <c r="A48" s="4" t="inlineStr">
        <is>
          <t>Free Cash Flow</t>
        </is>
      </c>
      <c r="C48" s="18" t="n">
        <v>-29.832</v>
      </c>
      <c r="D48" s="18" t="n">
        <v>-47.202</v>
      </c>
      <c r="E48" s="18" t="n">
        <v>-29.782</v>
      </c>
      <c r="F48" s="18" t="n">
        <v>-74.55800000000001</v>
      </c>
      <c r="G48" s="18" t="n">
        <v>-57.041</v>
      </c>
      <c r="H48" s="18" t="n">
        <v>-85.407</v>
      </c>
      <c r="I48" s="18" t="n">
        <v>-87.938</v>
      </c>
      <c r="J48" s="18" t="n">
        <v>-92.64</v>
      </c>
      <c r="K48" s="18" t="n">
        <v>-67.492</v>
      </c>
      <c r="L48" s="18" t="n">
        <v>-56.022</v>
      </c>
      <c r="M48" s="18" t="n">
        <v>-56.262</v>
      </c>
      <c r="N48" s="18" t="n">
        <v>-41.09</v>
      </c>
      <c r="O48" s="18" t="n">
        <v>-32.234</v>
      </c>
      <c r="P48" s="18" t="n">
        <v>-16.856</v>
      </c>
      <c r="Q48" s="18" t="n">
        <v>-5.857</v>
      </c>
      <c r="R48" s="18" t="n">
        <v>-5.041</v>
      </c>
      <c r="S48" s="18" t="n">
        <v>-6.233</v>
      </c>
      <c r="T48" s="18" t="n">
        <v>4.053</v>
      </c>
      <c r="U48" s="18" t="n">
        <v>8.051</v>
      </c>
      <c r="V48" s="18" t="n">
        <v>9.595000000000001</v>
      </c>
      <c r="W48" s="18" t="n">
        <v>-7.437</v>
      </c>
      <c r="X48" s="18" t="n">
        <v>-38.861</v>
      </c>
    </row>
    <row r="50">
      <c r="A50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478.377778</v>
      </c>
      <c r="C4" s="18" t="n">
        <v>594.9</v>
      </c>
      <c r="D4" s="18" t="n">
        <v>754.332457</v>
      </c>
      <c r="E4" s="18" t="n">
        <v>888.133333</v>
      </c>
      <c r="F4" s="18" t="n">
        <v>1157.4</v>
      </c>
    </row>
    <row r="5">
      <c r="A5" s="4" t="inlineStr">
        <is>
          <t xml:space="preserve">  model</t>
        </is>
      </c>
      <c r="B5" s="28">
        <f>Model!G14</f>
        <v/>
      </c>
      <c r="C5" s="28">
        <f>Model!H14</f>
        <v/>
      </c>
      <c r="D5" s="28">
        <f>Model!I14</f>
        <v/>
      </c>
      <c r="E5" s="28">
        <f>Model!J14</f>
        <v/>
      </c>
      <c r="F5" s="28">
        <f>Model!K14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-254.715504</v>
      </c>
      <c r="C8" s="18" t="n">
        <v>-316.758555</v>
      </c>
      <c r="D8" s="18" t="n">
        <v>-401.649452</v>
      </c>
      <c r="E8" s="18" t="n">
        <v>-472.892639</v>
      </c>
      <c r="F8" s="18" t="n">
        <v>-616.265509</v>
      </c>
    </row>
    <row r="9">
      <c r="A9" s="4" t="inlineStr">
        <is>
          <t xml:space="preserve">  model</t>
        </is>
      </c>
      <c r="B9" s="28">
        <f>Model!G27+Model!G32</f>
        <v/>
      </c>
      <c r="C9" s="28">
        <f>Model!H27+Model!H32</f>
        <v/>
      </c>
      <c r="D9" s="28">
        <f>Model!I27+Model!I32</f>
        <v/>
      </c>
      <c r="E9" s="28">
        <f>Model!J27+Model!J32</f>
        <v/>
      </c>
      <c r="F9" s="28">
        <f>Model!K27+Model!K32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-283.169655</v>
      </c>
      <c r="C12" s="18" t="n">
        <v>-352.143506</v>
      </c>
      <c r="D12" s="18" t="n">
        <v>-446.517526</v>
      </c>
      <c r="E12" s="18" t="n">
        <v>-525.719256</v>
      </c>
      <c r="F12" s="18" t="n">
        <v>-685.108243</v>
      </c>
    </row>
    <row r="13">
      <c r="A13" s="4" t="inlineStr">
        <is>
          <t xml:space="preserve">  model</t>
        </is>
      </c>
      <c r="B13" s="28">
        <f>Model!G27</f>
        <v/>
      </c>
      <c r="C13" s="28">
        <f>Model!H27</f>
        <v/>
      </c>
      <c r="D13" s="28">
        <f>Model!I27</f>
        <v/>
      </c>
      <c r="E13" s="28">
        <f>Model!J27</f>
        <v/>
      </c>
      <c r="F13" s="28">
        <f>Model!K27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479.869351</v>
      </c>
      <c r="C16" s="18" t="n">
        <v>596.7548870000001</v>
      </c>
      <c r="D16" s="18" t="n">
        <v>756.684451</v>
      </c>
      <c r="E16" s="18" t="n">
        <v>890.902516</v>
      </c>
      <c r="F16" s="18" t="n">
        <v>1161.008751</v>
      </c>
    </row>
    <row r="17">
      <c r="A17" s="4" t="inlineStr">
        <is>
          <t xml:space="preserve">  model</t>
        </is>
      </c>
      <c r="B17" s="28">
        <f>Model!G22</f>
        <v/>
      </c>
      <c r="C17" s="28">
        <f>Model!H22</f>
        <v/>
      </c>
      <c r="D17" s="28">
        <f>Model!I22</f>
        <v/>
      </c>
      <c r="E17" s="28">
        <f>Model!J22</f>
        <v/>
      </c>
      <c r="F17" s="28">
        <f>Model!K22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-1.9294895</v>
      </c>
      <c r="C20" s="18" t="n">
        <v>33.2593215</v>
      </c>
      <c r="D20" s="18" t="n">
        <v>6.8</v>
      </c>
      <c r="E20" s="18" t="n">
        <v>106.758119</v>
      </c>
      <c r="F20" s="18" t="n">
        <v>185.41492</v>
      </c>
    </row>
    <row r="21">
      <c r="A21" s="4" t="inlineStr">
        <is>
          <t xml:space="preserve">  model</t>
        </is>
      </c>
      <c r="B21" s="28">
        <f>Model!G31</f>
        <v/>
      </c>
      <c r="C21" s="28">
        <f>Model!H31</f>
        <v/>
      </c>
      <c r="D21" s="28">
        <f>Model!I31</f>
        <v/>
      </c>
      <c r="E21" s="28">
        <f>Model!J31</f>
        <v/>
      </c>
      <c r="F21" s="28">
        <f>Model!K31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-0.07142900000000001</v>
      </c>
      <c r="C24" s="62" t="n">
        <v>1.23125</v>
      </c>
      <c r="D24" s="62" t="n">
        <v>1.84</v>
      </c>
      <c r="E24" s="62" t="n">
        <v>3.97</v>
      </c>
      <c r="F24" s="62" t="n">
        <v>6.895</v>
      </c>
    </row>
    <row r="25">
      <c r="A25" s="4" t="inlineStr">
        <is>
          <t xml:space="preserve">  model</t>
        </is>
      </c>
      <c r="B25" s="46">
        <f>Model!G31/Financials!X17</f>
        <v/>
      </c>
      <c r="C25" s="46">
        <f>Model!H31/Financials!X17</f>
        <v/>
      </c>
      <c r="D25" s="46">
        <f>Model!I31/Financials!X17</f>
        <v/>
      </c>
      <c r="E25" s="46">
        <f>Model!J31/Financials!X17</f>
        <v/>
      </c>
      <c r="F25" s="46">
        <f>Model!K31/Financials!X17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GeneDx Holdings Corp.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Model!G39</f>
        <v/>
      </c>
      <c r="D12" s="28">
        <f>Model!H39</f>
        <v/>
      </c>
      <c r="E12" s="28">
        <f>Model!I39</f>
        <v/>
      </c>
      <c r="F12" s="28">
        <f>Model!J39</f>
        <v/>
      </c>
      <c r="G12" s="28">
        <f>Model!K39</f>
        <v/>
      </c>
      <c r="H12" s="28">
        <f>Model!L39</f>
        <v/>
      </c>
      <c r="I12" s="28">
        <f>Model!M39</f>
        <v/>
      </c>
      <c r="J12" s="28">
        <f>Model!N39</f>
        <v/>
      </c>
      <c r="K12" s="28">
        <f>Model!O39</f>
        <v/>
      </c>
      <c r="L12" s="28">
        <f>Model!P39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Model!P14</f>
        <v/>
      </c>
    </row>
    <row r="21">
      <c r="A21" s="4" t="inlineStr">
        <is>
          <t>Terminal EBIT</t>
        </is>
      </c>
      <c r="B21" s="28">
        <f>Model!P27</f>
        <v/>
      </c>
    </row>
    <row r="22">
      <c r="A22" s="4" t="inlineStr">
        <is>
          <t>Terminal EBITDA</t>
        </is>
      </c>
      <c r="B22" s="28">
        <f>Model!P27+Model!P32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Financials!X35</f>
        <v/>
      </c>
    </row>
    <row r="33">
      <c r="A33" s="4" t="inlineStr">
        <is>
          <t>- Long-term debt</t>
        </is>
      </c>
      <c r="B33" s="28">
        <f>-Financials!X40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Financials!X17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0.05899812648670648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0.6779876308277831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(Model!P14/Model!F14)^(1/10)-1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1.204959562710913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Financials!X35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Financials!X40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Financials!X17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2026-06-08T14:06:26Z</dcterms:created>
  <dcterms:modified xmlns:dcterms="http://purl.org/dc/terms/" xmlns:xsi="http://www.w3.org/2001/XMLSchema-instance" xsi:type="dcterms:W3CDTF">2026-06-08T14:06:27Z</dcterms:modified>
</cp:coreProperties>
</file>