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Xcel Energy Inc. (XEL)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Xcel Energy Inc. (XEL)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Regulated Electric</t>
        </is>
      </c>
      <c r="B20" s="15" t="n">
        <v>-0.02896564748849789</v>
      </c>
      <c r="C20" s="15" t="n">
        <v>0.05</v>
      </c>
      <c r="D20" s="16" t="n">
        <v>-0.02896564748849789</v>
      </c>
      <c r="E20" s="2" t="inlineStr"/>
    </row>
    <row r="21">
      <c r="A21" s="4" t="inlineStr">
        <is>
          <t>Regulated Natural Gas</t>
        </is>
      </c>
      <c r="B21" s="15" t="n">
        <v>-0.02634004054104675</v>
      </c>
      <c r="C21" s="15" t="n">
        <v>0.05</v>
      </c>
      <c r="D21" s="16" t="n">
        <v>-0.02634004054104675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0.1999197851002304</v>
      </c>
      <c r="D29" s="16" t="n">
        <v>0.1999197851002304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0.2120646769228134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806.7950000000001</v>
      </c>
      <c r="D34" s="18" t="n">
        <v>806.7950000000001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0.421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81.95999908447266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188.2522176729711</v>
      </c>
      <c r="C58" s="28" t="n">
        <v>280.8400494798339</v>
      </c>
      <c r="D58" s="28" t="n">
        <v>119.7031965587764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XEL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Regulated Electric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Regulated Electric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Regulated Natural Gas — near-term growth</t>
        </is>
      </c>
      <c r="B10" t="inlineStr">
        <is>
          <t>B21</t>
        </is>
      </c>
      <c r="C10" s="11">
        <f>Dashboard!B21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Regulated Natural Gas — terminal growth</t>
        </is>
      </c>
      <c r="B11" t="inlineStr">
        <is>
          <t>C21</t>
        </is>
      </c>
      <c r="C11" s="11">
        <f>Dashboard!C21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Near-term operating margin</t>
        </is>
      </c>
      <c r="B12" t="inlineStr">
        <is>
          <t>B29</t>
        </is>
      </c>
      <c r="C12" s="11">
        <f>Dashboard!B29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operating margin</t>
        </is>
      </c>
      <c r="B13" t="inlineStr">
        <is>
          <t>B30</t>
        </is>
      </c>
      <c r="C13" s="11">
        <f>Dashboard!B30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Tax rate</t>
        </is>
      </c>
      <c r="B14" t="inlineStr">
        <is>
          <t>B31</t>
        </is>
      </c>
      <c r="C14" s="11">
        <f>Dashboard!B31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Terminal capex / D&amp;A</t>
        </is>
      </c>
      <c r="B15" t="inlineStr">
        <is>
          <t>B35</t>
        </is>
      </c>
      <c r="C15" s="13">
        <f>Dashboard!B35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Risk-free rate (10Y)</t>
        </is>
      </c>
      <c r="B16" t="inlineStr">
        <is>
          <t>B38</t>
        </is>
      </c>
      <c r="C16" s="11">
        <f>Dashboard!B38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Equity risk premium</t>
        </is>
      </c>
      <c r="B17" t="inlineStr">
        <is>
          <t>B39</t>
        </is>
      </c>
      <c r="C17" s="11">
        <f>Dashboard!B39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Beta (levered)</t>
        </is>
      </c>
      <c r="B18" t="inlineStr">
        <is>
          <t>B40</t>
        </is>
      </c>
      <c r="C18" s="32">
        <f>Dashboard!B40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Pre-tax cost of debt</t>
        </is>
      </c>
      <c r="B19" t="inlineStr">
        <is>
          <t>B41</t>
        </is>
      </c>
      <c r="C19" s="11">
        <f>Dashboard!B41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Terminal method</t>
        </is>
      </c>
      <c r="B20" t="inlineStr">
        <is>
          <t>B43</t>
        </is>
      </c>
      <c r="C20" s="12">
        <f>Dashboard!B43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Exit basis</t>
        </is>
      </c>
      <c r="B21" t="inlineStr">
        <is>
          <t>B44</t>
        </is>
      </c>
      <c r="C21" s="12">
        <f>Dashboard!B44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Exit multiple</t>
        </is>
      </c>
      <c r="B22" t="inlineStr">
        <is>
          <t>B45</t>
        </is>
      </c>
      <c r="C22" s="13">
        <f>Dashboard!B45</f>
        <v/>
      </c>
      <c r="D22" t="inlineStr">
        <is>
          <t>builder default</t>
        </is>
      </c>
      <c r="E22" t="inlineStr">
        <is>
          <t>—</t>
        </is>
      </c>
      <c r="F22" s="31" t="inlineStr"/>
    </row>
    <row r="23">
      <c r="A23" t="inlineStr">
        <is>
          <t>Terminal growth (g)</t>
        </is>
      </c>
      <c r="B23" t="inlineStr">
        <is>
          <t>B46</t>
        </is>
      </c>
      <c r="C23" s="11">
        <f>Dashboard!B46</f>
        <v/>
      </c>
      <c r="D23" t="inlineStr">
        <is>
          <t>builder default</t>
        </is>
      </c>
      <c r="E23" t="inlineStr">
        <is>
          <t>—</t>
        </is>
      </c>
      <c r="F23" s="31" t="inlineStr"/>
    </row>
    <row r="24">
      <c r="A24" t="inlineStr">
        <is>
          <t>2026 capex ($M)</t>
        </is>
      </c>
      <c r="B24" t="inlineStr">
        <is>
          <t>B34</t>
        </is>
      </c>
      <c r="C24" s="33">
        <f>Dashboard!B34</f>
        <v/>
      </c>
      <c r="D24" t="inlineStr">
        <is>
          <t>builder default</t>
        </is>
      </c>
      <c r="E24" t="inlineStr">
        <is>
          <t>—</t>
        </is>
      </c>
      <c r="F24" s="31" t="inlineStr">
        <is>
          <t>last-year capex +10% unless set to guidance; edits not tracked</t>
        </is>
      </c>
    </row>
    <row r="25">
      <c r="A25" t="inlineStr">
        <is>
          <t>Bull Δ — segment growth, near-term</t>
        </is>
      </c>
      <c r="B25" t="inlineStr">
        <is>
          <t>C52</t>
        </is>
      </c>
      <c r="C25" s="34">
        <f>Dashboard!C52</f>
        <v/>
      </c>
      <c r="D25" t="inlineStr">
        <is>
          <t>seed default</t>
        </is>
      </c>
      <c r="E25" t="inlineStr">
        <is>
          <t>3.0%</t>
        </is>
      </c>
      <c r="F25" s="31" t="inlineStr"/>
    </row>
    <row r="26">
      <c r="A26" t="inlineStr">
        <is>
          <t>Bear Δ — segment growth, near-term</t>
        </is>
      </c>
      <c r="B26" t="inlineStr">
        <is>
          <t>D52</t>
        </is>
      </c>
      <c r="C26" s="34">
        <f>Dashboard!D52</f>
        <v/>
      </c>
      <c r="D26" t="inlineStr">
        <is>
          <t>seed default</t>
        </is>
      </c>
      <c r="E26" t="inlineStr">
        <is>
          <t>-3.0%</t>
        </is>
      </c>
      <c r="F26" s="31" t="inlineStr"/>
    </row>
    <row r="27">
      <c r="A27" t="inlineStr">
        <is>
          <t>Bull Δ — segment growth, terminal</t>
        </is>
      </c>
      <c r="B27" t="inlineStr">
        <is>
          <t>C53</t>
        </is>
      </c>
      <c r="C27" s="34">
        <f>Dashboard!C53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segment growth, terminal</t>
        </is>
      </c>
      <c r="B28" t="inlineStr">
        <is>
          <t>D53</t>
        </is>
      </c>
      <c r="C28" s="34">
        <f>Dashboard!D53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near-term</t>
        </is>
      </c>
      <c r="B29" t="inlineStr">
        <is>
          <t>C54</t>
        </is>
      </c>
      <c r="C29" s="34">
        <f>Dashboard!C54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operating margin, near-term</t>
        </is>
      </c>
      <c r="B30" t="inlineStr">
        <is>
          <t>D54</t>
        </is>
      </c>
      <c r="C30" s="34">
        <f>Dashboard!D54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terminal</t>
        </is>
      </c>
      <c r="B31" t="inlineStr">
        <is>
          <t>C55</t>
        </is>
      </c>
      <c r="C31" s="34">
        <f>Dashboard!C55</f>
        <v/>
      </c>
      <c r="D31" t="inlineStr">
        <is>
          <t>seed default</t>
        </is>
      </c>
      <c r="E31" t="inlineStr">
        <is>
          <t>2.0%</t>
        </is>
      </c>
      <c r="F31" s="31" t="inlineStr"/>
    </row>
    <row r="32">
      <c r="A32" t="inlineStr">
        <is>
          <t>Bear Δ — operating margin, terminal</t>
        </is>
      </c>
      <c r="B32" t="inlineStr">
        <is>
          <t>D55</t>
        </is>
      </c>
      <c r="C32" s="34">
        <f>Dashboard!D55</f>
        <v/>
      </c>
      <c r="D32" t="inlineStr">
        <is>
          <t>seed default</t>
        </is>
      </c>
      <c r="E32" t="inlineStr">
        <is>
          <t>-2.0%</t>
        </is>
      </c>
      <c r="F32" s="31" t="inlineStr"/>
    </row>
    <row r="33">
      <c r="A33" t="inlineStr">
        <is>
          <t>Bull Δ — exit multiple</t>
        </is>
      </c>
      <c r="B33" t="inlineStr">
        <is>
          <t>C56</t>
        </is>
      </c>
      <c r="C33" s="35">
        <f>Dashboard!C56</f>
        <v/>
      </c>
      <c r="D33" t="inlineStr">
        <is>
          <t>seed default</t>
        </is>
      </c>
      <c r="E33" t="inlineStr">
        <is>
          <t>2.0x</t>
        </is>
      </c>
      <c r="F33" s="31" t="inlineStr"/>
    </row>
    <row r="34">
      <c r="A34" t="inlineStr">
        <is>
          <t>Bear Δ — exit multiple</t>
        </is>
      </c>
      <c r="B34" t="inlineStr">
        <is>
          <t>D56</t>
        </is>
      </c>
      <c r="C34" s="35">
        <f>Dashboard!D56</f>
        <v/>
      </c>
      <c r="D34" t="inlineStr">
        <is>
          <t>seed default</t>
        </is>
      </c>
      <c r="E34" t="inlineStr">
        <is>
          <t>-2.0x</t>
        </is>
      </c>
      <c r="F34" s="31" t="inlineStr"/>
    </row>
    <row r="35">
      <c r="A35" t="inlineStr">
        <is>
          <t>Bull Δ — terminal growth (g)</t>
        </is>
      </c>
      <c r="B35" t="inlineStr">
        <is>
          <t>C57</t>
        </is>
      </c>
      <c r="C35" s="34">
        <f>Dashboard!C57</f>
        <v/>
      </c>
      <c r="D35" t="inlineStr">
        <is>
          <t>seed default</t>
        </is>
      </c>
      <c r="E35" t="inlineStr">
        <is>
          <t>0.5%</t>
        </is>
      </c>
      <c r="F35" s="31" t="inlineStr"/>
    </row>
    <row r="36">
      <c r="A36" t="inlineStr">
        <is>
          <t>Bear Δ — terminal growth (g)</t>
        </is>
      </c>
      <c r="B36" t="inlineStr">
        <is>
          <t>D57</t>
        </is>
      </c>
      <c r="C36" s="34">
        <f>Dashboard!D57</f>
        <v/>
      </c>
      <c r="D36" t="inlineStr">
        <is>
          <t>seed default</t>
        </is>
      </c>
      <c r="E36" t="inlineStr">
        <is>
          <t>-0.5%</t>
        </is>
      </c>
      <c r="F36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Financials!AC31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Regulated Electric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Regulated Natural Gas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2">
        <f>B4+B6</f>
        <v/>
      </c>
      <c r="C8" s="42">
        <f>C4+C6</f>
        <v/>
      </c>
      <c r="D8" s="42">
        <f>D4+D6</f>
        <v/>
      </c>
      <c r="E8" s="42">
        <f>E4+E6</f>
        <v/>
      </c>
      <c r="F8" s="42">
        <f>F4+F6</f>
        <v/>
      </c>
      <c r="G8" s="42">
        <f>G4+G6</f>
        <v/>
      </c>
      <c r="H8" s="42">
        <f>H4+H6</f>
        <v/>
      </c>
      <c r="I8" s="42">
        <f>I4+I6</f>
        <v/>
      </c>
      <c r="J8" s="42">
        <f>J4+J6</f>
        <v/>
      </c>
      <c r="K8" s="42">
        <f>K4+K6</f>
        <v/>
      </c>
      <c r="L8" s="42">
        <f>L4+L6</f>
        <v/>
      </c>
      <c r="M8" s="42">
        <f>M4+M6</f>
        <v/>
      </c>
      <c r="N8" s="42">
        <f>N4+N6</f>
        <v/>
      </c>
      <c r="O8" s="42">
        <f>O4+O6</f>
        <v/>
      </c>
      <c r="P8" s="42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3">
        <f>SUM(Financials!I5:L5)</f>
        <v/>
      </c>
      <c r="C12" s="33">
        <f>SUM(Financials!M5:P5)</f>
        <v/>
      </c>
      <c r="D12" s="33">
        <f>SUM(Financials!Q5:T5)</f>
        <v/>
      </c>
      <c r="E12" s="33">
        <f>SUM(Financials!U5:X5)</f>
        <v/>
      </c>
      <c r="F12" s="33">
        <f>SUM(Financials!Y5:AB5)</f>
        <v/>
      </c>
      <c r="G12" s="41">
        <f>G8*G13</f>
        <v/>
      </c>
      <c r="H12" s="41">
        <f>H8*H13</f>
        <v/>
      </c>
      <c r="I12" s="41">
        <f>I8*I13</f>
        <v/>
      </c>
      <c r="J12" s="41">
        <f>J8*J13</f>
        <v/>
      </c>
      <c r="K12" s="41">
        <f>K8*K13</f>
        <v/>
      </c>
      <c r="L12" s="41">
        <f>L8*L13</f>
        <v/>
      </c>
      <c r="M12" s="41">
        <f>M8*M13</f>
        <v/>
      </c>
      <c r="N12" s="41">
        <f>N8*N13</f>
        <v/>
      </c>
      <c r="O12" s="41">
        <f>O8*O13</f>
        <v/>
      </c>
      <c r="P12" s="41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0.7569704819687777</v>
      </c>
      <c r="H13" s="15" t="n">
        <v>0.7569704819687777</v>
      </c>
      <c r="I13" s="15" t="n">
        <v>0.7569704819687777</v>
      </c>
      <c r="J13" s="15" t="n">
        <v>0.7569704819687777</v>
      </c>
      <c r="K13" s="15" t="n">
        <v>0.7569704819687777</v>
      </c>
      <c r="L13" s="15" t="n">
        <v>0.7569704819687777</v>
      </c>
      <c r="M13" s="15" t="n">
        <v>0.7569704819687777</v>
      </c>
      <c r="N13" s="15" t="n">
        <v>0.7569704819687777</v>
      </c>
      <c r="O13" s="15" t="n">
        <v>0.7569704819687777</v>
      </c>
      <c r="P13" s="15" t="n">
        <v>0.7569704819687777</v>
      </c>
    </row>
    <row r="14">
      <c r="A14" s="4" t="inlineStr">
        <is>
          <t>R&amp;D / Technology</t>
        </is>
      </c>
      <c r="B14" s="33">
        <f>SUM(Financials!I7:L7)</f>
        <v/>
      </c>
      <c r="C14" s="33">
        <f>SUM(Financials!M7:P7)</f>
        <v/>
      </c>
      <c r="D14" s="33">
        <f>SUM(Financials!Q7:T7)</f>
        <v/>
      </c>
      <c r="E14" s="33">
        <f>SUM(Financials!U7:X7)</f>
        <v/>
      </c>
      <c r="F14" s="33">
        <f>SUM(Financials!Y7:AB7)</f>
        <v/>
      </c>
      <c r="G14" s="41">
        <f>G8*G15</f>
        <v/>
      </c>
      <c r="H14" s="41">
        <f>H8*H15</f>
        <v/>
      </c>
      <c r="I14" s="41">
        <f>I8*I15</f>
        <v/>
      </c>
      <c r="J14" s="41">
        <f>J8*J15</f>
        <v/>
      </c>
      <c r="K14" s="41">
        <f>K8*K15</f>
        <v/>
      </c>
      <c r="L14" s="41">
        <f>L8*L15</f>
        <v/>
      </c>
      <c r="M14" s="41">
        <f>M8*M15</f>
        <v/>
      </c>
      <c r="N14" s="41">
        <f>N8*N15</f>
        <v/>
      </c>
      <c r="O14" s="41">
        <f>O8*O15</f>
        <v/>
      </c>
      <c r="P14" s="41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</row>
    <row r="16">
      <c r="A16" s="4" t="inlineStr">
        <is>
          <t>SG&amp;A</t>
        </is>
      </c>
      <c r="B16" s="33">
        <f>SUM(Financials!I9:L9)</f>
        <v/>
      </c>
      <c r="C16" s="33">
        <f>SUM(Financials!M9:P9)</f>
        <v/>
      </c>
      <c r="D16" s="33">
        <f>SUM(Financials!Q9:T9)</f>
        <v/>
      </c>
      <c r="E16" s="33">
        <f>SUM(Financials!U9:X9)</f>
        <v/>
      </c>
      <c r="F16" s="33">
        <f>SUM(Financials!Y9:AB9)</f>
        <v/>
      </c>
      <c r="G16" s="41">
        <f>G8*G17</f>
        <v/>
      </c>
      <c r="H16" s="41">
        <f>H8*H17</f>
        <v/>
      </c>
      <c r="I16" s="41">
        <f>I8*I17</f>
        <v/>
      </c>
      <c r="J16" s="41">
        <f>J8*J17</f>
        <v/>
      </c>
      <c r="K16" s="41">
        <f>K8*K17</f>
        <v/>
      </c>
      <c r="L16" s="41">
        <f>L8*L17</f>
        <v/>
      </c>
      <c r="M16" s="41">
        <f>M8*M17</f>
        <v/>
      </c>
      <c r="N16" s="41">
        <f>N8*N17</f>
        <v/>
      </c>
      <c r="O16" s="41">
        <f>O8*O17</f>
        <v/>
      </c>
      <c r="P16" s="41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5" t="n">
        <v>0</v>
      </c>
      <c r="M17" s="15" t="n">
        <v>0</v>
      </c>
      <c r="N17" s="15" t="n">
        <v>0</v>
      </c>
      <c r="O17" s="15" t="n">
        <v>0</v>
      </c>
      <c r="P17" s="15" t="n">
        <v>0</v>
      </c>
    </row>
    <row r="18">
      <c r="A18" s="4" t="inlineStr">
        <is>
          <t>Other opex (fulfilment, etc.)</t>
        </is>
      </c>
      <c r="B18" s="33">
        <f>B8-(B12+B14+B16)-SUM(Financials!I13:L13)</f>
        <v/>
      </c>
      <c r="C18" s="33">
        <f>C8-(C12+C14+C16)-SUM(Financials!M13:P13)</f>
        <v/>
      </c>
      <c r="D18" s="33">
        <f>D8-(D12+D14+D16)-SUM(Financials!Q13:T13)</f>
        <v/>
      </c>
      <c r="E18" s="33">
        <f>E8-(E12+E14+E16)-SUM(Financials!U13:X13)</f>
        <v/>
      </c>
      <c r="F18" s="33">
        <f>F8-(F12+F14+F16)-SUM(Financials!Y13:AB13)</f>
        <v/>
      </c>
      <c r="G18" s="33">
        <f>G8*(1-(Dashboard!$B$29+(Dashboard!$B$30-Dashboard!$B$29)*MIN(1,0/4)))-(G12+G14+G16)</f>
        <v/>
      </c>
      <c r="H18" s="33">
        <f>H8*(1-(Dashboard!$B$29+(Dashboard!$B$30-Dashboard!$B$29)*MIN(1,1/4)))-(H12+H14+H16)</f>
        <v/>
      </c>
      <c r="I18" s="33">
        <f>I8*(1-(Dashboard!$B$29+(Dashboard!$B$30-Dashboard!$B$29)*MIN(1,2/4)))-(I12+I14+I16)</f>
        <v/>
      </c>
      <c r="J18" s="33">
        <f>J8*(1-(Dashboard!$B$29+(Dashboard!$B$30-Dashboard!$B$29)*MIN(1,3/4)))-(J12+J14+J16)</f>
        <v/>
      </c>
      <c r="K18" s="33">
        <f>K8*(1-(Dashboard!$B$29+(Dashboard!$B$30-Dashboard!$B$29)*MIN(1,4/4)))-(K12+K14+K16)</f>
        <v/>
      </c>
      <c r="L18" s="33">
        <f>L8*(1-(Dashboard!$B$29+(Dashboard!$B$30-Dashboard!$B$29)*MIN(1,5/4)))-(L12+L14+L16)</f>
        <v/>
      </c>
      <c r="M18" s="33">
        <f>M8*(1-(Dashboard!$B$29+(Dashboard!$B$30-Dashboard!$B$29)*MIN(1,6/4)))-(M12+M14+M16)</f>
        <v/>
      </c>
      <c r="N18" s="33">
        <f>N8*(1-(Dashboard!$B$29+(Dashboard!$B$30-Dashboard!$B$29)*MIN(1,7/4)))-(N12+N14+N16)</f>
        <v/>
      </c>
      <c r="O18" s="33">
        <f>O8*(1-(Dashboard!$B$29+(Dashboard!$B$30-Dashboard!$B$29)*MIN(1,8/4)))-(O12+O14+O16)</f>
        <v/>
      </c>
      <c r="P18" s="33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2">
        <f>B8-(B12+B14+B16)-B18</f>
        <v/>
      </c>
      <c r="C21" s="42">
        <f>C8-(C12+C14+C16)-C18</f>
        <v/>
      </c>
      <c r="D21" s="42">
        <f>D8-(D12+D14+D16)-D18</f>
        <v/>
      </c>
      <c r="E21" s="42">
        <f>E8-(E12+E14+E16)-E18</f>
        <v/>
      </c>
      <c r="F21" s="42">
        <f>F8-(F12+F14+F16)-F18</f>
        <v/>
      </c>
      <c r="G21" s="42">
        <f>G8-(G12+G14+G16)-G18</f>
        <v/>
      </c>
      <c r="H21" s="42">
        <f>H8-(H12+H14+H16)-H18</f>
        <v/>
      </c>
      <c r="I21" s="42">
        <f>I8-(I12+I14+I16)-I18</f>
        <v/>
      </c>
      <c r="J21" s="42">
        <f>J8-(J12+J14+J16)-J18</f>
        <v/>
      </c>
      <c r="K21" s="42">
        <f>K8-(K12+K14+K16)-K18</f>
        <v/>
      </c>
      <c r="L21" s="42">
        <f>L8-(L12+L14+L16)-L18</f>
        <v/>
      </c>
      <c r="M21" s="42">
        <f>M8-(M12+M14+M16)-M18</f>
        <v/>
      </c>
      <c r="N21" s="42">
        <f>N8-(N12+N14+N16)-N18</f>
        <v/>
      </c>
      <c r="O21" s="42">
        <f>O8-(O12+O14+O16)-O18</f>
        <v/>
      </c>
      <c r="P21" s="42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3">
        <f>B21*(1-Valuation!$B$5)</f>
        <v/>
      </c>
      <c r="C25" s="33">
        <f>C21*(1-Valuation!$B$5)</f>
        <v/>
      </c>
      <c r="D25" s="33">
        <f>D21*(1-Valuation!$B$5)</f>
        <v/>
      </c>
      <c r="E25" s="33">
        <f>E21*(1-Valuation!$B$5)</f>
        <v/>
      </c>
      <c r="F25" s="33">
        <f>F21*(1-Valuation!$B$5)</f>
        <v/>
      </c>
      <c r="G25" s="33">
        <f>G21*(1-Valuation!$B$5)</f>
        <v/>
      </c>
      <c r="H25" s="33">
        <f>H21*(1-Valuation!$B$5)</f>
        <v/>
      </c>
      <c r="I25" s="33">
        <f>I21*(1-Valuation!$B$5)</f>
        <v/>
      </c>
      <c r="J25" s="33">
        <f>J21*(1-Valuation!$B$5)</f>
        <v/>
      </c>
      <c r="K25" s="33">
        <f>K21*(1-Valuation!$B$5)</f>
        <v/>
      </c>
      <c r="L25" s="33">
        <f>L21*(1-Valuation!$B$5)</f>
        <v/>
      </c>
      <c r="M25" s="33">
        <f>M21*(1-Valuation!$B$5)</f>
        <v/>
      </c>
      <c r="N25" s="33">
        <f>N21*(1-Valuation!$B$5)</f>
        <v/>
      </c>
      <c r="O25" s="33">
        <f>O21*(1-Valuation!$B$5)</f>
        <v/>
      </c>
      <c r="P25" s="33">
        <f>P21*(1-Valuation!$B$5)</f>
        <v/>
      </c>
    </row>
    <row r="26">
      <c r="A26" s="4" t="inlineStr">
        <is>
          <t>+ D&amp;A</t>
        </is>
      </c>
      <c r="B26" s="33">
        <f>SUM(Financials!I34:L34)</f>
        <v/>
      </c>
      <c r="C26" s="33">
        <f>SUM(Financials!M34:P34)</f>
        <v/>
      </c>
      <c r="D26" s="33">
        <f>SUM(Financials!Q34:T34)</f>
        <v/>
      </c>
      <c r="E26" s="33">
        <f>SUM(Financials!U34:X34)</f>
        <v/>
      </c>
      <c r="F26" s="33">
        <f>SUM(Financials!Y34:AB34)</f>
        <v/>
      </c>
      <c r="G26" s="41">
        <f>G8*0.2013</f>
        <v/>
      </c>
      <c r="H26" s="41">
        <f>H8*0.2013</f>
        <v/>
      </c>
      <c r="I26" s="41">
        <f>I8*0.2013</f>
        <v/>
      </c>
      <c r="J26" s="41">
        <f>J8*0.2013</f>
        <v/>
      </c>
      <c r="K26" s="41">
        <f>K8*0.2013</f>
        <v/>
      </c>
      <c r="L26" s="41">
        <f>L8*0.2013</f>
        <v/>
      </c>
      <c r="M26" s="41">
        <f>M8*0.2013</f>
        <v/>
      </c>
      <c r="N26" s="41">
        <f>N8*0.2013</f>
        <v/>
      </c>
      <c r="O26" s="41">
        <f>O8*0.2013</f>
        <v/>
      </c>
      <c r="P26" s="41">
        <f>P8*0.2013</f>
        <v/>
      </c>
    </row>
    <row r="27">
      <c r="A27" s="4" t="inlineStr">
        <is>
          <t>+ SBC (non-cash)</t>
        </is>
      </c>
      <c r="B27" s="33">
        <f>SUM(Financials!I35:L35)</f>
        <v/>
      </c>
      <c r="C27" s="33">
        <f>SUM(Financials!M35:P35)</f>
        <v/>
      </c>
      <c r="D27" s="33">
        <f>SUM(Financials!Q35:T35)</f>
        <v/>
      </c>
      <c r="E27" s="33">
        <f>SUM(Financials!U35:X35)</f>
        <v/>
      </c>
      <c r="F27" s="33">
        <f>SUM(Financials!Y35:AB35)</f>
        <v/>
      </c>
      <c r="G27" s="33">
        <f>G8*(Dashboard!$B$65+(Dashboard!$B$66-Dashboard!$B$65)*0/9)</f>
        <v/>
      </c>
      <c r="H27" s="33">
        <f>H8*(Dashboard!$B$65+(Dashboard!$B$66-Dashboard!$B$65)*1/9)</f>
        <v/>
      </c>
      <c r="I27" s="33">
        <f>I8*(Dashboard!$B$65+(Dashboard!$B$66-Dashboard!$B$65)*2/9)</f>
        <v/>
      </c>
      <c r="J27" s="33">
        <f>J8*(Dashboard!$B$65+(Dashboard!$B$66-Dashboard!$B$65)*3/9)</f>
        <v/>
      </c>
      <c r="K27" s="33">
        <f>K8*(Dashboard!$B$65+(Dashboard!$B$66-Dashboard!$B$65)*4/9)</f>
        <v/>
      </c>
      <c r="L27" s="33">
        <f>L8*(Dashboard!$B$65+(Dashboard!$B$66-Dashboard!$B$65)*5/9)</f>
        <v/>
      </c>
      <c r="M27" s="33">
        <f>M8*(Dashboard!$B$65+(Dashboard!$B$66-Dashboard!$B$65)*6/9)</f>
        <v/>
      </c>
      <c r="N27" s="33">
        <f>N8*(Dashboard!$B$65+(Dashboard!$B$66-Dashboard!$B$65)*7/9)</f>
        <v/>
      </c>
      <c r="O27" s="33">
        <f>O8*(Dashboard!$B$65+(Dashboard!$B$66-Dashboard!$B$65)*8/9)</f>
        <v/>
      </c>
      <c r="P27" s="33">
        <f>P8*(Dashboard!$B$65+(Dashboard!$B$66-Dashboard!$B$65)*9/9)</f>
        <v/>
      </c>
    </row>
    <row r="28">
      <c r="A28" s="4" t="inlineStr">
        <is>
          <t>- dNWC</t>
        </is>
      </c>
      <c r="G28" s="41">
        <f>(G8-F8)*0.0050</f>
        <v/>
      </c>
      <c r="H28" s="41">
        <f>(H8-G8)*0.0050</f>
        <v/>
      </c>
      <c r="I28" s="41">
        <f>(I8-H8)*0.0050</f>
        <v/>
      </c>
      <c r="J28" s="41">
        <f>(J8-I8)*0.0050</f>
        <v/>
      </c>
      <c r="K28" s="41">
        <f>(K8-J8)*0.0050</f>
        <v/>
      </c>
      <c r="L28" s="41">
        <f>(L8-K8)*0.0050</f>
        <v/>
      </c>
      <c r="M28" s="41">
        <f>(M8-L8)*0.0050</f>
        <v/>
      </c>
      <c r="N28" s="41">
        <f>(N8-M8)*0.0050</f>
        <v/>
      </c>
      <c r="O28" s="41">
        <f>(O8-N8)*0.0050</f>
        <v/>
      </c>
      <c r="P28" s="41">
        <f>(P8-O8)*0.0050</f>
        <v/>
      </c>
    </row>
    <row r="29">
      <c r="A29" s="4" t="inlineStr">
        <is>
          <t>- Capex</t>
        </is>
      </c>
      <c r="B29" s="33">
        <f>-SUM(Financials!I38:L38)</f>
        <v/>
      </c>
      <c r="C29" s="33">
        <f>-SUM(Financials!M38:P38)</f>
        <v/>
      </c>
      <c r="D29" s="33">
        <f>-SUM(Financials!Q38:T38)</f>
        <v/>
      </c>
      <c r="E29" s="33">
        <f>-SUM(Financials!U38:X38)</f>
        <v/>
      </c>
      <c r="F29" s="33">
        <f>-SUM(Financials!Y38:AB38)</f>
        <v/>
      </c>
      <c r="G29" s="41">
        <f>G26*G30</f>
        <v/>
      </c>
      <c r="H29" s="41">
        <f>H26*H30</f>
        <v/>
      </c>
      <c r="I29" s="41">
        <f>I26*I30</f>
        <v/>
      </c>
      <c r="J29" s="41">
        <f>J26*J30</f>
        <v/>
      </c>
      <c r="K29" s="41">
        <f>K26*K30</f>
        <v/>
      </c>
      <c r="L29" s="41">
        <f>L26*L30</f>
        <v/>
      </c>
      <c r="M29" s="41">
        <f>M26*M30</f>
        <v/>
      </c>
      <c r="N29" s="41">
        <f>N26*N30</f>
        <v/>
      </c>
      <c r="O29" s="41">
        <f>O26*O30</f>
        <v/>
      </c>
      <c r="P29" s="41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2">
        <f>B25+B26+B27-B28-B29</f>
        <v/>
      </c>
      <c r="C32" s="42">
        <f>C25+C26+C27-C28-C29</f>
        <v/>
      </c>
      <c r="D32" s="42">
        <f>D25+D26+D27-D28-D29</f>
        <v/>
      </c>
      <c r="E32" s="42">
        <f>E25+E26+E27-E28-E29</f>
        <v/>
      </c>
      <c r="F32" s="42">
        <f>F25+F26+F27-F28-F29</f>
        <v/>
      </c>
      <c r="G32" s="42">
        <f>G25+G26+G27-G28-G29</f>
        <v/>
      </c>
      <c r="H32" s="42">
        <f>H25+H26+H27-H28-H29</f>
        <v/>
      </c>
      <c r="I32" s="42">
        <f>I25+I26+I27-I28-I29</f>
        <v/>
      </c>
      <c r="J32" s="42">
        <f>J25+J26+J27-J28-J29</f>
        <v/>
      </c>
      <c r="K32" s="42">
        <f>K25+K26+K27-K28-K29</f>
        <v/>
      </c>
      <c r="L32" s="42">
        <f>L25+L26+L27-L28-L29</f>
        <v/>
      </c>
      <c r="M32" s="42">
        <f>M25+M26+M27-M28-M29</f>
        <v/>
      </c>
      <c r="N32" s="42">
        <f>N25+N26+N27-N28-N29</f>
        <v/>
      </c>
      <c r="O32" s="42">
        <f>O25+O26+O27-O28-O29</f>
        <v/>
      </c>
      <c r="P32" s="42">
        <f>P25+P26+P27-P28-P29</f>
        <v/>
      </c>
    </row>
    <row r="33">
      <c r="A33" s="3" t="inlineStr">
        <is>
          <t>Valuation FCF (NOPAT + D&amp;A - dNWC - Capex - after-tax SBC)</t>
        </is>
      </c>
      <c r="B33" s="43">
        <f>B32-B27-B27*(1-Valuation!$B$5)</f>
        <v/>
      </c>
      <c r="C33" s="43">
        <f>C32-C27-C27*(1-Valuation!$B$5)</f>
        <v/>
      </c>
      <c r="D33" s="43">
        <f>D32-D27-D27*(1-Valuation!$B$5)</f>
        <v/>
      </c>
      <c r="E33" s="43">
        <f>E32-E27-E27*(1-Valuation!$B$5)</f>
        <v/>
      </c>
      <c r="F33" s="43">
        <f>F32-F27-F27*(1-Valuation!$B$5)</f>
        <v/>
      </c>
      <c r="G33" s="43">
        <f>G32-G27-G27*(1-Valuation!$B$5)</f>
        <v/>
      </c>
      <c r="H33" s="43">
        <f>H32-H27-H27*(1-Valuation!$B$5)</f>
        <v/>
      </c>
      <c r="I33" s="43">
        <f>I32-I27-I27*(1-Valuation!$B$5)</f>
        <v/>
      </c>
      <c r="J33" s="43">
        <f>J32-J27-J27*(1-Valuation!$B$5)</f>
        <v/>
      </c>
      <c r="K33" s="43">
        <f>K32-K27-K27*(1-Valuation!$B$5)</f>
        <v/>
      </c>
      <c r="L33" s="43">
        <f>L32-L27-L27*(1-Valuation!$B$5)</f>
        <v/>
      </c>
      <c r="M33" s="43">
        <f>M32-M27-M27*(1-Valuation!$B$5)</f>
        <v/>
      </c>
      <c r="N33" s="43">
        <f>N32-N27-N27*(1-Valuation!$B$5)</f>
        <v/>
      </c>
      <c r="O33" s="43">
        <f>O32-O27-O27*(1-Valuation!$B$5)</f>
        <v/>
      </c>
      <c r="P33" s="43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3">
        <f>Financials!L32+Financials!L31-Financials!L26</f>
        <v/>
      </c>
      <c r="C36" s="33">
        <f>Financials!P32+Financials!P31-Financials!P26</f>
        <v/>
      </c>
      <c r="D36" s="33">
        <f>Financials!T32+Financials!T31-Financials!T26</f>
        <v/>
      </c>
      <c r="E36" s="33">
        <f>Financials!X32+Financials!X31-Financials!X26</f>
        <v/>
      </c>
      <c r="F36" s="33">
        <f>Financials!AB32+Financials!AB31-Financials!AB26</f>
        <v/>
      </c>
      <c r="G36" s="41">
        <f>F36+G29-G26+G28</f>
        <v/>
      </c>
      <c r="H36" s="41">
        <f>G36+H29-H26+H28</f>
        <v/>
      </c>
      <c r="I36" s="41">
        <f>H36+I29-I26+I28</f>
        <v/>
      </c>
      <c r="J36" s="41">
        <f>I36+J29-J26+J28</f>
        <v/>
      </c>
      <c r="K36" s="41">
        <f>J36+K29-K26+K28</f>
        <v/>
      </c>
      <c r="L36" s="41">
        <f>K36+L29-L26+L28</f>
        <v/>
      </c>
      <c r="M36" s="41">
        <f>L36+M29-M26+M28</f>
        <v/>
      </c>
      <c r="N36" s="41">
        <f>M36+N29-N26+N28</f>
        <v/>
      </c>
      <c r="O36" s="41">
        <f>N36+O29-O26+O28</f>
        <v/>
      </c>
      <c r="P36" s="41">
        <f>O36+P29-P26+P28</f>
        <v/>
      </c>
    </row>
    <row r="37">
      <c r="A37" s="4" t="inlineStr">
        <is>
          <t>Book equity (year-end)</t>
        </is>
      </c>
      <c r="B37" s="33">
        <f>Financials!L32</f>
        <v/>
      </c>
      <c r="C37" s="33">
        <f>Financials!P32</f>
        <v/>
      </c>
      <c r="D37" s="33">
        <f>Financials!T32</f>
        <v/>
      </c>
      <c r="E37" s="33">
        <f>Financials!X32</f>
        <v/>
      </c>
      <c r="F37" s="33">
        <f>Financials!AB32</f>
        <v/>
      </c>
      <c r="G37" s="41">
        <f>F37+G25</f>
        <v/>
      </c>
      <c r="H37" s="41">
        <f>G37+H25</f>
        <v/>
      </c>
      <c r="I37" s="41">
        <f>H37+I25</f>
        <v/>
      </c>
      <c r="J37" s="41">
        <f>I37+J25</f>
        <v/>
      </c>
      <c r="K37" s="41">
        <f>J37+K25</f>
        <v/>
      </c>
      <c r="L37" s="41">
        <f>K37+L25</f>
        <v/>
      </c>
      <c r="M37" s="41">
        <f>L37+M25</f>
        <v/>
      </c>
      <c r="N37" s="41">
        <f>M37+N25</f>
        <v/>
      </c>
      <c r="O37" s="41">
        <f>N37+O25</f>
        <v/>
      </c>
      <c r="P37" s="41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4">
        <f>IFERROR((C8-B8)/(C36-B36),"")</f>
        <v/>
      </c>
      <c r="D43" s="44">
        <f>IFERROR((D8-C8)/(D36-C36),"")</f>
        <v/>
      </c>
      <c r="E43" s="44">
        <f>IFERROR((E8-D8)/(E36-D36),"")</f>
        <v/>
      </c>
      <c r="F43" s="44">
        <f>IFERROR((F8-E8)/(F36-E36),"")</f>
        <v/>
      </c>
      <c r="G43" s="44">
        <f>IFERROR((G8-F8)/(G36-F36),"")</f>
        <v/>
      </c>
      <c r="H43" s="44">
        <f>IFERROR((H8-G8)/(H36-G36),"")</f>
        <v/>
      </c>
      <c r="I43" s="44">
        <f>IFERROR((I8-H8)/(I36-H36),"")</f>
        <v/>
      </c>
      <c r="J43" s="44">
        <f>IFERROR((J8-I8)/(J36-I36),"")</f>
        <v/>
      </c>
      <c r="K43" s="44">
        <f>IFERROR((K8-J8)/(K36-J36),"")</f>
        <v/>
      </c>
      <c r="L43" s="44">
        <f>IFERROR((L8-K8)/(L36-K36),"")</f>
        <v/>
      </c>
      <c r="M43" s="44">
        <f>IFERROR((M8-L8)/(M36-L36),"")</f>
        <v/>
      </c>
      <c r="N43" s="44">
        <f>IFERROR((N8-M8)/(N36-M36),"")</f>
        <v/>
      </c>
      <c r="O43" s="44">
        <f>IFERROR((O8-N8)/(O36-N36),"")</f>
        <v/>
      </c>
      <c r="P43" s="44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2577</v>
      </c>
      <c r="C3" s="18" t="n">
        <v>3013</v>
      </c>
      <c r="D3" s="18" t="n">
        <v>2798</v>
      </c>
      <c r="E3" s="18" t="n">
        <v>2811</v>
      </c>
      <c r="F3" s="18" t="n">
        <v>2586</v>
      </c>
      <c r="G3" s="18" t="n">
        <v>3182</v>
      </c>
      <c r="H3" s="18" t="n">
        <v>2947</v>
      </c>
      <c r="I3" s="18" t="n">
        <v>3541</v>
      </c>
      <c r="J3" s="18" t="n">
        <v>3068</v>
      </c>
      <c r="K3" s="18" t="n">
        <v>3467</v>
      </c>
      <c r="L3" s="18" t="n">
        <v>3355</v>
      </c>
      <c r="M3" s="18" t="n">
        <v>3751</v>
      </c>
      <c r="N3" s="18" t="n">
        <v>3424</v>
      </c>
      <c r="O3" s="18" t="n">
        <v>4082</v>
      </c>
      <c r="P3" s="18" t="n">
        <v>4053</v>
      </c>
      <c r="Q3" s="18" t="n">
        <v>4080</v>
      </c>
      <c r="R3" s="18" t="n">
        <v>3022</v>
      </c>
      <c r="S3" s="18" t="n">
        <v>3662</v>
      </c>
      <c r="T3" s="18" t="n">
        <v>3442</v>
      </c>
      <c r="U3" s="18" t="n">
        <v>3649</v>
      </c>
      <c r="V3" s="18" t="n">
        <v>3028</v>
      </c>
      <c r="W3" s="18" t="n">
        <v>3644</v>
      </c>
      <c r="X3" s="18" t="n">
        <v>3120</v>
      </c>
      <c r="Y3" s="18" t="n">
        <v>3906</v>
      </c>
      <c r="Z3" s="18" t="n">
        <v>3287</v>
      </c>
      <c r="AA3" s="18" t="n">
        <v>3915</v>
      </c>
      <c r="AB3" s="18" t="n">
        <v>3561</v>
      </c>
      <c r="AC3" s="18" t="n">
        <v>4021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1521</v>
      </c>
      <c r="C5" s="18" t="n">
        <v>1596</v>
      </c>
      <c r="D5" s="18" t="n">
        <v>1689</v>
      </c>
      <c r="E5" s="18" t="n">
        <v>1670</v>
      </c>
      <c r="F5" s="18" t="n">
        <v>1477</v>
      </c>
      <c r="G5" s="18" t="n">
        <v>1625</v>
      </c>
      <c r="H5" s="18" t="n">
        <v>1790</v>
      </c>
      <c r="I5" s="18" t="n">
        <v>2277</v>
      </c>
      <c r="J5" s="18" t="n">
        <v>1874</v>
      </c>
      <c r="K5" s="18" t="n">
        <v>1875</v>
      </c>
      <c r="L5" s="18" t="n">
        <v>2147</v>
      </c>
      <c r="M5" s="18" t="n">
        <v>2416</v>
      </c>
      <c r="N5" s="18" t="n">
        <v>2057</v>
      </c>
      <c r="O5" s="18" t="n">
        <v>2292</v>
      </c>
      <c r="P5" s="18" t="n">
        <v>2685</v>
      </c>
      <c r="Q5" s="18" t="n">
        <v>2623</v>
      </c>
      <c r="R5" s="18" t="n">
        <v>1839</v>
      </c>
      <c r="S5" s="18" t="n">
        <v>1851</v>
      </c>
      <c r="T5" s="18" t="n">
        <v>1914</v>
      </c>
      <c r="U5" s="18" t="n">
        <v>2044</v>
      </c>
      <c r="V5" s="18" t="n">
        <v>1636</v>
      </c>
      <c r="W5" s="18" t="n">
        <v>1781</v>
      </c>
      <c r="X5" s="18" t="n">
        <v>1832</v>
      </c>
      <c r="Y5" s="18" t="n">
        <v>2221</v>
      </c>
      <c r="Z5" s="18" t="n">
        <v>1728</v>
      </c>
      <c r="AA5" s="18" t="n">
        <v>1856</v>
      </c>
      <c r="AB5" s="18" t="n">
        <v>5299</v>
      </c>
      <c r="AC5" s="18" t="n">
        <v>3106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0</v>
      </c>
      <c r="C9" s="18" t="n">
        <v>0</v>
      </c>
      <c r="D9" s="18" t="n">
        <v>0</v>
      </c>
      <c r="E9" s="18" t="n">
        <v>0</v>
      </c>
      <c r="F9" s="18" t="n">
        <v>0</v>
      </c>
      <c r="G9" s="18" t="n">
        <v>0</v>
      </c>
      <c r="H9" s="18" t="n">
        <v>0</v>
      </c>
      <c r="I9" s="18" t="n">
        <v>0</v>
      </c>
      <c r="J9" s="18" t="n">
        <v>0</v>
      </c>
      <c r="K9" s="18" t="n">
        <v>0</v>
      </c>
      <c r="L9" s="18" t="n">
        <v>0</v>
      </c>
      <c r="M9" s="18" t="n">
        <v>0</v>
      </c>
      <c r="N9" s="18" t="n">
        <v>0</v>
      </c>
      <c r="O9" s="18" t="n">
        <v>0</v>
      </c>
      <c r="P9" s="18" t="n">
        <v>0</v>
      </c>
      <c r="Q9" s="18" t="n">
        <v>0</v>
      </c>
      <c r="R9" s="18" t="n">
        <v>0</v>
      </c>
      <c r="S9" s="18" t="n">
        <v>0</v>
      </c>
      <c r="T9" s="18" t="n">
        <v>0</v>
      </c>
      <c r="U9" s="18" t="n">
        <v>0</v>
      </c>
      <c r="V9" s="18" t="n">
        <v>0</v>
      </c>
      <c r="W9" s="18" t="n">
        <v>0</v>
      </c>
      <c r="X9" s="18" t="n">
        <v>0</v>
      </c>
      <c r="Y9" s="18" t="n">
        <v>0</v>
      </c>
      <c r="Z9" s="18" t="n">
        <v>0</v>
      </c>
      <c r="AA9" s="18" t="n">
        <v>0</v>
      </c>
      <c r="AB9" s="18" t="n">
        <v>0</v>
      </c>
      <c r="AC9" s="18" t="n">
        <v>0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1056</v>
      </c>
      <c r="C11" s="18" t="n">
        <v>1417</v>
      </c>
      <c r="D11" s="18" t="n">
        <v>1109</v>
      </c>
      <c r="E11" s="18" t="n">
        <v>1141</v>
      </c>
      <c r="F11" s="18" t="n">
        <v>1109</v>
      </c>
      <c r="G11" s="18" t="n">
        <v>1557</v>
      </c>
      <c r="H11" s="18" t="n">
        <v>1157</v>
      </c>
      <c r="I11" s="18" t="n">
        <v>1264</v>
      </c>
      <c r="J11" s="18" t="n">
        <v>1194</v>
      </c>
      <c r="K11" s="18" t="n">
        <v>1592</v>
      </c>
      <c r="L11" s="18" t="n">
        <v>1208</v>
      </c>
      <c r="M11" s="18" t="n">
        <v>1335</v>
      </c>
      <c r="N11" s="18" t="n">
        <v>1367</v>
      </c>
      <c r="O11" s="18" t="n">
        <v>1790</v>
      </c>
      <c r="P11" s="18" t="n">
        <v>1368</v>
      </c>
      <c r="Q11" s="18" t="n">
        <v>1457</v>
      </c>
      <c r="R11" s="18" t="n">
        <v>1183</v>
      </c>
      <c r="S11" s="18" t="n">
        <v>1811</v>
      </c>
      <c r="T11" s="18" t="n">
        <v>1528</v>
      </c>
      <c r="U11" s="18" t="n">
        <v>1605</v>
      </c>
      <c r="V11" s="18" t="n">
        <v>1392</v>
      </c>
      <c r="W11" s="18" t="n">
        <v>1863</v>
      </c>
      <c r="X11" s="18" t="n">
        <v>1288</v>
      </c>
      <c r="Y11" s="18" t="n">
        <v>1685</v>
      </c>
      <c r="Z11" s="18" t="n">
        <v>1559</v>
      </c>
      <c r="AA11" s="18" t="n">
        <v>2059</v>
      </c>
      <c r="AB11" s="18" t="n">
        <v>-1738</v>
      </c>
      <c r="AC11" s="18" t="n">
        <v>915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410</v>
      </c>
      <c r="C13" s="18" t="n">
        <v>758</v>
      </c>
      <c r="D13" s="18" t="n">
        <v>450</v>
      </c>
      <c r="E13" s="18" t="n">
        <v>455</v>
      </c>
      <c r="F13" s="18" t="n">
        <v>422</v>
      </c>
      <c r="G13" s="18" t="n">
        <v>813</v>
      </c>
      <c r="H13" s="18" t="n">
        <v>426</v>
      </c>
      <c r="I13" s="18" t="n">
        <v>507</v>
      </c>
      <c r="J13" s="18" t="n">
        <v>438</v>
      </c>
      <c r="K13" s="18" t="n">
        <v>825</v>
      </c>
      <c r="L13" s="18" t="n">
        <v>433</v>
      </c>
      <c r="M13" s="18" t="n">
        <v>510</v>
      </c>
      <c r="N13" s="18" t="n">
        <v>469</v>
      </c>
      <c r="O13" s="18" t="n">
        <v>924</v>
      </c>
      <c r="P13" s="18" t="n">
        <v>525</v>
      </c>
      <c r="Q13" s="18" t="n">
        <v>573</v>
      </c>
      <c r="R13" s="18" t="n">
        <v>418</v>
      </c>
      <c r="S13" s="18" t="n">
        <v>915</v>
      </c>
      <c r="T13" s="18" t="n">
        <v>575</v>
      </c>
      <c r="U13" s="18" t="n">
        <v>679</v>
      </c>
      <c r="V13" s="18" t="n">
        <v>449</v>
      </c>
      <c r="W13" s="18" t="n">
        <v>911</v>
      </c>
      <c r="X13" s="18" t="n">
        <v>347</v>
      </c>
      <c r="Y13" s="18" t="n">
        <v>677</v>
      </c>
      <c r="Z13" s="18" t="n">
        <v>577</v>
      </c>
      <c r="AA13" s="18" t="n">
        <v>749</v>
      </c>
      <c r="AB13" s="18" t="n">
        <v>876</v>
      </c>
      <c r="AC13" s="18" t="n">
        <v>732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238</v>
      </c>
      <c r="C15" s="18" t="n">
        <v>527</v>
      </c>
      <c r="D15" s="18" t="n">
        <v>292</v>
      </c>
      <c r="E15" s="18" t="n">
        <v>295</v>
      </c>
      <c r="F15" s="18" t="n">
        <v>287</v>
      </c>
      <c r="G15" s="18" t="n">
        <v>603</v>
      </c>
      <c r="H15" s="18" t="n">
        <v>288</v>
      </c>
      <c r="I15" s="18" t="n">
        <v>362</v>
      </c>
      <c r="J15" s="18" t="n">
        <v>311</v>
      </c>
      <c r="K15" s="18" t="n">
        <v>609</v>
      </c>
      <c r="L15" s="18" t="n">
        <v>315</v>
      </c>
      <c r="M15" s="18" t="n">
        <v>380</v>
      </c>
      <c r="N15" s="18" t="n">
        <v>328</v>
      </c>
      <c r="O15" s="18" t="n">
        <v>649</v>
      </c>
      <c r="P15" s="18" t="n">
        <v>379</v>
      </c>
      <c r="Q15" s="18" t="n">
        <v>418</v>
      </c>
      <c r="R15" s="18" t="n">
        <v>288</v>
      </c>
      <c r="S15" s="18" t="n">
        <v>656</v>
      </c>
      <c r="T15" s="18" t="n">
        <v>409</v>
      </c>
      <c r="U15" s="18" t="n">
        <v>488</v>
      </c>
      <c r="V15" s="18" t="n">
        <v>302</v>
      </c>
      <c r="W15" s="18" t="n">
        <v>682</v>
      </c>
      <c r="X15" s="18" t="n">
        <v>464</v>
      </c>
      <c r="Y15" s="18" t="n">
        <v>483</v>
      </c>
      <c r="Z15" s="18" t="n">
        <v>444</v>
      </c>
      <c r="AA15" s="18" t="n">
        <v>524</v>
      </c>
      <c r="AB15" s="18" t="n">
        <v>567</v>
      </c>
      <c r="AC15" s="18" t="n">
        <v>556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518</v>
      </c>
      <c r="C17" s="18" t="n">
        <v>521</v>
      </c>
      <c r="D17" s="18" t="n">
        <v>526</v>
      </c>
      <c r="E17" s="18" t="n">
        <v>527</v>
      </c>
      <c r="F17" s="18" t="n">
        <v>527</v>
      </c>
      <c r="G17" s="18" t="n">
        <v>528</v>
      </c>
      <c r="H17" s="18" t="n">
        <v>532</v>
      </c>
      <c r="I17" s="18" t="n">
        <v>539</v>
      </c>
      <c r="J17" s="18" t="n">
        <v>539</v>
      </c>
      <c r="K17" s="18" t="n">
        <v>539</v>
      </c>
      <c r="L17" s="18" t="n">
        <v>542</v>
      </c>
      <c r="M17" s="18" t="n">
        <v>545</v>
      </c>
      <c r="N17" s="18" t="n">
        <v>546</v>
      </c>
      <c r="O17" s="18" t="n">
        <v>548</v>
      </c>
      <c r="P17" s="18" t="n">
        <v>549</v>
      </c>
      <c r="Q17" s="18" t="n">
        <v>551</v>
      </c>
      <c r="R17" s="18" t="n">
        <v>552</v>
      </c>
      <c r="S17" s="18" t="n">
        <v>552</v>
      </c>
      <c r="T17" s="18" t="n">
        <v>554</v>
      </c>
      <c r="U17" s="18" t="n">
        <v>556</v>
      </c>
      <c r="V17" s="18" t="n">
        <v>557</v>
      </c>
      <c r="W17" s="18" t="n">
        <v>565</v>
      </c>
      <c r="X17" s="18" t="n">
        <v>576</v>
      </c>
      <c r="Y17" s="18" t="n">
        <v>577</v>
      </c>
      <c r="Z17" s="18" t="n">
        <v>582</v>
      </c>
      <c r="AA17" s="18" t="n">
        <v>582</v>
      </c>
      <c r="AB17" s="18" t="n">
        <v>597</v>
      </c>
      <c r="AC17" s="18" t="n">
        <v>626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Regulated Electric</t>
        </is>
      </c>
      <c r="B19" s="18" t="n">
        <v>2250</v>
      </c>
      <c r="C19" s="18" t="n">
        <v>7346</v>
      </c>
      <c r="D19" s="18" t="n">
        <v>0</v>
      </c>
      <c r="E19" s="18" t="n">
        <v>2203</v>
      </c>
      <c r="F19" s="18" t="n">
        <v>2287</v>
      </c>
      <c r="G19" s="18" t="n">
        <v>2942</v>
      </c>
      <c r="H19" s="18" t="n">
        <v>2372</v>
      </c>
      <c r="I19" s="18" t="n">
        <v>2870</v>
      </c>
      <c r="J19" s="18" t="n">
        <v>2598</v>
      </c>
      <c r="K19" s="18" t="n">
        <v>3176</v>
      </c>
      <c r="L19" s="18" t="n">
        <v>2563</v>
      </c>
      <c r="M19" s="18" t="n">
        <v>2633</v>
      </c>
      <c r="N19" s="18" t="n">
        <v>2923</v>
      </c>
      <c r="O19" s="18" t="n">
        <v>9255</v>
      </c>
      <c r="P19" s="18" t="n">
        <v>0</v>
      </c>
      <c r="Q19" s="18" t="n">
        <v>2763</v>
      </c>
      <c r="R19" s="18" t="n">
        <v>2601</v>
      </c>
      <c r="S19" s="18" t="n">
        <v>8751</v>
      </c>
      <c r="T19" s="18" t="n">
        <v>0</v>
      </c>
      <c r="U19" s="18" t="n">
        <v>2686</v>
      </c>
      <c r="V19" s="18" t="n">
        <v>5344</v>
      </c>
      <c r="W19" s="18" t="n">
        <v>8737</v>
      </c>
      <c r="X19" s="18" t="n">
        <v>5529</v>
      </c>
      <c r="Y19" s="18" t="n">
        <v>5670</v>
      </c>
      <c r="Z19" s="18" t="n">
        <v>2878</v>
      </c>
      <c r="AA19" s="18" t="n">
        <v>3638</v>
      </c>
      <c r="AB19" s="18" t="n">
        <v>12134</v>
      </c>
      <c r="AC19" s="18" t="n">
        <v>2976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Regulated Natural Gas</t>
        </is>
      </c>
      <c r="B22" s="18" t="n">
        <v>1103</v>
      </c>
      <c r="C22" s="18" t="n">
        <v>1325</v>
      </c>
      <c r="D22" s="18" t="n">
        <v>0</v>
      </c>
      <c r="E22" s="18" t="n">
        <v>583</v>
      </c>
      <c r="F22" s="18" t="n">
        <v>864</v>
      </c>
      <c r="G22" s="18" t="n">
        <v>1083</v>
      </c>
      <c r="H22" s="18" t="n">
        <v>0</v>
      </c>
      <c r="I22" s="18" t="n">
        <v>647</v>
      </c>
      <c r="J22" s="18" t="n">
        <v>1097</v>
      </c>
      <c r="K22" s="18" t="n">
        <v>269</v>
      </c>
      <c r="L22" s="18" t="n">
        <v>121</v>
      </c>
      <c r="M22" s="18" t="n">
        <v>1090</v>
      </c>
      <c r="N22" s="18" t="n">
        <v>477</v>
      </c>
      <c r="O22" s="18" t="n">
        <v>358</v>
      </c>
      <c r="P22" s="18" t="n">
        <v>1157</v>
      </c>
      <c r="Q22" s="18" t="n">
        <v>1289</v>
      </c>
      <c r="R22" s="18" t="n">
        <v>393</v>
      </c>
      <c r="S22" s="18" t="n">
        <v>246</v>
      </c>
      <c r="T22" s="18" t="n">
        <v>720</v>
      </c>
      <c r="U22" s="18" t="n">
        <v>942</v>
      </c>
      <c r="V22" s="18" t="n">
        <v>1297</v>
      </c>
      <c r="W22" s="18" t="n">
        <v>239</v>
      </c>
      <c r="X22" s="18" t="n">
        <v>2004</v>
      </c>
      <c r="Y22" s="18" t="n">
        <v>2110</v>
      </c>
      <c r="Z22" s="18" t="n">
        <v>396</v>
      </c>
      <c r="AA22" s="18" t="n">
        <v>264</v>
      </c>
      <c r="AB22" s="18" t="n">
        <v>2134</v>
      </c>
      <c r="AC22" s="18" t="n">
        <v>1030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BALANCE SHEET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Cash &amp; ST Investments</t>
        </is>
      </c>
      <c r="B26" s="18" t="n">
        <v>353</v>
      </c>
      <c r="C26" s="18" t="n">
        <v>864</v>
      </c>
      <c r="D26" s="18" t="n">
        <v>248</v>
      </c>
      <c r="E26" s="18" t="n">
        <v>244</v>
      </c>
      <c r="F26" s="18" t="n">
        <v>1625</v>
      </c>
      <c r="G26" s="18" t="n">
        <v>885</v>
      </c>
      <c r="H26" s="18" t="n">
        <v>129</v>
      </c>
      <c r="I26" s="18" t="n">
        <v>1039</v>
      </c>
      <c r="J26" s="18" t="n">
        <v>538</v>
      </c>
      <c r="K26" s="18" t="n">
        <v>631</v>
      </c>
      <c r="L26" s="18" t="n">
        <v>166</v>
      </c>
      <c r="M26" s="18" t="n">
        <v>90</v>
      </c>
      <c r="N26" s="18" t="n">
        <v>335</v>
      </c>
      <c r="O26" s="18" t="n">
        <v>117</v>
      </c>
      <c r="P26" s="18" t="n">
        <v>111</v>
      </c>
      <c r="Q26" s="18" t="n">
        <v>114</v>
      </c>
      <c r="R26" s="18" t="n">
        <v>275</v>
      </c>
      <c r="S26" s="18" t="n">
        <v>594</v>
      </c>
      <c r="T26" s="18" t="n">
        <v>129</v>
      </c>
      <c r="U26" s="18" t="n">
        <v>501</v>
      </c>
      <c r="V26" s="18" t="n">
        <v>1598</v>
      </c>
      <c r="W26" s="18" t="n">
        <v>1545</v>
      </c>
      <c r="X26" s="18" t="n">
        <v>179</v>
      </c>
      <c r="Y26" s="18" t="n">
        <v>1123</v>
      </c>
      <c r="Z26" s="18" t="n">
        <v>1454</v>
      </c>
      <c r="AA26" s="18" t="n">
        <v>1052</v>
      </c>
      <c r="AB26" s="18" t="n">
        <v>274</v>
      </c>
      <c r="AC26" s="18" t="n">
        <v>1760</v>
      </c>
    </row>
    <row r="27">
      <c r="A27" s="4" t="inlineStr">
        <is>
          <t>Total Current Assets</t>
        </is>
      </c>
      <c r="B27" s="18" t="n">
        <v>2939</v>
      </c>
      <c r="C27" s="18" t="n">
        <v>3600</v>
      </c>
      <c r="D27" s="18" t="n">
        <v>3113</v>
      </c>
      <c r="E27" s="18" t="n">
        <v>2983</v>
      </c>
      <c r="F27" s="18" t="n">
        <v>4390</v>
      </c>
      <c r="G27" s="18" t="n">
        <v>3837</v>
      </c>
      <c r="H27" s="18" t="n">
        <v>3275</v>
      </c>
      <c r="I27" s="18" t="n">
        <v>4315</v>
      </c>
      <c r="J27" s="18" t="n">
        <v>4147</v>
      </c>
      <c r="K27" s="18" t="n">
        <v>4487</v>
      </c>
      <c r="L27" s="18" t="n">
        <v>4239</v>
      </c>
      <c r="M27" s="18" t="n">
        <v>4022</v>
      </c>
      <c r="N27" s="18" t="n">
        <v>4842</v>
      </c>
      <c r="O27" s="18" t="n">
        <v>5090</v>
      </c>
      <c r="P27" s="18" t="n">
        <v>5144</v>
      </c>
      <c r="Q27" s="18" t="n">
        <v>4253</v>
      </c>
      <c r="R27" s="18" t="n">
        <v>4201</v>
      </c>
      <c r="S27" s="18" t="n">
        <v>4402</v>
      </c>
      <c r="T27" s="18" t="n">
        <v>4069</v>
      </c>
      <c r="U27" s="18" t="n">
        <v>4489</v>
      </c>
      <c r="V27" s="18" t="n">
        <v>5699</v>
      </c>
      <c r="W27" s="18" t="n">
        <v>5469</v>
      </c>
      <c r="X27" s="18" t="n">
        <v>4325</v>
      </c>
      <c r="Y27" s="18" t="n">
        <v>5368</v>
      </c>
      <c r="Z27" s="18" t="n">
        <v>5667</v>
      </c>
      <c r="AA27" s="18" t="n">
        <v>5681</v>
      </c>
      <c r="AB27" s="18" t="n">
        <v>5014</v>
      </c>
      <c r="AC27" s="18" t="n">
        <v>5882</v>
      </c>
    </row>
    <row r="28">
      <c r="A28" s="4" t="inlineStr">
        <is>
          <t>PP&amp;E (net)</t>
        </is>
      </c>
      <c r="B28" s="18" t="n">
        <v>39414</v>
      </c>
      <c r="C28" s="18" t="n">
        <v>40421</v>
      </c>
      <c r="D28" s="18" t="n">
        <v>41155</v>
      </c>
      <c r="E28" s="18" t="n">
        <v>42036</v>
      </c>
      <c r="F28" s="18" t="n">
        <v>42353</v>
      </c>
      <c r="G28" s="18" t="n">
        <v>43761</v>
      </c>
      <c r="H28" s="18" t="n">
        <v>44440</v>
      </c>
      <c r="I28" s="18" t="n">
        <v>45022</v>
      </c>
      <c r="J28" s="18" t="n">
        <v>45531</v>
      </c>
      <c r="K28" s="18" t="n">
        <v>46072</v>
      </c>
      <c r="L28" s="18" t="n">
        <v>46748</v>
      </c>
      <c r="M28" s="18" t="n">
        <v>47076</v>
      </c>
      <c r="N28" s="18" t="n">
        <v>47737</v>
      </c>
      <c r="O28" s="18" t="n">
        <v>48442</v>
      </c>
      <c r="P28" s="18" t="n">
        <v>49457</v>
      </c>
      <c r="Q28" s="18" t="n">
        <v>50090</v>
      </c>
      <c r="R28" s="18" t="n">
        <v>50807</v>
      </c>
      <c r="S28" s="18" t="n">
        <v>51727</v>
      </c>
      <c r="T28" s="18" t="n">
        <v>52859</v>
      </c>
      <c r="U28" s="18" t="n">
        <v>53929</v>
      </c>
      <c r="V28" s="18" t="n">
        <v>55035</v>
      </c>
      <c r="W28" s="18" t="n">
        <v>56417</v>
      </c>
      <c r="X28" s="18" t="n">
        <v>58258</v>
      </c>
      <c r="Y28" s="18" t="n">
        <v>59884</v>
      </c>
      <c r="Z28" s="18" t="n">
        <v>61882</v>
      </c>
      <c r="AA28" s="18" t="n">
        <v>65366</v>
      </c>
      <c r="AB28" s="18" t="n">
        <v>67880</v>
      </c>
      <c r="AC28" s="18" t="n">
        <v>70107</v>
      </c>
    </row>
    <row r="29">
      <c r="A29" s="4" t="inlineStr">
        <is>
          <t>Total Assets</t>
        </is>
      </c>
      <c r="B29" s="18" t="n">
        <v>48584</v>
      </c>
      <c r="C29" s="18" t="n">
        <v>50240</v>
      </c>
      <c r="D29" s="18" t="n">
        <v>50448</v>
      </c>
      <c r="E29" s="18" t="n">
        <v>51133</v>
      </c>
      <c r="F29" s="18" t="n">
        <v>53456</v>
      </c>
      <c r="G29" s="18" t="n">
        <v>53708</v>
      </c>
      <c r="H29" s="18" t="n">
        <v>53957</v>
      </c>
      <c r="I29" s="18" t="n">
        <v>56511</v>
      </c>
      <c r="J29" s="18" t="n">
        <v>56779</v>
      </c>
      <c r="K29" s="18" t="n">
        <v>57517</v>
      </c>
      <c r="L29" s="18" t="n">
        <v>57851</v>
      </c>
      <c r="M29" s="18" t="n">
        <v>57985</v>
      </c>
      <c r="N29" s="18" t="n">
        <v>59317</v>
      </c>
      <c r="O29" s="18" t="n">
        <v>59975</v>
      </c>
      <c r="P29" s="18" t="n">
        <v>61188</v>
      </c>
      <c r="Q29" s="18" t="n">
        <v>60945</v>
      </c>
      <c r="R29" s="18" t="n">
        <v>61658</v>
      </c>
      <c r="S29" s="18" t="n">
        <v>62870</v>
      </c>
      <c r="T29" s="18" t="n">
        <v>64079</v>
      </c>
      <c r="U29" s="18" t="n">
        <v>65585</v>
      </c>
      <c r="V29" s="18" t="n">
        <v>67927</v>
      </c>
      <c r="W29" s="18" t="n">
        <v>69286</v>
      </c>
      <c r="X29" s="18" t="n">
        <v>70035</v>
      </c>
      <c r="Y29" s="18" t="n">
        <v>72749</v>
      </c>
      <c r="Z29" s="18" t="n">
        <v>75337</v>
      </c>
      <c r="AA29" s="18" t="n">
        <v>79154</v>
      </c>
      <c r="AB29" s="18" t="n">
        <v>81371</v>
      </c>
      <c r="AC29" s="18" t="n">
        <v>84828</v>
      </c>
    </row>
    <row r="30">
      <c r="A30" s="4" t="inlineStr">
        <is>
          <t>Total Current Liabilities</t>
        </is>
      </c>
      <c r="B30" s="18" t="n">
        <v>5060</v>
      </c>
      <c r="C30" s="18" t="n">
        <v>5021</v>
      </c>
      <c r="D30" s="18" t="n">
        <v>4568</v>
      </c>
      <c r="E30" s="18" t="n">
        <v>5839</v>
      </c>
      <c r="F30" s="18" t="n">
        <v>5473</v>
      </c>
      <c r="G30" s="18" t="n">
        <v>4393</v>
      </c>
      <c r="H30" s="18" t="n">
        <v>4239</v>
      </c>
      <c r="I30" s="18" t="n">
        <v>4877</v>
      </c>
      <c r="J30" s="18" t="n">
        <v>4950</v>
      </c>
      <c r="K30" s="18" t="n">
        <v>5764</v>
      </c>
      <c r="L30" s="18" t="n">
        <v>5046</v>
      </c>
      <c r="M30" s="18" t="n">
        <v>5352</v>
      </c>
      <c r="N30" s="18" t="n">
        <v>4865</v>
      </c>
      <c r="O30" s="18" t="n">
        <v>4903</v>
      </c>
      <c r="P30" s="18" t="n">
        <v>6078</v>
      </c>
      <c r="Q30" s="18" t="n">
        <v>5661</v>
      </c>
      <c r="R30" s="18" t="n">
        <v>5231</v>
      </c>
      <c r="S30" s="18" t="n">
        <v>5073</v>
      </c>
      <c r="T30" s="18" t="n">
        <v>5652</v>
      </c>
      <c r="U30" s="18" t="n">
        <v>5210</v>
      </c>
      <c r="V30" s="18" t="n">
        <v>5900</v>
      </c>
      <c r="W30" s="18" t="n">
        <v>5858</v>
      </c>
      <c r="X30" s="18" t="n">
        <v>6459</v>
      </c>
      <c r="Y30" s="18" t="n">
        <v>6741</v>
      </c>
      <c r="Z30" s="18" t="n">
        <v>5886</v>
      </c>
      <c r="AA30" s="18" t="n">
        <v>7148</v>
      </c>
      <c r="AB30" s="18" t="n">
        <v>7089</v>
      </c>
      <c r="AC30" s="18" t="n">
        <v>7636</v>
      </c>
    </row>
    <row r="31">
      <c r="A31" s="4" t="inlineStr">
        <is>
          <t>Long-term Debt</t>
        </is>
      </c>
      <c r="B31" s="18" t="n">
        <v>15996</v>
      </c>
      <c r="C31" s="18" t="n">
        <v>16819</v>
      </c>
      <c r="D31" s="18" t="n">
        <v>17407</v>
      </c>
      <c r="E31" s="18" t="n">
        <v>17010</v>
      </c>
      <c r="F31" s="18" t="n">
        <v>19463</v>
      </c>
      <c r="G31" s="18" t="n">
        <v>19960</v>
      </c>
      <c r="H31" s="18" t="n">
        <v>19645</v>
      </c>
      <c r="I31" s="18" t="n">
        <v>21470</v>
      </c>
      <c r="J31" s="18" t="n">
        <v>21476</v>
      </c>
      <c r="K31" s="18" t="n">
        <v>20979</v>
      </c>
      <c r="L31" s="18" t="n">
        <v>21779</v>
      </c>
      <c r="M31" s="18" t="n">
        <v>21534</v>
      </c>
      <c r="N31" s="18" t="n">
        <v>23205</v>
      </c>
      <c r="O31" s="18" t="n">
        <v>23309</v>
      </c>
      <c r="P31" s="18" t="n">
        <v>22813</v>
      </c>
      <c r="Q31" s="18" t="n">
        <v>22818</v>
      </c>
      <c r="R31" s="18" t="n">
        <v>24015</v>
      </c>
      <c r="S31" s="18" t="n">
        <v>24910</v>
      </c>
      <c r="T31" s="18" t="n">
        <v>24913</v>
      </c>
      <c r="U31" s="18" t="n">
        <v>26396</v>
      </c>
      <c r="V31" s="18" t="n">
        <v>27716</v>
      </c>
      <c r="W31" s="18" t="n">
        <v>27471</v>
      </c>
      <c r="X31" s="18" t="n">
        <v>27316</v>
      </c>
      <c r="Y31" s="18" t="n">
        <v>29396</v>
      </c>
      <c r="Z31" s="18" t="n">
        <v>31099</v>
      </c>
      <c r="AA31" s="18" t="n">
        <v>32034</v>
      </c>
      <c r="AB31" s="18" t="n">
        <v>31832</v>
      </c>
      <c r="AC31" s="18" t="n">
        <v>36611</v>
      </c>
    </row>
    <row r="32">
      <c r="A32" s="4" t="inlineStr">
        <is>
          <t>Total Equity</t>
        </is>
      </c>
      <c r="B32" s="18" t="n">
        <v>12366</v>
      </c>
      <c r="C32" s="18" t="n">
        <v>13141</v>
      </c>
      <c r="D32" s="18" t="n">
        <v>13239</v>
      </c>
      <c r="E32" s="18" t="n">
        <v>13302</v>
      </c>
      <c r="F32" s="18" t="n">
        <v>13385</v>
      </c>
      <c r="G32" s="18" t="n">
        <v>13777</v>
      </c>
      <c r="H32" s="18" t="n">
        <v>14575</v>
      </c>
      <c r="I32" s="18" t="n">
        <v>14700</v>
      </c>
      <c r="J32" s="18" t="n">
        <v>14792</v>
      </c>
      <c r="K32" s="18" t="n">
        <v>15171</v>
      </c>
      <c r="L32" s="18" t="n">
        <v>15612</v>
      </c>
      <c r="M32" s="18" t="n">
        <v>15732</v>
      </c>
      <c r="N32" s="18" t="n">
        <v>15971</v>
      </c>
      <c r="O32" s="18" t="n">
        <v>16384</v>
      </c>
      <c r="P32" s="18" t="n">
        <v>16675</v>
      </c>
      <c r="Q32" s="18" t="n">
        <v>16818</v>
      </c>
      <c r="R32" s="18" t="n">
        <v>16914</v>
      </c>
      <c r="S32" s="18" t="n">
        <v>17309</v>
      </c>
      <c r="T32" s="18" t="n">
        <v>17616</v>
      </c>
      <c r="U32" s="18" t="n">
        <v>17841</v>
      </c>
      <c r="V32" s="18" t="n">
        <v>17954</v>
      </c>
      <c r="W32" s="18" t="n">
        <v>19352</v>
      </c>
      <c r="X32" s="18" t="n">
        <v>19522</v>
      </c>
      <c r="Y32" s="18" t="n">
        <v>19804</v>
      </c>
      <c r="Z32" s="18" t="n">
        <v>20961</v>
      </c>
      <c r="AA32" s="18" t="n">
        <v>21181</v>
      </c>
      <c r="AB32" s="18" t="n">
        <v>23609</v>
      </c>
      <c r="AC32" s="18" t="n">
        <v>23806</v>
      </c>
    </row>
    <row r="33">
      <c r="A33" s="5" t="inlineStr">
        <is>
          <t xml:space="preserve">  CASH FLOW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>
      <c r="A34" s="4" t="inlineStr">
        <is>
          <t>D&amp;A</t>
        </is>
      </c>
      <c r="B34" s="18" t="n">
        <v>470</v>
      </c>
      <c r="C34" s="18" t="n">
        <v>482</v>
      </c>
      <c r="D34" s="18" t="n">
        <v>483</v>
      </c>
      <c r="E34" s="18" t="n">
        <v>499</v>
      </c>
      <c r="F34" s="18" t="n">
        <v>508</v>
      </c>
      <c r="G34" s="18" t="n">
        <v>546</v>
      </c>
      <c r="H34" s="18" t="n">
        <v>529</v>
      </c>
      <c r="I34" s="18" t="n">
        <v>547</v>
      </c>
      <c r="J34" s="18" t="n">
        <v>552</v>
      </c>
      <c r="K34" s="18" t="n">
        <v>584</v>
      </c>
      <c r="L34" s="18" t="n">
        <v>574</v>
      </c>
      <c r="M34" s="18" t="n">
        <v>597</v>
      </c>
      <c r="N34" s="18" t="n">
        <v>674</v>
      </c>
      <c r="O34" s="18" t="n">
        <v>641</v>
      </c>
      <c r="P34" s="18" t="n">
        <v>642</v>
      </c>
      <c r="Q34" s="18" t="n">
        <v>660</v>
      </c>
      <c r="R34" s="18" t="n">
        <v>595</v>
      </c>
      <c r="S34" s="18" t="n">
        <v>653</v>
      </c>
      <c r="T34" s="18" t="n">
        <v>641</v>
      </c>
      <c r="U34" s="18" t="n">
        <v>684</v>
      </c>
      <c r="V34" s="18" t="n">
        <v>739</v>
      </c>
      <c r="W34" s="18" t="n">
        <v>717</v>
      </c>
      <c r="X34" s="18" t="n">
        <v>735</v>
      </c>
      <c r="Y34" s="18" t="n">
        <v>734</v>
      </c>
      <c r="Z34" s="18" t="n">
        <v>753</v>
      </c>
      <c r="AA34" s="18" t="n">
        <v>746</v>
      </c>
      <c r="AB34" s="18" t="n">
        <v>720</v>
      </c>
      <c r="AC34" s="18" t="n">
        <v>794</v>
      </c>
    </row>
    <row r="35">
      <c r="A35" s="4" t="inlineStr">
        <is>
          <t>Stock-based Compensation</t>
        </is>
      </c>
      <c r="B35" s="18" t="n">
        <v>16</v>
      </c>
      <c r="C35" s="18" t="n">
        <v>12</v>
      </c>
      <c r="D35" s="18" t="n">
        <v>11</v>
      </c>
      <c r="E35" s="18" t="n">
        <v>26</v>
      </c>
      <c r="F35" s="18" t="n">
        <v>15</v>
      </c>
      <c r="G35" s="18" t="n">
        <v>19</v>
      </c>
      <c r="H35" s="18" t="n">
        <v>13</v>
      </c>
      <c r="I35" s="18" t="n">
        <v>9</v>
      </c>
      <c r="J35" s="18" t="n">
        <v>12</v>
      </c>
      <c r="K35" s="18" t="n">
        <v>-1</v>
      </c>
      <c r="L35" s="18" t="n">
        <v>11</v>
      </c>
      <c r="M35" s="18" t="n">
        <v>4</v>
      </c>
      <c r="N35" s="18" t="n">
        <v>10</v>
      </c>
      <c r="O35" s="18" t="n">
        <v>5</v>
      </c>
      <c r="P35" s="18" t="n">
        <v>1</v>
      </c>
      <c r="Q35" s="18" t="n">
        <v>9</v>
      </c>
      <c r="R35" s="18" t="n">
        <v>3</v>
      </c>
      <c r="S35" s="18" t="n">
        <v>5</v>
      </c>
      <c r="T35" s="18" t="n">
        <v>8</v>
      </c>
      <c r="U35" s="18" t="n">
        <v>6</v>
      </c>
      <c r="V35" s="18" t="n">
        <v>11</v>
      </c>
      <c r="W35" s="18" t="n">
        <v>10</v>
      </c>
      <c r="X35" s="18" t="n">
        <v>6</v>
      </c>
      <c r="Y35" s="18" t="n">
        <v>9</v>
      </c>
      <c r="Z35" s="18" t="n">
        <v>12</v>
      </c>
      <c r="AA35" s="18" t="n">
        <v>17</v>
      </c>
      <c r="AB35" s="18" t="n">
        <v>-38</v>
      </c>
      <c r="AC35" s="18" t="n">
        <v>11</v>
      </c>
    </row>
    <row r="36">
      <c r="A36" s="4" t="inlineStr">
        <is>
          <t>Change in Working Capital</t>
        </is>
      </c>
      <c r="B36" s="18" t="n">
        <v>-190</v>
      </c>
      <c r="C36" s="18" t="n">
        <v>-1</v>
      </c>
      <c r="D36" s="18" t="n">
        <v>-79</v>
      </c>
      <c r="E36" s="18" t="n">
        <v>-176</v>
      </c>
      <c r="F36" s="18" t="n">
        <v>-221</v>
      </c>
      <c r="G36" s="18" t="n">
        <v>-120</v>
      </c>
      <c r="H36" s="18" t="n">
        <v>-38</v>
      </c>
      <c r="I36" s="18" t="n">
        <v>-988</v>
      </c>
      <c r="J36" s="18" t="n">
        <v>-232</v>
      </c>
      <c r="K36" s="18" t="n">
        <v>-37</v>
      </c>
      <c r="L36" s="18" t="n">
        <v>-187</v>
      </c>
      <c r="M36" s="18" t="n">
        <v>253</v>
      </c>
      <c r="N36" s="18" t="n">
        <v>-76</v>
      </c>
      <c r="O36" s="18" t="n">
        <v>-167</v>
      </c>
      <c r="P36" s="18" t="n">
        <v>-87</v>
      </c>
      <c r="Q36" s="18" t="n">
        <v>580</v>
      </c>
      <c r="R36" s="18" t="n">
        <v>163</v>
      </c>
      <c r="S36" s="18" t="n">
        <v>597</v>
      </c>
      <c r="T36" s="18" t="n">
        <v>-148</v>
      </c>
      <c r="U36" s="18" t="n">
        <v>-263</v>
      </c>
      <c r="V36" s="18" t="n">
        <v>33</v>
      </c>
      <c r="W36" s="18" t="n">
        <v>277</v>
      </c>
      <c r="X36" s="18" t="n">
        <v>-165</v>
      </c>
      <c r="Y36" s="18" t="n">
        <v>-192</v>
      </c>
      <c r="Z36" s="18" t="n">
        <v>-330</v>
      </c>
      <c r="AA36" s="18" t="n">
        <v>398</v>
      </c>
      <c r="AB36" s="18" t="n">
        <v>124</v>
      </c>
      <c r="AC36" s="18" t="n">
        <v>84</v>
      </c>
    </row>
    <row r="37">
      <c r="A37" s="4" t="inlineStr">
        <is>
          <t>Operating Cash Flow</t>
        </is>
      </c>
      <c r="B37" s="18" t="n">
        <v>541</v>
      </c>
      <c r="C37" s="18" t="n">
        <v>1223</v>
      </c>
      <c r="D37" s="18" t="n">
        <v>706</v>
      </c>
      <c r="E37" s="18" t="n">
        <v>669</v>
      </c>
      <c r="F37" s="18" t="n">
        <v>479</v>
      </c>
      <c r="G37" s="18" t="n">
        <v>1026</v>
      </c>
      <c r="H37" s="18" t="n">
        <v>674</v>
      </c>
      <c r="I37" s="18" t="n">
        <v>-136</v>
      </c>
      <c r="J37" s="18" t="n">
        <v>625</v>
      </c>
      <c r="K37" s="18" t="n">
        <v>1090</v>
      </c>
      <c r="L37" s="18" t="n">
        <v>610</v>
      </c>
      <c r="M37" s="18" t="n">
        <v>1140</v>
      </c>
      <c r="N37" s="18" t="n">
        <v>848</v>
      </c>
      <c r="O37" s="18" t="n">
        <v>1179</v>
      </c>
      <c r="P37" s="18" t="n">
        <v>765</v>
      </c>
      <c r="Q37" s="18" t="n">
        <v>1537</v>
      </c>
      <c r="R37" s="18" t="n">
        <v>918</v>
      </c>
      <c r="S37" s="18" t="n">
        <v>1898</v>
      </c>
      <c r="T37" s="18" t="n">
        <v>974</v>
      </c>
      <c r="U37" s="18" t="n">
        <v>1050</v>
      </c>
      <c r="V37" s="18" t="n">
        <v>1190</v>
      </c>
      <c r="W37" s="18" t="n">
        <v>1737</v>
      </c>
      <c r="X37" s="18" t="n">
        <v>664</v>
      </c>
      <c r="Y37" s="18" t="n">
        <v>1028</v>
      </c>
      <c r="Z37" s="18" t="n">
        <v>1081</v>
      </c>
      <c r="AA37" s="18" t="n">
        <v>1765</v>
      </c>
      <c r="AB37" s="18" t="n">
        <v>-3874</v>
      </c>
      <c r="AC37" s="18" t="n">
        <v>1697</v>
      </c>
    </row>
    <row r="38">
      <c r="A38" s="4" t="inlineStr">
        <is>
          <t>Capex</t>
        </is>
      </c>
      <c r="B38" s="18" t="n">
        <v>-845</v>
      </c>
      <c r="C38" s="18" t="n">
        <v>-1329</v>
      </c>
      <c r="D38" s="18" t="n">
        <v>-1207</v>
      </c>
      <c r="E38" s="18" t="n">
        <v>-1607</v>
      </c>
      <c r="F38" s="18" t="n">
        <v>-962</v>
      </c>
      <c r="G38" s="18" t="n">
        <v>-1112</v>
      </c>
      <c r="H38" s="18" t="n">
        <v>-1688</v>
      </c>
      <c r="I38" s="18" t="n">
        <v>-1024</v>
      </c>
      <c r="J38" s="18" t="n">
        <v>-943</v>
      </c>
      <c r="K38" s="18" t="n">
        <v>-1065</v>
      </c>
      <c r="L38" s="18" t="n">
        <v>-1212</v>
      </c>
      <c r="M38" s="18" t="n">
        <v>-942</v>
      </c>
      <c r="N38" s="18" t="n">
        <v>-1098</v>
      </c>
      <c r="O38" s="18" t="n">
        <v>-1285</v>
      </c>
      <c r="P38" s="18" t="n">
        <v>-1313</v>
      </c>
      <c r="Q38" s="18" t="n">
        <v>-1265</v>
      </c>
      <c r="R38" s="18" t="n">
        <v>-1334</v>
      </c>
      <c r="S38" s="18" t="n">
        <v>-1641</v>
      </c>
      <c r="T38" s="18" t="n">
        <v>-1614</v>
      </c>
      <c r="U38" s="18" t="n">
        <v>-1537</v>
      </c>
      <c r="V38" s="18" t="n">
        <v>-1831</v>
      </c>
      <c r="W38" s="18" t="n">
        <v>-1779</v>
      </c>
      <c r="X38" s="18" t="n">
        <v>-2217</v>
      </c>
      <c r="Y38" s="18" t="n">
        <v>891</v>
      </c>
      <c r="Z38" s="18" t="n">
        <v>-2427</v>
      </c>
      <c r="AA38" s="18" t="n">
        <v>-3055</v>
      </c>
      <c r="AB38" s="18" t="n">
        <v>4591</v>
      </c>
      <c r="AC38" s="18" t="n">
        <v>-3022</v>
      </c>
    </row>
    <row r="39">
      <c r="A39" s="4" t="inlineStr">
        <is>
          <t>Free Cash Flow</t>
        </is>
      </c>
      <c r="B39" s="18" t="n">
        <v>-304</v>
      </c>
      <c r="C39" s="18" t="n">
        <v>-106</v>
      </c>
      <c r="D39" s="18" t="n">
        <v>-501</v>
      </c>
      <c r="E39" s="18" t="n">
        <v>-938</v>
      </c>
      <c r="F39" s="18" t="n">
        <v>-483</v>
      </c>
      <c r="G39" s="18" t="n">
        <v>-86</v>
      </c>
      <c r="H39" s="18" t="n">
        <v>-1014</v>
      </c>
      <c r="I39" s="18" t="n">
        <v>-1160</v>
      </c>
      <c r="J39" s="18" t="n">
        <v>-318</v>
      </c>
      <c r="K39" s="18" t="n">
        <v>25</v>
      </c>
      <c r="L39" s="18" t="n">
        <v>-602</v>
      </c>
      <c r="M39" s="18" t="n">
        <v>198</v>
      </c>
      <c r="N39" s="18" t="n">
        <v>-250</v>
      </c>
      <c r="O39" s="18" t="n">
        <v>-106</v>
      </c>
      <c r="P39" s="18" t="n">
        <v>-548</v>
      </c>
      <c r="Q39" s="18" t="n">
        <v>272</v>
      </c>
      <c r="R39" s="18" t="n">
        <v>-416</v>
      </c>
      <c r="S39" s="18" t="n">
        <v>257</v>
      </c>
      <c r="T39" s="18" t="n">
        <v>-640</v>
      </c>
      <c r="U39" s="18" t="n">
        <v>-487</v>
      </c>
      <c r="V39" s="18" t="n">
        <v>-641</v>
      </c>
      <c r="W39" s="18" t="n">
        <v>-42</v>
      </c>
      <c r="X39" s="18" t="n">
        <v>-1553</v>
      </c>
      <c r="Y39" s="18" t="n">
        <v>1919</v>
      </c>
      <c r="Z39" s="18" t="n">
        <v>-1346</v>
      </c>
      <c r="AA39" s="18" t="n">
        <v>-1290</v>
      </c>
      <c r="AB39" s="18" t="n">
        <v>717</v>
      </c>
      <c r="AC39" s="18" t="n">
        <v>-1325</v>
      </c>
    </row>
    <row r="41">
      <c r="A4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15918.064356</v>
      </c>
      <c r="C4" s="18" t="n">
        <v>17368.414817</v>
      </c>
      <c r="D4" s="18" t="n">
        <v>18725.390221</v>
      </c>
      <c r="E4" s="18" t="n">
        <v>20202.36</v>
      </c>
      <c r="F4" s="18" t="n">
        <v>21507</v>
      </c>
    </row>
    <row r="5">
      <c r="A5" s="4" t="inlineStr">
        <is>
          <t xml:space="preserve">  model</t>
        </is>
      </c>
      <c r="B5" s="33">
        <f>Model!G8</f>
        <v/>
      </c>
      <c r="C5" s="33">
        <f>Model!H8</f>
        <v/>
      </c>
      <c r="D5" s="33">
        <f>Model!I8</f>
        <v/>
      </c>
      <c r="E5" s="33">
        <f>Model!J8</f>
        <v/>
      </c>
      <c r="F5" s="33">
        <f>Model!K8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8138.53324</v>
      </c>
      <c r="C8" s="18" t="n">
        <v>8880.063439</v>
      </c>
      <c r="D8" s="18" t="n">
        <v>9573.853160000001</v>
      </c>
      <c r="E8" s="18" t="n">
        <v>10328.993193</v>
      </c>
      <c r="F8" s="18" t="n">
        <v>10996.025049</v>
      </c>
    </row>
    <row r="9">
      <c r="A9" s="4" t="inlineStr">
        <is>
          <t xml:space="preserve">  model</t>
        </is>
      </c>
      <c r="B9" s="33">
        <f>Model!G21+Model!G26</f>
        <v/>
      </c>
      <c r="C9" s="33">
        <f>Model!H21+Model!H26</f>
        <v/>
      </c>
      <c r="D9" s="33">
        <f>Model!I21+Model!I26</f>
        <v/>
      </c>
      <c r="E9" s="33">
        <f>Model!J21+Model!J26</f>
        <v/>
      </c>
      <c r="F9" s="33">
        <f>Model!K21+Model!K26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4226.543954</v>
      </c>
      <c r="C12" s="18" t="n">
        <v>4611.639142</v>
      </c>
      <c r="D12" s="18" t="n">
        <v>4971.941504</v>
      </c>
      <c r="E12" s="18" t="n">
        <v>5364.104618</v>
      </c>
      <c r="F12" s="18" t="n">
        <v>5710.510951</v>
      </c>
    </row>
    <row r="13">
      <c r="A13" s="4" t="inlineStr">
        <is>
          <t xml:space="preserve">  model</t>
        </is>
      </c>
      <c r="B13" s="33">
        <f>Model!G21</f>
        <v/>
      </c>
      <c r="C13" s="33">
        <f>Model!H21</f>
        <v/>
      </c>
      <c r="D13" s="33">
        <f>Model!I21</f>
        <v/>
      </c>
      <c r="E13" s="33">
        <f>Model!J21</f>
        <v/>
      </c>
      <c r="F13" s="33">
        <f>Model!K21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0</v>
      </c>
      <c r="C16" s="18" t="n">
        <v>0</v>
      </c>
      <c r="D16" s="18" t="n">
        <v>0</v>
      </c>
      <c r="E16" s="18" t="n">
        <v>0</v>
      </c>
      <c r="F16" s="18" t="n">
        <v>0</v>
      </c>
    </row>
    <row r="17">
      <c r="A17" s="4" t="inlineStr">
        <is>
          <t xml:space="preserve">  model</t>
        </is>
      </c>
      <c r="B17" s="33">
        <f>Model!G16</f>
        <v/>
      </c>
      <c r="C17" s="33">
        <f>Model!H16</f>
        <v/>
      </c>
      <c r="D17" s="33">
        <f>Model!I16</f>
        <v/>
      </c>
      <c r="E17" s="33">
        <f>Model!J16</f>
        <v/>
      </c>
      <c r="F17" s="33">
        <f>Model!K16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2418.575364</v>
      </c>
      <c r="C20" s="18" t="n">
        <v>2682.303059</v>
      </c>
      <c r="D20" s="18" t="n">
        <v>2954.4122245</v>
      </c>
      <c r="E20" s="18" t="n">
        <v>3207.523195</v>
      </c>
      <c r="F20" s="18" t="n">
        <v>3466.265005</v>
      </c>
    </row>
    <row r="21">
      <c r="A21" s="4" t="inlineStr">
        <is>
          <t xml:space="preserve">  model</t>
        </is>
      </c>
      <c r="B21" s="33">
        <f>Model!G25</f>
        <v/>
      </c>
      <c r="C21" s="33">
        <f>Model!H25</f>
        <v/>
      </c>
      <c r="D21" s="33">
        <f>Model!I25</f>
        <v/>
      </c>
      <c r="E21" s="33">
        <f>Model!J25</f>
        <v/>
      </c>
      <c r="F21" s="33">
        <f>Model!K25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4.11124</v>
      </c>
      <c r="C24" s="47" t="n">
        <v>4.53883</v>
      </c>
      <c r="D24" s="47" t="n">
        <v>4.9976</v>
      </c>
      <c r="E24" s="47" t="n">
        <v>5.44571</v>
      </c>
      <c r="F24" s="47" t="n">
        <v>5.885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Xcel Energy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Model!G33</f>
        <v/>
      </c>
      <c r="D12" s="33">
        <f>Model!H33</f>
        <v/>
      </c>
      <c r="E12" s="33">
        <f>Model!I33</f>
        <v/>
      </c>
      <c r="F12" s="33">
        <f>Model!J33</f>
        <v/>
      </c>
      <c r="G12" s="33">
        <f>Model!K33</f>
        <v/>
      </c>
      <c r="H12" s="33">
        <f>Model!L33</f>
        <v/>
      </c>
      <c r="I12" s="33">
        <f>Model!M33</f>
        <v/>
      </c>
      <c r="J12" s="33">
        <f>Model!N33</f>
        <v/>
      </c>
      <c r="K12" s="33">
        <f>Model!O33</f>
        <v/>
      </c>
      <c r="L12" s="33">
        <f>Model!P33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Model!P8</f>
        <v/>
      </c>
    </row>
    <row r="21">
      <c r="A21" s="4" t="inlineStr">
        <is>
          <t>Terminal EBIT</t>
        </is>
      </c>
      <c r="B21" s="33">
        <f>Model!P21</f>
        <v/>
      </c>
    </row>
    <row r="22">
      <c r="A22" s="4" t="inlineStr">
        <is>
          <t>Terminal EBITDA (SBC-burdened)</t>
        </is>
      </c>
      <c r="B22" s="33">
        <f>Model!P21+Model!P26-Model!P27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Financials!AC26</f>
        <v/>
      </c>
    </row>
    <row r="33">
      <c r="A33" s="4" t="inlineStr">
        <is>
          <t>- Long-term debt</t>
        </is>
      </c>
      <c r="B33" s="33">
        <f>-Financials!AC31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0.03539136293174203</v>
      </c>
      <c r="C4" s="51" t="n">
        <v>0.04039136293174202</v>
      </c>
      <c r="D4" s="51" t="n">
        <v>0.04539136293174203</v>
      </c>
      <c r="E4" s="51" t="n">
        <v>0.05039136293174203</v>
      </c>
      <c r="F4" s="51" t="n">
        <v>0.05539136293174202</v>
      </c>
      <c r="G4" s="51" t="n">
        <v>0.06039136293174203</v>
      </c>
      <c r="H4" s="51" t="n">
        <v>0.06539136293174203</v>
      </c>
    </row>
    <row r="5">
      <c r="A5" s="52" t="n">
        <v>9</v>
      </c>
      <c r="B5" s="8" t="n">
        <v>173.141260188154</v>
      </c>
      <c r="C5" s="8" t="n">
        <v>164.6918634124721</v>
      </c>
      <c r="D5" s="8" t="n">
        <v>156.6427082048095</v>
      </c>
      <c r="E5" s="8" t="n">
        <v>148.9723150255031</v>
      </c>
      <c r="F5" s="8" t="n">
        <v>141.6604685406628</v>
      </c>
      <c r="G5" s="8" t="n">
        <v>134.6881371962625</v>
      </c>
      <c r="H5" s="8" t="n">
        <v>128.0373982745138</v>
      </c>
    </row>
    <row r="6">
      <c r="A6" s="52" t="n">
        <v>10</v>
      </c>
      <c r="B6" s="8" t="n">
        <v>188.2599859597601</v>
      </c>
      <c r="C6" s="8" t="n">
        <v>179.0995146422238</v>
      </c>
      <c r="D6" s="8" t="n">
        <v>170.3759002102518</v>
      </c>
      <c r="E6" s="8" t="n">
        <v>162.0656159079925</v>
      </c>
      <c r="F6" s="8" t="n">
        <v>154.1465226097344</v>
      </c>
      <c r="G6" s="8" t="n">
        <v>146.5977804176067</v>
      </c>
      <c r="H6" s="8" t="n">
        <v>139.3997662913152</v>
      </c>
    </row>
    <row r="7">
      <c r="A7" s="52" t="n">
        <v>11</v>
      </c>
      <c r="B7" s="8" t="n">
        <v>203.3787117313662</v>
      </c>
      <c r="C7" s="8" t="n">
        <v>193.5071658719756</v>
      </c>
      <c r="D7" s="8" t="n">
        <v>184.1090922156941</v>
      </c>
      <c r="E7" s="8" t="n">
        <v>175.1589167904818</v>
      </c>
      <c r="F7" s="8" t="n">
        <v>166.632576678806</v>
      </c>
      <c r="G7" s="8" t="n">
        <v>158.5074236389509</v>
      </c>
      <c r="H7" s="8" t="n">
        <v>150.7621343081167</v>
      </c>
    </row>
    <row r="8">
      <c r="A8" s="52" t="n">
        <v>12</v>
      </c>
      <c r="B8" s="8" t="n">
        <v>218.4974375029723</v>
      </c>
      <c r="C8" s="8" t="n">
        <v>207.9148171017273</v>
      </c>
      <c r="D8" s="8" t="n">
        <v>197.8422842211365</v>
      </c>
      <c r="E8" s="53" t="n">
        <v>188.2522176729711</v>
      </c>
      <c r="F8" s="8" t="n">
        <v>179.1186307478775</v>
      </c>
      <c r="G8" s="8" t="n">
        <v>170.4170668602951</v>
      </c>
      <c r="H8" s="8" t="n">
        <v>162.1245023249182</v>
      </c>
    </row>
    <row r="9">
      <c r="A9" s="52" t="n">
        <v>13</v>
      </c>
      <c r="B9" s="8" t="n">
        <v>233.6161632745784</v>
      </c>
      <c r="C9" s="8" t="n">
        <v>222.3224683314791</v>
      </c>
      <c r="D9" s="8" t="n">
        <v>211.5754762265788</v>
      </c>
      <c r="E9" s="8" t="n">
        <v>201.3455185554604</v>
      </c>
      <c r="F9" s="8" t="n">
        <v>191.6046848169491</v>
      </c>
      <c r="G9" s="8" t="n">
        <v>182.3267100816392</v>
      </c>
      <c r="H9" s="8" t="n">
        <v>173.4868703417196</v>
      </c>
    </row>
    <row r="10">
      <c r="A10" s="52" t="n">
        <v>14</v>
      </c>
      <c r="B10" s="8" t="n">
        <v>248.7348890461846</v>
      </c>
      <c r="C10" s="8" t="n">
        <v>236.7301195612308</v>
      </c>
      <c r="D10" s="8" t="n">
        <v>225.3086682320211</v>
      </c>
      <c r="E10" s="8" t="n">
        <v>214.4388194379498</v>
      </c>
      <c r="F10" s="8" t="n">
        <v>204.0907388860207</v>
      </c>
      <c r="G10" s="8" t="n">
        <v>194.2363533029833</v>
      </c>
      <c r="H10" s="8" t="n">
        <v>184.8492383585211</v>
      </c>
    </row>
    <row r="11">
      <c r="A11" s="52" t="n">
        <v>15</v>
      </c>
      <c r="B11" s="8" t="n">
        <v>263.8536148177907</v>
      </c>
      <c r="C11" s="8" t="n">
        <v>251.1377707909825</v>
      </c>
      <c r="D11" s="8" t="n">
        <v>239.0418602374634</v>
      </c>
      <c r="E11" s="8" t="n">
        <v>227.5321203204391</v>
      </c>
      <c r="F11" s="8" t="n">
        <v>216.5767929550923</v>
      </c>
      <c r="G11" s="8" t="n">
        <v>206.1459965243275</v>
      </c>
      <c r="H11" s="8" t="n">
        <v>196.2116063753226</v>
      </c>
    </row>
    <row r="13">
      <c r="A13" s="3" t="inlineStr">
        <is>
          <t>Current price</t>
        </is>
      </c>
      <c r="B13" s="54" t="n">
        <v>81.95999908447266</v>
      </c>
    </row>
    <row r="14">
      <c r="A14" s="3" t="inlineStr">
        <is>
          <t>Base WACC / multiple</t>
        </is>
      </c>
      <c r="B14" s="55" t="n">
        <v>0.05039136293174203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0.2013088826777558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0.2517734920238399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0.015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1.144417702441459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Financials!AC26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Financials!AC31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2026-07-06T20:36:02Z</dcterms:created>
  <dcterms:modified xmlns:dcterms="http://purl.org/dc/terms/" xmlns:xsi="http://www.w3.org/2001/XMLSchema-instance" xsi:type="dcterms:W3CDTF">2026-07-06T20:36:02Z</dcterms:modified>
</cp:coreProperties>
</file>