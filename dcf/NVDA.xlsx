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24.7%</t>
      </text>
    </comment>
    <comment ref="C20" authorId="0" shapeId="0">
      <text>
        <t>Opus: 5.0%</t>
      </text>
    </comment>
    <comment ref="B21" authorId="0" shapeId="0">
      <text>
        <t>Opus: 24.7%</t>
      </text>
    </comment>
    <comment ref="C21" authorId="0" shapeId="0">
      <text>
        <t>Opus: 5.0%</t>
      </text>
    </comment>
    <comment ref="B22" authorId="0" shapeId="0">
      <text>
        <t>Opus: 24.7%</t>
      </text>
    </comment>
    <comment ref="C22" authorId="0" shapeId="0">
      <text>
        <t>Opus: 5.0%</t>
      </text>
    </comment>
    <comment ref="B23" authorId="0" shapeId="0">
      <text>
        <t>Opus: 24.7%</t>
      </text>
    </comment>
    <comment ref="C23" authorId="0" shapeId="0">
      <text>
        <t>Opus: 5.0%</t>
      </text>
    </comment>
    <comment ref="B24" authorId="0" shapeId="0">
      <text>
        <t>Opus: 24.7%</t>
      </text>
    </comment>
    <comment ref="C24" authorId="0" shapeId="0">
      <text>
        <t>Opus: 5.0%</t>
      </text>
    </comment>
    <comment ref="B29" authorId="0" shapeId="0">
      <text>
        <t>Opus: 72.1%</t>
      </text>
    </comment>
    <comment ref="B30" authorId="0" shapeId="0">
      <text>
        <t>Opus: 74.5%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workbook (synced) — no Opus pass — value synced from this workbook</t>
      </text>
    </comment>
    <comment ref="B39" authorId="0" shapeId="0">
      <text>
        <t>workbook (synced) — no Opus pass — value synced from this workbook</t>
      </text>
    </comment>
    <comment ref="B40" authorId="0" shapeId="0">
      <text>
        <t>Opus: 2.244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NVIDIA Corporation (NVDA)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Q4 2026</t>
        </is>
      </c>
    </row>
    <row r="6">
      <c r="A6" s="3" t="inlineStr">
        <is>
          <t>Assumptions by</t>
        </is>
      </c>
      <c r="B6" s="4" t="inlineStr">
        <is>
          <t>Opus 4.8 — values as of 2026-06-17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NVIDIA Corporation (NVDA)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IF(Model!F42&lt;=0,"n/a (neg. capital)",Model!G44-WACC!B15)</f>
        <v/>
      </c>
      <c r="C15" s="10">
        <f>IF(Model!F42&lt;=0,"n/a",IF(Model!G44-WACC!B15&lt;0,"!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Data Center</t>
        </is>
      </c>
      <c r="B20" s="15" t="n">
        <v>0.2473932123620284</v>
      </c>
      <c r="C20" s="15" t="n">
        <v>0.05</v>
      </c>
      <c r="D20" s="16" t="n">
        <v>0.2473932123620284</v>
      </c>
      <c r="E20" s="2" t="inlineStr"/>
    </row>
    <row r="21">
      <c r="A21" s="4" t="inlineStr">
        <is>
          <t>Gaming</t>
        </is>
      </c>
      <c r="B21" s="15" t="n">
        <v>0.2473932123620284</v>
      </c>
      <c r="C21" s="15" t="n">
        <v>0.05</v>
      </c>
      <c r="D21" s="16" t="n">
        <v>0.2473932123620284</v>
      </c>
      <c r="E21" s="2" t="inlineStr"/>
    </row>
    <row r="22">
      <c r="A22" s="4" t="inlineStr">
        <is>
          <t>Professional Visualization</t>
        </is>
      </c>
      <c r="B22" s="15" t="n">
        <v>0.2473932123620284</v>
      </c>
      <c r="C22" s="15" t="n">
        <v>0.05</v>
      </c>
      <c r="D22" s="16" t="n">
        <v>0.2473932123620284</v>
      </c>
      <c r="E22" s="2" t="inlineStr"/>
    </row>
    <row r="23">
      <c r="A23" s="4" t="inlineStr">
        <is>
          <t>Automotive</t>
        </is>
      </c>
      <c r="B23" s="15" t="n">
        <v>0.2473932123620284</v>
      </c>
      <c r="C23" s="15" t="n">
        <v>0.05</v>
      </c>
      <c r="D23" s="16" t="n">
        <v>0.2473932123620284</v>
      </c>
      <c r="E23" s="2" t="inlineStr"/>
    </row>
    <row r="24">
      <c r="A24" s="4" t="inlineStr">
        <is>
          <t>OEM And Other</t>
        </is>
      </c>
      <c r="B24" s="15" t="n">
        <v>0.2473932123620284</v>
      </c>
      <c r="C24" s="15" t="n">
        <v>0.05</v>
      </c>
      <c r="D24" s="16" t="n">
        <v>0.2473932123620284</v>
      </c>
      <c r="E24" s="2" t="inlineStr"/>
    </row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0.7210983450324354</v>
      </c>
      <c r="D29" s="16" t="n">
        <v>0.7210983450324354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0.7452881878864196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6646.200000000001</v>
      </c>
      <c r="D34" s="18" t="n">
        <v>6646.200000000001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2.244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0.001651226853273735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204.6499938964844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137.9843583701822</v>
      </c>
      <c r="C58" s="28" t="n">
        <v>179.4280451044197</v>
      </c>
      <c r="D58" s="28" t="n">
        <v>105.6457955850039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0.25</v>
      </c>
      <c r="D62" s="30" t="n">
        <v>0.3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0.02957330344821199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0.01774398206892719</v>
      </c>
      <c r="E66" s="2" t="inlineStr">
        <is>
          <t>fades near-&gt;terminal; also burdens the exit-multiple EBITDA</t>
        </is>
      </c>
    </row>
  </sheetData>
  <conditionalFormatting sqref="B20:B24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NVDA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2026-06-17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Data Center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24.7%</t>
        </is>
      </c>
      <c r="F8" s="31" t="inlineStr"/>
    </row>
    <row r="9">
      <c r="A9" t="inlineStr">
        <is>
          <t>Data Center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Gaming — near-term growth</t>
        </is>
      </c>
      <c r="B10" t="inlineStr">
        <is>
          <t>B21</t>
        </is>
      </c>
      <c r="C10" s="11">
        <f>Dashboard!B21</f>
        <v/>
      </c>
      <c r="D10" t="inlineStr">
        <is>
          <t>Opus</t>
        </is>
      </c>
      <c r="E10" t="inlineStr">
        <is>
          <t>24.7%</t>
        </is>
      </c>
      <c r="F10" s="31" t="inlineStr"/>
    </row>
    <row r="11">
      <c r="A11" t="inlineStr">
        <is>
          <t>Gaming — terminal growth</t>
        </is>
      </c>
      <c r="B11" t="inlineStr">
        <is>
          <t>C21</t>
        </is>
      </c>
      <c r="C11" s="11">
        <f>Dashboard!C21</f>
        <v/>
      </c>
      <c r="D11" t="inlineStr">
        <is>
          <t>Opus</t>
        </is>
      </c>
      <c r="E11" t="inlineStr">
        <is>
          <t>5.0%</t>
        </is>
      </c>
      <c r="F11" s="31" t="inlineStr"/>
    </row>
    <row r="12">
      <c r="A12" t="inlineStr">
        <is>
          <t>Professional Visualization — near-term growth</t>
        </is>
      </c>
      <c r="B12" t="inlineStr">
        <is>
          <t>B22</t>
        </is>
      </c>
      <c r="C12" s="11">
        <f>Dashboard!B22</f>
        <v/>
      </c>
      <c r="D12" t="inlineStr">
        <is>
          <t>Opus</t>
        </is>
      </c>
      <c r="E12" t="inlineStr">
        <is>
          <t>24.7%</t>
        </is>
      </c>
      <c r="F12" s="31" t="inlineStr"/>
    </row>
    <row r="13">
      <c r="A13" t="inlineStr">
        <is>
          <t>Professional Visualization — terminal growth</t>
        </is>
      </c>
      <c r="B13" t="inlineStr">
        <is>
          <t>C22</t>
        </is>
      </c>
      <c r="C13" s="11">
        <f>Dashboard!C22</f>
        <v/>
      </c>
      <c r="D13" t="inlineStr">
        <is>
          <t>Opus</t>
        </is>
      </c>
      <c r="E13" t="inlineStr">
        <is>
          <t>5.0%</t>
        </is>
      </c>
      <c r="F13" s="31" t="inlineStr"/>
    </row>
    <row r="14">
      <c r="A14" t="inlineStr">
        <is>
          <t>Automotive — near-term growth</t>
        </is>
      </c>
      <c r="B14" t="inlineStr">
        <is>
          <t>B23</t>
        </is>
      </c>
      <c r="C14" s="11">
        <f>Dashboard!B23</f>
        <v/>
      </c>
      <c r="D14" t="inlineStr">
        <is>
          <t>Opus</t>
        </is>
      </c>
      <c r="E14" t="inlineStr">
        <is>
          <t>24.7%</t>
        </is>
      </c>
      <c r="F14" s="31" t="inlineStr"/>
    </row>
    <row r="15">
      <c r="A15" t="inlineStr">
        <is>
          <t>Automotive — terminal growth</t>
        </is>
      </c>
      <c r="B15" t="inlineStr">
        <is>
          <t>C23</t>
        </is>
      </c>
      <c r="C15" s="11">
        <f>Dashboard!C23</f>
        <v/>
      </c>
      <c r="D15" t="inlineStr">
        <is>
          <t>Opus</t>
        </is>
      </c>
      <c r="E15" t="inlineStr">
        <is>
          <t>5.0%</t>
        </is>
      </c>
      <c r="F15" s="31" t="inlineStr"/>
    </row>
    <row r="16">
      <c r="A16" t="inlineStr">
        <is>
          <t>OEM And Other — near-term growth</t>
        </is>
      </c>
      <c r="B16" t="inlineStr">
        <is>
          <t>B24</t>
        </is>
      </c>
      <c r="C16" s="11">
        <f>Dashboard!B24</f>
        <v/>
      </c>
      <c r="D16" t="inlineStr">
        <is>
          <t>Opus</t>
        </is>
      </c>
      <c r="E16" t="inlineStr">
        <is>
          <t>24.7%</t>
        </is>
      </c>
      <c r="F16" s="31" t="inlineStr"/>
    </row>
    <row r="17">
      <c r="A17" t="inlineStr">
        <is>
          <t>OEM And Other — terminal growth</t>
        </is>
      </c>
      <c r="B17" t="inlineStr">
        <is>
          <t>C24</t>
        </is>
      </c>
      <c r="C17" s="11">
        <f>Dashboard!C24</f>
        <v/>
      </c>
      <c r="D17" t="inlineStr">
        <is>
          <t>Opus</t>
        </is>
      </c>
      <c r="E17" t="inlineStr">
        <is>
          <t>5.0%</t>
        </is>
      </c>
      <c r="F17" s="31" t="inlineStr"/>
    </row>
    <row r="18">
      <c r="A18" t="inlineStr">
        <is>
          <t>Near-term operating margin</t>
        </is>
      </c>
      <c r="B18" t="inlineStr">
        <is>
          <t>B29</t>
        </is>
      </c>
      <c r="C18" s="11">
        <f>Dashboard!B29</f>
        <v/>
      </c>
      <c r="D18" t="inlineStr">
        <is>
          <t>Opus</t>
        </is>
      </c>
      <c r="E18" t="inlineStr">
        <is>
          <t>72.1%</t>
        </is>
      </c>
      <c r="F18" s="31" t="inlineStr"/>
    </row>
    <row r="19">
      <c r="A19" t="inlineStr">
        <is>
          <t>Terminal operating margin</t>
        </is>
      </c>
      <c r="B19" t="inlineStr">
        <is>
          <t>B30</t>
        </is>
      </c>
      <c r="C19" s="11">
        <f>Dashboard!B30</f>
        <v/>
      </c>
      <c r="D19" t="inlineStr">
        <is>
          <t>Opus</t>
        </is>
      </c>
      <c r="E19" t="inlineStr">
        <is>
          <t>74.5%</t>
        </is>
      </c>
      <c r="F19" s="31" t="inlineStr"/>
    </row>
    <row r="20">
      <c r="A20" t="inlineStr">
        <is>
          <t>Tax rate</t>
        </is>
      </c>
      <c r="B20" t="inlineStr">
        <is>
          <t>B31</t>
        </is>
      </c>
      <c r="C20" s="11">
        <f>Dashboard!B31</f>
        <v/>
      </c>
      <c r="D20" t="inlineStr">
        <is>
          <t>Opus</t>
        </is>
      </c>
      <c r="E20" t="inlineStr">
        <is>
          <t>24.0%</t>
        </is>
      </c>
      <c r="F20" s="31" t="inlineStr"/>
    </row>
    <row r="21">
      <c r="A21" t="inlineStr">
        <is>
          <t>Terminal capex / D&amp;A</t>
        </is>
      </c>
      <c r="B21" t="inlineStr">
        <is>
          <t>B35</t>
        </is>
      </c>
      <c r="C21" s="13">
        <f>Dashboard!B35</f>
        <v/>
      </c>
      <c r="D21" t="inlineStr">
        <is>
          <t>Opus</t>
        </is>
      </c>
      <c r="E21" t="inlineStr">
        <is>
          <t>1.1x</t>
        </is>
      </c>
      <c r="F21" s="31" t="inlineStr"/>
    </row>
    <row r="22">
      <c r="A22" t="inlineStr">
        <is>
          <t>Risk-free rate (10Y)</t>
        </is>
      </c>
      <c r="B22" t="inlineStr">
        <is>
          <t>B38</t>
        </is>
      </c>
      <c r="C22" s="11">
        <f>Dashboard!B38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no Opus pass — value synced from this workbook</t>
        </is>
      </c>
    </row>
    <row r="23">
      <c r="A23" t="inlineStr">
        <is>
          <t>Equity risk premium</t>
        </is>
      </c>
      <c r="B23" t="inlineStr">
        <is>
          <t>B39</t>
        </is>
      </c>
      <c r="C23" s="11">
        <f>Dashboard!B39</f>
        <v/>
      </c>
      <c r="D23" t="inlineStr">
        <is>
          <t>workbook (synced)</t>
        </is>
      </c>
      <c r="E23" t="inlineStr">
        <is>
          <t>—</t>
        </is>
      </c>
      <c r="F23" s="31" t="inlineStr">
        <is>
          <t>no Opus pass — value synced from this workbook</t>
        </is>
      </c>
    </row>
    <row r="24">
      <c r="A24" t="inlineStr">
        <is>
          <t>Beta (levered)</t>
        </is>
      </c>
      <c r="B24" t="inlineStr">
        <is>
          <t>B40</t>
        </is>
      </c>
      <c r="C24" s="32">
        <f>Dashboard!B40</f>
        <v/>
      </c>
      <c r="D24" t="inlineStr">
        <is>
          <t>Opus</t>
        </is>
      </c>
      <c r="E24" t="inlineStr">
        <is>
          <t>2.244</t>
        </is>
      </c>
      <c r="F24" s="31" t="inlineStr"/>
    </row>
    <row r="25">
      <c r="A25" t="inlineStr">
        <is>
          <t>Pre-tax cost of debt</t>
        </is>
      </c>
      <c r="B25" t="inlineStr">
        <is>
          <t>B41</t>
        </is>
      </c>
      <c r="C25" s="11">
        <f>Dashboard!B41</f>
        <v/>
      </c>
      <c r="D25" t="inlineStr">
        <is>
          <t>Opus</t>
        </is>
      </c>
      <c r="E25" t="inlineStr">
        <is>
          <t>4.5%</t>
        </is>
      </c>
      <c r="F25" s="31" t="inlineStr"/>
    </row>
    <row r="26">
      <c r="A26" t="inlineStr">
        <is>
          <t>Terminal method</t>
        </is>
      </c>
      <c r="B26" t="inlineStr">
        <is>
          <t>B43</t>
        </is>
      </c>
      <c r="C26" s="12">
        <f>Dashboard!B43</f>
        <v/>
      </c>
      <c r="D26" t="inlineStr">
        <is>
          <t>Opus</t>
        </is>
      </c>
      <c r="E26" t="inlineStr">
        <is>
          <t>Exit multiple</t>
        </is>
      </c>
      <c r="F26" s="31" t="inlineStr"/>
    </row>
    <row r="27">
      <c r="A27" t="inlineStr">
        <is>
          <t>Exit basis</t>
        </is>
      </c>
      <c r="B27" t="inlineStr">
        <is>
          <t>B44</t>
        </is>
      </c>
      <c r="C27" s="12">
        <f>Dashboard!B44</f>
        <v/>
      </c>
      <c r="D27" t="inlineStr">
        <is>
          <t>Opus</t>
        </is>
      </c>
      <c r="E27" t="inlineStr">
        <is>
          <t>EV/EBITDA</t>
        </is>
      </c>
      <c r="F27" s="31" t="inlineStr"/>
    </row>
    <row r="28">
      <c r="A28" t="inlineStr">
        <is>
          <t>Exit multiple</t>
        </is>
      </c>
      <c r="B28" t="inlineStr">
        <is>
          <t>B45</t>
        </is>
      </c>
      <c r="C28" s="13">
        <f>Dashboard!B45</f>
        <v/>
      </c>
      <c r="D28" t="inlineStr">
        <is>
          <t>Opus</t>
        </is>
      </c>
      <c r="E28" t="inlineStr">
        <is>
          <t>12.0x</t>
        </is>
      </c>
      <c r="F28" s="31" t="inlineStr"/>
    </row>
    <row r="29">
      <c r="A29" t="inlineStr">
        <is>
          <t>Terminal growth (g)</t>
        </is>
      </c>
      <c r="B29" t="inlineStr">
        <is>
          <t>B46</t>
        </is>
      </c>
      <c r="C29" s="11">
        <f>Dashboard!B46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2026 capex ($M)</t>
        </is>
      </c>
      <c r="B30" t="inlineStr">
        <is>
          <t>B34</t>
        </is>
      </c>
      <c r="C30" s="33">
        <f>Dashboard!B34</f>
        <v/>
      </c>
      <c r="D30" t="inlineStr">
        <is>
          <t>workbook (synced)</t>
        </is>
      </c>
      <c r="E30" t="inlineStr">
        <is>
          <t>—</t>
        </is>
      </c>
      <c r="F30" s="31" t="inlineStr">
        <is>
          <t>last-year capex +10% unless set to guidance; edits not tracked</t>
        </is>
      </c>
    </row>
    <row r="31">
      <c r="A31" t="inlineStr">
        <is>
          <t>Bull Δ — segment growth, near-term</t>
        </is>
      </c>
      <c r="B31" t="inlineStr">
        <is>
          <t>C52</t>
        </is>
      </c>
      <c r="C31" s="34">
        <f>Dashboard!C52</f>
        <v/>
      </c>
      <c r="D31" t="inlineStr">
        <is>
          <t>seed default</t>
        </is>
      </c>
      <c r="E31" t="inlineStr">
        <is>
          <t>3.0%</t>
        </is>
      </c>
      <c r="F31" s="31" t="inlineStr"/>
    </row>
    <row r="32">
      <c r="A32" t="inlineStr">
        <is>
          <t>Bear Δ — segment growth, near-term</t>
        </is>
      </c>
      <c r="B32" t="inlineStr">
        <is>
          <t>D52</t>
        </is>
      </c>
      <c r="C32" s="34">
        <f>Dashboard!D52</f>
        <v/>
      </c>
      <c r="D32" t="inlineStr">
        <is>
          <t>seed default</t>
        </is>
      </c>
      <c r="E32" t="inlineStr">
        <is>
          <t>-3.0%</t>
        </is>
      </c>
      <c r="F32" s="31" t="inlineStr"/>
    </row>
    <row r="33">
      <c r="A33" t="inlineStr">
        <is>
          <t>Bull Δ — segment growth, terminal</t>
        </is>
      </c>
      <c r="B33" t="inlineStr">
        <is>
          <t>C53</t>
        </is>
      </c>
      <c r="C33" s="34">
        <f>Dashboard!C53</f>
        <v/>
      </c>
      <c r="D33" t="inlineStr">
        <is>
          <t>seed default</t>
        </is>
      </c>
      <c r="E33" t="inlineStr">
        <is>
          <t>1.0%</t>
        </is>
      </c>
      <c r="F33" s="31" t="inlineStr"/>
    </row>
    <row r="34">
      <c r="A34" t="inlineStr">
        <is>
          <t>Bear Δ — segment growth, terminal</t>
        </is>
      </c>
      <c r="B34" t="inlineStr">
        <is>
          <t>D53</t>
        </is>
      </c>
      <c r="C34" s="34">
        <f>Dashboard!D53</f>
        <v/>
      </c>
      <c r="D34" t="inlineStr">
        <is>
          <t>seed default</t>
        </is>
      </c>
      <c r="E34" t="inlineStr">
        <is>
          <t>-1.0%</t>
        </is>
      </c>
      <c r="F34" s="31" t="inlineStr"/>
    </row>
    <row r="35">
      <c r="A35" t="inlineStr">
        <is>
          <t>Bull Δ — operating margin, near-term</t>
        </is>
      </c>
      <c r="B35" t="inlineStr">
        <is>
          <t>C54</t>
        </is>
      </c>
      <c r="C35" s="34">
        <f>Dashboard!C54</f>
        <v/>
      </c>
      <c r="D35" t="inlineStr">
        <is>
          <t>seed default</t>
        </is>
      </c>
      <c r="E35" t="inlineStr">
        <is>
          <t>1.0%</t>
        </is>
      </c>
      <c r="F35" s="31" t="inlineStr"/>
    </row>
    <row r="36">
      <c r="A36" t="inlineStr">
        <is>
          <t>Bear Δ — operating margin, near-term</t>
        </is>
      </c>
      <c r="B36" t="inlineStr">
        <is>
          <t>D54</t>
        </is>
      </c>
      <c r="C36" s="34">
        <f>Dashboard!D54</f>
        <v/>
      </c>
      <c r="D36" t="inlineStr">
        <is>
          <t>seed default</t>
        </is>
      </c>
      <c r="E36" t="inlineStr">
        <is>
          <t>-1.0%</t>
        </is>
      </c>
      <c r="F36" s="31" t="inlineStr"/>
    </row>
    <row r="37">
      <c r="A37" t="inlineStr">
        <is>
          <t>Bull Δ — operating margin, terminal</t>
        </is>
      </c>
      <c r="B37" t="inlineStr">
        <is>
          <t>C55</t>
        </is>
      </c>
      <c r="C37" s="34">
        <f>Dashboard!C55</f>
        <v/>
      </c>
      <c r="D37" t="inlineStr">
        <is>
          <t>seed default</t>
        </is>
      </c>
      <c r="E37" t="inlineStr">
        <is>
          <t>2.0%</t>
        </is>
      </c>
      <c r="F37" s="31" t="inlineStr"/>
    </row>
    <row r="38">
      <c r="A38" t="inlineStr">
        <is>
          <t>Bear Δ — operating margin, terminal</t>
        </is>
      </c>
      <c r="B38" t="inlineStr">
        <is>
          <t>D55</t>
        </is>
      </c>
      <c r="C38" s="34">
        <f>Dashboard!D55</f>
        <v/>
      </c>
      <c r="D38" t="inlineStr">
        <is>
          <t>seed default</t>
        </is>
      </c>
      <c r="E38" t="inlineStr">
        <is>
          <t>-2.0%</t>
        </is>
      </c>
      <c r="F38" s="31" t="inlineStr"/>
    </row>
    <row r="39">
      <c r="A39" t="inlineStr">
        <is>
          <t>Bull Δ — exit multiple</t>
        </is>
      </c>
      <c r="B39" t="inlineStr">
        <is>
          <t>C56</t>
        </is>
      </c>
      <c r="C39" s="35">
        <f>Dashboard!C56</f>
        <v/>
      </c>
      <c r="D39" t="inlineStr">
        <is>
          <t>seed default</t>
        </is>
      </c>
      <c r="E39" t="inlineStr">
        <is>
          <t>2.0x</t>
        </is>
      </c>
      <c r="F39" s="31" t="inlineStr"/>
    </row>
    <row r="40">
      <c r="A40" t="inlineStr">
        <is>
          <t>Bear Δ — exit multiple</t>
        </is>
      </c>
      <c r="B40" t="inlineStr">
        <is>
          <t>D56</t>
        </is>
      </c>
      <c r="C40" s="35">
        <f>Dashboard!D56</f>
        <v/>
      </c>
      <c r="D40" t="inlineStr">
        <is>
          <t>seed default</t>
        </is>
      </c>
      <c r="E40" t="inlineStr">
        <is>
          <t>-2.0x</t>
        </is>
      </c>
      <c r="F40" s="31" t="inlineStr"/>
    </row>
    <row r="41">
      <c r="A41" t="inlineStr">
        <is>
          <t>Bull Δ — terminal growth (g)</t>
        </is>
      </c>
      <c r="B41" t="inlineStr">
        <is>
          <t>C57</t>
        </is>
      </c>
      <c r="C41" s="34">
        <f>Dashboard!C57</f>
        <v/>
      </c>
      <c r="D41" t="inlineStr">
        <is>
          <t>seed default</t>
        </is>
      </c>
      <c r="E41" t="inlineStr">
        <is>
          <t>0.5%</t>
        </is>
      </c>
      <c r="F41" s="31" t="inlineStr"/>
    </row>
    <row r="42">
      <c r="A42" t="inlineStr">
        <is>
          <t>Bear Δ — terminal growth (g)</t>
        </is>
      </c>
      <c r="B42" t="inlineStr">
        <is>
          <t>D57</t>
        </is>
      </c>
      <c r="C42" s="34">
        <f>Dashboard!D57</f>
        <v/>
      </c>
      <c r="D42" t="inlineStr">
        <is>
          <t>seed default</t>
        </is>
      </c>
      <c r="E42" t="inlineStr">
        <is>
          <t>-0.5%</t>
        </is>
      </c>
      <c r="F42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Financials!AC53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39" t="inlineStr">
        <is>
          <t>FY2026A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  <c r="P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Data Center</t>
        </is>
      </c>
      <c r="B4" s="33">
        <f>SUM(Financials!J19:M19)</f>
        <v/>
      </c>
      <c r="C4" s="33">
        <f>SUM(Financials!N19:Q19)</f>
        <v/>
      </c>
      <c r="D4" s="33">
        <f>SUM(Financials!R19:U19)</f>
        <v/>
      </c>
      <c r="E4" s="33">
        <f>SUM(Financials!V19:Y19)</f>
        <v/>
      </c>
      <c r="F4" s="33">
        <f>SUM(Financials!Z19:AC19)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Gaming</t>
        </is>
      </c>
      <c r="B6" s="33">
        <f>SUM(Financials!J22:M22)</f>
        <v/>
      </c>
      <c r="C6" s="33">
        <f>SUM(Financials!N22:Q22)</f>
        <v/>
      </c>
      <c r="D6" s="33">
        <f>SUM(Financials!R22:U22)</f>
        <v/>
      </c>
      <c r="E6" s="33">
        <f>SUM(Financials!V22:Y22)</f>
        <v/>
      </c>
      <c r="F6" s="33">
        <f>SUM(Financials!Z22:AC22)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4" t="inlineStr">
        <is>
          <t>Professional Visualization</t>
        </is>
      </c>
      <c r="B8" s="33">
        <f>SUM(Financials!J25:M25)</f>
        <v/>
      </c>
      <c r="C8" s="33">
        <f>SUM(Financials!N25:Q25)</f>
        <v/>
      </c>
      <c r="D8" s="33">
        <f>SUM(Financials!R25:U25)</f>
        <v/>
      </c>
      <c r="E8" s="33">
        <f>SUM(Financials!V25:Y25)</f>
        <v/>
      </c>
      <c r="F8" s="33">
        <f>SUM(Financials!Z25:AC25)</f>
        <v/>
      </c>
      <c r="G8" s="41">
        <f>F8*(1+G9)</f>
        <v/>
      </c>
      <c r="H8" s="41">
        <f>G8*(1+H9)</f>
        <v/>
      </c>
      <c r="I8" s="41">
        <f>H8*(1+I9)</f>
        <v/>
      </c>
      <c r="J8" s="41">
        <f>I8*(1+J9)</f>
        <v/>
      </c>
      <c r="K8" s="41">
        <f>J8*(1+K9)</f>
        <v/>
      </c>
      <c r="L8" s="41">
        <f>K8*(1+L9)</f>
        <v/>
      </c>
      <c r="M8" s="41">
        <f>L8*(1+M9)</f>
        <v/>
      </c>
      <c r="N8" s="41">
        <f>M8*(1+N9)</f>
        <v/>
      </c>
      <c r="O8" s="41">
        <f>N8*(1+O9)</f>
        <v/>
      </c>
      <c r="P8" s="41">
        <f>O8*(1+P9)</f>
        <v/>
      </c>
    </row>
    <row r="9">
      <c r="A9" s="4" t="inlineStr">
        <is>
          <t xml:space="preserve">    growth % (convex fade; curvature from Dashboard)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11">
        <f>Dashboard!$C$22+(Dashboard!$B$22-Dashboard!$C$22)*((9-0)/9)^Dashboard!$B$49</f>
        <v/>
      </c>
      <c r="H9" s="11">
        <f>Dashboard!$C$22+(Dashboard!$B$22-Dashboard!$C$22)*((9-1)/9)^Dashboard!$B$49</f>
        <v/>
      </c>
      <c r="I9" s="11">
        <f>Dashboard!$C$22+(Dashboard!$B$22-Dashboard!$C$22)*((9-2)/9)^Dashboard!$B$49</f>
        <v/>
      </c>
      <c r="J9" s="11">
        <f>Dashboard!$C$22+(Dashboard!$B$22-Dashboard!$C$22)*((9-3)/9)^Dashboard!$B$49</f>
        <v/>
      </c>
      <c r="K9" s="11">
        <f>Dashboard!$C$22+(Dashboard!$B$22-Dashboard!$C$22)*((9-4)/9)^Dashboard!$B$49</f>
        <v/>
      </c>
      <c r="L9" s="11">
        <f>Dashboard!$C$22+(Dashboard!$B$22-Dashboard!$C$22)*((9-5)/9)^Dashboard!$B$49</f>
        <v/>
      </c>
      <c r="M9" s="11">
        <f>Dashboard!$C$22+(Dashboard!$B$22-Dashboard!$C$22)*((9-6)/9)^Dashboard!$B$49</f>
        <v/>
      </c>
      <c r="N9" s="11">
        <f>Dashboard!$C$22+(Dashboard!$B$22-Dashboard!$C$22)*((9-7)/9)^Dashboard!$B$49</f>
        <v/>
      </c>
      <c r="O9" s="11">
        <f>Dashboard!$C$22+(Dashboard!$B$22-Dashboard!$C$22)*((9-8)/9)^Dashboard!$B$49</f>
        <v/>
      </c>
      <c r="P9" s="11">
        <f>Dashboard!$C$22+(Dashboard!$B$22-Dashboard!$C$22)*((9-9)/9)^Dashboard!$B$49</f>
        <v/>
      </c>
    </row>
    <row r="10">
      <c r="A10" s="4" t="inlineStr">
        <is>
          <t>Automotive</t>
        </is>
      </c>
      <c r="B10" s="33">
        <f>SUM(Financials!J28:M28)</f>
        <v/>
      </c>
      <c r="C10" s="33">
        <f>SUM(Financials!N28:Q28)</f>
        <v/>
      </c>
      <c r="D10" s="33">
        <f>SUM(Financials!R28:U28)</f>
        <v/>
      </c>
      <c r="E10" s="33">
        <f>SUM(Financials!V28:Y28)</f>
        <v/>
      </c>
      <c r="F10" s="33">
        <f>SUM(Financials!Z28:AC28)</f>
        <v/>
      </c>
      <c r="G10" s="41">
        <f>F10*(1+G11)</f>
        <v/>
      </c>
      <c r="H10" s="41">
        <f>G10*(1+H11)</f>
        <v/>
      </c>
      <c r="I10" s="41">
        <f>H10*(1+I11)</f>
        <v/>
      </c>
      <c r="J10" s="41">
        <f>I10*(1+J11)</f>
        <v/>
      </c>
      <c r="K10" s="41">
        <f>J10*(1+K11)</f>
        <v/>
      </c>
      <c r="L10" s="41">
        <f>K10*(1+L11)</f>
        <v/>
      </c>
      <c r="M10" s="41">
        <f>L10*(1+M11)</f>
        <v/>
      </c>
      <c r="N10" s="41">
        <f>M10*(1+N11)</f>
        <v/>
      </c>
      <c r="O10" s="41">
        <f>N10*(1+O11)</f>
        <v/>
      </c>
      <c r="P10" s="41">
        <f>O10*(1+P11)</f>
        <v/>
      </c>
    </row>
    <row r="11">
      <c r="A11" s="4" t="inlineStr">
        <is>
          <t xml:space="preserve">    growth % (convex fade; curvature from Dashboard)</t>
        </is>
      </c>
      <c r="C11" s="25">
        <f>IFERROR(C10/B10-1,"")</f>
        <v/>
      </c>
      <c r="D11" s="25">
        <f>IFERROR(D10/C10-1,"")</f>
        <v/>
      </c>
      <c r="E11" s="25">
        <f>IFERROR(E10/D10-1,"")</f>
        <v/>
      </c>
      <c r="F11" s="25">
        <f>IFERROR(F10/E10-1,"")</f>
        <v/>
      </c>
      <c r="G11" s="11">
        <f>Dashboard!$C$23+(Dashboard!$B$23-Dashboard!$C$23)*((9-0)/9)^Dashboard!$B$49</f>
        <v/>
      </c>
      <c r="H11" s="11">
        <f>Dashboard!$C$23+(Dashboard!$B$23-Dashboard!$C$23)*((9-1)/9)^Dashboard!$B$49</f>
        <v/>
      </c>
      <c r="I11" s="11">
        <f>Dashboard!$C$23+(Dashboard!$B$23-Dashboard!$C$23)*((9-2)/9)^Dashboard!$B$49</f>
        <v/>
      </c>
      <c r="J11" s="11">
        <f>Dashboard!$C$23+(Dashboard!$B$23-Dashboard!$C$23)*((9-3)/9)^Dashboard!$B$49</f>
        <v/>
      </c>
      <c r="K11" s="11">
        <f>Dashboard!$C$23+(Dashboard!$B$23-Dashboard!$C$23)*((9-4)/9)^Dashboard!$B$49</f>
        <v/>
      </c>
      <c r="L11" s="11">
        <f>Dashboard!$C$23+(Dashboard!$B$23-Dashboard!$C$23)*((9-5)/9)^Dashboard!$B$49</f>
        <v/>
      </c>
      <c r="M11" s="11">
        <f>Dashboard!$C$23+(Dashboard!$B$23-Dashboard!$C$23)*((9-6)/9)^Dashboard!$B$49</f>
        <v/>
      </c>
      <c r="N11" s="11">
        <f>Dashboard!$C$23+(Dashboard!$B$23-Dashboard!$C$23)*((9-7)/9)^Dashboard!$B$49</f>
        <v/>
      </c>
      <c r="O11" s="11">
        <f>Dashboard!$C$23+(Dashboard!$B$23-Dashboard!$C$23)*((9-8)/9)^Dashboard!$B$49</f>
        <v/>
      </c>
      <c r="P11" s="11">
        <f>Dashboard!$C$23+(Dashboard!$B$23-Dashboard!$C$23)*((9-9)/9)^Dashboard!$B$49</f>
        <v/>
      </c>
    </row>
    <row r="12">
      <c r="A12" s="4" t="inlineStr">
        <is>
          <t>OEM And Other</t>
        </is>
      </c>
      <c r="B12" s="33">
        <f>SUM(Financials!J31:M31)</f>
        <v/>
      </c>
      <c r="C12" s="33">
        <f>SUM(Financials!N31:Q31)</f>
        <v/>
      </c>
      <c r="D12" s="33">
        <f>SUM(Financials!R31:U31)</f>
        <v/>
      </c>
      <c r="E12" s="33">
        <f>SUM(Financials!V31:Y31)</f>
        <v/>
      </c>
      <c r="F12" s="33">
        <f>SUM(Financials!Z31:AC31)</f>
        <v/>
      </c>
      <c r="G12" s="41">
        <f>F12*(1+G13)</f>
        <v/>
      </c>
      <c r="H12" s="41">
        <f>G12*(1+H13)</f>
        <v/>
      </c>
      <c r="I12" s="41">
        <f>H12*(1+I13)</f>
        <v/>
      </c>
      <c r="J12" s="41">
        <f>I12*(1+J13)</f>
        <v/>
      </c>
      <c r="K12" s="41">
        <f>J12*(1+K13)</f>
        <v/>
      </c>
      <c r="L12" s="41">
        <f>K12*(1+L13)</f>
        <v/>
      </c>
      <c r="M12" s="41">
        <f>L12*(1+M13)</f>
        <v/>
      </c>
      <c r="N12" s="41">
        <f>M12*(1+N13)</f>
        <v/>
      </c>
      <c r="O12" s="41">
        <f>N12*(1+O13)</f>
        <v/>
      </c>
      <c r="P12" s="41">
        <f>O12*(1+P13)</f>
        <v/>
      </c>
    </row>
    <row r="13">
      <c r="A13" s="4" t="inlineStr">
        <is>
          <t xml:space="preserve">    growth % (convex fade; curvature from Dashboard)</t>
        </is>
      </c>
      <c r="C13" s="25">
        <f>IFERROR(C12/B12-1,"")</f>
        <v/>
      </c>
      <c r="D13" s="25">
        <f>IFERROR(D12/C12-1,"")</f>
        <v/>
      </c>
      <c r="E13" s="25">
        <f>IFERROR(E12/D12-1,"")</f>
        <v/>
      </c>
      <c r="F13" s="25">
        <f>IFERROR(F12/E12-1,"")</f>
        <v/>
      </c>
      <c r="G13" s="11">
        <f>Dashboard!$C$24+(Dashboard!$B$24-Dashboard!$C$24)*((9-0)/9)^Dashboard!$B$49</f>
        <v/>
      </c>
      <c r="H13" s="11">
        <f>Dashboard!$C$24+(Dashboard!$B$24-Dashboard!$C$24)*((9-1)/9)^Dashboard!$B$49</f>
        <v/>
      </c>
      <c r="I13" s="11">
        <f>Dashboard!$C$24+(Dashboard!$B$24-Dashboard!$C$24)*((9-2)/9)^Dashboard!$B$49</f>
        <v/>
      </c>
      <c r="J13" s="11">
        <f>Dashboard!$C$24+(Dashboard!$B$24-Dashboard!$C$24)*((9-3)/9)^Dashboard!$B$49</f>
        <v/>
      </c>
      <c r="K13" s="11">
        <f>Dashboard!$C$24+(Dashboard!$B$24-Dashboard!$C$24)*((9-4)/9)^Dashboard!$B$49</f>
        <v/>
      </c>
      <c r="L13" s="11">
        <f>Dashboard!$C$24+(Dashboard!$B$24-Dashboard!$C$24)*((9-5)/9)^Dashboard!$B$49</f>
        <v/>
      </c>
      <c r="M13" s="11">
        <f>Dashboard!$C$24+(Dashboard!$B$24-Dashboard!$C$24)*((9-6)/9)^Dashboard!$B$49</f>
        <v/>
      </c>
      <c r="N13" s="11">
        <f>Dashboard!$C$24+(Dashboard!$B$24-Dashboard!$C$24)*((9-7)/9)^Dashboard!$B$49</f>
        <v/>
      </c>
      <c r="O13" s="11">
        <f>Dashboard!$C$24+(Dashboard!$B$24-Dashboard!$C$24)*((9-8)/9)^Dashboard!$B$49</f>
        <v/>
      </c>
      <c r="P13" s="11">
        <f>Dashboard!$C$24+(Dashboard!$B$24-Dashboard!$C$24)*((9-9)/9)^Dashboard!$B$49</f>
        <v/>
      </c>
    </row>
    <row r="14">
      <c r="A14" s="3" t="inlineStr">
        <is>
          <t>Total revenue</t>
        </is>
      </c>
      <c r="B14" s="42">
        <f>B4+B6+B8+B10+B12</f>
        <v/>
      </c>
      <c r="C14" s="42">
        <f>C4+C6+C8+C10+C12</f>
        <v/>
      </c>
      <c r="D14" s="42">
        <f>D4+D6+D8+D10+D12</f>
        <v/>
      </c>
      <c r="E14" s="42">
        <f>E4+E6+E8+E10+E12</f>
        <v/>
      </c>
      <c r="F14" s="42">
        <f>F4+F6+F8+F10+F12</f>
        <v/>
      </c>
      <c r="G14" s="42">
        <f>G4+G6+G8+G10+G12</f>
        <v/>
      </c>
      <c r="H14" s="42">
        <f>H4+H6+H8+H10+H12</f>
        <v/>
      </c>
      <c r="I14" s="42">
        <f>I4+I6+I8+I10+I12</f>
        <v/>
      </c>
      <c r="J14" s="42">
        <f>J4+J6+J8+J10+J12</f>
        <v/>
      </c>
      <c r="K14" s="42">
        <f>K4+K6+K8+K10+K12</f>
        <v/>
      </c>
      <c r="L14" s="42">
        <f>L4+L6+L8+L10+L12</f>
        <v/>
      </c>
      <c r="M14" s="42">
        <f>M4+M6+M8+M10+M12</f>
        <v/>
      </c>
      <c r="N14" s="42">
        <f>N4+N6+N8+N10+N12</f>
        <v/>
      </c>
      <c r="O14" s="42">
        <f>O4+O6+O8+O10+O12</f>
        <v/>
      </c>
      <c r="P14" s="42">
        <f>P4+P6+P8+P10+P12</f>
        <v/>
      </c>
    </row>
    <row r="15">
      <c r="A15" s="4" t="inlineStr">
        <is>
          <t xml:space="preserve">    growth %</t>
        </is>
      </c>
      <c r="C15" s="25">
        <f>IFERROR(C14/B14-1,"")</f>
        <v/>
      </c>
      <c r="D15" s="25">
        <f>IFERROR(D14/C14-1,"")</f>
        <v/>
      </c>
      <c r="E15" s="25">
        <f>IFERROR(E14/D14-1,"")</f>
        <v/>
      </c>
      <c r="F15" s="25">
        <f>IFERROR(F14/E14-1,"")</f>
        <v/>
      </c>
      <c r="G15" s="25">
        <f>IFERROR(G14/F14-1,"")</f>
        <v/>
      </c>
      <c r="H15" s="25">
        <f>IFERROR(H14/G14-1,"")</f>
        <v/>
      </c>
      <c r="I15" s="25">
        <f>IFERROR(I14/H14-1,"")</f>
        <v/>
      </c>
      <c r="J15" s="25">
        <f>IFERROR(J14/I14-1,"")</f>
        <v/>
      </c>
      <c r="K15" s="25">
        <f>IFERROR(K14/J14-1,"")</f>
        <v/>
      </c>
      <c r="L15" s="25">
        <f>IFERROR(L14/K14-1,"")</f>
        <v/>
      </c>
      <c r="M15" s="25">
        <f>IFERROR(M14/L14-1,"")</f>
        <v/>
      </c>
      <c r="N15" s="25">
        <f>IFERROR(N14/M14-1,"")</f>
        <v/>
      </c>
      <c r="O15" s="25">
        <f>IFERROR(O14/N14-1,"")</f>
        <v/>
      </c>
      <c r="P15" s="25">
        <f>IFERROR(P14/O14-1,"")</f>
        <v/>
      </c>
    </row>
    <row r="17">
      <c r="A17" s="5" t="inlineStr">
        <is>
          <t xml:space="preserve">  COST STRUCTURE (yellow = % of revenue)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4" t="inlineStr">
        <is>
          <t>Cost of revenue</t>
        </is>
      </c>
      <c r="B18" s="33">
        <f>SUM(Financials!J5:M5)</f>
        <v/>
      </c>
      <c r="C18" s="33">
        <f>SUM(Financials!N5:Q5)</f>
        <v/>
      </c>
      <c r="D18" s="33">
        <f>SUM(Financials!R5:U5)</f>
        <v/>
      </c>
      <c r="E18" s="33">
        <f>SUM(Financials!V5:Y5)</f>
        <v/>
      </c>
      <c r="F18" s="33">
        <f>SUM(Financials!Z5:AC5)</f>
        <v/>
      </c>
      <c r="G18" s="41">
        <f>G14*G19</f>
        <v/>
      </c>
      <c r="H18" s="41">
        <f>H14*H19</f>
        <v/>
      </c>
      <c r="I18" s="41">
        <f>I14*I19</f>
        <v/>
      </c>
      <c r="J18" s="41">
        <f>J14*J19</f>
        <v/>
      </c>
      <c r="K18" s="41">
        <f>K14*K19</f>
        <v/>
      </c>
      <c r="L18" s="41">
        <f>L14*L19</f>
        <v/>
      </c>
      <c r="M18" s="41">
        <f>M14*M19</f>
        <v/>
      </c>
      <c r="N18" s="41">
        <f>N14*N19</f>
        <v/>
      </c>
      <c r="O18" s="41">
        <f>O14*O19</f>
        <v/>
      </c>
      <c r="P18" s="41">
        <f>P14*P19</f>
        <v/>
      </c>
    </row>
    <row r="19">
      <c r="A19" s="4" t="inlineStr">
        <is>
          <t xml:space="preserve">    % of revenue</t>
        </is>
      </c>
      <c r="B19" s="25">
        <f>IFERROR(B18/B14,"")</f>
        <v/>
      </c>
      <c r="C19" s="25">
        <f>IFERROR(C18/C14,"")</f>
        <v/>
      </c>
      <c r="D19" s="25">
        <f>IFERROR(D18/D14,"")</f>
        <v/>
      </c>
      <c r="E19" s="25">
        <f>IFERROR(E18/E14,"")</f>
        <v/>
      </c>
      <c r="F19" s="25">
        <f>IFERROR(F18/F14,"")</f>
        <v/>
      </c>
      <c r="G19" s="15" t="n">
        <v>0.2893191564245293</v>
      </c>
      <c r="H19" s="15" t="n">
        <v>0.2893191564245293</v>
      </c>
      <c r="I19" s="15" t="n">
        <v>0.2893191564245293</v>
      </c>
      <c r="J19" s="15" t="n">
        <v>0.2893191564245293</v>
      </c>
      <c r="K19" s="15" t="n">
        <v>0.2893191564245293</v>
      </c>
      <c r="L19" s="15" t="n">
        <v>0.2893191564245293</v>
      </c>
      <c r="M19" s="15" t="n">
        <v>0.2893191564245293</v>
      </c>
      <c r="N19" s="15" t="n">
        <v>0.2893191564245293</v>
      </c>
      <c r="O19" s="15" t="n">
        <v>0.2893191564245293</v>
      </c>
      <c r="P19" s="15" t="n">
        <v>0.2893191564245293</v>
      </c>
    </row>
    <row r="20">
      <c r="A20" s="4" t="inlineStr">
        <is>
          <t>R&amp;D / Technology</t>
        </is>
      </c>
      <c r="B20" s="33">
        <f>SUM(Financials!J7:M7)</f>
        <v/>
      </c>
      <c r="C20" s="33">
        <f>SUM(Financials!N7:Q7)</f>
        <v/>
      </c>
      <c r="D20" s="33">
        <f>SUM(Financials!R7:U7)</f>
        <v/>
      </c>
      <c r="E20" s="33">
        <f>SUM(Financials!V7:Y7)</f>
        <v/>
      </c>
      <c r="F20" s="33">
        <f>SUM(Financials!Z7:AC7)</f>
        <v/>
      </c>
      <c r="G20" s="41">
        <f>G14*G21</f>
        <v/>
      </c>
      <c r="H20" s="41">
        <f>H14*H21</f>
        <v/>
      </c>
      <c r="I20" s="41">
        <f>I14*I21</f>
        <v/>
      </c>
      <c r="J20" s="41">
        <f>J14*J21</f>
        <v/>
      </c>
      <c r="K20" s="41">
        <f>K14*K21</f>
        <v/>
      </c>
      <c r="L20" s="41">
        <f>L14*L21</f>
        <v/>
      </c>
      <c r="M20" s="41">
        <f>M14*M21</f>
        <v/>
      </c>
      <c r="N20" s="41">
        <f>N14*N21</f>
        <v/>
      </c>
      <c r="O20" s="41">
        <f>O14*O21</f>
        <v/>
      </c>
      <c r="P20" s="41">
        <f>P14*P21</f>
        <v/>
      </c>
    </row>
    <row r="21">
      <c r="A21" s="4" t="inlineStr">
        <is>
          <t xml:space="preserve">    % of revenue</t>
        </is>
      </c>
      <c r="B21" s="25">
        <f>IFERROR(B20/B14,"")</f>
        <v/>
      </c>
      <c r="C21" s="25">
        <f>IFERROR(C20/C14,"")</f>
        <v/>
      </c>
      <c r="D21" s="25">
        <f>IFERROR(D20/D14,"")</f>
        <v/>
      </c>
      <c r="E21" s="25">
        <f>IFERROR(E20/E14,"")</f>
        <v/>
      </c>
      <c r="F21" s="25">
        <f>IFERROR(F20/F14,"")</f>
        <v/>
      </c>
      <c r="G21" s="15" t="n">
        <v>0.08565884652076058</v>
      </c>
      <c r="H21" s="15" t="n">
        <v>0.08565884652076058</v>
      </c>
      <c r="I21" s="15" t="n">
        <v>0.08565884652076058</v>
      </c>
      <c r="J21" s="15" t="n">
        <v>0.08565884652076058</v>
      </c>
      <c r="K21" s="15" t="n">
        <v>0.08565884652076058</v>
      </c>
      <c r="L21" s="15" t="n">
        <v>0.08565884652076058</v>
      </c>
      <c r="M21" s="15" t="n">
        <v>0.08565884652076058</v>
      </c>
      <c r="N21" s="15" t="n">
        <v>0.08565884652076058</v>
      </c>
      <c r="O21" s="15" t="n">
        <v>0.08565884652076058</v>
      </c>
      <c r="P21" s="15" t="n">
        <v>0.08565884652076058</v>
      </c>
    </row>
    <row r="22">
      <c r="A22" s="4" t="inlineStr">
        <is>
          <t>SG&amp;A</t>
        </is>
      </c>
      <c r="B22" s="33">
        <f>SUM(Financials!J9:M9)</f>
        <v/>
      </c>
      <c r="C22" s="33">
        <f>SUM(Financials!N9:Q9)</f>
        <v/>
      </c>
      <c r="D22" s="33">
        <f>SUM(Financials!R9:U9)</f>
        <v/>
      </c>
      <c r="E22" s="33">
        <f>SUM(Financials!V9:Y9)</f>
        <v/>
      </c>
      <c r="F22" s="33">
        <f>SUM(Financials!Z9:AC9)</f>
        <v/>
      </c>
      <c r="G22" s="41">
        <f>G14*G23</f>
        <v/>
      </c>
      <c r="H22" s="41">
        <f>H14*H23</f>
        <v/>
      </c>
      <c r="I22" s="41">
        <f>I14*I23</f>
        <v/>
      </c>
      <c r="J22" s="41">
        <f>J14*J23</f>
        <v/>
      </c>
      <c r="K22" s="41">
        <f>K14*K23</f>
        <v/>
      </c>
      <c r="L22" s="41">
        <f>L14*L23</f>
        <v/>
      </c>
      <c r="M22" s="41">
        <f>M14*M23</f>
        <v/>
      </c>
      <c r="N22" s="41">
        <f>N14*N23</f>
        <v/>
      </c>
      <c r="O22" s="41">
        <f>O14*O23</f>
        <v/>
      </c>
      <c r="P22" s="41">
        <f>P14*P23</f>
        <v/>
      </c>
    </row>
    <row r="23">
      <c r="A23" s="4" t="inlineStr">
        <is>
          <t xml:space="preserve">    % of revenue</t>
        </is>
      </c>
      <c r="B23" s="25">
        <f>IFERROR(B22/B14,"")</f>
        <v/>
      </c>
      <c r="C23" s="25">
        <f>IFERROR(C22/C14,"")</f>
        <v/>
      </c>
      <c r="D23" s="25">
        <f>IFERROR(D22/D14,"")</f>
        <v/>
      </c>
      <c r="E23" s="25">
        <f>IFERROR(E22/E14,"")</f>
        <v/>
      </c>
      <c r="F23" s="25">
        <f>IFERROR(F22/F14,"")</f>
        <v/>
      </c>
      <c r="G23" s="15" t="n">
        <v>0.02120516074058295</v>
      </c>
      <c r="H23" s="15" t="n">
        <v>0.02120516074058295</v>
      </c>
      <c r="I23" s="15" t="n">
        <v>0.02120516074058295</v>
      </c>
      <c r="J23" s="15" t="n">
        <v>0.02120516074058295</v>
      </c>
      <c r="K23" s="15" t="n">
        <v>0.02120516074058295</v>
      </c>
      <c r="L23" s="15" t="n">
        <v>0.02120516074058295</v>
      </c>
      <c r="M23" s="15" t="n">
        <v>0.02120516074058295</v>
      </c>
      <c r="N23" s="15" t="n">
        <v>0.02120516074058295</v>
      </c>
      <c r="O23" s="15" t="n">
        <v>0.02120516074058295</v>
      </c>
      <c r="P23" s="15" t="n">
        <v>0.02120516074058295</v>
      </c>
    </row>
    <row r="24">
      <c r="A24" s="4" t="inlineStr">
        <is>
          <t>Other opex (fulfilment, etc.)</t>
        </is>
      </c>
      <c r="B24" s="33">
        <f>B14-(B18+B20+B22)-SUM(Financials!J13:M13)</f>
        <v/>
      </c>
      <c r="C24" s="33">
        <f>C14-(C18+C20+C22)-SUM(Financials!N13:Q13)</f>
        <v/>
      </c>
      <c r="D24" s="33">
        <f>D14-(D18+D20+D22)-SUM(Financials!R13:U13)</f>
        <v/>
      </c>
      <c r="E24" s="33">
        <f>E14-(E18+E20+E22)-SUM(Financials!V13:Y13)</f>
        <v/>
      </c>
      <c r="F24" s="33">
        <f>F14-(F18+F20+F22)-SUM(Financials!Z13:AC13)</f>
        <v/>
      </c>
      <c r="G24" s="33">
        <f>G14*(1-(Dashboard!$B$29+(Dashboard!$B$30-Dashboard!$B$29)*MIN(1,0/4)))-(G18+G20+G22)</f>
        <v/>
      </c>
      <c r="H24" s="33">
        <f>H14*(1-(Dashboard!$B$29+(Dashboard!$B$30-Dashboard!$B$29)*MIN(1,1/4)))-(H18+H20+H22)</f>
        <v/>
      </c>
      <c r="I24" s="33">
        <f>I14*(1-(Dashboard!$B$29+(Dashboard!$B$30-Dashboard!$B$29)*MIN(1,2/4)))-(I18+I20+I22)</f>
        <v/>
      </c>
      <c r="J24" s="33">
        <f>J14*(1-(Dashboard!$B$29+(Dashboard!$B$30-Dashboard!$B$29)*MIN(1,3/4)))-(J18+J20+J22)</f>
        <v/>
      </c>
      <c r="K24" s="33">
        <f>K14*(1-(Dashboard!$B$29+(Dashboard!$B$30-Dashboard!$B$29)*MIN(1,4/4)))-(K18+K20+K22)</f>
        <v/>
      </c>
      <c r="L24" s="33">
        <f>L14*(1-(Dashboard!$B$29+(Dashboard!$B$30-Dashboard!$B$29)*MIN(1,5/4)))-(L18+L20+L22)</f>
        <v/>
      </c>
      <c r="M24" s="33">
        <f>M14*(1-(Dashboard!$B$29+(Dashboard!$B$30-Dashboard!$B$29)*MIN(1,6/4)))-(M18+M20+M22)</f>
        <v/>
      </c>
      <c r="N24" s="33">
        <f>N14*(1-(Dashboard!$B$29+(Dashboard!$B$30-Dashboard!$B$29)*MIN(1,7/4)))-(N18+N20+N22)</f>
        <v/>
      </c>
      <c r="O24" s="33">
        <f>O14*(1-(Dashboard!$B$29+(Dashboard!$B$30-Dashboard!$B$29)*MIN(1,8/4)))-(O18+O20+O22)</f>
        <v/>
      </c>
      <c r="P24" s="33">
        <f>P14*(1-(Dashboard!$B$29+(Dashboard!$B$30-Dashboard!$B$29)*MIN(1,9/4)))-(P18+P20+P22)</f>
        <v/>
      </c>
    </row>
    <row r="25">
      <c r="A25" s="4" t="inlineStr">
        <is>
          <t xml:space="preserve">    % of revenue</t>
        </is>
      </c>
      <c r="B25" s="25">
        <f>IFERROR(B24/B14,"")</f>
        <v/>
      </c>
      <c r="C25" s="25">
        <f>IFERROR(C24/C14,"")</f>
        <v/>
      </c>
      <c r="D25" s="25">
        <f>IFERROR(D24/D14,"")</f>
        <v/>
      </c>
      <c r="E25" s="25">
        <f>IFERROR(E24/E14,"")</f>
        <v/>
      </c>
      <c r="F25" s="25">
        <f>IFERROR(F24/F14,"")</f>
        <v/>
      </c>
      <c r="G25" s="25">
        <f>IFERROR(G24/G14,"")</f>
        <v/>
      </c>
      <c r="H25" s="25">
        <f>IFERROR(H24/H14,"")</f>
        <v/>
      </c>
      <c r="I25" s="25">
        <f>IFERROR(I24/I14,"")</f>
        <v/>
      </c>
      <c r="J25" s="25">
        <f>IFERROR(J24/J14,"")</f>
        <v/>
      </c>
      <c r="K25" s="25">
        <f>IFERROR(K24/K14,"")</f>
        <v/>
      </c>
      <c r="L25" s="25">
        <f>IFERROR(L24/L14,"")</f>
        <v/>
      </c>
      <c r="M25" s="25">
        <f>IFERROR(M24/M14,"")</f>
        <v/>
      </c>
      <c r="N25" s="25">
        <f>IFERROR(N24/N14,"")</f>
        <v/>
      </c>
      <c r="O25" s="25">
        <f>IFERROR(O24/O14,"")</f>
        <v/>
      </c>
      <c r="P25" s="25">
        <f>IFERROR(P24/P14,"")</f>
        <v/>
      </c>
    </row>
    <row r="27">
      <c r="A27" s="3" t="inlineStr">
        <is>
          <t>Operating income (EBIT)</t>
        </is>
      </c>
      <c r="B27" s="42">
        <f>B14-(B18+B20+B22)-B24</f>
        <v/>
      </c>
      <c r="C27" s="42">
        <f>C14-(C18+C20+C22)-C24</f>
        <v/>
      </c>
      <c r="D27" s="42">
        <f>D14-(D18+D20+D22)-D24</f>
        <v/>
      </c>
      <c r="E27" s="42">
        <f>E14-(E18+E20+E22)-E24</f>
        <v/>
      </c>
      <c r="F27" s="42">
        <f>F14-(F18+F20+F22)-F24</f>
        <v/>
      </c>
      <c r="G27" s="42">
        <f>G14-(G18+G20+G22)-G24</f>
        <v/>
      </c>
      <c r="H27" s="42">
        <f>H14-(H18+H20+H22)-H24</f>
        <v/>
      </c>
      <c r="I27" s="42">
        <f>I14-(I18+I20+I22)-I24</f>
        <v/>
      </c>
      <c r="J27" s="42">
        <f>J14-(J18+J20+J22)-J24</f>
        <v/>
      </c>
      <c r="K27" s="42">
        <f>K14-(K18+K20+K22)-K24</f>
        <v/>
      </c>
      <c r="L27" s="42">
        <f>L14-(L18+L20+L22)-L24</f>
        <v/>
      </c>
      <c r="M27" s="42">
        <f>M14-(M18+M20+M22)-M24</f>
        <v/>
      </c>
      <c r="N27" s="42">
        <f>N14-(N18+N20+N22)-N24</f>
        <v/>
      </c>
      <c r="O27" s="42">
        <f>O14-(O18+O20+O22)-O24</f>
        <v/>
      </c>
      <c r="P27" s="42">
        <f>P14-(P18+P20+P22)-P24</f>
        <v/>
      </c>
    </row>
    <row r="28">
      <c r="A28" s="4" t="inlineStr">
        <is>
          <t xml:space="preserve">    operating margin</t>
        </is>
      </c>
      <c r="B28" s="25">
        <f>IFERROR(B27/B14,"")</f>
        <v/>
      </c>
      <c r="C28" s="25">
        <f>IFERROR(C27/C14,"")</f>
        <v/>
      </c>
      <c r="D28" s="25">
        <f>IFERROR(D27/D14,"")</f>
        <v/>
      </c>
      <c r="E28" s="25">
        <f>IFERROR(E27/E14,"")</f>
        <v/>
      </c>
      <c r="F28" s="25">
        <f>IFERROR(F27/F14,"")</f>
        <v/>
      </c>
      <c r="G28" s="25">
        <f>IFERROR(G27/G14,"")</f>
        <v/>
      </c>
      <c r="H28" s="25">
        <f>IFERROR(H27/H14,"")</f>
        <v/>
      </c>
      <c r="I28" s="25">
        <f>IFERROR(I27/I14,"")</f>
        <v/>
      </c>
      <c r="J28" s="25">
        <f>IFERROR(J27/J14,"")</f>
        <v/>
      </c>
      <c r="K28" s="25">
        <f>IFERROR(K27/K14,"")</f>
        <v/>
      </c>
      <c r="L28" s="25">
        <f>IFERROR(L27/L14,"")</f>
        <v/>
      </c>
      <c r="M28" s="25">
        <f>IFERROR(M27/M14,"")</f>
        <v/>
      </c>
      <c r="N28" s="25">
        <f>IFERROR(N27/N14,"")</f>
        <v/>
      </c>
      <c r="O28" s="25">
        <f>IFERROR(O27/O14,"")</f>
        <v/>
      </c>
      <c r="P28" s="25">
        <f>IFERROR(P27/P14,"")</f>
        <v/>
      </c>
    </row>
    <row r="30">
      <c r="A30" s="5" t="inlineStr">
        <is>
          <t xml:space="preserve">  FCF BRIDGE (NOPAT + D&amp;A + SBC - dNWC - Capex)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4" t="inlineStr">
        <is>
          <t>NOPAT = EBIT x (1 - tax)</t>
        </is>
      </c>
      <c r="B31" s="33">
        <f>B27*(1-Valuation!$B$5)</f>
        <v/>
      </c>
      <c r="C31" s="33">
        <f>C27*(1-Valuation!$B$5)</f>
        <v/>
      </c>
      <c r="D31" s="33">
        <f>D27*(1-Valuation!$B$5)</f>
        <v/>
      </c>
      <c r="E31" s="33">
        <f>E27*(1-Valuation!$B$5)</f>
        <v/>
      </c>
      <c r="F31" s="33">
        <f>F27*(1-Valuation!$B$5)</f>
        <v/>
      </c>
      <c r="G31" s="33">
        <f>G27*(1-Valuation!$B$5)</f>
        <v/>
      </c>
      <c r="H31" s="33">
        <f>H27*(1-Valuation!$B$5)</f>
        <v/>
      </c>
      <c r="I31" s="33">
        <f>I27*(1-Valuation!$B$5)</f>
        <v/>
      </c>
      <c r="J31" s="33">
        <f>J27*(1-Valuation!$B$5)</f>
        <v/>
      </c>
      <c r="K31" s="33">
        <f>K27*(1-Valuation!$B$5)</f>
        <v/>
      </c>
      <c r="L31" s="33">
        <f>L27*(1-Valuation!$B$5)</f>
        <v/>
      </c>
      <c r="M31" s="33">
        <f>M27*(1-Valuation!$B$5)</f>
        <v/>
      </c>
      <c r="N31" s="33">
        <f>N27*(1-Valuation!$B$5)</f>
        <v/>
      </c>
      <c r="O31" s="33">
        <f>O27*(1-Valuation!$B$5)</f>
        <v/>
      </c>
      <c r="P31" s="33">
        <f>P27*(1-Valuation!$B$5)</f>
        <v/>
      </c>
    </row>
    <row r="32">
      <c r="A32" s="4" t="inlineStr">
        <is>
          <t>+ D&amp;A</t>
        </is>
      </c>
      <c r="B32" s="33">
        <f>SUM(Financials!J56:M56)</f>
        <v/>
      </c>
      <c r="C32" s="33">
        <f>SUM(Financials!N56:Q56)</f>
        <v/>
      </c>
      <c r="D32" s="33">
        <f>SUM(Financials!R56:U56)</f>
        <v/>
      </c>
      <c r="E32" s="33">
        <f>SUM(Financials!V56:Y56)</f>
        <v/>
      </c>
      <c r="F32" s="33">
        <f>SUM(Financials!Z56:AC56)</f>
        <v/>
      </c>
      <c r="G32" s="41">
        <f>G14*0.0132</f>
        <v/>
      </c>
      <c r="H32" s="41">
        <f>H14*0.0132</f>
        <v/>
      </c>
      <c r="I32" s="41">
        <f>I14*0.0132</f>
        <v/>
      </c>
      <c r="J32" s="41">
        <f>J14*0.0132</f>
        <v/>
      </c>
      <c r="K32" s="41">
        <f>K14*0.0132</f>
        <v/>
      </c>
      <c r="L32" s="41">
        <f>L14*0.0132</f>
        <v/>
      </c>
      <c r="M32" s="41">
        <f>M14*0.0132</f>
        <v/>
      </c>
      <c r="N32" s="41">
        <f>N14*0.0132</f>
        <v/>
      </c>
      <c r="O32" s="41">
        <f>O14*0.0132</f>
        <v/>
      </c>
      <c r="P32" s="41">
        <f>P14*0.0132</f>
        <v/>
      </c>
    </row>
    <row r="33">
      <c r="A33" s="4" t="inlineStr">
        <is>
          <t>+ SBC (non-cash)</t>
        </is>
      </c>
      <c r="B33" s="33">
        <f>SUM(Financials!J57:M57)</f>
        <v/>
      </c>
      <c r="C33" s="33">
        <f>SUM(Financials!N57:Q57)</f>
        <v/>
      </c>
      <c r="D33" s="33">
        <f>SUM(Financials!R57:U57)</f>
        <v/>
      </c>
      <c r="E33" s="33">
        <f>SUM(Financials!V57:Y57)</f>
        <v/>
      </c>
      <c r="F33" s="33">
        <f>SUM(Financials!Z57:AC57)</f>
        <v/>
      </c>
      <c r="G33" s="33">
        <f>G14*(Dashboard!$B$65+(Dashboard!$B$66-Dashboard!$B$65)*0/9)</f>
        <v/>
      </c>
      <c r="H33" s="33">
        <f>H14*(Dashboard!$B$65+(Dashboard!$B$66-Dashboard!$B$65)*1/9)</f>
        <v/>
      </c>
      <c r="I33" s="33">
        <f>I14*(Dashboard!$B$65+(Dashboard!$B$66-Dashboard!$B$65)*2/9)</f>
        <v/>
      </c>
      <c r="J33" s="33">
        <f>J14*(Dashboard!$B$65+(Dashboard!$B$66-Dashboard!$B$65)*3/9)</f>
        <v/>
      </c>
      <c r="K33" s="33">
        <f>K14*(Dashboard!$B$65+(Dashboard!$B$66-Dashboard!$B$65)*4/9)</f>
        <v/>
      </c>
      <c r="L33" s="33">
        <f>L14*(Dashboard!$B$65+(Dashboard!$B$66-Dashboard!$B$65)*5/9)</f>
        <v/>
      </c>
      <c r="M33" s="33">
        <f>M14*(Dashboard!$B$65+(Dashboard!$B$66-Dashboard!$B$65)*6/9)</f>
        <v/>
      </c>
      <c r="N33" s="33">
        <f>N14*(Dashboard!$B$65+(Dashboard!$B$66-Dashboard!$B$65)*7/9)</f>
        <v/>
      </c>
      <c r="O33" s="33">
        <f>O14*(Dashboard!$B$65+(Dashboard!$B$66-Dashboard!$B$65)*8/9)</f>
        <v/>
      </c>
      <c r="P33" s="33">
        <f>P14*(Dashboard!$B$65+(Dashboard!$B$66-Dashboard!$B$65)*9/9)</f>
        <v/>
      </c>
    </row>
    <row r="34">
      <c r="A34" s="4" t="inlineStr">
        <is>
          <t>- dNWC</t>
        </is>
      </c>
      <c r="G34" s="41">
        <f>(G14-F14)*0.0050</f>
        <v/>
      </c>
      <c r="H34" s="41">
        <f>(H14-G14)*0.0050</f>
        <v/>
      </c>
      <c r="I34" s="41">
        <f>(I14-H14)*0.0050</f>
        <v/>
      </c>
      <c r="J34" s="41">
        <f>(J14-I14)*0.0050</f>
        <v/>
      </c>
      <c r="K34" s="41">
        <f>(K14-J14)*0.0050</f>
        <v/>
      </c>
      <c r="L34" s="41">
        <f>(L14-K14)*0.0050</f>
        <v/>
      </c>
      <c r="M34" s="41">
        <f>(M14-L14)*0.0050</f>
        <v/>
      </c>
      <c r="N34" s="41">
        <f>(N14-M14)*0.0050</f>
        <v/>
      </c>
      <c r="O34" s="41">
        <f>(O14-N14)*0.0050</f>
        <v/>
      </c>
      <c r="P34" s="41">
        <f>(P14-O14)*0.0050</f>
        <v/>
      </c>
    </row>
    <row r="35">
      <c r="A35" s="4" t="inlineStr">
        <is>
          <t>- Capex</t>
        </is>
      </c>
      <c r="B35" s="33">
        <f>-SUM(Financials!J60:M60)</f>
        <v/>
      </c>
      <c r="C35" s="33">
        <f>-SUM(Financials!N60:Q60)</f>
        <v/>
      </c>
      <c r="D35" s="33">
        <f>-SUM(Financials!R60:U60)</f>
        <v/>
      </c>
      <c r="E35" s="33">
        <f>-SUM(Financials!V60:Y60)</f>
        <v/>
      </c>
      <c r="F35" s="33">
        <f>-SUM(Financials!Z60:AC60)</f>
        <v/>
      </c>
      <c r="G35" s="41">
        <f>G32*G36</f>
        <v/>
      </c>
      <c r="H35" s="41">
        <f>H32*H36</f>
        <v/>
      </c>
      <c r="I35" s="41">
        <f>I32*I36</f>
        <v/>
      </c>
      <c r="J35" s="41">
        <f>J32*J36</f>
        <v/>
      </c>
      <c r="K35" s="41">
        <f>K32*K36</f>
        <v/>
      </c>
      <c r="L35" s="41">
        <f>L32*L36</f>
        <v/>
      </c>
      <c r="M35" s="41">
        <f>M32*M36</f>
        <v/>
      </c>
      <c r="N35" s="41">
        <f>N32*N36</f>
        <v/>
      </c>
      <c r="O35" s="41">
        <f>O32*O36</f>
        <v/>
      </c>
      <c r="P35" s="41">
        <f>P32*P36</f>
        <v/>
      </c>
    </row>
    <row r="36">
      <c r="A36" s="4" t="inlineStr">
        <is>
          <t xml:space="preserve">    Capex / D&amp;A  (from Dashboard: $cap'26 -&gt; terminal)</t>
        </is>
      </c>
      <c r="B36" s="26">
        <f>IFERROR(B35/B32,"")</f>
        <v/>
      </c>
      <c r="C36" s="26">
        <f>IFERROR(C35/C32,"")</f>
        <v/>
      </c>
      <c r="D36" s="26">
        <f>IFERROR(D35/D32,"")</f>
        <v/>
      </c>
      <c r="E36" s="26">
        <f>IFERROR(E35/E32,"")</f>
        <v/>
      </c>
      <c r="F36" s="26">
        <f>IFERROR(F35/F32,"")</f>
        <v/>
      </c>
      <c r="G36" s="13">
        <f>(Dashboard!$B$34/G32)+(Dashboard!$B$35-(Dashboard!$B$34/G32))*0/9</f>
        <v/>
      </c>
      <c r="H36" s="13">
        <f>(Dashboard!$B$34/G32)+(Dashboard!$B$35-(Dashboard!$B$34/G32))*1/9</f>
        <v/>
      </c>
      <c r="I36" s="13">
        <f>(Dashboard!$B$34/G32)+(Dashboard!$B$35-(Dashboard!$B$34/G32))*2/9</f>
        <v/>
      </c>
      <c r="J36" s="13">
        <f>(Dashboard!$B$34/G32)+(Dashboard!$B$35-(Dashboard!$B$34/G32))*3/9</f>
        <v/>
      </c>
      <c r="K36" s="13">
        <f>(Dashboard!$B$34/G32)+(Dashboard!$B$35-(Dashboard!$B$34/G32))*4/9</f>
        <v/>
      </c>
      <c r="L36" s="13">
        <f>(Dashboard!$B$34/G32)+(Dashboard!$B$35-(Dashboard!$B$34/G32))*5/9</f>
        <v/>
      </c>
      <c r="M36" s="13">
        <f>(Dashboard!$B$34/G32)+(Dashboard!$B$35-(Dashboard!$B$34/G32))*6/9</f>
        <v/>
      </c>
      <c r="N36" s="13">
        <f>(Dashboard!$B$34/G32)+(Dashboard!$B$35-(Dashboard!$B$34/G32))*7/9</f>
        <v/>
      </c>
      <c r="O36" s="13">
        <f>(Dashboard!$B$34/G32)+(Dashboard!$B$35-(Dashboard!$B$34/G32))*8/9</f>
        <v/>
      </c>
      <c r="P36" s="13">
        <f>(Dashboard!$B$34/G32)+(Dashboard!$B$35-(Dashboard!$B$34/G32))*9/9</f>
        <v/>
      </c>
    </row>
    <row r="38">
      <c r="A38" s="3" t="inlineStr">
        <is>
          <t>FCFF (firm)</t>
        </is>
      </c>
      <c r="B38" s="42">
        <f>B31+B32+B33-B34-B35</f>
        <v/>
      </c>
      <c r="C38" s="42">
        <f>C31+C32+C33-C34-C35</f>
        <v/>
      </c>
      <c r="D38" s="42">
        <f>D31+D32+D33-D34-D35</f>
        <v/>
      </c>
      <c r="E38" s="42">
        <f>E31+E32+E33-E34-E35</f>
        <v/>
      </c>
      <c r="F38" s="42">
        <f>F31+F32+F33-F34-F35</f>
        <v/>
      </c>
      <c r="G38" s="42">
        <f>G31+G32+G33-G34-G35</f>
        <v/>
      </c>
      <c r="H38" s="42">
        <f>H31+H32+H33-H34-H35</f>
        <v/>
      </c>
      <c r="I38" s="42">
        <f>I31+I32+I33-I34-I35</f>
        <v/>
      </c>
      <c r="J38" s="42">
        <f>J31+J32+J33-J34-J35</f>
        <v/>
      </c>
      <c r="K38" s="42">
        <f>K31+K32+K33-K34-K35</f>
        <v/>
      </c>
      <c r="L38" s="42">
        <f>L31+L32+L33-L34-L35</f>
        <v/>
      </c>
      <c r="M38" s="42">
        <f>M31+M32+M33-M34-M35</f>
        <v/>
      </c>
      <c r="N38" s="42">
        <f>N31+N32+N33-N34-N35</f>
        <v/>
      </c>
      <c r="O38" s="42">
        <f>O31+O32+O33-O34-O35</f>
        <v/>
      </c>
      <c r="P38" s="42">
        <f>P31+P32+P33-P34-P35</f>
        <v/>
      </c>
    </row>
    <row r="39">
      <c r="A39" s="3" t="inlineStr">
        <is>
          <t>Valuation FCF (NOPAT + D&amp;A - dNWC - Capex - after-tax SBC)</t>
        </is>
      </c>
      <c r="B39" s="43">
        <f>B38-B33-B33*(1-Valuation!$B$5)</f>
        <v/>
      </c>
      <c r="C39" s="43">
        <f>C38-C33-C33*(1-Valuation!$B$5)</f>
        <v/>
      </c>
      <c r="D39" s="43">
        <f>D38-D33-D33*(1-Valuation!$B$5)</f>
        <v/>
      </c>
      <c r="E39" s="43">
        <f>E38-E33-E33*(1-Valuation!$B$5)</f>
        <v/>
      </c>
      <c r="F39" s="43">
        <f>F38-F33-F33*(1-Valuation!$B$5)</f>
        <v/>
      </c>
      <c r="G39" s="43">
        <f>G38-G33-G33*(1-Valuation!$B$5)</f>
        <v/>
      </c>
      <c r="H39" s="43">
        <f>H38-H33-H33*(1-Valuation!$B$5)</f>
        <v/>
      </c>
      <c r="I39" s="43">
        <f>I38-I33-I33*(1-Valuation!$B$5)</f>
        <v/>
      </c>
      <c r="J39" s="43">
        <f>J38-J33-J33*(1-Valuation!$B$5)</f>
        <v/>
      </c>
      <c r="K39" s="43">
        <f>K38-K33-K33*(1-Valuation!$B$5)</f>
        <v/>
      </c>
      <c r="L39" s="43">
        <f>L38-L33-L33*(1-Valuation!$B$5)</f>
        <v/>
      </c>
      <c r="M39" s="43">
        <f>M38-M33-M33*(1-Valuation!$B$5)</f>
        <v/>
      </c>
      <c r="N39" s="43">
        <f>N38-N33-N33*(1-Valuation!$B$5)</f>
        <v/>
      </c>
      <c r="O39" s="43">
        <f>O38-O33-O33*(1-Valuation!$B$5)</f>
        <v/>
      </c>
      <c r="P39" s="43">
        <f>P38-P33-P33*(1-Valuation!$B$5)</f>
        <v/>
      </c>
    </row>
    <row r="41">
      <c r="A41" s="5" t="inlineStr">
        <is>
          <t xml:space="preserve">  RETURNS ON CAPITAL &amp; EFFICIENCY  (is new revenue/capital earning its keep?)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4" t="inlineStr">
        <is>
          <t>Invested capital (debt + equity - cash)</t>
        </is>
      </c>
      <c r="B42" s="33">
        <f>Financials!M54+Financials!M53-Financials!M48</f>
        <v/>
      </c>
      <c r="C42" s="33">
        <f>Financials!Q54+Financials!Q53-Financials!Q48</f>
        <v/>
      </c>
      <c r="D42" s="33">
        <f>Financials!U54+Financials!U53-Financials!U48</f>
        <v/>
      </c>
      <c r="E42" s="33">
        <f>Financials!Y54+Financials!Y53-Financials!Y48</f>
        <v/>
      </c>
      <c r="F42" s="33">
        <f>Financials!AC54+Financials!AC53-Financials!AC48</f>
        <v/>
      </c>
      <c r="G42" s="41">
        <f>F42+G35-G32+G34</f>
        <v/>
      </c>
      <c r="H42" s="41">
        <f>G42+H35-H32+H34</f>
        <v/>
      </c>
      <c r="I42" s="41">
        <f>H42+I35-I32+I34</f>
        <v/>
      </c>
      <c r="J42" s="41">
        <f>I42+J35-J32+J34</f>
        <v/>
      </c>
      <c r="K42" s="41">
        <f>J42+K35-K32+K34</f>
        <v/>
      </c>
      <c r="L42" s="41">
        <f>K42+L35-L32+L34</f>
        <v/>
      </c>
      <c r="M42" s="41">
        <f>L42+M35-M32+M34</f>
        <v/>
      </c>
      <c r="N42" s="41">
        <f>M42+N35-N32+N34</f>
        <v/>
      </c>
      <c r="O42" s="41">
        <f>N42+O35-O32+O34</f>
        <v/>
      </c>
      <c r="P42" s="41">
        <f>O42+P35-P32+P34</f>
        <v/>
      </c>
    </row>
    <row r="43">
      <c r="A43" s="4" t="inlineStr">
        <is>
          <t>Book equity (year-end)</t>
        </is>
      </c>
      <c r="B43" s="33">
        <f>Financials!M54</f>
        <v/>
      </c>
      <c r="C43" s="33">
        <f>Financials!Q54</f>
        <v/>
      </c>
      <c r="D43" s="33">
        <f>Financials!U54</f>
        <v/>
      </c>
      <c r="E43" s="33">
        <f>Financials!Y54</f>
        <v/>
      </c>
      <c r="F43" s="33">
        <f>Financials!AC54</f>
        <v/>
      </c>
      <c r="G43" s="41">
        <f>F43+G31</f>
        <v/>
      </c>
      <c r="H43" s="41">
        <f>G43+H31</f>
        <v/>
      </c>
      <c r="I43" s="41">
        <f>H43+I31</f>
        <v/>
      </c>
      <c r="J43" s="41">
        <f>I43+J31</f>
        <v/>
      </c>
      <c r="K43" s="41">
        <f>J43+K31</f>
        <v/>
      </c>
      <c r="L43" s="41">
        <f>K43+L31</f>
        <v/>
      </c>
      <c r="M43" s="41">
        <f>L43+M31</f>
        <v/>
      </c>
      <c r="N43" s="41">
        <f>M43+N31</f>
        <v/>
      </c>
      <c r="O43" s="41">
        <f>N43+O31</f>
        <v/>
      </c>
      <c r="P43" s="41">
        <f>O43+P31</f>
        <v/>
      </c>
    </row>
    <row r="44">
      <c r="A44" s="3" t="inlineStr">
        <is>
          <t xml:space="preserve">  ROIC (NOPAT / beg. invested capital)</t>
        </is>
      </c>
      <c r="C44" s="25">
        <f>IFERROR(C31/B42,"")</f>
        <v/>
      </c>
      <c r="D44" s="25">
        <f>IFERROR(D31/C42,"")</f>
        <v/>
      </c>
      <c r="E44" s="25">
        <f>IFERROR(E31/D42,"")</f>
        <v/>
      </c>
      <c r="F44" s="25">
        <f>IFERROR(F31/E42,"")</f>
        <v/>
      </c>
      <c r="G44" s="25">
        <f>IFERROR(G31/F42,"")</f>
        <v/>
      </c>
      <c r="H44" s="25">
        <f>IFERROR(H31/G42,"")</f>
        <v/>
      </c>
      <c r="I44" s="25">
        <f>IFERROR(I31/H42,"")</f>
        <v/>
      </c>
      <c r="J44" s="25">
        <f>IFERROR(J31/I42,"")</f>
        <v/>
      </c>
      <c r="K44" s="25">
        <f>IFERROR(K31/J42,"")</f>
        <v/>
      </c>
      <c r="L44" s="25">
        <f>IFERROR(L31/K42,"")</f>
        <v/>
      </c>
      <c r="M44" s="25">
        <f>IFERROR(M31/L42,"")</f>
        <v/>
      </c>
      <c r="N44" s="25">
        <f>IFERROR(N31/M42,"")</f>
        <v/>
      </c>
      <c r="O44" s="25">
        <f>IFERROR(O31/N42,"")</f>
        <v/>
      </c>
      <c r="P44" s="25">
        <f>IFERROR(P31/O42,"")</f>
        <v/>
      </c>
    </row>
    <row r="45">
      <c r="A45" s="3" t="inlineStr">
        <is>
          <t xml:space="preserve">  ROE (earnings / beg. equity)</t>
        </is>
      </c>
      <c r="C45" s="11">
        <f>IFERROR(SUM(Financials!N15:Q15)/B43,"")</f>
        <v/>
      </c>
      <c r="D45" s="11">
        <f>IFERROR(SUM(Financials!R15:U15)/C43,"")</f>
        <v/>
      </c>
      <c r="E45" s="11">
        <f>IFERROR(SUM(Financials!V15:Y15)/D43,"")</f>
        <v/>
      </c>
      <c r="F45" s="11">
        <f>IFERROR(SUM(Financials!Z15:AC15)/E43,"")</f>
        <v/>
      </c>
      <c r="G45" s="25">
        <f>IFERROR(G31/F43,"")</f>
        <v/>
      </c>
      <c r="H45" s="25">
        <f>IFERROR(H31/G43,"")</f>
        <v/>
      </c>
      <c r="I45" s="25">
        <f>IFERROR(I31/H43,"")</f>
        <v/>
      </c>
      <c r="J45" s="25">
        <f>IFERROR(J31/I43,"")</f>
        <v/>
      </c>
      <c r="K45" s="25">
        <f>IFERROR(K31/J43,"")</f>
        <v/>
      </c>
      <c r="L45" s="25">
        <f>IFERROR(L31/K43,"")</f>
        <v/>
      </c>
      <c r="M45" s="25">
        <f>IFERROR(M31/L43,"")</f>
        <v/>
      </c>
      <c r="N45" s="25">
        <f>IFERROR(N31/M43,"")</f>
        <v/>
      </c>
      <c r="O45" s="25">
        <f>IFERROR(O31/N43,"")</f>
        <v/>
      </c>
      <c r="P45" s="25">
        <f>IFERROR(P31/O43,"")</f>
        <v/>
      </c>
    </row>
    <row r="46">
      <c r="A46" s="4" t="inlineStr">
        <is>
          <t xml:space="preserve">  ROIC - WACC spread (value created)</t>
        </is>
      </c>
      <c r="C46" s="11">
        <f>IFERROR(C44-WACC!$B$15,"")</f>
        <v/>
      </c>
      <c r="D46" s="11">
        <f>IFERROR(D44-WACC!$B$15,"")</f>
        <v/>
      </c>
      <c r="E46" s="11">
        <f>IFERROR(E44-WACC!$B$15,"")</f>
        <v/>
      </c>
      <c r="F46" s="11">
        <f>IFERROR(F44-WACC!$B$15,"")</f>
        <v/>
      </c>
      <c r="G46" s="11">
        <f>IFERROR(G44-WACC!$B$15,"")</f>
        <v/>
      </c>
      <c r="H46" s="11">
        <f>IFERROR(H44-WACC!$B$15,"")</f>
        <v/>
      </c>
      <c r="I46" s="11">
        <f>IFERROR(I44-WACC!$B$15,"")</f>
        <v/>
      </c>
      <c r="J46" s="11">
        <f>IFERROR(J44-WACC!$B$15,"")</f>
        <v/>
      </c>
      <c r="K46" s="11">
        <f>IFERROR(K44-WACC!$B$15,"")</f>
        <v/>
      </c>
      <c r="L46" s="11">
        <f>IFERROR(L44-WACC!$B$15,"")</f>
        <v/>
      </c>
      <c r="M46" s="11">
        <f>IFERROR(M44-WACC!$B$15,"")</f>
        <v/>
      </c>
      <c r="N46" s="11">
        <f>IFERROR(N44-WACC!$B$15,"")</f>
        <v/>
      </c>
      <c r="O46" s="11">
        <f>IFERROR(O44-WACC!$B$15,"")</f>
        <v/>
      </c>
      <c r="P46" s="11">
        <f>IFERROR(P44-WACC!$B$15,"")</f>
        <v/>
      </c>
    </row>
    <row r="47">
      <c r="A47" s="4" t="inlineStr">
        <is>
          <t xml:space="preserve">  Incremental op margin (ΔEBIT / ΔRev)</t>
        </is>
      </c>
      <c r="C47" s="25">
        <f>IFERROR((C27-B27)/(C14-B14),"")</f>
        <v/>
      </c>
      <c r="D47" s="25">
        <f>IFERROR((D27-C27)/(D14-C14),"")</f>
        <v/>
      </c>
      <c r="E47" s="25">
        <f>IFERROR((E27-D27)/(E14-D14),"")</f>
        <v/>
      </c>
      <c r="F47" s="25">
        <f>IFERROR((F27-E27)/(F14-E14),"")</f>
        <v/>
      </c>
      <c r="G47" s="25">
        <f>IFERROR((G27-F27)/(G14-F14),"")</f>
        <v/>
      </c>
      <c r="H47" s="25">
        <f>IFERROR((H27-G27)/(H14-G14),"")</f>
        <v/>
      </c>
      <c r="I47" s="25">
        <f>IFERROR((I27-H27)/(I14-H14),"")</f>
        <v/>
      </c>
      <c r="J47" s="25">
        <f>IFERROR((J27-I27)/(J14-I14),"")</f>
        <v/>
      </c>
      <c r="K47" s="25">
        <f>IFERROR((K27-J27)/(K14-J14),"")</f>
        <v/>
      </c>
      <c r="L47" s="25">
        <f>IFERROR((L27-K27)/(L14-K14),"")</f>
        <v/>
      </c>
      <c r="M47" s="25">
        <f>IFERROR((M27-L27)/(M14-L14),"")</f>
        <v/>
      </c>
      <c r="N47" s="25">
        <f>IFERROR((N27-M27)/(N14-M14),"")</f>
        <v/>
      </c>
      <c r="O47" s="25">
        <f>IFERROR((O27-N27)/(O14-N14),"")</f>
        <v/>
      </c>
      <c r="P47" s="25">
        <f>IFERROR((P27-O27)/(P14-O14),"")</f>
        <v/>
      </c>
    </row>
    <row r="48">
      <c r="A48" s="3" t="inlineStr">
        <is>
          <t xml:space="preserve">  ROIIC (ΔNOPAT / ΔInvested capital)</t>
        </is>
      </c>
      <c r="C48" s="25">
        <f>IFERROR((C31-B31)/(C42-B42),"")</f>
        <v/>
      </c>
      <c r="D48" s="25">
        <f>IFERROR((D31-C31)/(D42-C42),"")</f>
        <v/>
      </c>
      <c r="E48" s="25">
        <f>IFERROR((E31-D31)/(E42-D42),"")</f>
        <v/>
      </c>
      <c r="F48" s="25">
        <f>IFERROR((F31-E31)/(F42-E42),"")</f>
        <v/>
      </c>
      <c r="G48" s="25">
        <f>IFERROR((G31-F31)/(G42-F42),"")</f>
        <v/>
      </c>
      <c r="H48" s="25">
        <f>IFERROR((H31-G31)/(H42-G42),"")</f>
        <v/>
      </c>
      <c r="I48" s="25">
        <f>IFERROR((I31-H31)/(I42-H42),"")</f>
        <v/>
      </c>
      <c r="J48" s="25">
        <f>IFERROR((J31-I31)/(J42-I42),"")</f>
        <v/>
      </c>
      <c r="K48" s="25">
        <f>IFERROR((K31-J31)/(K42-J42),"")</f>
        <v/>
      </c>
      <c r="L48" s="25">
        <f>IFERROR((L31-K31)/(L42-K42),"")</f>
        <v/>
      </c>
      <c r="M48" s="25">
        <f>IFERROR((M31-L31)/(M42-L42),"")</f>
        <v/>
      </c>
      <c r="N48" s="25">
        <f>IFERROR((N31-M31)/(N42-M42),"")</f>
        <v/>
      </c>
      <c r="O48" s="25">
        <f>IFERROR((O31-N31)/(O42-N42),"")</f>
        <v/>
      </c>
      <c r="P48" s="25">
        <f>IFERROR((P31-O31)/(P42-O42),"")</f>
        <v/>
      </c>
    </row>
    <row r="49">
      <c r="A49" s="4" t="inlineStr">
        <is>
          <t xml:space="preserve">  Sales-to-capital (ΔRev / ΔInvested capital)</t>
        </is>
      </c>
      <c r="C49" s="44">
        <f>IFERROR((C14-B14)/(C42-B42),"")</f>
        <v/>
      </c>
      <c r="D49" s="44">
        <f>IFERROR((D14-C14)/(D42-C42),"")</f>
        <v/>
      </c>
      <c r="E49" s="44">
        <f>IFERROR((E14-D14)/(E42-D42),"")</f>
        <v/>
      </c>
      <c r="F49" s="44">
        <f>IFERROR((F14-E14)/(F42-E42),"")</f>
        <v/>
      </c>
      <c r="G49" s="44">
        <f>IFERROR((G14-F14)/(G42-F42),"")</f>
        <v/>
      </c>
      <c r="H49" s="44">
        <f>IFERROR((H14-G14)/(H42-G42),"")</f>
        <v/>
      </c>
      <c r="I49" s="44">
        <f>IFERROR((I14-H14)/(I42-H42),"")</f>
        <v/>
      </c>
      <c r="J49" s="44">
        <f>IFERROR((J14-I14)/(J42-I42),"")</f>
        <v/>
      </c>
      <c r="K49" s="44">
        <f>IFERROR((K14-J14)/(K42-J42),"")</f>
        <v/>
      </c>
      <c r="L49" s="44">
        <f>IFERROR((L14-K14)/(L42-K42),"")</f>
        <v/>
      </c>
      <c r="M49" s="44">
        <f>IFERROR((M14-L14)/(M42-L42),"")</f>
        <v/>
      </c>
      <c r="N49" s="44">
        <f>IFERROR((N14-M14)/(N42-M42),"")</f>
        <v/>
      </c>
      <c r="O49" s="44">
        <f>IFERROR((O14-N14)/(O42-N42),"")</f>
        <v/>
      </c>
      <c r="P49" s="44">
        <f>IFERROR((P14-O14)/(P42-O42),"")</f>
        <v/>
      </c>
    </row>
    <row r="50">
      <c r="A50" s="4" t="inlineStr">
        <is>
          <t xml:space="preserve">  Reinvestment rate (ΔInvested capital / NOPAT)</t>
        </is>
      </c>
      <c r="C50" s="25">
        <f>IFERROR((C42-B42)/C31,"")</f>
        <v/>
      </c>
      <c r="D50" s="25">
        <f>IFERROR((D42-C42)/D31,"")</f>
        <v/>
      </c>
      <c r="E50" s="25">
        <f>IFERROR((E42-D42)/E31,"")</f>
        <v/>
      </c>
      <c r="F50" s="25">
        <f>IFERROR((F42-E42)/F31,"")</f>
        <v/>
      </c>
      <c r="G50" s="25">
        <f>IFERROR((G42-F42)/G31,"")</f>
        <v/>
      </c>
      <c r="H50" s="25">
        <f>IFERROR((H42-G42)/H31,"")</f>
        <v/>
      </c>
      <c r="I50" s="25">
        <f>IFERROR((I42-H42)/I31,"")</f>
        <v/>
      </c>
      <c r="J50" s="25">
        <f>IFERROR((J42-I42)/J31,"")</f>
        <v/>
      </c>
      <c r="K50" s="25">
        <f>IFERROR((K42-J42)/K31,"")</f>
        <v/>
      </c>
      <c r="L50" s="25">
        <f>IFERROR((L42-K42)/L31,"")</f>
        <v/>
      </c>
      <c r="M50" s="25">
        <f>IFERROR((M42-L42)/M31,"")</f>
        <v/>
      </c>
      <c r="N50" s="25">
        <f>IFERROR((N42-M42)/N31,"")</f>
        <v/>
      </c>
      <c r="O50" s="25">
        <f>IFERROR((O42-N42)/O31,"")</f>
        <v/>
      </c>
      <c r="P50" s="25">
        <f>IFERROR((P42-O42)/P31,"")</f>
        <v/>
      </c>
    </row>
    <row r="52">
      <c r="A5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Q1 2020</t>
        </is>
      </c>
      <c r="C1" s="45" t="inlineStr">
        <is>
          <t>Q2 2020</t>
        </is>
      </c>
      <c r="D1" s="45" t="inlineStr">
        <is>
          <t>Q3 2020</t>
        </is>
      </c>
      <c r="E1" s="45" t="inlineStr">
        <is>
          <t>Q4 2020</t>
        </is>
      </c>
      <c r="F1" s="45" t="inlineStr">
        <is>
          <t>Q1 2021</t>
        </is>
      </c>
      <c r="G1" s="45" t="inlineStr">
        <is>
          <t>Q2 2021</t>
        </is>
      </c>
      <c r="H1" s="45" t="inlineStr">
        <is>
          <t>Q3 2021</t>
        </is>
      </c>
      <c r="I1" s="45" t="inlineStr">
        <is>
          <t>Q4 2021</t>
        </is>
      </c>
      <c r="J1" s="45" t="inlineStr">
        <is>
          <t>Q1 2022</t>
        </is>
      </c>
      <c r="K1" s="45" t="inlineStr">
        <is>
          <t>Q2 2022</t>
        </is>
      </c>
      <c r="L1" s="45" t="inlineStr">
        <is>
          <t>Q3 2022</t>
        </is>
      </c>
      <c r="M1" s="45" t="inlineStr">
        <is>
          <t>Q4 2022</t>
        </is>
      </c>
      <c r="N1" s="45" t="inlineStr">
        <is>
          <t>Q1 2023</t>
        </is>
      </c>
      <c r="O1" s="45" t="inlineStr">
        <is>
          <t>Q2 2023</t>
        </is>
      </c>
      <c r="P1" s="45" t="inlineStr">
        <is>
          <t>Q3 2023</t>
        </is>
      </c>
      <c r="Q1" s="45" t="inlineStr">
        <is>
          <t>Q4 2023</t>
        </is>
      </c>
      <c r="R1" s="45" t="inlineStr">
        <is>
          <t>Q1 2024</t>
        </is>
      </c>
      <c r="S1" s="45" t="inlineStr">
        <is>
          <t>Q2 2024</t>
        </is>
      </c>
      <c r="T1" s="45" t="inlineStr">
        <is>
          <t>Q3 2024</t>
        </is>
      </c>
      <c r="U1" s="45" t="inlineStr">
        <is>
          <t>Q4 2024</t>
        </is>
      </c>
      <c r="V1" s="45" t="inlineStr">
        <is>
          <t>Q1 2025</t>
        </is>
      </c>
      <c r="W1" s="45" t="inlineStr">
        <is>
          <t>Q2 2025</t>
        </is>
      </c>
      <c r="X1" s="45" t="inlineStr">
        <is>
          <t>Q3 2025</t>
        </is>
      </c>
      <c r="Y1" s="45" t="inlineStr">
        <is>
          <t>Q4 2025</t>
        </is>
      </c>
      <c r="Z1" s="45" t="inlineStr">
        <is>
          <t>Q1 2026</t>
        </is>
      </c>
      <c r="AA1" s="45" t="inlineStr">
        <is>
          <t>Q2 2026</t>
        </is>
      </c>
      <c r="AB1" s="45" t="inlineStr">
        <is>
          <t>Q3 2026</t>
        </is>
      </c>
      <c r="AC1" s="45" t="inlineStr">
        <is>
          <t>Q4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2220</v>
      </c>
      <c r="C3" s="18" t="n">
        <v>2579</v>
      </c>
      <c r="D3" s="18" t="n">
        <v>3014</v>
      </c>
      <c r="E3" s="18" t="n">
        <v>3105</v>
      </c>
      <c r="F3" s="18" t="n">
        <v>3080</v>
      </c>
      <c r="G3" s="18" t="n">
        <v>3866</v>
      </c>
      <c r="H3" s="18" t="n">
        <v>4726</v>
      </c>
      <c r="I3" s="18" t="n">
        <v>5003</v>
      </c>
      <c r="J3" s="18" t="n">
        <v>5661</v>
      </c>
      <c r="K3" s="18" t="n">
        <v>6507</v>
      </c>
      <c r="L3" s="18" t="n">
        <v>7103</v>
      </c>
      <c r="M3" s="18" t="n">
        <v>7643</v>
      </c>
      <c r="N3" s="18" t="n">
        <v>8288</v>
      </c>
      <c r="O3" s="18" t="n">
        <v>6704</v>
      </c>
      <c r="P3" s="18" t="n">
        <v>5931</v>
      </c>
      <c r="Q3" s="18" t="n">
        <v>6051</v>
      </c>
      <c r="R3" s="18" t="n">
        <v>7192</v>
      </c>
      <c r="S3" s="18" t="n">
        <v>13507</v>
      </c>
      <c r="T3" s="18" t="n">
        <v>18120</v>
      </c>
      <c r="U3" s="18" t="n">
        <v>22103</v>
      </c>
      <c r="V3" s="18" t="n">
        <v>26044</v>
      </c>
      <c r="W3" s="18" t="n">
        <v>30040</v>
      </c>
      <c r="X3" s="18" t="n">
        <v>35082</v>
      </c>
      <c r="Y3" s="18" t="n">
        <v>39331</v>
      </c>
      <c r="Z3" s="18" t="n">
        <v>44062</v>
      </c>
      <c r="AA3" s="18" t="n">
        <v>46743</v>
      </c>
      <c r="AB3" s="18" t="n">
        <v>57006</v>
      </c>
      <c r="AC3" s="18" t="n">
        <v>68127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924</v>
      </c>
      <c r="C5" s="18" t="n">
        <v>1038</v>
      </c>
      <c r="D5" s="18" t="n">
        <v>1098</v>
      </c>
      <c r="E5" s="18" t="n">
        <v>1090</v>
      </c>
      <c r="F5" s="18" t="n">
        <v>1076</v>
      </c>
      <c r="G5" s="18" t="n">
        <v>1591</v>
      </c>
      <c r="H5" s="18" t="n">
        <v>1766</v>
      </c>
      <c r="I5" s="18" t="n">
        <v>1847</v>
      </c>
      <c r="J5" s="18" t="n">
        <v>2032</v>
      </c>
      <c r="K5" s="18" t="n">
        <v>2292</v>
      </c>
      <c r="L5" s="18" t="n">
        <v>2472</v>
      </c>
      <c r="M5" s="18" t="n">
        <v>2644</v>
      </c>
      <c r="N5" s="18" t="n">
        <v>2857</v>
      </c>
      <c r="O5" s="18" t="n">
        <v>3789</v>
      </c>
      <c r="P5" s="18" t="n">
        <v>2754</v>
      </c>
      <c r="Q5" s="18" t="n">
        <v>2218</v>
      </c>
      <c r="R5" s="18" t="n">
        <v>2544</v>
      </c>
      <c r="S5" s="18" t="n">
        <v>4045</v>
      </c>
      <c r="T5" s="18" t="n">
        <v>4720</v>
      </c>
      <c r="U5" s="18" t="n">
        <v>5312</v>
      </c>
      <c r="V5" s="18" t="n">
        <v>5638</v>
      </c>
      <c r="W5" s="18" t="n">
        <v>7466</v>
      </c>
      <c r="X5" s="18" t="n">
        <v>8926</v>
      </c>
      <c r="Y5" s="18" t="n">
        <v>10608</v>
      </c>
      <c r="Z5" s="18" t="n">
        <v>17394</v>
      </c>
      <c r="AA5" s="18" t="n">
        <v>12890</v>
      </c>
      <c r="AB5" s="18" t="n">
        <v>15157</v>
      </c>
      <c r="AC5" s="18" t="n">
        <v>17034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674</v>
      </c>
      <c r="C7" s="18" t="n">
        <v>704</v>
      </c>
      <c r="D7" s="18" t="n">
        <v>712</v>
      </c>
      <c r="E7" s="18" t="n">
        <v>738</v>
      </c>
      <c r="F7" s="18" t="n">
        <v>735</v>
      </c>
      <c r="G7" s="18" t="n">
        <v>997</v>
      </c>
      <c r="H7" s="18" t="n">
        <v>1047</v>
      </c>
      <c r="I7" s="18" t="n">
        <v>1146</v>
      </c>
      <c r="J7" s="18" t="n">
        <v>1153</v>
      </c>
      <c r="K7" s="18" t="n">
        <v>1245</v>
      </c>
      <c r="L7" s="18" t="n">
        <v>1403</v>
      </c>
      <c r="M7" s="18" t="n">
        <v>1466</v>
      </c>
      <c r="N7" s="18" t="n">
        <v>1618</v>
      </c>
      <c r="O7" s="18" t="n">
        <v>1824</v>
      </c>
      <c r="P7" s="18" t="n">
        <v>1945</v>
      </c>
      <c r="Q7" s="18" t="n">
        <v>1952</v>
      </c>
      <c r="R7" s="18" t="n">
        <v>1875</v>
      </c>
      <c r="S7" s="18" t="n">
        <v>2040</v>
      </c>
      <c r="T7" s="18" t="n">
        <v>2294</v>
      </c>
      <c r="U7" s="18" t="n">
        <v>2465</v>
      </c>
      <c r="V7" s="18" t="n">
        <v>2720</v>
      </c>
      <c r="W7" s="18" t="n">
        <v>3090</v>
      </c>
      <c r="X7" s="18" t="n">
        <v>3390</v>
      </c>
      <c r="Y7" s="18" t="n">
        <v>3714</v>
      </c>
      <c r="Z7" s="18" t="n">
        <v>3989</v>
      </c>
      <c r="AA7" s="18" t="n">
        <v>4291</v>
      </c>
      <c r="AB7" s="18" t="n">
        <v>4705</v>
      </c>
      <c r="AC7" s="18" t="n">
        <v>5512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264</v>
      </c>
      <c r="C9" s="18" t="n">
        <v>266</v>
      </c>
      <c r="D9" s="18" t="n">
        <v>277</v>
      </c>
      <c r="E9" s="18" t="n">
        <v>287</v>
      </c>
      <c r="F9" s="18" t="n">
        <v>293</v>
      </c>
      <c r="G9" s="18" t="n">
        <v>627</v>
      </c>
      <c r="H9" s="18" t="n">
        <v>515</v>
      </c>
      <c r="I9" s="18" t="n">
        <v>503</v>
      </c>
      <c r="J9" s="18" t="n">
        <v>520</v>
      </c>
      <c r="K9" s="18" t="n">
        <v>526</v>
      </c>
      <c r="L9" s="18" t="n">
        <v>557</v>
      </c>
      <c r="M9" s="18" t="n">
        <v>563</v>
      </c>
      <c r="N9" s="18" t="n">
        <v>592</v>
      </c>
      <c r="O9" s="18" t="n">
        <v>592</v>
      </c>
      <c r="P9" s="18" t="n">
        <v>631</v>
      </c>
      <c r="Q9" s="18" t="n">
        <v>625</v>
      </c>
      <c r="R9" s="18" t="n">
        <v>633</v>
      </c>
      <c r="S9" s="18" t="n">
        <v>622</v>
      </c>
      <c r="T9" s="18" t="n">
        <v>689</v>
      </c>
      <c r="U9" s="18" t="n">
        <v>712</v>
      </c>
      <c r="V9" s="18" t="n">
        <v>777</v>
      </c>
      <c r="W9" s="18" t="n">
        <v>842</v>
      </c>
      <c r="X9" s="18" t="n">
        <v>897</v>
      </c>
      <c r="Y9" s="18" t="n">
        <v>975</v>
      </c>
      <c r="Z9" s="18" t="n">
        <v>1041</v>
      </c>
      <c r="AA9" s="18" t="n">
        <v>1122</v>
      </c>
      <c r="AB9" s="18" t="n">
        <v>1134</v>
      </c>
      <c r="AC9" s="18" t="n">
        <v>1282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1296</v>
      </c>
      <c r="C11" s="18" t="n">
        <v>1541</v>
      </c>
      <c r="D11" s="18" t="n">
        <v>1916</v>
      </c>
      <c r="E11" s="18" t="n">
        <v>2015</v>
      </c>
      <c r="F11" s="18" t="n">
        <v>2004</v>
      </c>
      <c r="G11" s="18" t="n">
        <v>2275</v>
      </c>
      <c r="H11" s="18" t="n">
        <v>2960</v>
      </c>
      <c r="I11" s="18" t="n">
        <v>3156</v>
      </c>
      <c r="J11" s="18" t="n">
        <v>3629</v>
      </c>
      <c r="K11" s="18" t="n">
        <v>4215</v>
      </c>
      <c r="L11" s="18" t="n">
        <v>4631</v>
      </c>
      <c r="M11" s="18" t="n">
        <v>4999</v>
      </c>
      <c r="N11" s="18" t="n">
        <v>5431</v>
      </c>
      <c r="O11" s="18" t="n">
        <v>2915</v>
      </c>
      <c r="P11" s="18" t="n">
        <v>3177</v>
      </c>
      <c r="Q11" s="18" t="n">
        <v>3833</v>
      </c>
      <c r="R11" s="18" t="n">
        <v>4648</v>
      </c>
      <c r="S11" s="18" t="n">
        <v>9462</v>
      </c>
      <c r="T11" s="18" t="n">
        <v>13400</v>
      </c>
      <c r="U11" s="18" t="n">
        <v>16791</v>
      </c>
      <c r="V11" s="18" t="n">
        <v>20406</v>
      </c>
      <c r="W11" s="18" t="n">
        <v>22574</v>
      </c>
      <c r="X11" s="18" t="n">
        <v>26156</v>
      </c>
      <c r="Y11" s="18" t="n">
        <v>28723</v>
      </c>
      <c r="Z11" s="18" t="n">
        <v>26668</v>
      </c>
      <c r="AA11" s="18" t="n">
        <v>33853</v>
      </c>
      <c r="AB11" s="18" t="n">
        <v>41849</v>
      </c>
      <c r="AC11" s="18" t="n">
        <v>51093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358</v>
      </c>
      <c r="C13" s="18" t="n">
        <v>571</v>
      </c>
      <c r="D13" s="18" t="n">
        <v>927</v>
      </c>
      <c r="E13" s="18" t="n">
        <v>990</v>
      </c>
      <c r="F13" s="18" t="n">
        <v>976</v>
      </c>
      <c r="G13" s="18" t="n">
        <v>651</v>
      </c>
      <c r="H13" s="18" t="n">
        <v>1398</v>
      </c>
      <c r="I13" s="18" t="n">
        <v>1507</v>
      </c>
      <c r="J13" s="18" t="n">
        <v>1956</v>
      </c>
      <c r="K13" s="18" t="n">
        <v>2444</v>
      </c>
      <c r="L13" s="18" t="n">
        <v>2671</v>
      </c>
      <c r="M13" s="18" t="n">
        <v>2970</v>
      </c>
      <c r="N13" s="18" t="n">
        <v>1868</v>
      </c>
      <c r="O13" s="18" t="n">
        <v>499</v>
      </c>
      <c r="P13" s="18" t="n">
        <v>601</v>
      </c>
      <c r="Q13" s="18" t="n">
        <v>1256</v>
      </c>
      <c r="R13" s="18" t="n">
        <v>2140</v>
      </c>
      <c r="S13" s="18" t="n">
        <v>6800</v>
      </c>
      <c r="T13" s="18" t="n">
        <v>10417</v>
      </c>
      <c r="U13" s="18" t="n">
        <v>13614</v>
      </c>
      <c r="V13" s="18" t="n">
        <v>16909</v>
      </c>
      <c r="W13" s="18" t="n">
        <v>18642</v>
      </c>
      <c r="X13" s="18" t="n">
        <v>21869</v>
      </c>
      <c r="Y13" s="18" t="n">
        <v>24034</v>
      </c>
      <c r="Z13" s="18" t="n">
        <v>21638</v>
      </c>
      <c r="AA13" s="18" t="n">
        <v>28440</v>
      </c>
      <c r="AB13" s="18" t="n">
        <v>36010</v>
      </c>
      <c r="AC13" s="18" t="n">
        <v>44299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394</v>
      </c>
      <c r="C15" s="18" t="n">
        <v>552</v>
      </c>
      <c r="D15" s="18" t="n">
        <v>899</v>
      </c>
      <c r="E15" s="18" t="n">
        <v>951</v>
      </c>
      <c r="F15" s="18" t="n">
        <v>917</v>
      </c>
      <c r="G15" s="18" t="n">
        <v>622</v>
      </c>
      <c r="H15" s="18" t="n">
        <v>1336</v>
      </c>
      <c r="I15" s="18" t="n">
        <v>1457</v>
      </c>
      <c r="J15" s="18" t="n">
        <v>1912</v>
      </c>
      <c r="K15" s="18" t="n">
        <v>2374</v>
      </c>
      <c r="L15" s="18" t="n">
        <v>2464</v>
      </c>
      <c r="M15" s="18" t="n">
        <v>3003</v>
      </c>
      <c r="N15" s="18" t="n">
        <v>1618</v>
      </c>
      <c r="O15" s="18" t="n">
        <v>656</v>
      </c>
      <c r="P15" s="18" t="n">
        <v>680</v>
      </c>
      <c r="Q15" s="18" t="n">
        <v>1414</v>
      </c>
      <c r="R15" s="18" t="n">
        <v>2043</v>
      </c>
      <c r="S15" s="18" t="n">
        <v>6188</v>
      </c>
      <c r="T15" s="18" t="n">
        <v>9243</v>
      </c>
      <c r="U15" s="18" t="n">
        <v>12285</v>
      </c>
      <c r="V15" s="18" t="n">
        <v>14881</v>
      </c>
      <c r="W15" s="18" t="n">
        <v>16599</v>
      </c>
      <c r="X15" s="18" t="n">
        <v>19309</v>
      </c>
      <c r="Y15" s="18" t="n">
        <v>22091</v>
      </c>
      <c r="Z15" s="18" t="n">
        <v>18775</v>
      </c>
      <c r="AA15" s="18" t="n">
        <v>26422</v>
      </c>
      <c r="AB15" s="18" t="n">
        <v>31910</v>
      </c>
      <c r="AC15" s="18" t="n">
        <v>42960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24640</v>
      </c>
      <c r="C17" s="18" t="n">
        <v>24640</v>
      </c>
      <c r="D17" s="18" t="n">
        <v>24720</v>
      </c>
      <c r="E17" s="18" t="n">
        <v>24840</v>
      </c>
      <c r="F17" s="18" t="n">
        <v>24880</v>
      </c>
      <c r="G17" s="18" t="n">
        <v>25040</v>
      </c>
      <c r="H17" s="18" t="n">
        <v>25200</v>
      </c>
      <c r="I17" s="18" t="n">
        <v>25240</v>
      </c>
      <c r="J17" s="18" t="n">
        <v>25280</v>
      </c>
      <c r="K17" s="18" t="n">
        <v>25320</v>
      </c>
      <c r="L17" s="18" t="n">
        <v>25380</v>
      </c>
      <c r="M17" s="18" t="n">
        <v>25450</v>
      </c>
      <c r="N17" s="18" t="n">
        <v>25370</v>
      </c>
      <c r="O17" s="18" t="n">
        <v>25160</v>
      </c>
      <c r="P17" s="18" t="n">
        <v>24990</v>
      </c>
      <c r="Q17" s="18" t="n">
        <v>24770</v>
      </c>
      <c r="R17" s="18" t="n">
        <v>24900</v>
      </c>
      <c r="S17" s="18" t="n">
        <v>24990</v>
      </c>
      <c r="T17" s="18" t="n">
        <v>24940</v>
      </c>
      <c r="U17" s="18" t="n">
        <v>24900</v>
      </c>
      <c r="V17" s="18" t="n">
        <v>24890</v>
      </c>
      <c r="W17" s="18" t="n">
        <v>24848</v>
      </c>
      <c r="X17" s="18" t="n">
        <v>24774</v>
      </c>
      <c r="Y17" s="18" t="n">
        <v>24706</v>
      </c>
      <c r="Z17" s="18" t="n">
        <v>24611</v>
      </c>
      <c r="AA17" s="18" t="n">
        <v>24532</v>
      </c>
      <c r="AB17" s="18" t="n">
        <v>24483</v>
      </c>
      <c r="AC17" s="18" t="n">
        <v>24432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Data Center</t>
        </is>
      </c>
      <c r="B19" s="18" t="n">
        <v>634</v>
      </c>
      <c r="C19" s="18" t="n">
        <v>655</v>
      </c>
      <c r="D19" s="18" t="n">
        <v>726</v>
      </c>
      <c r="E19" s="18" t="n">
        <v>968</v>
      </c>
      <c r="F19" s="18" t="n">
        <v>1141</v>
      </c>
      <c r="G19" s="18" t="n">
        <v>1752</v>
      </c>
      <c r="H19" s="18" t="n">
        <v>1900</v>
      </c>
      <c r="I19" s="18" t="n">
        <v>1903</v>
      </c>
      <c r="J19" s="18" t="n">
        <v>2048</v>
      </c>
      <c r="K19" s="18" t="n">
        <v>2366</v>
      </c>
      <c r="L19" s="18" t="n">
        <v>2936</v>
      </c>
      <c r="M19" s="18" t="n">
        <v>3263</v>
      </c>
      <c r="N19" s="18" t="n">
        <v>3750</v>
      </c>
      <c r="O19" s="18" t="n">
        <v>3806</v>
      </c>
      <c r="P19" s="18" t="n">
        <v>3833</v>
      </c>
      <c r="Q19" s="18" t="n">
        <v>3616</v>
      </c>
      <c r="R19" s="18" t="n">
        <v>4284</v>
      </c>
      <c r="S19" s="18" t="n">
        <v>10323</v>
      </c>
      <c r="T19" s="18" t="n">
        <v>14514</v>
      </c>
      <c r="U19" s="18" t="n">
        <v>18404</v>
      </c>
      <c r="V19" s="18" t="n">
        <v>22563</v>
      </c>
      <c r="W19" s="18" t="n">
        <v>26272</v>
      </c>
      <c r="X19" s="18" t="n">
        <v>30771</v>
      </c>
      <c r="Y19" s="18" t="n">
        <v>35580</v>
      </c>
      <c r="Z19" s="18" t="n">
        <v>39112</v>
      </c>
      <c r="AA19" s="18" t="n">
        <v>41096</v>
      </c>
      <c r="AB19" s="18" t="n">
        <v>51215</v>
      </c>
      <c r="AC19" s="18" t="n">
        <v>62314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Gaming</t>
        </is>
      </c>
      <c r="B22" s="18" t="n">
        <v>1055</v>
      </c>
      <c r="C22" s="18" t="n">
        <v>1313</v>
      </c>
      <c r="D22" s="18" t="n">
        <v>1659</v>
      </c>
      <c r="E22" s="18" t="n">
        <v>1491</v>
      </c>
      <c r="F22" s="18" t="n">
        <v>1339</v>
      </c>
      <c r="G22" s="18" t="n">
        <v>1654</v>
      </c>
      <c r="H22" s="18" t="n">
        <v>2271</v>
      </c>
      <c r="I22" s="18" t="n">
        <v>2495</v>
      </c>
      <c r="J22" s="18" t="n">
        <v>2760</v>
      </c>
      <c r="K22" s="18" t="n">
        <v>3061</v>
      </c>
      <c r="L22" s="18" t="n">
        <v>3221</v>
      </c>
      <c r="M22" s="18" t="n">
        <v>3420</v>
      </c>
      <c r="N22" s="18" t="n">
        <v>3620</v>
      </c>
      <c r="O22" s="18" t="n">
        <v>2042</v>
      </c>
      <c r="P22" s="18" t="n">
        <v>1574</v>
      </c>
      <c r="Q22" s="18" t="n">
        <v>1831</v>
      </c>
      <c r="R22" s="18" t="n">
        <v>2240</v>
      </c>
      <c r="S22" s="18" t="n">
        <v>2486</v>
      </c>
      <c r="T22" s="18" t="n">
        <v>2856</v>
      </c>
      <c r="U22" s="18" t="n">
        <v>2865</v>
      </c>
      <c r="V22" s="18" t="n">
        <v>2647</v>
      </c>
      <c r="W22" s="18" t="n">
        <v>2880</v>
      </c>
      <c r="X22" s="18" t="n">
        <v>3279</v>
      </c>
      <c r="Y22" s="18" t="n">
        <v>2544</v>
      </c>
      <c r="Z22" s="18" t="n">
        <v>3763</v>
      </c>
      <c r="AA22" s="18" t="n">
        <v>4287</v>
      </c>
      <c r="AB22" s="18" t="n">
        <v>4265</v>
      </c>
      <c r="AC22" s="18" t="n">
        <v>3727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Professional Visualization</t>
        </is>
      </c>
      <c r="B25" s="18" t="n">
        <v>266</v>
      </c>
      <c r="C25" s="18" t="n">
        <v>291</v>
      </c>
      <c r="D25" s="18" t="n">
        <v>324</v>
      </c>
      <c r="E25" s="18" t="n">
        <v>331</v>
      </c>
      <c r="F25" s="18" t="n">
        <v>307</v>
      </c>
      <c r="G25" s="18" t="n">
        <v>203</v>
      </c>
      <c r="H25" s="18" t="n">
        <v>236</v>
      </c>
      <c r="I25" s="18" t="n">
        <v>307</v>
      </c>
      <c r="J25" s="18" t="n">
        <v>372</v>
      </c>
      <c r="K25" s="18" t="n">
        <v>519</v>
      </c>
      <c r="L25" s="18" t="n">
        <v>577</v>
      </c>
      <c r="M25" s="18" t="n">
        <v>643</v>
      </c>
      <c r="N25" s="18" t="n">
        <v>622</v>
      </c>
      <c r="O25" s="18" t="n">
        <v>496</v>
      </c>
      <c r="P25" s="18" t="n">
        <v>200</v>
      </c>
      <c r="Q25" s="18" t="n">
        <v>226</v>
      </c>
      <c r="R25" s="18" t="n">
        <v>295</v>
      </c>
      <c r="S25" s="18" t="n">
        <v>379</v>
      </c>
      <c r="T25" s="18" t="n">
        <v>416</v>
      </c>
      <c r="U25" s="18" t="n">
        <v>463</v>
      </c>
      <c r="V25" s="18" t="n">
        <v>427</v>
      </c>
      <c r="W25" s="18" t="n">
        <v>454</v>
      </c>
      <c r="X25" s="18" t="n">
        <v>486</v>
      </c>
      <c r="Y25" s="18" t="n">
        <v>511</v>
      </c>
      <c r="Z25" s="18" t="n">
        <v>509</v>
      </c>
      <c r="AA25" s="18" t="n">
        <v>601</v>
      </c>
      <c r="AB25" s="18" t="n">
        <v>760</v>
      </c>
      <c r="AC25" s="18" t="n">
        <v>1321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Automotive</t>
        </is>
      </c>
      <c r="B28" s="18" t="n">
        <v>166</v>
      </c>
      <c r="C28" s="18" t="n">
        <v>209</v>
      </c>
      <c r="D28" s="18" t="n">
        <v>162</v>
      </c>
      <c r="E28" s="18" t="n">
        <v>163</v>
      </c>
      <c r="F28" s="18" t="n">
        <v>155</v>
      </c>
      <c r="G28" s="18" t="n">
        <v>111</v>
      </c>
      <c r="H28" s="18" t="n">
        <v>125</v>
      </c>
      <c r="I28" s="18" t="n">
        <v>145</v>
      </c>
      <c r="J28" s="18" t="n">
        <v>154</v>
      </c>
      <c r="K28" s="18" t="n">
        <v>152</v>
      </c>
      <c r="L28" s="18" t="n">
        <v>135</v>
      </c>
      <c r="M28" s="18" t="n">
        <v>125</v>
      </c>
      <c r="N28" s="18" t="n">
        <v>138</v>
      </c>
      <c r="O28" s="18" t="n">
        <v>220</v>
      </c>
      <c r="P28" s="18" t="n">
        <v>251</v>
      </c>
      <c r="Q28" s="18" t="n">
        <v>294</v>
      </c>
      <c r="R28" s="18" t="n">
        <v>296</v>
      </c>
      <c r="S28" s="18" t="n">
        <v>253</v>
      </c>
      <c r="T28" s="18" t="n">
        <v>261</v>
      </c>
      <c r="U28" s="18" t="n">
        <v>281</v>
      </c>
      <c r="V28" s="18" t="n">
        <v>329</v>
      </c>
      <c r="W28" s="18" t="n">
        <v>346</v>
      </c>
      <c r="X28" s="18" t="n">
        <v>449</v>
      </c>
      <c r="Y28" s="18" t="n">
        <v>570</v>
      </c>
      <c r="Z28" s="18" t="n">
        <v>567</v>
      </c>
      <c r="AA28" s="18" t="n">
        <v>586</v>
      </c>
      <c r="AB28" s="18" t="n">
        <v>592</v>
      </c>
      <c r="AC28" s="18" t="n">
        <v>604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OEM And Other</t>
        </is>
      </c>
      <c r="B31" s="18" t="n">
        <v>99</v>
      </c>
      <c r="C31" s="18" t="n">
        <v>111</v>
      </c>
      <c r="D31" s="18" t="n">
        <v>143</v>
      </c>
      <c r="E31" s="18" t="n">
        <v>152</v>
      </c>
      <c r="F31" s="18" t="n">
        <v>138</v>
      </c>
      <c r="G31" s="18" t="n">
        <v>146</v>
      </c>
      <c r="H31" s="18" t="n">
        <v>194</v>
      </c>
      <c r="I31" s="18" t="n">
        <v>153</v>
      </c>
      <c r="J31" s="18" t="n">
        <v>327</v>
      </c>
      <c r="K31" s="18" t="n">
        <v>409</v>
      </c>
      <c r="L31" s="18" t="n">
        <v>234</v>
      </c>
      <c r="M31" s="18" t="n">
        <v>192</v>
      </c>
      <c r="N31" s="18" t="n">
        <v>158</v>
      </c>
      <c r="O31" s="18" t="n">
        <v>140</v>
      </c>
      <c r="P31" s="18" t="n">
        <v>73</v>
      </c>
      <c r="Q31" s="18" t="n">
        <v>84</v>
      </c>
      <c r="R31" s="18" t="n">
        <v>77</v>
      </c>
      <c r="S31" s="18" t="n">
        <v>66</v>
      </c>
      <c r="T31" s="18" t="n">
        <v>73</v>
      </c>
      <c r="U31" s="18" t="n">
        <v>90</v>
      </c>
      <c r="V31" s="18" t="n">
        <v>78</v>
      </c>
      <c r="W31" s="18" t="n">
        <v>88</v>
      </c>
      <c r="X31" s="18" t="n">
        <v>97</v>
      </c>
      <c r="Y31" s="18" t="n">
        <v>126</v>
      </c>
      <c r="Z31" s="18" t="n">
        <v>111</v>
      </c>
      <c r="AA31" s="18" t="n">
        <v>173</v>
      </c>
      <c r="AB31" s="18" t="n">
        <v>174</v>
      </c>
      <c r="AC31" s="18" t="n">
        <v>161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5" t="inlineStr">
        <is>
          <t xml:space="preserve">  REVENUE BY SEGMENT — GEOGRAPHY (% YoY, % of revenue)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4" t="inlineStr">
        <is>
          <t>UNITED STATES</t>
        </is>
      </c>
      <c r="B35" s="18" t="n">
        <v>165</v>
      </c>
      <c r="C35" s="18" t="n">
        <v>188</v>
      </c>
      <c r="D35" s="18" t="n">
        <v>236</v>
      </c>
      <c r="E35" s="18" t="n">
        <v>297</v>
      </c>
      <c r="F35" s="18" t="n">
        <v>497</v>
      </c>
      <c r="G35" s="18" t="n">
        <v>944</v>
      </c>
      <c r="H35" s="18" t="n">
        <v>890</v>
      </c>
      <c r="I35" s="18" t="n">
        <v>883</v>
      </c>
      <c r="J35" s="18" t="n">
        <v>768</v>
      </c>
      <c r="K35" s="18" t="n">
        <v>996</v>
      </c>
      <c r="L35" s="18" t="n">
        <v>1126</v>
      </c>
      <c r="M35" s="18" t="n">
        <v>1459</v>
      </c>
      <c r="N35" s="18" t="n">
        <v>1932</v>
      </c>
      <c r="O35" s="18" t="n">
        <v>1988</v>
      </c>
      <c r="P35" s="18" t="n">
        <v>2148</v>
      </c>
      <c r="Q35" s="18" t="n">
        <v>2224</v>
      </c>
      <c r="R35" s="18" t="n">
        <v>2385</v>
      </c>
      <c r="S35" s="18" t="n">
        <v>6043</v>
      </c>
      <c r="T35" s="18" t="n">
        <v>6302</v>
      </c>
      <c r="U35" s="18" t="n">
        <v>12236</v>
      </c>
      <c r="V35" s="18" t="n">
        <v>13496</v>
      </c>
      <c r="W35" s="18" t="n">
        <v>13022</v>
      </c>
      <c r="X35" s="18" t="n">
        <v>14800</v>
      </c>
      <c r="Y35" s="18" t="n">
        <v>19939</v>
      </c>
      <c r="Z35" s="18" t="n">
        <v>20739</v>
      </c>
      <c r="AA35" s="18" t="n">
        <v>23470</v>
      </c>
      <c r="AB35" s="18" t="n">
        <v>39177</v>
      </c>
      <c r="AC35" s="18" t="n">
        <v>66231</v>
      </c>
    </row>
    <row r="36">
      <c r="A36" s="4" t="inlineStr">
        <is>
          <t xml:space="preserve">    % YoY</t>
        </is>
      </c>
      <c r="F36" s="25">
        <f>IFERROR(F35/B35-1,"")</f>
        <v/>
      </c>
      <c r="G36" s="25">
        <f>IFERROR(G35/C35-1,"")</f>
        <v/>
      </c>
      <c r="H36" s="25">
        <f>IFERROR(H35/D35-1,"")</f>
        <v/>
      </c>
      <c r="I36" s="25">
        <f>IFERROR(I35/E35-1,"")</f>
        <v/>
      </c>
      <c r="J36" s="25">
        <f>IFERROR(J35/F35-1,"")</f>
        <v/>
      </c>
      <c r="K36" s="25">
        <f>IFERROR(K35/G35-1,"")</f>
        <v/>
      </c>
      <c r="L36" s="25">
        <f>IFERROR(L35/H35-1,"")</f>
        <v/>
      </c>
      <c r="M36" s="25">
        <f>IFERROR(M35/I35-1,"")</f>
        <v/>
      </c>
      <c r="N36" s="25">
        <f>IFERROR(N35/J35-1,"")</f>
        <v/>
      </c>
      <c r="O36" s="25">
        <f>IFERROR(O35/K35-1,"")</f>
        <v/>
      </c>
      <c r="P36" s="25">
        <f>IFERROR(P35/L35-1,"")</f>
        <v/>
      </c>
      <c r="Q36" s="25">
        <f>IFERROR(Q35/M35-1,"")</f>
        <v/>
      </c>
      <c r="R36" s="25">
        <f>IFERROR(R35/N35-1,"")</f>
        <v/>
      </c>
      <c r="S36" s="25">
        <f>IFERROR(S35/O35-1,"")</f>
        <v/>
      </c>
      <c r="T36" s="25">
        <f>IFERROR(T35/P35-1,"")</f>
        <v/>
      </c>
      <c r="U36" s="25">
        <f>IFERROR(U35/Q35-1,"")</f>
        <v/>
      </c>
      <c r="V36" s="25">
        <f>IFERROR(V35/R35-1,"")</f>
        <v/>
      </c>
      <c r="W36" s="25">
        <f>IFERROR(W35/S35-1,"")</f>
        <v/>
      </c>
      <c r="X36" s="25">
        <f>IFERROR(X35/T35-1,"")</f>
        <v/>
      </c>
      <c r="Y36" s="25">
        <f>IFERROR(Y35/U35-1,"")</f>
        <v/>
      </c>
      <c r="Z36" s="25">
        <f>IFERROR(Z35/V35-1,"")</f>
        <v/>
      </c>
      <c r="AA36" s="25">
        <f>IFERROR(AA35/W35-1,"")</f>
        <v/>
      </c>
      <c r="AB36" s="25">
        <f>IFERROR(AB35/X35-1,"")</f>
        <v/>
      </c>
      <c r="AC36" s="25">
        <f>IFERROR(AC35/Y35-1,"")</f>
        <v/>
      </c>
    </row>
    <row r="37">
      <c r="A37" s="4" t="inlineStr">
        <is>
          <t xml:space="preserve">    % of revenue</t>
        </is>
      </c>
      <c r="B37" s="25">
        <f>IFERROR(B35/B3,"")</f>
        <v/>
      </c>
      <c r="C37" s="25">
        <f>IFERROR(C35/C3,"")</f>
        <v/>
      </c>
      <c r="D37" s="25">
        <f>IFERROR(D35/D3,"")</f>
        <v/>
      </c>
      <c r="E37" s="25">
        <f>IFERROR(E35/E3,"")</f>
        <v/>
      </c>
      <c r="F37" s="25">
        <f>IFERROR(F35/F3,"")</f>
        <v/>
      </c>
      <c r="G37" s="25">
        <f>IFERROR(G35/G3,"")</f>
        <v/>
      </c>
      <c r="H37" s="25">
        <f>IFERROR(H35/H3,"")</f>
        <v/>
      </c>
      <c r="I37" s="25">
        <f>IFERROR(I35/I3,"")</f>
        <v/>
      </c>
      <c r="J37" s="25">
        <f>IFERROR(J35/J3,"")</f>
        <v/>
      </c>
      <c r="K37" s="25">
        <f>IFERROR(K35/K3,"")</f>
        <v/>
      </c>
      <c r="L37" s="25">
        <f>IFERROR(L35/L3,"")</f>
        <v/>
      </c>
      <c r="M37" s="25">
        <f>IFERROR(M35/M3,"")</f>
        <v/>
      </c>
      <c r="N37" s="25">
        <f>IFERROR(N35/N3,"")</f>
        <v/>
      </c>
      <c r="O37" s="25">
        <f>IFERROR(O35/O3,"")</f>
        <v/>
      </c>
      <c r="P37" s="25">
        <f>IFERROR(P35/P3,"")</f>
        <v/>
      </c>
      <c r="Q37" s="25">
        <f>IFERROR(Q35/Q3,"")</f>
        <v/>
      </c>
      <c r="R37" s="25">
        <f>IFERROR(R35/R3,"")</f>
        <v/>
      </c>
      <c r="S37" s="25">
        <f>IFERROR(S35/S3,"")</f>
        <v/>
      </c>
      <c r="T37" s="25">
        <f>IFERROR(T35/T3,"")</f>
        <v/>
      </c>
      <c r="U37" s="25">
        <f>IFERROR(U35/U3,"")</f>
        <v/>
      </c>
      <c r="V37" s="25">
        <f>IFERROR(V35/V3,"")</f>
        <v/>
      </c>
      <c r="W37" s="25">
        <f>IFERROR(W35/W3,"")</f>
        <v/>
      </c>
      <c r="X37" s="25">
        <f>IFERROR(X35/X3,"")</f>
        <v/>
      </c>
      <c r="Y37" s="25">
        <f>IFERROR(Y35/Y3,"")</f>
        <v/>
      </c>
      <c r="Z37" s="25">
        <f>IFERROR(Z35/Z3,"")</f>
        <v/>
      </c>
      <c r="AA37" s="25">
        <f>IFERROR(AA35/AA3,"")</f>
        <v/>
      </c>
      <c r="AB37" s="25">
        <f>IFERROR(AB35/AB3,"")</f>
        <v/>
      </c>
      <c r="AC37" s="25">
        <f>IFERROR(AC35/AC3,"")</f>
        <v/>
      </c>
    </row>
    <row r="38">
      <c r="A38" s="4" t="inlineStr">
        <is>
          <t>TAIWAN, PROVINCE OF CHINA</t>
        </is>
      </c>
      <c r="B38" s="18" t="n">
        <v>698</v>
      </c>
      <c r="C38" s="18" t="n">
        <v>635</v>
      </c>
      <c r="D38" s="18" t="n">
        <v>838</v>
      </c>
      <c r="E38" s="18" t="n">
        <v>854</v>
      </c>
      <c r="F38" s="18" t="n">
        <v>813</v>
      </c>
      <c r="G38" s="18" t="n">
        <v>954</v>
      </c>
      <c r="H38" s="18" t="n">
        <v>1296</v>
      </c>
      <c r="I38" s="18" t="n">
        <v>1468</v>
      </c>
      <c r="J38" s="18" t="n">
        <v>1784</v>
      </c>
      <c r="K38" s="18" t="n">
        <v>1961</v>
      </c>
      <c r="L38" s="18" t="n">
        <v>2187</v>
      </c>
      <c r="M38" s="18" t="n">
        <v>2612</v>
      </c>
      <c r="N38" s="18" t="n">
        <v>2777</v>
      </c>
      <c r="O38" s="18" t="n">
        <v>1204</v>
      </c>
      <c r="P38" s="18" t="n">
        <v>1153</v>
      </c>
      <c r="Q38" s="18" t="n">
        <v>1852</v>
      </c>
      <c r="R38" s="18" t="n">
        <v>1796</v>
      </c>
      <c r="S38" s="18" t="n">
        <v>2839</v>
      </c>
      <c r="T38" s="18" t="n">
        <v>4333</v>
      </c>
      <c r="U38" s="18" t="n">
        <v>4437</v>
      </c>
      <c r="V38" s="18" t="n">
        <v>4373</v>
      </c>
      <c r="W38" s="18" t="n">
        <v>5740</v>
      </c>
      <c r="X38" s="18" t="n">
        <v>5153</v>
      </c>
      <c r="Y38" s="18" t="n">
        <v>5307</v>
      </c>
      <c r="Z38" s="18" t="n">
        <v>7158</v>
      </c>
      <c r="AA38" s="18" t="n">
        <v>8529</v>
      </c>
      <c r="AB38" s="18" t="n">
        <v>13751</v>
      </c>
      <c r="AC38" s="18" t="n">
        <v>12907</v>
      </c>
    </row>
    <row r="39">
      <c r="A39" s="4" t="inlineStr">
        <is>
          <t xml:space="preserve">    % YoY</t>
        </is>
      </c>
      <c r="F39" s="25">
        <f>IFERROR(F38/B38-1,"")</f>
        <v/>
      </c>
      <c r="G39" s="25">
        <f>IFERROR(G38/C38-1,"")</f>
        <v/>
      </c>
      <c r="H39" s="25">
        <f>IFERROR(H38/D38-1,"")</f>
        <v/>
      </c>
      <c r="I39" s="25">
        <f>IFERROR(I38/E38-1,"")</f>
        <v/>
      </c>
      <c r="J39" s="25">
        <f>IFERROR(J38/F38-1,"")</f>
        <v/>
      </c>
      <c r="K39" s="25">
        <f>IFERROR(K38/G38-1,"")</f>
        <v/>
      </c>
      <c r="L39" s="25">
        <f>IFERROR(L38/H38-1,"")</f>
        <v/>
      </c>
      <c r="M39" s="25">
        <f>IFERROR(M38/I38-1,"")</f>
        <v/>
      </c>
      <c r="N39" s="25">
        <f>IFERROR(N38/J38-1,"")</f>
        <v/>
      </c>
      <c r="O39" s="25">
        <f>IFERROR(O38/K38-1,"")</f>
        <v/>
      </c>
      <c r="P39" s="25">
        <f>IFERROR(P38/L38-1,"")</f>
        <v/>
      </c>
      <c r="Q39" s="25">
        <f>IFERROR(Q38/M38-1,"")</f>
        <v/>
      </c>
      <c r="R39" s="25">
        <f>IFERROR(R38/N38-1,"")</f>
        <v/>
      </c>
      <c r="S39" s="25">
        <f>IFERROR(S38/O38-1,"")</f>
        <v/>
      </c>
      <c r="T39" s="25">
        <f>IFERROR(T38/P38-1,"")</f>
        <v/>
      </c>
      <c r="U39" s="25">
        <f>IFERROR(U38/Q38-1,"")</f>
        <v/>
      </c>
      <c r="V39" s="25">
        <f>IFERROR(V38/R38-1,"")</f>
        <v/>
      </c>
      <c r="W39" s="25">
        <f>IFERROR(W38/S38-1,"")</f>
        <v/>
      </c>
      <c r="X39" s="25">
        <f>IFERROR(X38/T38-1,"")</f>
        <v/>
      </c>
      <c r="Y39" s="25">
        <f>IFERROR(Y38/U38-1,"")</f>
        <v/>
      </c>
      <c r="Z39" s="25">
        <f>IFERROR(Z38/V38-1,"")</f>
        <v/>
      </c>
      <c r="AA39" s="25">
        <f>IFERROR(AA38/W38-1,"")</f>
        <v/>
      </c>
      <c r="AB39" s="25">
        <f>IFERROR(AB38/X38-1,"")</f>
        <v/>
      </c>
      <c r="AC39" s="25">
        <f>IFERROR(AC38/Y38-1,"")</f>
        <v/>
      </c>
    </row>
    <row r="40">
      <c r="A40" s="4" t="inlineStr">
        <is>
          <t xml:space="preserve">    % of revenue</t>
        </is>
      </c>
      <c r="B40" s="25">
        <f>IFERROR(B38/B3,"")</f>
        <v/>
      </c>
      <c r="C40" s="25">
        <f>IFERROR(C38/C3,"")</f>
        <v/>
      </c>
      <c r="D40" s="25">
        <f>IFERROR(D38/D3,"")</f>
        <v/>
      </c>
      <c r="E40" s="25">
        <f>IFERROR(E38/E3,"")</f>
        <v/>
      </c>
      <c r="F40" s="25">
        <f>IFERROR(F38/F3,"")</f>
        <v/>
      </c>
      <c r="G40" s="25">
        <f>IFERROR(G38/G3,"")</f>
        <v/>
      </c>
      <c r="H40" s="25">
        <f>IFERROR(H38/H3,"")</f>
        <v/>
      </c>
      <c r="I40" s="25">
        <f>IFERROR(I38/I3,"")</f>
        <v/>
      </c>
      <c r="J40" s="25">
        <f>IFERROR(J38/J3,"")</f>
        <v/>
      </c>
      <c r="K40" s="25">
        <f>IFERROR(K38/K3,"")</f>
        <v/>
      </c>
      <c r="L40" s="25">
        <f>IFERROR(L38/L3,"")</f>
        <v/>
      </c>
      <c r="M40" s="25">
        <f>IFERROR(M38/M3,"")</f>
        <v/>
      </c>
      <c r="N40" s="25">
        <f>IFERROR(N38/N3,"")</f>
        <v/>
      </c>
      <c r="O40" s="25">
        <f>IFERROR(O38/O3,"")</f>
        <v/>
      </c>
      <c r="P40" s="25">
        <f>IFERROR(P38/P3,"")</f>
        <v/>
      </c>
      <c r="Q40" s="25">
        <f>IFERROR(Q38/Q3,"")</f>
        <v/>
      </c>
      <c r="R40" s="25">
        <f>IFERROR(R38/R3,"")</f>
        <v/>
      </c>
      <c r="S40" s="25">
        <f>IFERROR(S38/S3,"")</f>
        <v/>
      </c>
      <c r="T40" s="25">
        <f>IFERROR(T38/T3,"")</f>
        <v/>
      </c>
      <c r="U40" s="25">
        <f>IFERROR(U38/U3,"")</f>
        <v/>
      </c>
      <c r="V40" s="25">
        <f>IFERROR(V38/V3,"")</f>
        <v/>
      </c>
      <c r="W40" s="25">
        <f>IFERROR(W38/W3,"")</f>
        <v/>
      </c>
      <c r="X40" s="25">
        <f>IFERROR(X38/X3,"")</f>
        <v/>
      </c>
      <c r="Y40" s="25">
        <f>IFERROR(Y38/Y3,"")</f>
        <v/>
      </c>
      <c r="Z40" s="25">
        <f>IFERROR(Z38/Z3,"")</f>
        <v/>
      </c>
      <c r="AA40" s="25">
        <f>IFERROR(AA38/AA3,"")</f>
        <v/>
      </c>
      <c r="AB40" s="25">
        <f>IFERROR(AB38/AB3,"")</f>
        <v/>
      </c>
      <c r="AC40" s="25">
        <f>IFERROR(AC38/AC3,"")</f>
        <v/>
      </c>
    </row>
    <row r="41">
      <c r="A41" s="4" t="inlineStr">
        <is>
          <t>CHINA</t>
        </is>
      </c>
      <c r="B41" s="18" t="n">
        <v>553</v>
      </c>
      <c r="C41" s="18" t="n">
        <v>583</v>
      </c>
      <c r="D41" s="18" t="n">
        <v>758</v>
      </c>
      <c r="E41" s="18" t="n">
        <v>837</v>
      </c>
      <c r="F41" s="18" t="n">
        <v>758</v>
      </c>
      <c r="G41" s="18" t="n">
        <v>855</v>
      </c>
      <c r="H41" s="18" t="n">
        <v>1113</v>
      </c>
      <c r="I41" s="18" t="n">
        <v>1160</v>
      </c>
      <c r="J41" s="18" t="n">
        <v>1391</v>
      </c>
      <c r="K41" s="18" t="n">
        <v>1720</v>
      </c>
      <c r="L41" s="18" t="n">
        <v>2017</v>
      </c>
      <c r="M41" s="18" t="n">
        <v>1983</v>
      </c>
      <c r="N41" s="18" t="n">
        <v>2081</v>
      </c>
      <c r="O41" s="18" t="n">
        <v>1602</v>
      </c>
      <c r="P41" s="18" t="n">
        <v>1148</v>
      </c>
      <c r="Q41" s="18" t="n">
        <v>954</v>
      </c>
      <c r="R41" s="18" t="n">
        <v>1590</v>
      </c>
      <c r="S41" s="18" t="n">
        <v>2740</v>
      </c>
      <c r="T41" s="18" t="n">
        <v>4030</v>
      </c>
      <c r="U41" s="18" t="n">
        <v>1946</v>
      </c>
      <c r="V41" s="18" t="n">
        <v>2491</v>
      </c>
      <c r="W41" s="18" t="n">
        <v>3667</v>
      </c>
      <c r="X41" s="18" t="n">
        <v>5416</v>
      </c>
      <c r="Y41" s="18" t="n">
        <v>5534</v>
      </c>
      <c r="Z41" s="18" t="n">
        <v>5522</v>
      </c>
      <c r="AA41" s="18" t="n">
        <v>2769</v>
      </c>
      <c r="AB41" s="18" t="n">
        <v>2973</v>
      </c>
      <c r="AC41" s="18" t="n">
        <v>8413</v>
      </c>
    </row>
    <row r="42">
      <c r="A42" s="4" t="inlineStr">
        <is>
          <t xml:space="preserve">    % YoY</t>
        </is>
      </c>
      <c r="F42" s="25">
        <f>IFERROR(F41/B41-1,"")</f>
        <v/>
      </c>
      <c r="G42" s="25">
        <f>IFERROR(G41/C41-1,"")</f>
        <v/>
      </c>
      <c r="H42" s="25">
        <f>IFERROR(H41/D41-1,"")</f>
        <v/>
      </c>
      <c r="I42" s="25">
        <f>IFERROR(I41/E41-1,"")</f>
        <v/>
      </c>
      <c r="J42" s="25">
        <f>IFERROR(J41/F41-1,"")</f>
        <v/>
      </c>
      <c r="K42" s="25">
        <f>IFERROR(K41/G41-1,"")</f>
        <v/>
      </c>
      <c r="L42" s="25">
        <f>IFERROR(L41/H41-1,"")</f>
        <v/>
      </c>
      <c r="M42" s="25">
        <f>IFERROR(M41/I41-1,"")</f>
        <v/>
      </c>
      <c r="N42" s="25">
        <f>IFERROR(N41/J41-1,"")</f>
        <v/>
      </c>
      <c r="O42" s="25">
        <f>IFERROR(O41/K41-1,"")</f>
        <v/>
      </c>
      <c r="P42" s="25">
        <f>IFERROR(P41/L41-1,"")</f>
        <v/>
      </c>
      <c r="Q42" s="25">
        <f>IFERROR(Q41/M41-1,"")</f>
        <v/>
      </c>
      <c r="R42" s="25">
        <f>IFERROR(R41/N41-1,"")</f>
        <v/>
      </c>
      <c r="S42" s="25">
        <f>IFERROR(S41/O41-1,"")</f>
        <v/>
      </c>
      <c r="T42" s="25">
        <f>IFERROR(T41/P41-1,"")</f>
        <v/>
      </c>
      <c r="U42" s="25">
        <f>IFERROR(U41/Q41-1,"")</f>
        <v/>
      </c>
      <c r="V42" s="25">
        <f>IFERROR(V41/R41-1,"")</f>
        <v/>
      </c>
      <c r="W42" s="25">
        <f>IFERROR(W41/S41-1,"")</f>
        <v/>
      </c>
      <c r="X42" s="25">
        <f>IFERROR(X41/T41-1,"")</f>
        <v/>
      </c>
      <c r="Y42" s="25">
        <f>IFERROR(Y41/U41-1,"")</f>
        <v/>
      </c>
      <c r="Z42" s="25">
        <f>IFERROR(Z41/V41-1,"")</f>
        <v/>
      </c>
      <c r="AA42" s="25">
        <f>IFERROR(AA41/W41-1,"")</f>
        <v/>
      </c>
      <c r="AB42" s="25">
        <f>IFERROR(AB41/X41-1,"")</f>
        <v/>
      </c>
      <c r="AC42" s="25">
        <f>IFERROR(AC41/Y41-1,"")</f>
        <v/>
      </c>
    </row>
    <row r="43">
      <c r="A43" s="4" t="inlineStr">
        <is>
          <t xml:space="preserve">    % of revenue</t>
        </is>
      </c>
      <c r="B43" s="25">
        <f>IFERROR(B41/B3,"")</f>
        <v/>
      </c>
      <c r="C43" s="25">
        <f>IFERROR(C41/C3,"")</f>
        <v/>
      </c>
      <c r="D43" s="25">
        <f>IFERROR(D41/D3,"")</f>
        <v/>
      </c>
      <c r="E43" s="25">
        <f>IFERROR(E41/E3,"")</f>
        <v/>
      </c>
      <c r="F43" s="25">
        <f>IFERROR(F41/F3,"")</f>
        <v/>
      </c>
      <c r="G43" s="25">
        <f>IFERROR(G41/G3,"")</f>
        <v/>
      </c>
      <c r="H43" s="25">
        <f>IFERROR(H41/H3,"")</f>
        <v/>
      </c>
      <c r="I43" s="25">
        <f>IFERROR(I41/I3,"")</f>
        <v/>
      </c>
      <c r="J43" s="25">
        <f>IFERROR(J41/J3,"")</f>
        <v/>
      </c>
      <c r="K43" s="25">
        <f>IFERROR(K41/K3,"")</f>
        <v/>
      </c>
      <c r="L43" s="25">
        <f>IFERROR(L41/L3,"")</f>
        <v/>
      </c>
      <c r="M43" s="25">
        <f>IFERROR(M41/M3,"")</f>
        <v/>
      </c>
      <c r="N43" s="25">
        <f>IFERROR(N41/N3,"")</f>
        <v/>
      </c>
      <c r="O43" s="25">
        <f>IFERROR(O41/O3,"")</f>
        <v/>
      </c>
      <c r="P43" s="25">
        <f>IFERROR(P41/P3,"")</f>
        <v/>
      </c>
      <c r="Q43" s="25">
        <f>IFERROR(Q41/Q3,"")</f>
        <v/>
      </c>
      <c r="R43" s="25">
        <f>IFERROR(R41/R3,"")</f>
        <v/>
      </c>
      <c r="S43" s="25">
        <f>IFERROR(S41/S3,"")</f>
        <v/>
      </c>
      <c r="T43" s="25">
        <f>IFERROR(T41/T3,"")</f>
        <v/>
      </c>
      <c r="U43" s="25">
        <f>IFERROR(U41/U3,"")</f>
        <v/>
      </c>
      <c r="V43" s="25">
        <f>IFERROR(V41/V3,"")</f>
        <v/>
      </c>
      <c r="W43" s="25">
        <f>IFERROR(W41/W3,"")</f>
        <v/>
      </c>
      <c r="X43" s="25">
        <f>IFERROR(X41/X3,"")</f>
        <v/>
      </c>
      <c r="Y43" s="25">
        <f>IFERROR(Y41/Y3,"")</f>
        <v/>
      </c>
      <c r="Z43" s="25">
        <f>IFERROR(Z41/Z3,"")</f>
        <v/>
      </c>
      <c r="AA43" s="25">
        <f>IFERROR(AA41/AA3,"")</f>
        <v/>
      </c>
      <c r="AB43" s="25">
        <f>IFERROR(AB41/AB3,"")</f>
        <v/>
      </c>
      <c r="AC43" s="25">
        <f>IFERROR(AC41/AC3,"")</f>
        <v/>
      </c>
    </row>
    <row r="44">
      <c r="A44" s="4" t="inlineStr">
        <is>
          <t>Other Americas</t>
        </is>
      </c>
      <c r="B44" s="18" t="n">
        <v>133</v>
      </c>
      <c r="C44" s="18" t="n">
        <v>129</v>
      </c>
      <c r="D44" s="18" t="n">
        <v>161</v>
      </c>
      <c r="E44" s="18" t="n">
        <v>438</v>
      </c>
      <c r="F44" s="18" t="n">
        <v>151</v>
      </c>
      <c r="G44" s="18" t="n">
        <v>175</v>
      </c>
      <c r="H44" s="18" t="n">
        <v>225</v>
      </c>
      <c r="I44" s="18" t="n">
        <v>282</v>
      </c>
      <c r="J44" s="18" t="n">
        <v>336</v>
      </c>
      <c r="K44" s="18" t="n">
        <v>354</v>
      </c>
      <c r="L44" s="18" t="n">
        <v>366</v>
      </c>
      <c r="M44" s="18" t="n">
        <v>5854</v>
      </c>
      <c r="N44" s="18" t="n">
        <v>1498</v>
      </c>
      <c r="O44" s="18" t="n">
        <v>1910</v>
      </c>
      <c r="P44" s="18" t="n">
        <v>1482</v>
      </c>
      <c r="Q44" s="18" t="n">
        <v>1021</v>
      </c>
      <c r="R44" s="18" t="n">
        <v>659</v>
      </c>
      <c r="S44" s="18" t="n">
        <v>1885</v>
      </c>
      <c r="T44" s="18" t="n">
        <v>753</v>
      </c>
      <c r="U44" s="18" t="n">
        <v>6948</v>
      </c>
      <c r="V44" s="18" t="n">
        <v>1647</v>
      </c>
      <c r="W44" s="18" t="n">
        <v>1989</v>
      </c>
      <c r="X44" s="18" t="n">
        <v>2016</v>
      </c>
      <c r="Y44" s="18" t="n">
        <v>5886</v>
      </c>
      <c r="Z44" s="18" t="n">
        <v>1626</v>
      </c>
      <c r="AA44" s="18" t="n">
        <v>1819</v>
      </c>
      <c r="AB44" s="18" t="n">
        <v>1105</v>
      </c>
      <c r="AC44" s="18" t="n">
        <v>0</v>
      </c>
    </row>
    <row r="45">
      <c r="A45" s="4" t="inlineStr">
        <is>
          <t xml:space="preserve">    % YoY</t>
        </is>
      </c>
      <c r="F45" s="25">
        <f>IFERROR(F44/B44-1,"")</f>
        <v/>
      </c>
      <c r="G45" s="25">
        <f>IFERROR(G44/C44-1,"")</f>
        <v/>
      </c>
      <c r="H45" s="25">
        <f>IFERROR(H44/D44-1,"")</f>
        <v/>
      </c>
      <c r="I45" s="25">
        <f>IFERROR(I44/E44-1,"")</f>
        <v/>
      </c>
      <c r="J45" s="25">
        <f>IFERROR(J44/F44-1,"")</f>
        <v/>
      </c>
      <c r="K45" s="25">
        <f>IFERROR(K44/G44-1,"")</f>
        <v/>
      </c>
      <c r="L45" s="25">
        <f>IFERROR(L44/H44-1,"")</f>
        <v/>
      </c>
      <c r="M45" s="25">
        <f>IFERROR(M44/I44-1,"")</f>
        <v/>
      </c>
      <c r="N45" s="25">
        <f>IFERROR(N44/J44-1,"")</f>
        <v/>
      </c>
      <c r="O45" s="25">
        <f>IFERROR(O44/K44-1,"")</f>
        <v/>
      </c>
      <c r="P45" s="25">
        <f>IFERROR(P44/L44-1,"")</f>
        <v/>
      </c>
      <c r="Q45" s="25">
        <f>IFERROR(Q44/M44-1,"")</f>
        <v/>
      </c>
      <c r="R45" s="25">
        <f>IFERROR(R44/N44-1,"")</f>
        <v/>
      </c>
      <c r="S45" s="25">
        <f>IFERROR(S44/O44-1,"")</f>
        <v/>
      </c>
      <c r="T45" s="25">
        <f>IFERROR(T44/P44-1,"")</f>
        <v/>
      </c>
      <c r="U45" s="25">
        <f>IFERROR(U44/Q44-1,"")</f>
        <v/>
      </c>
      <c r="V45" s="25">
        <f>IFERROR(V44/R44-1,"")</f>
        <v/>
      </c>
      <c r="W45" s="25">
        <f>IFERROR(W44/S44-1,"")</f>
        <v/>
      </c>
      <c r="X45" s="25">
        <f>IFERROR(X44/T44-1,"")</f>
        <v/>
      </c>
      <c r="Y45" s="25">
        <f>IFERROR(Y44/U44-1,"")</f>
        <v/>
      </c>
      <c r="Z45" s="25">
        <f>IFERROR(Z44/V44-1,"")</f>
        <v/>
      </c>
      <c r="AA45" s="25">
        <f>IFERROR(AA44/W44-1,"")</f>
        <v/>
      </c>
      <c r="AB45" s="25">
        <f>IFERROR(AB44/X44-1,"")</f>
        <v/>
      </c>
      <c r="AC45" s="25">
        <f>IFERROR(AC44/Y44-1,"")</f>
        <v/>
      </c>
    </row>
    <row r="46">
      <c r="A46" s="4" t="inlineStr">
        <is>
          <t xml:space="preserve">    % of revenue</t>
        </is>
      </c>
      <c r="B46" s="25">
        <f>IFERROR(B44/B3,"")</f>
        <v/>
      </c>
      <c r="C46" s="25">
        <f>IFERROR(C44/C3,"")</f>
        <v/>
      </c>
      <c r="D46" s="25">
        <f>IFERROR(D44/D3,"")</f>
        <v/>
      </c>
      <c r="E46" s="25">
        <f>IFERROR(E44/E3,"")</f>
        <v/>
      </c>
      <c r="F46" s="25">
        <f>IFERROR(F44/F3,"")</f>
        <v/>
      </c>
      <c r="G46" s="25">
        <f>IFERROR(G44/G3,"")</f>
        <v/>
      </c>
      <c r="H46" s="25">
        <f>IFERROR(H44/H3,"")</f>
        <v/>
      </c>
      <c r="I46" s="25">
        <f>IFERROR(I44/I3,"")</f>
        <v/>
      </c>
      <c r="J46" s="25">
        <f>IFERROR(J44/J3,"")</f>
        <v/>
      </c>
      <c r="K46" s="25">
        <f>IFERROR(K44/K3,"")</f>
        <v/>
      </c>
      <c r="L46" s="25">
        <f>IFERROR(L44/L3,"")</f>
        <v/>
      </c>
      <c r="M46" s="25">
        <f>IFERROR(M44/M3,"")</f>
        <v/>
      </c>
      <c r="N46" s="25">
        <f>IFERROR(N44/N3,"")</f>
        <v/>
      </c>
      <c r="O46" s="25">
        <f>IFERROR(O44/O3,"")</f>
        <v/>
      </c>
      <c r="P46" s="25">
        <f>IFERROR(P44/P3,"")</f>
        <v/>
      </c>
      <c r="Q46" s="25">
        <f>IFERROR(Q44/Q3,"")</f>
        <v/>
      </c>
      <c r="R46" s="25">
        <f>IFERROR(R44/R3,"")</f>
        <v/>
      </c>
      <c r="S46" s="25">
        <f>IFERROR(S44/S3,"")</f>
        <v/>
      </c>
      <c r="T46" s="25">
        <f>IFERROR(T44/T3,"")</f>
        <v/>
      </c>
      <c r="U46" s="25">
        <f>IFERROR(U44/U3,"")</f>
        <v/>
      </c>
      <c r="V46" s="25">
        <f>IFERROR(V44/V3,"")</f>
        <v/>
      </c>
      <c r="W46" s="25">
        <f>IFERROR(W44/W3,"")</f>
        <v/>
      </c>
      <c r="X46" s="25">
        <f>IFERROR(X44/X3,"")</f>
        <v/>
      </c>
      <c r="Y46" s="25">
        <f>IFERROR(Y44/Y3,"")</f>
        <v/>
      </c>
      <c r="Z46" s="25">
        <f>IFERROR(Z44/Z3,"")</f>
        <v/>
      </c>
      <c r="AA46" s="25">
        <f>IFERROR(AA44/AA3,"")</f>
        <v/>
      </c>
      <c r="AB46" s="25">
        <f>IFERROR(AB44/AB3,"")</f>
        <v/>
      </c>
      <c r="AC46" s="25">
        <f>IFERROR(AC44/AC3,"")</f>
        <v/>
      </c>
    </row>
    <row r="47">
      <c r="A47" s="5" t="inlineStr">
        <is>
          <t xml:space="preserve">  BALANCE SHEET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4" t="inlineStr">
        <is>
          <t>Cash &amp; ST Investments</t>
        </is>
      </c>
      <c r="B48" s="18" t="n">
        <v>7802</v>
      </c>
      <c r="C48" s="18" t="n">
        <v>8475</v>
      </c>
      <c r="D48" s="18" t="n">
        <v>9769</v>
      </c>
      <c r="E48" s="18" t="n">
        <v>10897</v>
      </c>
      <c r="F48" s="18" t="n">
        <v>16354</v>
      </c>
      <c r="G48" s="18" t="n">
        <v>10981</v>
      </c>
      <c r="H48" s="18" t="n">
        <v>10139</v>
      </c>
      <c r="I48" s="18" t="n">
        <v>11561</v>
      </c>
      <c r="J48" s="18" t="n">
        <v>12667</v>
      </c>
      <c r="K48" s="18" t="n">
        <v>19654</v>
      </c>
      <c r="L48" s="18" t="n">
        <v>19298</v>
      </c>
      <c r="M48" s="18" t="n">
        <v>21208</v>
      </c>
      <c r="N48" s="18" t="n">
        <v>20338</v>
      </c>
      <c r="O48" s="18" t="n">
        <v>17037</v>
      </c>
      <c r="P48" s="18" t="n">
        <v>13143</v>
      </c>
      <c r="Q48" s="18" t="n">
        <v>13296</v>
      </c>
      <c r="R48" s="18" t="n">
        <v>15320</v>
      </c>
      <c r="S48" s="18" t="n">
        <v>16023</v>
      </c>
      <c r="T48" s="18" t="n">
        <v>18281</v>
      </c>
      <c r="U48" s="18" t="n">
        <v>25984</v>
      </c>
      <c r="V48" s="18" t="n">
        <v>31438</v>
      </c>
      <c r="W48" s="18" t="n">
        <v>34800</v>
      </c>
      <c r="X48" s="18" t="n">
        <v>38487</v>
      </c>
      <c r="Y48" s="18" t="n">
        <v>43210</v>
      </c>
      <c r="Z48" s="18" t="n">
        <v>53691</v>
      </c>
      <c r="AA48" s="18" t="n">
        <v>56791</v>
      </c>
      <c r="AB48" s="18" t="n">
        <v>60608</v>
      </c>
      <c r="AC48" s="18" t="n">
        <v>62556</v>
      </c>
    </row>
    <row r="49">
      <c r="A49" s="4" t="inlineStr">
        <is>
          <t>Total Current Assets</t>
        </is>
      </c>
      <c r="B49" s="18" t="n">
        <v>10629</v>
      </c>
      <c r="C49" s="18" t="n">
        <v>11391</v>
      </c>
      <c r="D49" s="18" t="n">
        <v>12420</v>
      </c>
      <c r="E49" s="18" t="n">
        <v>13690</v>
      </c>
      <c r="F49" s="18" t="n">
        <v>19584</v>
      </c>
      <c r="G49" s="18" t="n">
        <v>14681</v>
      </c>
      <c r="H49" s="18" t="n">
        <v>14393</v>
      </c>
      <c r="I49" s="18" t="n">
        <v>16055</v>
      </c>
      <c r="J49" s="18" t="n">
        <v>18127</v>
      </c>
      <c r="K49" s="18" t="n">
        <v>25806</v>
      </c>
      <c r="L49" s="18" t="n">
        <v>25806</v>
      </c>
      <c r="M49" s="18" t="n">
        <v>28829</v>
      </c>
      <c r="N49" s="18" t="n">
        <v>29575</v>
      </c>
      <c r="O49" s="18" t="n">
        <v>27418</v>
      </c>
      <c r="P49" s="18" t="n">
        <v>23223</v>
      </c>
      <c r="Q49" s="18" t="n">
        <v>23073</v>
      </c>
      <c r="R49" s="18" t="n">
        <v>24883</v>
      </c>
      <c r="S49" s="18" t="n">
        <v>28797</v>
      </c>
      <c r="T49" s="18" t="n">
        <v>32658</v>
      </c>
      <c r="U49" s="18" t="n">
        <v>44345</v>
      </c>
      <c r="V49" s="18" t="n">
        <v>53729</v>
      </c>
      <c r="W49" s="18" t="n">
        <v>59633</v>
      </c>
      <c r="X49" s="18" t="n">
        <v>67640</v>
      </c>
      <c r="Y49" s="18" t="n">
        <v>80126</v>
      </c>
      <c r="Z49" s="18" t="n">
        <v>89935</v>
      </c>
      <c r="AA49" s="18" t="n">
        <v>102219</v>
      </c>
      <c r="AB49" s="18" t="n">
        <v>116492</v>
      </c>
      <c r="AC49" s="18" t="n">
        <v>125605</v>
      </c>
    </row>
    <row r="50">
      <c r="A50" s="4" t="inlineStr">
        <is>
          <t>PP&amp;E (net)</t>
        </is>
      </c>
      <c r="B50" s="18" t="n">
        <v>2009</v>
      </c>
      <c r="C50" s="18" t="n">
        <v>2019</v>
      </c>
      <c r="D50" s="18" t="n">
        <v>2044</v>
      </c>
      <c r="E50" s="18" t="n">
        <v>2292</v>
      </c>
      <c r="F50" s="18" t="n">
        <v>2310</v>
      </c>
      <c r="G50" s="18" t="n">
        <v>2665</v>
      </c>
      <c r="H50" s="18" t="n">
        <v>2740</v>
      </c>
      <c r="I50" s="18" t="n">
        <v>2856</v>
      </c>
      <c r="J50" s="18" t="n">
        <v>2995</v>
      </c>
      <c r="K50" s="18" t="n">
        <v>3165</v>
      </c>
      <c r="L50" s="18" t="n">
        <v>3339</v>
      </c>
      <c r="M50" s="18" t="n">
        <v>3607</v>
      </c>
      <c r="N50" s="18" t="n">
        <v>3772</v>
      </c>
      <c r="O50" s="18" t="n">
        <v>4085</v>
      </c>
      <c r="P50" s="18" t="n">
        <v>4701</v>
      </c>
      <c r="Q50" s="18" t="n">
        <v>4845</v>
      </c>
      <c r="R50" s="18" t="n">
        <v>4834</v>
      </c>
      <c r="S50" s="18" t="n">
        <v>5034</v>
      </c>
      <c r="T50" s="18" t="n">
        <v>5160</v>
      </c>
      <c r="U50" s="18" t="n">
        <v>5260</v>
      </c>
      <c r="V50" s="18" t="n">
        <v>5538</v>
      </c>
      <c r="W50" s="18" t="n">
        <v>6441</v>
      </c>
      <c r="X50" s="18" t="n">
        <v>7098</v>
      </c>
      <c r="Y50" s="18" t="n">
        <v>8076</v>
      </c>
      <c r="Z50" s="18" t="n">
        <v>7136</v>
      </c>
      <c r="AA50" s="18" t="n">
        <v>11225</v>
      </c>
      <c r="AB50" s="18" t="n">
        <v>12061</v>
      </c>
      <c r="AC50" s="18" t="n">
        <v>13250</v>
      </c>
    </row>
    <row r="51">
      <c r="A51" s="4" t="inlineStr">
        <is>
          <t>Total Assets</t>
        </is>
      </c>
      <c r="B51" s="18" t="n">
        <v>14021</v>
      </c>
      <c r="C51" s="18" t="n">
        <v>14775</v>
      </c>
      <c r="D51" s="18" t="n">
        <v>15810</v>
      </c>
      <c r="E51" s="18" t="n">
        <v>17315</v>
      </c>
      <c r="F51" s="18" t="n">
        <v>23254</v>
      </c>
      <c r="G51" s="18" t="n">
        <v>25180</v>
      </c>
      <c r="H51" s="18" t="n">
        <v>26881</v>
      </c>
      <c r="I51" s="18" t="n">
        <v>28791</v>
      </c>
      <c r="J51" s="18" t="n">
        <v>30796</v>
      </c>
      <c r="K51" s="18" t="n">
        <v>38650</v>
      </c>
      <c r="L51" s="18" t="n">
        <v>40632</v>
      </c>
      <c r="M51" s="18" t="n">
        <v>44187</v>
      </c>
      <c r="N51" s="18" t="n">
        <v>45212</v>
      </c>
      <c r="O51" s="18" t="n">
        <v>43476</v>
      </c>
      <c r="P51" s="18" t="n">
        <v>40488</v>
      </c>
      <c r="Q51" s="18" t="n">
        <v>41182</v>
      </c>
      <c r="R51" s="18" t="n">
        <v>44460</v>
      </c>
      <c r="S51" s="18" t="n">
        <v>49555</v>
      </c>
      <c r="T51" s="18" t="n">
        <v>54148</v>
      </c>
      <c r="U51" s="18" t="n">
        <v>65728</v>
      </c>
      <c r="V51" s="18" t="n">
        <v>77072</v>
      </c>
      <c r="W51" s="18" t="n">
        <v>85227</v>
      </c>
      <c r="X51" s="18" t="n">
        <v>96013</v>
      </c>
      <c r="Y51" s="18" t="n">
        <v>111601</v>
      </c>
      <c r="Z51" s="18" t="n">
        <v>125254</v>
      </c>
      <c r="AA51" s="18" t="n">
        <v>140740</v>
      </c>
      <c r="AB51" s="18" t="n">
        <v>161148</v>
      </c>
      <c r="AC51" s="18" t="n">
        <v>206803</v>
      </c>
    </row>
    <row r="52">
      <c r="A52" s="4" t="inlineStr">
        <is>
          <t>Total Current Liabilities</t>
        </is>
      </c>
      <c r="B52" s="18" t="n">
        <v>1183</v>
      </c>
      <c r="C52" s="18" t="n">
        <v>1317</v>
      </c>
      <c r="D52" s="18" t="n">
        <v>1475</v>
      </c>
      <c r="E52" s="18" t="n">
        <v>1784</v>
      </c>
      <c r="F52" s="18" t="n">
        <v>1903</v>
      </c>
      <c r="G52" s="18" t="n">
        <v>2410</v>
      </c>
      <c r="H52" s="18" t="n">
        <v>3669</v>
      </c>
      <c r="I52" s="18" t="n">
        <v>3925</v>
      </c>
      <c r="J52" s="18" t="n">
        <v>4004</v>
      </c>
      <c r="K52" s="18" t="n">
        <v>4448</v>
      </c>
      <c r="L52" s="18" t="n">
        <v>3612</v>
      </c>
      <c r="M52" s="18" t="n">
        <v>4335</v>
      </c>
      <c r="N52" s="18" t="n">
        <v>5562</v>
      </c>
      <c r="O52" s="18" t="n">
        <v>7573</v>
      </c>
      <c r="P52" s="18" t="n">
        <v>6855</v>
      </c>
      <c r="Q52" s="18" t="n">
        <v>6563</v>
      </c>
      <c r="R52" s="18" t="n">
        <v>7260</v>
      </c>
      <c r="S52" s="18" t="n">
        <v>10334</v>
      </c>
      <c r="T52" s="18" t="n">
        <v>9101</v>
      </c>
      <c r="U52" s="18" t="n">
        <v>10631</v>
      </c>
      <c r="V52" s="18" t="n">
        <v>15223</v>
      </c>
      <c r="W52" s="18" t="n">
        <v>13969</v>
      </c>
      <c r="X52" s="18" t="n">
        <v>16479</v>
      </c>
      <c r="Y52" s="18" t="n">
        <v>18047</v>
      </c>
      <c r="Z52" s="18" t="n">
        <v>26542</v>
      </c>
      <c r="AA52" s="18" t="n">
        <v>24257</v>
      </c>
      <c r="AB52" s="18" t="n">
        <v>26075</v>
      </c>
      <c r="AC52" s="18" t="n">
        <v>32163</v>
      </c>
    </row>
    <row r="53">
      <c r="A53" s="4" t="inlineStr">
        <is>
          <t>Long-term Debt</t>
        </is>
      </c>
      <c r="B53" s="18" t="n">
        <v>1988</v>
      </c>
      <c r="C53" s="18" t="n">
        <v>1989</v>
      </c>
      <c r="D53" s="18" t="n">
        <v>1990</v>
      </c>
      <c r="E53" s="18" t="n">
        <v>1991</v>
      </c>
      <c r="F53" s="18" t="n">
        <v>6959</v>
      </c>
      <c r="G53" s="18" t="n">
        <v>6960</v>
      </c>
      <c r="H53" s="18" t="n">
        <v>5963</v>
      </c>
      <c r="I53" s="18" t="n">
        <v>5964</v>
      </c>
      <c r="J53" s="18" t="n">
        <v>5964</v>
      </c>
      <c r="K53" s="18" t="n">
        <v>10943</v>
      </c>
      <c r="L53" s="18" t="n">
        <v>10944</v>
      </c>
      <c r="M53" s="18" t="n">
        <v>10946</v>
      </c>
      <c r="N53" s="18" t="n">
        <v>10947</v>
      </c>
      <c r="O53" s="18" t="n">
        <v>9700</v>
      </c>
      <c r="P53" s="18" t="n">
        <v>9701</v>
      </c>
      <c r="Q53" s="18" t="n">
        <v>9703</v>
      </c>
      <c r="R53" s="18" t="n">
        <v>9704</v>
      </c>
      <c r="S53" s="18" t="n">
        <v>8456</v>
      </c>
      <c r="T53" s="18" t="n">
        <v>8457</v>
      </c>
      <c r="U53" s="18" t="n">
        <v>8459</v>
      </c>
      <c r="V53" s="18" t="n">
        <v>8460</v>
      </c>
      <c r="W53" s="18" t="n">
        <v>8461</v>
      </c>
      <c r="X53" s="18" t="n">
        <v>8462</v>
      </c>
      <c r="Y53" s="18" t="n">
        <v>8463</v>
      </c>
      <c r="Z53" s="18" t="n">
        <v>8464</v>
      </c>
      <c r="AA53" s="18" t="n">
        <v>8466</v>
      </c>
      <c r="AB53" s="18" t="n">
        <v>7468</v>
      </c>
      <c r="AC53" s="18" t="n">
        <v>7469</v>
      </c>
    </row>
    <row r="54">
      <c r="A54" s="4" t="inlineStr">
        <is>
          <t>Total Equity</t>
        </is>
      </c>
      <c r="B54" s="18" t="n">
        <v>9704</v>
      </c>
      <c r="C54" s="18" t="n">
        <v>10336</v>
      </c>
      <c r="D54" s="18" t="n">
        <v>11214</v>
      </c>
      <c r="E54" s="18" t="n">
        <v>12204</v>
      </c>
      <c r="F54" s="18" t="n">
        <v>13099</v>
      </c>
      <c r="G54" s="18" t="n">
        <v>13914</v>
      </c>
      <c r="H54" s="18" t="n">
        <v>15334</v>
      </c>
      <c r="I54" s="18" t="n">
        <v>16893</v>
      </c>
      <c r="J54" s="18" t="n">
        <v>18774</v>
      </c>
      <c r="K54" s="18" t="n">
        <v>21147</v>
      </c>
      <c r="L54" s="18" t="n">
        <v>23798</v>
      </c>
      <c r="M54" s="18" t="n">
        <v>26612</v>
      </c>
      <c r="N54" s="18" t="n">
        <v>26320</v>
      </c>
      <c r="O54" s="18" t="n">
        <v>23851</v>
      </c>
      <c r="P54" s="18" t="n">
        <v>21349</v>
      </c>
      <c r="Q54" s="18" t="n">
        <v>22101</v>
      </c>
      <c r="R54" s="18" t="n">
        <v>24520</v>
      </c>
      <c r="S54" s="18" t="n">
        <v>27501</v>
      </c>
      <c r="T54" s="18" t="n">
        <v>33265</v>
      </c>
      <c r="U54" s="18" t="n">
        <v>42978</v>
      </c>
      <c r="V54" s="18" t="n">
        <v>49142</v>
      </c>
      <c r="W54" s="18" t="n">
        <v>58157</v>
      </c>
      <c r="X54" s="18" t="n">
        <v>65899</v>
      </c>
      <c r="Y54" s="18" t="n">
        <v>79327</v>
      </c>
      <c r="Z54" s="18" t="n">
        <v>83843</v>
      </c>
      <c r="AA54" s="18" t="n">
        <v>100131</v>
      </c>
      <c r="AB54" s="18" t="n">
        <v>118897</v>
      </c>
      <c r="AC54" s="18" t="n">
        <v>157293</v>
      </c>
    </row>
    <row r="55">
      <c r="A55" s="5" t="inlineStr">
        <is>
          <t xml:space="preserve">  CASH FLOW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4" t="inlineStr">
        <is>
          <t>D&amp;A</t>
        </is>
      </c>
      <c r="B56" s="18" t="n">
        <v>91</v>
      </c>
      <c r="C56" s="18" t="n">
        <v>92</v>
      </c>
      <c r="D56" s="18" t="n">
        <v>92</v>
      </c>
      <c r="E56" s="18" t="n">
        <v>106</v>
      </c>
      <c r="F56" s="18" t="n">
        <v>107</v>
      </c>
      <c r="G56" s="18" t="n">
        <v>404</v>
      </c>
      <c r="H56" s="18" t="n">
        <v>299</v>
      </c>
      <c r="I56" s="18" t="n">
        <v>288</v>
      </c>
      <c r="J56" s="18" t="n">
        <v>281</v>
      </c>
      <c r="K56" s="18" t="n">
        <v>286</v>
      </c>
      <c r="L56" s="18" t="n">
        <v>298</v>
      </c>
      <c r="M56" s="18" t="n">
        <v>309</v>
      </c>
      <c r="N56" s="18" t="n">
        <v>334</v>
      </c>
      <c r="O56" s="18" t="n">
        <v>378</v>
      </c>
      <c r="P56" s="18" t="n">
        <v>406</v>
      </c>
      <c r="Q56" s="18" t="n">
        <v>426</v>
      </c>
      <c r="R56" s="18" t="n">
        <v>384</v>
      </c>
      <c r="S56" s="18" t="n">
        <v>365</v>
      </c>
      <c r="T56" s="18" t="n">
        <v>372</v>
      </c>
      <c r="U56" s="18" t="n">
        <v>387</v>
      </c>
      <c r="V56" s="18" t="n">
        <v>410</v>
      </c>
      <c r="W56" s="18" t="n">
        <v>433</v>
      </c>
      <c r="X56" s="18" t="n">
        <v>478</v>
      </c>
      <c r="Y56" s="18" t="n">
        <v>543</v>
      </c>
      <c r="Z56" s="18" t="n">
        <v>611</v>
      </c>
      <c r="AA56" s="18" t="n">
        <v>669</v>
      </c>
      <c r="AB56" s="18" t="n">
        <v>751</v>
      </c>
      <c r="AC56" s="18" t="n">
        <v>812</v>
      </c>
    </row>
    <row r="57">
      <c r="A57" s="4" t="inlineStr">
        <is>
          <t>Stock-based Compensation</t>
        </is>
      </c>
      <c r="B57" s="18" t="n">
        <v>178</v>
      </c>
      <c r="C57" s="18" t="n">
        <v>223</v>
      </c>
      <c r="D57" s="18" t="n">
        <v>223</v>
      </c>
      <c r="E57" s="18" t="n">
        <v>220</v>
      </c>
      <c r="F57" s="18" t="n">
        <v>224</v>
      </c>
      <c r="G57" s="18" t="n">
        <v>374</v>
      </c>
      <c r="H57" s="18" t="n">
        <v>383</v>
      </c>
      <c r="I57" s="18" t="n">
        <v>416</v>
      </c>
      <c r="J57" s="18" t="n">
        <v>429</v>
      </c>
      <c r="K57" s="18" t="n">
        <v>465</v>
      </c>
      <c r="L57" s="18" t="n">
        <v>559</v>
      </c>
      <c r="M57" s="18" t="n">
        <v>551</v>
      </c>
      <c r="N57" s="18" t="n">
        <v>578</v>
      </c>
      <c r="O57" s="18" t="n">
        <v>648</v>
      </c>
      <c r="P57" s="18" t="n">
        <v>745</v>
      </c>
      <c r="Q57" s="18" t="n">
        <v>738</v>
      </c>
      <c r="R57" s="18" t="n">
        <v>735</v>
      </c>
      <c r="S57" s="18" t="n">
        <v>841</v>
      </c>
      <c r="T57" s="18" t="n">
        <v>979</v>
      </c>
      <c r="U57" s="18" t="n">
        <v>994</v>
      </c>
      <c r="V57" s="18" t="n">
        <v>1011</v>
      </c>
      <c r="W57" s="18" t="n">
        <v>1153</v>
      </c>
      <c r="X57" s="18" t="n">
        <v>1252</v>
      </c>
      <c r="Y57" s="18" t="n">
        <v>1321</v>
      </c>
      <c r="Z57" s="18" t="n">
        <v>1474</v>
      </c>
      <c r="AA57" s="18" t="n">
        <v>1625</v>
      </c>
      <c r="AB57" s="18" t="n">
        <v>1654</v>
      </c>
      <c r="AC57" s="18" t="n">
        <v>1633</v>
      </c>
    </row>
    <row r="58">
      <c r="A58" s="4" t="inlineStr">
        <is>
          <t>Change in Working Capital</t>
        </is>
      </c>
      <c r="B58" s="18" t="n">
        <v>101</v>
      </c>
      <c r="C58" s="18" t="n">
        <v>50</v>
      </c>
      <c r="D58" s="18" t="n">
        <v>401</v>
      </c>
      <c r="E58" s="18" t="n">
        <v>165</v>
      </c>
      <c r="F58" s="18" t="n">
        <v>-359</v>
      </c>
      <c r="G58" s="18" t="n">
        <v>256</v>
      </c>
      <c r="H58" s="18" t="n">
        <v>-689</v>
      </c>
      <c r="I58" s="18" t="n">
        <v>89</v>
      </c>
      <c r="J58" s="18" t="n">
        <v>-636</v>
      </c>
      <c r="K58" s="18" t="n">
        <v>-276</v>
      </c>
      <c r="L58" s="18" t="n">
        <v>-1771</v>
      </c>
      <c r="M58" s="18" t="n">
        <v>-680</v>
      </c>
      <c r="N58" s="18" t="n">
        <v>-1650</v>
      </c>
      <c r="O58" s="18" t="n">
        <v>29</v>
      </c>
      <c r="P58" s="18" t="n">
        <v>-873</v>
      </c>
      <c r="Q58" s="18" t="n">
        <v>287</v>
      </c>
      <c r="R58" s="18" t="n">
        <v>904</v>
      </c>
      <c r="S58" s="18" t="n">
        <v>-174</v>
      </c>
      <c r="T58" s="18" t="n">
        <v>-2733</v>
      </c>
      <c r="U58" s="18" t="n">
        <v>-1719</v>
      </c>
      <c r="V58" s="18" t="n">
        <v>834</v>
      </c>
      <c r="W58" s="18" t="n">
        <v>-1660</v>
      </c>
      <c r="X58" s="18" t="n">
        <v>-2694</v>
      </c>
      <c r="Y58" s="18" t="n">
        <v>-5863</v>
      </c>
      <c r="Z58" s="18" t="n">
        <v>8654</v>
      </c>
      <c r="AA58" s="18" t="n">
        <v>-11022</v>
      </c>
      <c r="AB58" s="18" t="n">
        <v>2368</v>
      </c>
      <c r="AC58" s="18" t="n">
        <v>-15949</v>
      </c>
    </row>
    <row r="59">
      <c r="A59" s="4" t="inlineStr">
        <is>
          <t>Operating Cash Flow</t>
        </is>
      </c>
      <c r="B59" s="18" t="n">
        <v>720</v>
      </c>
      <c r="C59" s="18" t="n">
        <v>936</v>
      </c>
      <c r="D59" s="18" t="n">
        <v>1640</v>
      </c>
      <c r="E59" s="18" t="n">
        <v>1465</v>
      </c>
      <c r="F59" s="18" t="n">
        <v>909</v>
      </c>
      <c r="G59" s="18" t="n">
        <v>1567</v>
      </c>
      <c r="H59" s="18" t="n">
        <v>1279</v>
      </c>
      <c r="I59" s="18" t="n">
        <v>2067</v>
      </c>
      <c r="J59" s="18" t="n">
        <v>1874</v>
      </c>
      <c r="K59" s="18" t="n">
        <v>2682</v>
      </c>
      <c r="L59" s="18" t="n">
        <v>1519</v>
      </c>
      <c r="M59" s="18" t="n">
        <v>3033</v>
      </c>
      <c r="N59" s="18" t="n">
        <v>1731</v>
      </c>
      <c r="O59" s="18" t="n">
        <v>1270</v>
      </c>
      <c r="P59" s="18" t="n">
        <v>392</v>
      </c>
      <c r="Q59" s="18" t="n">
        <v>2248</v>
      </c>
      <c r="R59" s="18" t="n">
        <v>2911</v>
      </c>
      <c r="S59" s="18" t="n">
        <v>6348</v>
      </c>
      <c r="T59" s="18" t="n">
        <v>7332</v>
      </c>
      <c r="U59" s="18" t="n">
        <v>11499</v>
      </c>
      <c r="V59" s="18" t="n">
        <v>15345</v>
      </c>
      <c r="W59" s="18" t="n">
        <v>14488</v>
      </c>
      <c r="X59" s="18" t="n">
        <v>17627</v>
      </c>
      <c r="Y59" s="18" t="n">
        <v>16629</v>
      </c>
      <c r="Z59" s="18" t="n">
        <v>27414</v>
      </c>
      <c r="AA59" s="18" t="n">
        <v>15365</v>
      </c>
      <c r="AB59" s="18" t="n">
        <v>23751</v>
      </c>
      <c r="AC59" s="18" t="n">
        <v>36188</v>
      </c>
    </row>
    <row r="60">
      <c r="A60" s="4" t="inlineStr">
        <is>
          <t>Capex</t>
        </is>
      </c>
      <c r="B60" s="18" t="n">
        <v>-128</v>
      </c>
      <c r="C60" s="18" t="n">
        <v>-113</v>
      </c>
      <c r="D60" s="18" t="n">
        <v>-103</v>
      </c>
      <c r="E60" s="18" t="n">
        <v>-145</v>
      </c>
      <c r="F60" s="18" t="n">
        <v>-155</v>
      </c>
      <c r="G60" s="18" t="n">
        <v>-217</v>
      </c>
      <c r="H60" s="18" t="n">
        <v>-473</v>
      </c>
      <c r="I60" s="18" t="n">
        <v>-283</v>
      </c>
      <c r="J60" s="18" t="n">
        <v>-298</v>
      </c>
      <c r="K60" s="18" t="n">
        <v>-183</v>
      </c>
      <c r="L60" s="18" t="n">
        <v>-222</v>
      </c>
      <c r="M60" s="18" t="n">
        <v>-273</v>
      </c>
      <c r="N60" s="18" t="n">
        <v>-361</v>
      </c>
      <c r="O60" s="18" t="n">
        <v>-433</v>
      </c>
      <c r="P60" s="18" t="n">
        <v>-530</v>
      </c>
      <c r="Q60" s="18" t="n">
        <v>-509</v>
      </c>
      <c r="R60" s="18" t="n">
        <v>-248</v>
      </c>
      <c r="S60" s="18" t="n">
        <v>-289</v>
      </c>
      <c r="T60" s="18" t="n">
        <v>-278</v>
      </c>
      <c r="U60" s="18" t="n">
        <v>-254</v>
      </c>
      <c r="V60" s="18" t="n">
        <v>-369</v>
      </c>
      <c r="W60" s="18" t="n">
        <v>-977</v>
      </c>
      <c r="X60" s="18" t="n">
        <v>-813</v>
      </c>
      <c r="Y60" s="18" t="n">
        <v>-1077</v>
      </c>
      <c r="Z60" s="18" t="n">
        <v>-1227</v>
      </c>
      <c r="AA60" s="18" t="n">
        <v>-1895</v>
      </c>
      <c r="AB60" s="18" t="n">
        <v>-1636</v>
      </c>
      <c r="AC60" s="18" t="n">
        <v>-1284</v>
      </c>
    </row>
    <row r="61">
      <c r="A61" s="4" t="inlineStr">
        <is>
          <t>Free Cash Flow</t>
        </is>
      </c>
      <c r="B61" s="18" t="n">
        <v>592</v>
      </c>
      <c r="C61" s="18" t="n">
        <v>823</v>
      </c>
      <c r="D61" s="18" t="n">
        <v>1537</v>
      </c>
      <c r="E61" s="18" t="n">
        <v>1320</v>
      </c>
      <c r="F61" s="18" t="n">
        <v>754</v>
      </c>
      <c r="G61" s="18" t="n">
        <v>1350</v>
      </c>
      <c r="H61" s="18" t="n">
        <v>806</v>
      </c>
      <c r="I61" s="18" t="n">
        <v>1784</v>
      </c>
      <c r="J61" s="18" t="n">
        <v>1576</v>
      </c>
      <c r="K61" s="18" t="n">
        <v>2499</v>
      </c>
      <c r="L61" s="18" t="n">
        <v>1297</v>
      </c>
      <c r="M61" s="18" t="n">
        <v>2760</v>
      </c>
      <c r="N61" s="18" t="n">
        <v>1370</v>
      </c>
      <c r="O61" s="18" t="n">
        <v>837</v>
      </c>
      <c r="P61" s="18" t="n">
        <v>-138</v>
      </c>
      <c r="Q61" s="18" t="n">
        <v>1739</v>
      </c>
      <c r="R61" s="18" t="n">
        <v>2663</v>
      </c>
      <c r="S61" s="18" t="n">
        <v>6059</v>
      </c>
      <c r="T61" s="18" t="n">
        <v>7054</v>
      </c>
      <c r="U61" s="18" t="n">
        <v>11245</v>
      </c>
      <c r="V61" s="18" t="n">
        <v>14976</v>
      </c>
      <c r="W61" s="18" t="n">
        <v>13511</v>
      </c>
      <c r="X61" s="18" t="n">
        <v>16814</v>
      </c>
      <c r="Y61" s="18" t="n">
        <v>15552</v>
      </c>
      <c r="Z61" s="18" t="n">
        <v>26187</v>
      </c>
      <c r="AA61" s="18" t="n">
        <v>13470</v>
      </c>
      <c r="AB61" s="18" t="n">
        <v>22115</v>
      </c>
      <c r="AC61" s="18" t="n">
        <v>34904</v>
      </c>
    </row>
    <row r="63">
      <c r="A6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  <c r="F2" s="45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369735.198972</v>
      </c>
      <c r="C4" s="18" t="n">
        <v>491746.023751</v>
      </c>
      <c r="D4" s="18" t="n">
        <v>574628.206782</v>
      </c>
      <c r="E4" s="18" t="n">
        <v>529197</v>
      </c>
      <c r="F4" s="18" t="n">
        <v>584899</v>
      </c>
    </row>
    <row r="5">
      <c r="A5" s="4" t="inlineStr">
        <is>
          <t xml:space="preserve">  model</t>
        </is>
      </c>
      <c r="B5" s="33">
        <f>Model!G14</f>
        <v/>
      </c>
      <c r="C5" s="33">
        <f>Model!H14</f>
        <v/>
      </c>
      <c r="D5" s="33">
        <f>Model!I14</f>
        <v/>
      </c>
      <c r="E5" s="33">
        <f>Model!J14</f>
        <v/>
      </c>
      <c r="F5" s="33">
        <f>Model!K14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189099.297584</v>
      </c>
      <c r="C8" s="18" t="n">
        <v>251501.149849</v>
      </c>
      <c r="D8" s="18" t="n">
        <v>293890.845602</v>
      </c>
      <c r="E8" s="18" t="n">
        <v>270655.272373</v>
      </c>
      <c r="F8" s="18" t="n">
        <v>299143.793627</v>
      </c>
    </row>
    <row r="9">
      <c r="A9" s="4" t="inlineStr">
        <is>
          <t xml:space="preserve">  model</t>
        </is>
      </c>
      <c r="B9" s="33">
        <f>Model!G27+Model!G32</f>
        <v/>
      </c>
      <c r="C9" s="33">
        <f>Model!H27+Model!H32</f>
        <v/>
      </c>
      <c r="D9" s="33">
        <f>Model!I27+Model!I32</f>
        <v/>
      </c>
      <c r="E9" s="33">
        <f>Model!J27+Model!J32</f>
        <v/>
      </c>
      <c r="F9" s="33">
        <f>Model!K27+Model!K32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177783.456758</v>
      </c>
      <c r="C12" s="18" t="n">
        <v>236451.136361</v>
      </c>
      <c r="D12" s="18" t="n">
        <v>276304.201593</v>
      </c>
      <c r="E12" s="18" t="n">
        <v>254459.062128</v>
      </c>
      <c r="F12" s="18" t="n">
        <v>281242.809351</v>
      </c>
    </row>
    <row r="13">
      <c r="A13" s="4" t="inlineStr">
        <is>
          <t xml:space="preserve">  model</t>
        </is>
      </c>
      <c r="B13" s="33">
        <f>Model!G27</f>
        <v/>
      </c>
      <c r="C13" s="33">
        <f>Model!H27</f>
        <v/>
      </c>
      <c r="D13" s="33">
        <f>Model!I27</f>
        <v/>
      </c>
      <c r="E13" s="33">
        <f>Model!J27</f>
        <v/>
      </c>
      <c r="F13" s="33">
        <f>Model!K27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19407.894106</v>
      </c>
      <c r="C16" s="18" t="n">
        <v>25812.405156</v>
      </c>
      <c r="D16" s="18" t="n">
        <v>30163.001572</v>
      </c>
      <c r="E16" s="18" t="n">
        <v>27778.256888</v>
      </c>
      <c r="F16" s="18" t="n">
        <v>30702.129218</v>
      </c>
    </row>
    <row r="17">
      <c r="A17" s="4" t="inlineStr">
        <is>
          <t xml:space="preserve">  model</t>
        </is>
      </c>
      <c r="B17" s="33">
        <f>Model!G22</f>
        <v/>
      </c>
      <c r="C17" s="33">
        <f>Model!H22</f>
        <v/>
      </c>
      <c r="D17" s="33">
        <f>Model!I22</f>
        <v/>
      </c>
      <c r="E17" s="33">
        <f>Model!J22</f>
        <v/>
      </c>
      <c r="F17" s="33">
        <f>Model!K22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202627.73446</v>
      </c>
      <c r="C20" s="18" t="n">
        <v>264679.72298</v>
      </c>
      <c r="D20" s="18" t="n">
        <v>309769.0902</v>
      </c>
      <c r="E20" s="18" t="n">
        <v>300269.280012</v>
      </c>
      <c r="F20" s="18" t="n">
        <v>331297.920013</v>
      </c>
    </row>
    <row r="21">
      <c r="A21" s="4" t="inlineStr">
        <is>
          <t xml:space="preserve">  model</t>
        </is>
      </c>
      <c r="B21" s="33">
        <f>Model!G31</f>
        <v/>
      </c>
      <c r="C21" s="33">
        <f>Model!H31</f>
        <v/>
      </c>
      <c r="D21" s="33">
        <f>Model!I31</f>
        <v/>
      </c>
      <c r="E21" s="33">
        <f>Model!J31</f>
        <v/>
      </c>
      <c r="F21" s="33">
        <f>Model!K31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8.319290000000001</v>
      </c>
      <c r="C24" s="47" t="n">
        <v>11.29282</v>
      </c>
      <c r="D24" s="47" t="n">
        <v>13.12783</v>
      </c>
      <c r="E24" s="47" t="n">
        <v>12.29</v>
      </c>
      <c r="F24" s="47" t="n">
        <v>13.56</v>
      </c>
    </row>
    <row r="25">
      <c r="A25" s="4" t="inlineStr">
        <is>
          <t xml:space="preserve">  model</t>
        </is>
      </c>
      <c r="B25" s="8">
        <f>Model!G31/Financials!AC17</f>
        <v/>
      </c>
      <c r="C25" s="8">
        <f>Model!H31/Financials!AC17</f>
        <v/>
      </c>
      <c r="D25" s="8">
        <f>Model!I31/Financials!AC17</f>
        <v/>
      </c>
      <c r="E25" s="8">
        <f>Model!J31/Financials!AC17</f>
        <v/>
      </c>
      <c r="F25" s="8">
        <f>Model!K31/Financials!AC17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NVIDIA Corporation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Model!G39</f>
        <v/>
      </c>
      <c r="D12" s="33">
        <f>Model!H39</f>
        <v/>
      </c>
      <c r="E12" s="33">
        <f>Model!I39</f>
        <v/>
      </c>
      <c r="F12" s="33">
        <f>Model!J39</f>
        <v/>
      </c>
      <c r="G12" s="33">
        <f>Model!K39</f>
        <v/>
      </c>
      <c r="H12" s="33">
        <f>Model!L39</f>
        <v/>
      </c>
      <c r="I12" s="33">
        <f>Model!M39</f>
        <v/>
      </c>
      <c r="J12" s="33">
        <f>Model!N39</f>
        <v/>
      </c>
      <c r="K12" s="33">
        <f>Model!O39</f>
        <v/>
      </c>
      <c r="L12" s="33">
        <f>Model!P39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Model!P14</f>
        <v/>
      </c>
    </row>
    <row r="21">
      <c r="A21" s="4" t="inlineStr">
        <is>
          <t>Terminal EBIT</t>
        </is>
      </c>
      <c r="B21" s="33">
        <f>Model!P27</f>
        <v/>
      </c>
    </row>
    <row r="22">
      <c r="A22" s="4" t="inlineStr">
        <is>
          <t>Terminal EBITDA (SBC-burdened)</t>
        </is>
      </c>
      <c r="B22" s="33">
        <f>Model!P27+Model!P32-Model!P33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Financials!AC48</f>
        <v/>
      </c>
    </row>
    <row r="33">
      <c r="A33" s="4" t="inlineStr">
        <is>
          <t>- Long-term debt</t>
        </is>
      </c>
      <c r="B33" s="33">
        <f>-Financials!AC53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0.1304650194547802</v>
      </c>
      <c r="C4" s="51" t="n">
        <v>0.1354650194547802</v>
      </c>
      <c r="D4" s="51" t="n">
        <v>0.1404650194547802</v>
      </c>
      <c r="E4" s="51" t="n">
        <v>0.1454650194547802</v>
      </c>
      <c r="F4" s="51" t="n">
        <v>0.1504650194547802</v>
      </c>
      <c r="G4" s="51" t="n">
        <v>0.1554650194547802</v>
      </c>
      <c r="H4" s="51" t="n">
        <v>0.1604650194547802</v>
      </c>
    </row>
    <row r="5">
      <c r="A5" s="52" t="n">
        <v>9</v>
      </c>
      <c r="B5" s="53" t="n">
        <v>130.7596532875095</v>
      </c>
      <c r="C5" s="53" t="n">
        <v>126.3483912913086</v>
      </c>
      <c r="D5" s="53" t="n">
        <v>122.1267860735824</v>
      </c>
      <c r="E5" s="53" t="n">
        <v>118.0855932592117</v>
      </c>
      <c r="F5" s="53" t="n">
        <v>114.2160639845011</v>
      </c>
      <c r="G5" s="53" t="n">
        <v>110.5099161203828</v>
      </c>
      <c r="H5" s="53" t="n">
        <v>106.9593072896334</v>
      </c>
    </row>
    <row r="6">
      <c r="A6" s="52" t="n">
        <v>10</v>
      </c>
      <c r="B6" s="53" t="n">
        <v>138.3271440416706</v>
      </c>
      <c r="C6" s="53" t="n">
        <v>133.5891752295979</v>
      </c>
      <c r="D6" s="53" t="n">
        <v>129.056311479863</v>
      </c>
      <c r="E6" s="53" t="n">
        <v>124.7185149628685</v>
      </c>
      <c r="F6" s="53" t="n">
        <v>120.5662873211908</v>
      </c>
      <c r="G6" s="53" t="n">
        <v>116.590638280984</v>
      </c>
      <c r="H6" s="53" t="n">
        <v>112.7830562229471</v>
      </c>
    </row>
    <row r="7">
      <c r="A7" s="52" t="n">
        <v>11</v>
      </c>
      <c r="B7" s="53" t="n">
        <v>145.8946347958316</v>
      </c>
      <c r="C7" s="53" t="n">
        <v>140.8299591678872</v>
      </c>
      <c r="D7" s="53" t="n">
        <v>135.9858368861437</v>
      </c>
      <c r="E7" s="53" t="n">
        <v>131.3514366665253</v>
      </c>
      <c r="F7" s="53" t="n">
        <v>126.9165106578806</v>
      </c>
      <c r="G7" s="53" t="n">
        <v>122.6713604415853</v>
      </c>
      <c r="H7" s="53" t="n">
        <v>118.6068051562608</v>
      </c>
    </row>
    <row r="8">
      <c r="A8" s="52" t="n">
        <v>12</v>
      </c>
      <c r="B8" s="53" t="n">
        <v>153.4621255499927</v>
      </c>
      <c r="C8" s="53" t="n">
        <v>148.0707431061764</v>
      </c>
      <c r="D8" s="53" t="n">
        <v>142.9153622924244</v>
      </c>
      <c r="E8" s="54" t="n">
        <v>137.9843583701822</v>
      </c>
      <c r="F8" s="53" t="n">
        <v>133.2667339945703</v>
      </c>
      <c r="G8" s="53" t="n">
        <v>128.7520826021865</v>
      </c>
      <c r="H8" s="53" t="n">
        <v>124.4305540895746</v>
      </c>
    </row>
    <row r="9">
      <c r="A9" s="52" t="n">
        <v>13</v>
      </c>
      <c r="B9" s="53" t="n">
        <v>161.0296163041537</v>
      </c>
      <c r="C9" s="53" t="n">
        <v>155.3115270444657</v>
      </c>
      <c r="D9" s="53" t="n">
        <v>149.844887698705</v>
      </c>
      <c r="E9" s="53" t="n">
        <v>144.617280073839</v>
      </c>
      <c r="F9" s="53" t="n">
        <v>139.61695733126</v>
      </c>
      <c r="G9" s="53" t="n">
        <v>134.8328047627877</v>
      </c>
      <c r="H9" s="53" t="n">
        <v>130.2543030228883</v>
      </c>
    </row>
    <row r="10">
      <c r="A10" s="52" t="n">
        <v>14</v>
      </c>
      <c r="B10" s="53" t="n">
        <v>168.5971070583148</v>
      </c>
      <c r="C10" s="53" t="n">
        <v>162.552310982755</v>
      </c>
      <c r="D10" s="53" t="n">
        <v>156.7744131049857</v>
      </c>
      <c r="E10" s="53" t="n">
        <v>151.2502017774958</v>
      </c>
      <c r="F10" s="53" t="n">
        <v>145.9671806679497</v>
      </c>
      <c r="G10" s="53" t="n">
        <v>140.9135269233889</v>
      </c>
      <c r="H10" s="53" t="n">
        <v>136.078051956202</v>
      </c>
    </row>
    <row r="11">
      <c r="A11" s="52" t="n">
        <v>15</v>
      </c>
      <c r="B11" s="53" t="n">
        <v>176.1645978124758</v>
      </c>
      <c r="C11" s="53" t="n">
        <v>169.7930949210443</v>
      </c>
      <c r="D11" s="53" t="n">
        <v>163.7039385112664</v>
      </c>
      <c r="E11" s="53" t="n">
        <v>157.8831234811526</v>
      </c>
      <c r="F11" s="53" t="n">
        <v>152.3174040046395</v>
      </c>
      <c r="G11" s="53" t="n">
        <v>146.9942490839901</v>
      </c>
      <c r="H11" s="53" t="n">
        <v>141.9018008895157</v>
      </c>
    </row>
    <row r="13">
      <c r="A13" s="3" t="inlineStr">
        <is>
          <t>Current price</t>
        </is>
      </c>
      <c r="B13" s="53" t="n">
        <v>204.6499938964844</v>
      </c>
    </row>
    <row r="14">
      <c r="A14" s="3" t="inlineStr">
        <is>
          <t>Base WACC / multiple</t>
        </is>
      </c>
      <c r="B14" s="55" t="n">
        <v>0.1454650194547802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Model!F14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Model!F28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0.01316581611388454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1.365321167599644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(Model!P14/Model!F14)^(1/10)-1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1.067412282181083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Financials!AC48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Financials!AC53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2026-07-06T20:35:24Z</dcterms:created>
  <dcterms:modified xmlns:dcterms="http://purl.org/dc/terms/" xmlns:xsi="http://www.w3.org/2001/XMLSchema-instance" xsi:type="dcterms:W3CDTF">2026-07-06T20:35:24Z</dcterms:modified>
</cp:coreProperties>
</file>