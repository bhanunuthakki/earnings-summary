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BHP Group Limited (BHP)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BHP is a mature, diversified, low-cost miner whose value is driven by through-cycle FCF from its Pilbara iron ore engine plus a copper growth option (Escondida and JVs). Consensus points to near-flat revenue around $56-57B with operating margins normalizing in the high-30s as commodity prices mean-revert from cyclical peaks. We fade revenue growth toward ~2.5%, let margins settle near 34% via operating leverage offset by cost inflation, and converge elevated growth capex back toward maintenance (capex/D&amp;A ~1.1x) by the terminal year.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BHP Group Limited (BHP)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0.03</v>
      </c>
      <c r="C20" s="15" t="n">
        <v>0.025</v>
      </c>
      <c r="D20" s="16" t="n">
        <v>0.03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0.37</v>
      </c>
      <c r="D29" s="16" t="n">
        <v>0.37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9125.00394352</v>
      </c>
      <c r="D34" s="18" t="n">
        <v>9125.00394352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0.797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6</v>
      </c>
    </row>
    <row r="46">
      <c r="A46" s="4" t="inlineStr">
        <is>
          <t>Terminal growth (g)</t>
        </is>
      </c>
      <c r="B46" s="15" t="n">
        <v>0.025</v>
      </c>
    </row>
    <row r="48">
      <c r="A48" s="4" t="inlineStr">
        <is>
          <t>Current price</t>
        </is>
      </c>
      <c r="B48" s="23" t="n">
        <v>84.02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SUM(Financials!S3:T3)</f>
        <v/>
      </c>
      <c r="C4" s="28">
        <f>SUM(Financials!U3:V3)</f>
        <v/>
      </c>
      <c r="D4" s="28">
        <f>SUM(Financials!W3:X3)</f>
        <v/>
      </c>
      <c r="E4" s="28">
        <f>SUM(Financials!Y3:Z3)</f>
        <v/>
      </c>
      <c r="F4" s="28">
        <f>SUM(Financials!AA3:AB3)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  <c r="N7" s="27">
        <f>IFERROR(N6/M6-1,"")</f>
        <v/>
      </c>
      <c r="O7" s="27">
        <f>IFERROR(O6/N6-1,"")</f>
        <v/>
      </c>
      <c r="P7" s="2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SUM(Financials!S5:T5)</f>
        <v/>
      </c>
      <c r="C10" s="28">
        <f>SUM(Financials!U5:V5)</f>
        <v/>
      </c>
      <c r="D10" s="28">
        <f>SUM(Financials!W5:X5)</f>
        <v/>
      </c>
      <c r="E10" s="28">
        <f>SUM(Financials!Y5:Z5)</f>
        <v/>
      </c>
      <c r="F10" s="28">
        <f>SUM(Financials!AA5:AB5)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27">
        <f>IFERROR(D10/D6,"")</f>
        <v/>
      </c>
      <c r="E11" s="27">
        <f>IFERROR(E10/E6,"")</f>
        <v/>
      </c>
      <c r="F11" s="27">
        <f>IFERROR(F10/F6,"")</f>
        <v/>
      </c>
      <c r="G11" s="15" t="n">
        <v>0.1778705473840272</v>
      </c>
      <c r="H11" s="15" t="n">
        <v>0.1778705473840272</v>
      </c>
      <c r="I11" s="15" t="n">
        <v>0.1778705473840272</v>
      </c>
      <c r="J11" s="15" t="n">
        <v>0.1778705473840272</v>
      </c>
      <c r="K11" s="15" t="n">
        <v>0.1778705473840272</v>
      </c>
      <c r="L11" s="15" t="n">
        <v>0.1778705473840272</v>
      </c>
      <c r="M11" s="15" t="n">
        <v>0.1778705473840272</v>
      </c>
      <c r="N11" s="15" t="n">
        <v>0.1778705473840272</v>
      </c>
      <c r="O11" s="15" t="n">
        <v>0.1778705473840272</v>
      </c>
      <c r="P11" s="15" t="n">
        <v>0.1778705473840272</v>
      </c>
    </row>
    <row r="12">
      <c r="A12" s="4" t="inlineStr">
        <is>
          <t>R&amp;D / Technology</t>
        </is>
      </c>
      <c r="B12" s="28">
        <f>SUM(Financials!S7:T7)</f>
        <v/>
      </c>
      <c r="C12" s="28">
        <f>SUM(Financials!U7:V7)</f>
        <v/>
      </c>
      <c r="D12" s="28">
        <f>SUM(Financials!W7:X7)</f>
        <v/>
      </c>
      <c r="E12" s="28">
        <f>SUM(Financials!Y7:Z7)</f>
        <v/>
      </c>
      <c r="F12" s="28">
        <f>SUM(Financials!AA7:AB7)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27">
        <f>IFERROR(D12/D6,"")</f>
        <v/>
      </c>
      <c r="E13" s="27">
        <f>IFERROR(E12/E6,"")</f>
        <v/>
      </c>
      <c r="F13" s="27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28">
        <f>SUM(Financials!S9:T9)</f>
        <v/>
      </c>
      <c r="C14" s="28">
        <f>SUM(Financials!U9:V9)</f>
        <v/>
      </c>
      <c r="D14" s="28">
        <f>SUM(Financials!W9:X9)</f>
        <v/>
      </c>
      <c r="E14" s="28">
        <f>SUM(Financials!Y9:Z9)</f>
        <v/>
      </c>
      <c r="F14" s="28">
        <f>SUM(Financials!AA9:AB9)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27">
        <f>IFERROR(D14/D6,"")</f>
        <v/>
      </c>
      <c r="E15" s="27">
        <f>IFERROR(E14/E6,"")</f>
        <v/>
      </c>
      <c r="F15" s="27">
        <f>IFERROR(F14/F6,"")</f>
        <v/>
      </c>
      <c r="G15" s="15" t="n">
        <v>0.2625921735398541</v>
      </c>
      <c r="H15" s="15" t="n">
        <v>0.2625921735398541</v>
      </c>
      <c r="I15" s="15" t="n">
        <v>0.2625921735398541</v>
      </c>
      <c r="J15" s="15" t="n">
        <v>0.2625921735398541</v>
      </c>
      <c r="K15" s="15" t="n">
        <v>0.2625921735398541</v>
      </c>
      <c r="L15" s="15" t="n">
        <v>0.2625921735398541</v>
      </c>
      <c r="M15" s="15" t="n">
        <v>0.2625921735398541</v>
      </c>
      <c r="N15" s="15" t="n">
        <v>0.2625921735398541</v>
      </c>
      <c r="O15" s="15" t="n">
        <v>0.2625921735398541</v>
      </c>
      <c r="P15" s="15" t="n">
        <v>0.2625921735398541</v>
      </c>
    </row>
    <row r="16">
      <c r="A16" s="4" t="inlineStr">
        <is>
          <t>Other opex (fulfilment, etc.)</t>
        </is>
      </c>
      <c r="B16" s="28">
        <f>B6-(B10+B12+B14)-SUM(Financials!S13:T13)</f>
        <v/>
      </c>
      <c r="C16" s="28">
        <f>C6-(C10+C12+C14)-SUM(Financials!U13:V13)</f>
        <v/>
      </c>
      <c r="D16" s="28">
        <f>D6-(D10+D12+D14)-SUM(Financials!W13:X13)</f>
        <v/>
      </c>
      <c r="E16" s="28">
        <f>E6-(E10+E12+E14)-SUM(Financials!Y13:Z13)</f>
        <v/>
      </c>
      <c r="F16" s="28">
        <f>F6-(F10+F12+F14)-SUM(Financials!AA13:AB13)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  <c r="N17" s="27">
        <f>IFERROR(N16/N6,"")</f>
        <v/>
      </c>
      <c r="O17" s="27">
        <f>IFERROR(O16/O6,"")</f>
        <v/>
      </c>
      <c r="P17" s="2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  <c r="N20" s="27">
        <f>IFERROR(N19/N6,"")</f>
        <v/>
      </c>
      <c r="O20" s="27">
        <f>IFERROR(O19/O6,"")</f>
        <v/>
      </c>
      <c r="P20" s="2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SUM(Financials!S27:T27)</f>
        <v/>
      </c>
      <c r="C24" s="28">
        <f>SUM(Financials!U27:V27)</f>
        <v/>
      </c>
      <c r="D24" s="28">
        <f>SUM(Financials!W27:X27)</f>
        <v/>
      </c>
      <c r="E24" s="28">
        <f>SUM(Financials!Y27:Z27)</f>
        <v/>
      </c>
      <c r="F24" s="28">
        <f>SUM(Financials!AA27:AB27)</f>
        <v/>
      </c>
      <c r="G24" s="32">
        <f>G6*0.1081</f>
        <v/>
      </c>
      <c r="H24" s="32">
        <f>H6*0.1081</f>
        <v/>
      </c>
      <c r="I24" s="32">
        <f>I6*0.1081</f>
        <v/>
      </c>
      <c r="J24" s="32">
        <f>J6*0.1081</f>
        <v/>
      </c>
      <c r="K24" s="32">
        <f>K6*0.1081</f>
        <v/>
      </c>
      <c r="L24" s="32">
        <f>L6*0.1081</f>
        <v/>
      </c>
      <c r="M24" s="32">
        <f>M6*0.1081</f>
        <v/>
      </c>
      <c r="N24" s="32">
        <f>N6*0.1081</f>
        <v/>
      </c>
      <c r="O24" s="32">
        <f>O6*0.1081</f>
        <v/>
      </c>
      <c r="P24" s="32">
        <f>P6*0.1081</f>
        <v/>
      </c>
    </row>
    <row r="25">
      <c r="A25" s="4" t="inlineStr">
        <is>
          <t>+ SBC (non-cash)</t>
        </is>
      </c>
      <c r="B25" s="28">
        <f>SUM(Financials!S28:T28)</f>
        <v/>
      </c>
      <c r="C25" s="28">
        <f>SUM(Financials!U28:V28)</f>
        <v/>
      </c>
      <c r="D25" s="28">
        <f>SUM(Financials!W28:X28)</f>
        <v/>
      </c>
      <c r="E25" s="28">
        <f>SUM(Financials!Y28:Z28)</f>
        <v/>
      </c>
      <c r="F25" s="28">
        <f>SUM(Financials!AA28:AB28)</f>
        <v/>
      </c>
      <c r="G25" s="32">
        <f>G6*0.0000</f>
        <v/>
      </c>
      <c r="H25" s="32">
        <f>H6*0.0000</f>
        <v/>
      </c>
      <c r="I25" s="32">
        <f>I6*0.0000</f>
        <v/>
      </c>
      <c r="J25" s="32">
        <f>J6*0.0000</f>
        <v/>
      </c>
      <c r="K25" s="32">
        <f>K6*0.0000</f>
        <v/>
      </c>
      <c r="L25" s="32">
        <f>L6*0.0000</f>
        <v/>
      </c>
      <c r="M25" s="32">
        <f>M6*0.0000</f>
        <v/>
      </c>
      <c r="N25" s="32">
        <f>N6*0.0000</f>
        <v/>
      </c>
      <c r="O25" s="32">
        <f>O6*0.0000</f>
        <v/>
      </c>
      <c r="P25" s="32">
        <f>P6*0.0000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-SUM(Financials!S31:T31)</f>
        <v/>
      </c>
      <c r="C27" s="28">
        <f>-SUM(Financials!U31:V31)</f>
        <v/>
      </c>
      <c r="D27" s="28">
        <f>-SUM(Financials!W31:X31)</f>
        <v/>
      </c>
      <c r="E27" s="28">
        <f>-SUM(Financials!Y31:Z31)</f>
        <v/>
      </c>
      <c r="F27" s="28">
        <f>-SUM(Financials!AA31:AB31)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34">
        <f>IFERROR(D27/D24,"")</f>
        <v/>
      </c>
      <c r="E28" s="34">
        <f>IFERROR(E27/E24,"")</f>
        <v/>
      </c>
      <c r="F28" s="34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Financials!T25+Financials!T24-Financials!T19</f>
        <v/>
      </c>
      <c r="C34" s="28">
        <f>Financials!V25+Financials!V24-Financials!V19</f>
        <v/>
      </c>
      <c r="D34" s="28">
        <f>Financials!X25+Financials!X24-Financials!X19</f>
        <v/>
      </c>
      <c r="E34" s="28">
        <f>Financials!Z25+Financials!Z24-Financials!Z19</f>
        <v/>
      </c>
      <c r="F34" s="28">
        <f>Financials!AB25+Financials!AB24-Financials!AB19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Financials!T25</f>
        <v/>
      </c>
      <c r="C35" s="28">
        <f>Financials!V25</f>
        <v/>
      </c>
      <c r="D35" s="28">
        <f>Financials!X25</f>
        <v/>
      </c>
      <c r="E35" s="28">
        <f>Financials!Z25</f>
        <v/>
      </c>
      <c r="F35" s="28">
        <f>Financials!AB25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  <c r="N36" s="27">
        <f>IFERROR(N23/M34,"")</f>
        <v/>
      </c>
      <c r="O36" s="27">
        <f>IFERROR(O23/N34,"")</f>
        <v/>
      </c>
      <c r="P36" s="27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IFERROR(SUM(Financials!U15:V15)/B35,"")</f>
        <v/>
      </c>
      <c r="D37" s="11">
        <f>IFERROR(SUM(Financials!W15:X15)/C35,"")</f>
        <v/>
      </c>
      <c r="E37" s="11">
        <f>IFERROR(SUM(Financials!Y15:Z15)/D35,"")</f>
        <v/>
      </c>
      <c r="F37" s="11">
        <f>IFERROR(SUM(Financials!AA15:AB15)/E35,"")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  <c r="N37" s="27">
        <f>IFERROR(N23/M35,"")</f>
        <v/>
      </c>
      <c r="O37" s="27">
        <f>IFERROR(O23/N35,"")</f>
        <v/>
      </c>
      <c r="P37" s="27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  <c r="N38" s="11">
        <f>IFERROR(N36-WACC!$B$14,"")</f>
        <v/>
      </c>
      <c r="O38" s="11">
        <f>IFERROR(O36-WACC!$B$14,"")</f>
        <v/>
      </c>
      <c r="P38" s="11">
        <f>IFERROR(P36-WACC!$B$14,"")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  <c r="N39" s="27">
        <f>IFERROR((N19-M19)/(N6-M6),"")</f>
        <v/>
      </c>
      <c r="O39" s="27">
        <f>IFERROR((O19-N19)/(O6-N6),"")</f>
        <v/>
      </c>
      <c r="P39" s="27">
        <f>IFERROR((P19-O19)/(P6-O6),"")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  <c r="N40" s="27">
        <f>IFERROR((N23-M23)/(N34-M34),"")</f>
        <v/>
      </c>
      <c r="O40" s="27">
        <f>IFERROR((O23-N23)/(O34-N34),"")</f>
        <v/>
      </c>
      <c r="P40" s="2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  <c r="N41" s="35">
        <f>IFERROR((N6-M6)/(N34-M34),"")</f>
        <v/>
      </c>
      <c r="O41" s="35">
        <f>IFERROR((O6-N6)/(O34-N34),"")</f>
        <v/>
      </c>
      <c r="P41" s="3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  <c r="N42" s="27">
        <f>IFERROR((N34-M34)/N23,"")</f>
        <v/>
      </c>
      <c r="O42" s="27">
        <f>IFERROR((O34-N34)/O23,"")</f>
        <v/>
      </c>
      <c r="P42" s="2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Q4 2012</t>
        </is>
      </c>
      <c r="C1" s="36" t="inlineStr">
        <is>
          <t>Q2 2013</t>
        </is>
      </c>
      <c r="D1" s="36" t="inlineStr">
        <is>
          <t>Q4 2013</t>
        </is>
      </c>
      <c r="E1" s="36" t="inlineStr">
        <is>
          <t>Q2 2014</t>
        </is>
      </c>
      <c r="F1" s="36" t="inlineStr">
        <is>
          <t>Q4 2014</t>
        </is>
      </c>
      <c r="G1" s="36" t="inlineStr">
        <is>
          <t>Q2 2015</t>
        </is>
      </c>
      <c r="H1" s="36" t="inlineStr">
        <is>
          <t>Q4 2015</t>
        </is>
      </c>
      <c r="I1" s="36" t="inlineStr">
        <is>
          <t>Q2 2016</t>
        </is>
      </c>
      <c r="J1" s="36" t="inlineStr">
        <is>
          <t>Q4 2016</t>
        </is>
      </c>
      <c r="K1" s="36" t="inlineStr">
        <is>
          <t>Q2 2017</t>
        </is>
      </c>
      <c r="L1" s="36" t="inlineStr">
        <is>
          <t>Q4 2017</t>
        </is>
      </c>
      <c r="M1" s="36" t="inlineStr">
        <is>
          <t>Q2 2018</t>
        </is>
      </c>
      <c r="N1" s="36" t="inlineStr">
        <is>
          <t>Q4 2018</t>
        </is>
      </c>
      <c r="O1" s="36" t="inlineStr">
        <is>
          <t>Q2 2019</t>
        </is>
      </c>
      <c r="P1" s="36" t="inlineStr">
        <is>
          <t>Q4 2019</t>
        </is>
      </c>
      <c r="Q1" s="36" t="inlineStr">
        <is>
          <t>Q2 2020</t>
        </is>
      </c>
      <c r="R1" s="36" t="inlineStr">
        <is>
          <t>Q4 2020</t>
        </is>
      </c>
      <c r="S1" s="36" t="inlineStr">
        <is>
          <t>Q2 2021</t>
        </is>
      </c>
      <c r="T1" s="36" t="inlineStr">
        <is>
          <t>Q4 2021</t>
        </is>
      </c>
      <c r="U1" s="36" t="inlineStr">
        <is>
          <t>Q2 2022</t>
        </is>
      </c>
      <c r="V1" s="36" t="inlineStr">
        <is>
          <t>Q4 2022</t>
        </is>
      </c>
      <c r="W1" s="36" t="inlineStr">
        <is>
          <t>Q2 2023</t>
        </is>
      </c>
      <c r="X1" s="36" t="inlineStr">
        <is>
          <t>Q4 2023</t>
        </is>
      </c>
      <c r="Y1" s="36" t="inlineStr">
        <is>
          <t>Q2 2024</t>
        </is>
      </c>
      <c r="Z1" s="36" t="inlineStr">
        <is>
          <t>Q4 2024</t>
        </is>
      </c>
      <c r="AA1" s="36" t="inlineStr">
        <is>
          <t>Q2 2025</t>
        </is>
      </c>
      <c r="AB1" s="36" t="inlineStr">
        <is>
          <t>Q4 2025</t>
        </is>
      </c>
      <c r="AC1" s="36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15638</v>
      </c>
      <c r="C3" s="18" t="n">
        <v>32066</v>
      </c>
      <c r="D3" s="18" t="n">
        <v>33922</v>
      </c>
      <c r="E3" s="18" t="n">
        <v>12572</v>
      </c>
      <c r="F3" s="18" t="n">
        <v>9993.5</v>
      </c>
      <c r="G3" s="18" t="n">
        <v>25144</v>
      </c>
      <c r="H3" s="18" t="n">
        <v>19973</v>
      </c>
      <c r="I3" s="18" t="n">
        <v>15963</v>
      </c>
      <c r="J3" s="18" t="n">
        <v>15392</v>
      </c>
      <c r="K3" s="18" t="n">
        <v>19306</v>
      </c>
      <c r="L3" s="18" t="n">
        <v>11111.5</v>
      </c>
      <c r="M3" s="18" t="n">
        <v>20649</v>
      </c>
      <c r="N3" s="18" t="n">
        <v>22737</v>
      </c>
      <c r="O3" s="18" t="n">
        <v>20912</v>
      </c>
      <c r="P3" s="18" t="n">
        <v>23376</v>
      </c>
      <c r="Q3" s="18" t="n">
        <v>22456</v>
      </c>
      <c r="R3" s="18" t="n">
        <v>20767</v>
      </c>
      <c r="S3" s="18" t="n">
        <v>24183</v>
      </c>
      <c r="T3" s="18" t="n">
        <v>33072</v>
      </c>
      <c r="U3" s="18" t="n">
        <v>30831</v>
      </c>
      <c r="V3" s="18" t="n">
        <v>34580</v>
      </c>
      <c r="W3" s="18" t="n">
        <v>25984</v>
      </c>
      <c r="X3" s="18" t="n">
        <v>27833</v>
      </c>
      <c r="Y3" s="18" t="n">
        <v>27232</v>
      </c>
      <c r="Z3" s="18" t="n">
        <v>28426</v>
      </c>
      <c r="AA3" s="18" t="n">
        <v>25176</v>
      </c>
      <c r="AB3" s="18" t="n">
        <v>26086</v>
      </c>
      <c r="AC3" s="18" t="n">
        <v>27950.363</v>
      </c>
    </row>
    <row r="4">
      <c r="A4" s="4" t="inlineStr">
        <is>
          <t xml:space="preserve">    % YoY</t>
        </is>
      </c>
      <c r="D4" s="27">
        <f>IFERROR(D3/B3-1,"")</f>
        <v/>
      </c>
      <c r="E4" s="27">
        <f>IFERROR(E3/C3-1,"")</f>
        <v/>
      </c>
      <c r="F4" s="27">
        <f>IFERROR(F3/D3-1,"")</f>
        <v/>
      </c>
      <c r="G4" s="27">
        <f>IFERROR(G3/E3-1,"")</f>
        <v/>
      </c>
      <c r="H4" s="27">
        <f>IFERROR(H3/F3-1,"")</f>
        <v/>
      </c>
      <c r="I4" s="27">
        <f>IFERROR(I3/G3-1,"")</f>
        <v/>
      </c>
      <c r="J4" s="27">
        <f>IFERROR(J3/H3-1,"")</f>
        <v/>
      </c>
      <c r="K4" s="27">
        <f>IFERROR(K3/I3-1,"")</f>
        <v/>
      </c>
      <c r="L4" s="27">
        <f>IFERROR(L3/J3-1,"")</f>
        <v/>
      </c>
      <c r="M4" s="27">
        <f>IFERROR(M3/K3-1,"")</f>
        <v/>
      </c>
      <c r="N4" s="27">
        <f>IFERROR(N3/L3-1,"")</f>
        <v/>
      </c>
      <c r="O4" s="27">
        <f>IFERROR(O3/M3-1,"")</f>
        <v/>
      </c>
      <c r="P4" s="27">
        <f>IFERROR(P3/N3-1,"")</f>
        <v/>
      </c>
      <c r="Q4" s="27">
        <f>IFERROR(Q3/O3-1,"")</f>
        <v/>
      </c>
      <c r="R4" s="27">
        <f>IFERROR(R3/P3-1,"")</f>
        <v/>
      </c>
      <c r="S4" s="27">
        <f>IFERROR(S3/Q3-1,"")</f>
        <v/>
      </c>
      <c r="T4" s="27">
        <f>IFERROR(T3/R3-1,"")</f>
        <v/>
      </c>
      <c r="U4" s="27">
        <f>IFERROR(U3/S3-1,"")</f>
        <v/>
      </c>
      <c r="V4" s="27">
        <f>IFERROR(V3/T3-1,"")</f>
        <v/>
      </c>
      <c r="W4" s="27">
        <f>IFERROR(W3/U3-1,"")</f>
        <v/>
      </c>
      <c r="X4" s="27">
        <f>IFERROR(X3/V3-1,"")</f>
        <v/>
      </c>
      <c r="Y4" s="27">
        <f>IFERROR(Y3/W3-1,"")</f>
        <v/>
      </c>
      <c r="Z4" s="27">
        <f>IFERROR(Z3/X3-1,"")</f>
        <v/>
      </c>
      <c r="AA4" s="27">
        <f>IFERROR(AA3/Y3-1,"")</f>
        <v/>
      </c>
      <c r="AB4" s="27">
        <f>IFERROR(AB3/Z3-1,"")</f>
        <v/>
      </c>
      <c r="AC4" s="27">
        <f>IFERROR(AC3/AA3-1,"")</f>
        <v/>
      </c>
    </row>
    <row r="5">
      <c r="A5" s="4" t="inlineStr">
        <is>
          <t>Cost of Revenue</t>
        </is>
      </c>
      <c r="B5" s="18" t="n">
        <v>3373.5</v>
      </c>
      <c r="C5" s="18" t="n">
        <v>22743</v>
      </c>
      <c r="D5" s="18" t="n">
        <v>8316</v>
      </c>
      <c r="E5" s="18" t="n">
        <v>8389.5</v>
      </c>
      <c r="F5" s="18" t="n">
        <v>4378.9775</v>
      </c>
      <c r="G5" s="18" t="n">
        <v>16779</v>
      </c>
      <c r="H5" s="18" t="n">
        <v>9036.045</v>
      </c>
      <c r="I5" s="18" t="n">
        <v>14756</v>
      </c>
      <c r="J5" s="18" t="n">
        <v>7897</v>
      </c>
      <c r="K5" s="18" t="n">
        <v>13189</v>
      </c>
      <c r="L5" s="18" t="n">
        <v>4102.344</v>
      </c>
      <c r="M5" s="18" t="n">
        <v>13369</v>
      </c>
      <c r="N5" s="18" t="n">
        <v>5456.687</v>
      </c>
      <c r="O5" s="18" t="n">
        <v>13494</v>
      </c>
      <c r="P5" s="18" t="n">
        <v>5730.725</v>
      </c>
      <c r="Q5" s="18" t="n">
        <v>13483</v>
      </c>
      <c r="R5" s="18" t="n">
        <v>5873</v>
      </c>
      <c r="S5" s="18" t="n">
        <v>12845</v>
      </c>
      <c r="T5" s="18" t="n">
        <v>5099</v>
      </c>
      <c r="U5" s="18" t="n">
        <v>15677</v>
      </c>
      <c r="V5" s="18" t="n">
        <v>6337</v>
      </c>
      <c r="W5" s="18" t="n">
        <v>15361</v>
      </c>
      <c r="X5" s="18" t="n">
        <v>4412</v>
      </c>
      <c r="Y5" s="18" t="n">
        <v>16428</v>
      </c>
      <c r="Z5" s="18" t="n">
        <v>6498</v>
      </c>
      <c r="AA5" s="18" t="n">
        <v>15933</v>
      </c>
      <c r="AB5" s="18" t="n">
        <v>-6815</v>
      </c>
      <c r="AC5" s="18" t="n">
        <v>15974.641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37.5</v>
      </c>
      <c r="C7" s="18" t="n">
        <v>0</v>
      </c>
      <c r="D7" s="18" t="n">
        <v>64</v>
      </c>
      <c r="E7" s="18" t="n">
        <v>21.5</v>
      </c>
      <c r="F7" s="18" t="n">
        <v>21.5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10471.5</v>
      </c>
      <c r="C9" s="18" t="n">
        <v>10</v>
      </c>
      <c r="D9" s="18" t="n">
        <v>21382</v>
      </c>
      <c r="E9" s="18" t="n">
        <v>3.5</v>
      </c>
      <c r="F9" s="18" t="n">
        <v>7591.4775</v>
      </c>
      <c r="G9" s="18" t="n">
        <v>7</v>
      </c>
      <c r="H9" s="18" t="n">
        <v>14807.045</v>
      </c>
      <c r="I9" s="18" t="n">
        <v>0</v>
      </c>
      <c r="J9" s="18" t="n">
        <v>11730</v>
      </c>
      <c r="K9" s="18" t="n">
        <v>0</v>
      </c>
      <c r="L9" s="18" t="n">
        <v>6004.344</v>
      </c>
      <c r="M9" s="18" t="n">
        <v>0</v>
      </c>
      <c r="N9" s="18" t="n">
        <v>12008.687</v>
      </c>
      <c r="O9" s="18" t="n">
        <v>0</v>
      </c>
      <c r="P9" s="18" t="n">
        <v>11937.725</v>
      </c>
      <c r="Q9" s="18" t="n">
        <v>0</v>
      </c>
      <c r="R9" s="18" t="n">
        <v>10828</v>
      </c>
      <c r="S9" s="18" t="n">
        <v>0</v>
      </c>
      <c r="T9" s="18" t="n">
        <v>10943</v>
      </c>
      <c r="U9" s="18" t="n">
        <v>0</v>
      </c>
      <c r="V9" s="18" t="n">
        <v>11552</v>
      </c>
      <c r="W9" s="18" t="n">
        <v>0</v>
      </c>
      <c r="X9" s="18" t="n">
        <v>12208</v>
      </c>
      <c r="Y9" s="18" t="n">
        <v>0</v>
      </c>
      <c r="Z9" s="18" t="n">
        <v>13427</v>
      </c>
      <c r="AA9" s="18" t="n">
        <v>0</v>
      </c>
      <c r="AB9" s="18" t="n">
        <v>13461</v>
      </c>
      <c r="AC9" s="18" t="n">
        <v>0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12264.5</v>
      </c>
      <c r="C11" s="18" t="n">
        <v>9323</v>
      </c>
      <c r="D11" s="18" t="n">
        <v>25606</v>
      </c>
      <c r="E11" s="18" t="n">
        <v>4182.5</v>
      </c>
      <c r="F11" s="18" t="n">
        <v>14372.4775</v>
      </c>
      <c r="G11" s="18" t="n">
        <v>8365</v>
      </c>
      <c r="H11" s="18" t="n">
        <v>29009.045</v>
      </c>
      <c r="I11" s="18" t="n">
        <v>1207</v>
      </c>
      <c r="J11" s="18" t="n">
        <v>23289</v>
      </c>
      <c r="K11" s="18" t="n">
        <v>6117</v>
      </c>
      <c r="L11" s="18" t="n">
        <v>15213.844</v>
      </c>
      <c r="M11" s="18" t="n">
        <v>7280</v>
      </c>
      <c r="N11" s="18" t="n">
        <v>28193.687</v>
      </c>
      <c r="O11" s="18" t="n">
        <v>7418</v>
      </c>
      <c r="P11" s="18" t="n">
        <v>29106.725</v>
      </c>
      <c r="Q11" s="18" t="n">
        <v>8973</v>
      </c>
      <c r="R11" s="18" t="n">
        <v>26640</v>
      </c>
      <c r="S11" s="18" t="n">
        <v>11338</v>
      </c>
      <c r="T11" s="18" t="n">
        <v>38171</v>
      </c>
      <c r="U11" s="18" t="n">
        <v>15154</v>
      </c>
      <c r="V11" s="18" t="n">
        <v>40917</v>
      </c>
      <c r="W11" s="18" t="n">
        <v>10623</v>
      </c>
      <c r="X11" s="18" t="n">
        <v>32245</v>
      </c>
      <c r="Y11" s="18" t="n">
        <v>10804</v>
      </c>
      <c r="Z11" s="18" t="n">
        <v>34924</v>
      </c>
      <c r="AA11" s="18" t="n">
        <v>9243</v>
      </c>
      <c r="AB11" s="18" t="n">
        <v>32901</v>
      </c>
      <c r="AC11" s="18" t="n">
        <v>11975.722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7822</v>
      </c>
      <c r="C13" s="18" t="n">
        <v>15870</v>
      </c>
      <c r="D13" s="18" t="n">
        <v>11475</v>
      </c>
      <c r="E13" s="18" t="n">
        <v>3965</v>
      </c>
      <c r="F13" s="18" t="n">
        <v>370</v>
      </c>
      <c r="G13" s="18" t="n">
        <v>7930</v>
      </c>
      <c r="H13" s="18" t="n">
        <v>740</v>
      </c>
      <c r="I13" s="18" t="n">
        <v>-7030</v>
      </c>
      <c r="J13" s="18" t="n">
        <v>795</v>
      </c>
      <c r="K13" s="18" t="n">
        <v>6057</v>
      </c>
      <c r="L13" s="18" t="n">
        <v>4415.5</v>
      </c>
      <c r="M13" s="18" t="n">
        <v>7165</v>
      </c>
      <c r="N13" s="18" t="n">
        <v>8831</v>
      </c>
      <c r="O13" s="18" t="n">
        <v>7333</v>
      </c>
      <c r="P13" s="18" t="n">
        <v>8780</v>
      </c>
      <c r="Q13" s="18" t="n">
        <v>8314</v>
      </c>
      <c r="R13" s="18" t="n">
        <v>6107</v>
      </c>
      <c r="S13" s="18" t="n">
        <v>9889</v>
      </c>
      <c r="T13" s="18" t="n">
        <v>15626</v>
      </c>
      <c r="U13" s="18" t="n">
        <v>14845</v>
      </c>
      <c r="V13" s="18" t="n">
        <v>19261</v>
      </c>
      <c r="W13" s="18" t="n">
        <v>10833</v>
      </c>
      <c r="X13" s="18" t="n">
        <v>12099</v>
      </c>
      <c r="Y13" s="18" t="n">
        <v>4803</v>
      </c>
      <c r="Z13" s="18" t="n">
        <v>12734</v>
      </c>
      <c r="AA13" s="18" t="n">
        <v>9126</v>
      </c>
      <c r="AB13" s="18" t="n">
        <v>10338</v>
      </c>
      <c r="AC13" s="18" t="n">
        <v>11975.722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3778.5</v>
      </c>
      <c r="C15" s="18" t="n">
        <v>5245</v>
      </c>
      <c r="D15" s="18" t="n">
        <v>6790</v>
      </c>
      <c r="E15" s="18" t="n">
        <v>2132.5</v>
      </c>
      <c r="F15" s="18" t="n">
        <v>-1177.5</v>
      </c>
      <c r="G15" s="18" t="n">
        <v>4265</v>
      </c>
      <c r="H15" s="18" t="n">
        <v>-2355</v>
      </c>
      <c r="I15" s="18" t="n">
        <v>-5669</v>
      </c>
      <c r="J15" s="18" t="n">
        <v>-716</v>
      </c>
      <c r="K15" s="18" t="n">
        <v>3204</v>
      </c>
      <c r="L15" s="18" t="n">
        <v>845</v>
      </c>
      <c r="M15" s="18" t="n">
        <v>2015</v>
      </c>
      <c r="N15" s="18" t="n">
        <v>1690</v>
      </c>
      <c r="O15" s="18" t="n">
        <v>3764</v>
      </c>
      <c r="P15" s="18" t="n">
        <v>4542</v>
      </c>
      <c r="Q15" s="18" t="n">
        <v>4868</v>
      </c>
      <c r="R15" s="18" t="n">
        <v>3088</v>
      </c>
      <c r="S15" s="18" t="n">
        <v>3876</v>
      </c>
      <c r="T15" s="18" t="n">
        <v>7428</v>
      </c>
      <c r="U15" s="18" t="n">
        <v>9443</v>
      </c>
      <c r="V15" s="18" t="n">
        <v>21457</v>
      </c>
      <c r="W15" s="18" t="n">
        <v>6457</v>
      </c>
      <c r="X15" s="18" t="n">
        <v>6464</v>
      </c>
      <c r="Y15" s="18" t="n">
        <v>927</v>
      </c>
      <c r="Z15" s="18" t="n">
        <v>6970</v>
      </c>
      <c r="AA15" s="18" t="n">
        <v>4416</v>
      </c>
      <c r="AB15" s="18" t="n">
        <v>4603</v>
      </c>
      <c r="AC15" s="18" t="n">
        <v>5649.776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2675.121951</v>
      </c>
      <c r="C17" s="18" t="n">
        <v>2670.481927</v>
      </c>
      <c r="D17" s="18" t="n">
        <v>2671</v>
      </c>
      <c r="E17" s="18" t="n">
        <v>2667</v>
      </c>
      <c r="F17" s="18" t="n">
        <v>2659.5</v>
      </c>
      <c r="G17" s="18" t="n">
        <v>2667</v>
      </c>
      <c r="H17" s="18" t="n">
        <v>2666</v>
      </c>
      <c r="I17" s="18" t="n">
        <v>2661</v>
      </c>
      <c r="J17" s="18" t="n">
        <v>2661</v>
      </c>
      <c r="K17" s="18" t="n">
        <v>2668</v>
      </c>
      <c r="L17" s="18" t="n">
        <v>2668</v>
      </c>
      <c r="M17" s="18" t="n">
        <v>2669</v>
      </c>
      <c r="N17" s="18" t="n">
        <v>2668</v>
      </c>
      <c r="O17" s="18" t="n">
        <v>2659</v>
      </c>
      <c r="P17" s="18" t="n">
        <v>2534</v>
      </c>
      <c r="Q17" s="18" t="n">
        <v>2535</v>
      </c>
      <c r="R17" s="18" t="n">
        <v>2534</v>
      </c>
      <c r="S17" s="18" t="n">
        <v>2534.5</v>
      </c>
      <c r="T17" s="18" t="n">
        <v>2533.5</v>
      </c>
      <c r="U17" s="18" t="n">
        <v>2536</v>
      </c>
      <c r="V17" s="18" t="n">
        <v>2535</v>
      </c>
      <c r="W17" s="18" t="n">
        <v>2536.5</v>
      </c>
      <c r="X17" s="18" t="n">
        <v>2536.5</v>
      </c>
      <c r="Y17" s="18" t="n">
        <v>2539</v>
      </c>
      <c r="Z17" s="18" t="n">
        <v>2538</v>
      </c>
      <c r="AA17" s="18" t="n">
        <v>2541.5</v>
      </c>
      <c r="AB17" s="18" t="n">
        <v>2541.5</v>
      </c>
      <c r="AC17" s="18" t="n">
        <v>2544.5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4832</v>
      </c>
      <c r="C19" s="18" t="n">
        <v>4779</v>
      </c>
      <c r="D19" s="18" t="n">
        <v>5778</v>
      </c>
      <c r="E19" s="18" t="n">
        <v>10947</v>
      </c>
      <c r="F19" s="18" t="n">
        <v>8815</v>
      </c>
      <c r="G19" s="18" t="n">
        <v>6130</v>
      </c>
      <c r="H19" s="18" t="n">
        <v>6806</v>
      </c>
      <c r="I19" s="18" t="n">
        <v>10701</v>
      </c>
      <c r="J19" s="18" t="n">
        <v>10355</v>
      </c>
      <c r="K19" s="18" t="n">
        <v>14090</v>
      </c>
      <c r="L19" s="18" t="n">
        <v>14184</v>
      </c>
      <c r="M19" s="18" t="n">
        <v>12373</v>
      </c>
      <c r="N19" s="18" t="n">
        <v>15889</v>
      </c>
      <c r="O19" s="18" t="n">
        <v>15812</v>
      </c>
      <c r="P19" s="18" t="n">
        <v>15628</v>
      </c>
      <c r="Q19" s="18" t="n">
        <v>14331</v>
      </c>
      <c r="R19" s="18" t="n">
        <v>13462</v>
      </c>
      <c r="S19" s="18" t="n">
        <v>9302</v>
      </c>
      <c r="T19" s="18" t="n">
        <v>15249</v>
      </c>
      <c r="U19" s="18" t="n">
        <v>12522</v>
      </c>
      <c r="V19" s="18" t="n">
        <v>17539</v>
      </c>
      <c r="W19" s="18" t="n">
        <v>9934</v>
      </c>
      <c r="X19" s="18" t="n">
        <v>12457</v>
      </c>
      <c r="Y19" s="18" t="n">
        <v>10354</v>
      </c>
      <c r="Z19" s="18" t="n">
        <v>12647</v>
      </c>
      <c r="AA19" s="18" t="n">
        <v>9858</v>
      </c>
      <c r="AB19" s="18" t="n">
        <v>12167</v>
      </c>
      <c r="AC19" s="18" t="n">
        <v>13815</v>
      </c>
    </row>
    <row r="20">
      <c r="A20" s="4" t="inlineStr">
        <is>
          <t>Total Current Assets</t>
        </is>
      </c>
      <c r="B20" s="18" t="n">
        <v>20451</v>
      </c>
      <c r="C20" s="18" t="n">
        <v>20662</v>
      </c>
      <c r="D20" s="18" t="n">
        <v>18953</v>
      </c>
      <c r="E20" s="18" t="n">
        <v>24598</v>
      </c>
      <c r="F20" s="18" t="n">
        <v>22296</v>
      </c>
      <c r="G20" s="18" t="n">
        <v>18901</v>
      </c>
      <c r="H20" s="18" t="n">
        <v>16369</v>
      </c>
      <c r="I20" s="18" t="n">
        <v>18383</v>
      </c>
      <c r="J20" s="18" t="n">
        <v>17714</v>
      </c>
      <c r="K20" s="18" t="n">
        <v>21501</v>
      </c>
      <c r="L20" s="18" t="n">
        <v>21056</v>
      </c>
      <c r="M20" s="18" t="n">
        <v>20143</v>
      </c>
      <c r="N20" s="18" t="n">
        <v>35130</v>
      </c>
      <c r="O20" s="18" t="n">
        <v>26407</v>
      </c>
      <c r="P20" s="18" t="n">
        <v>23373</v>
      </c>
      <c r="Q20" s="18" t="n">
        <v>22246</v>
      </c>
      <c r="R20" s="18" t="n">
        <v>21471</v>
      </c>
      <c r="S20" s="18" t="n">
        <v>19010</v>
      </c>
      <c r="T20" s="18" t="n">
        <v>26693</v>
      </c>
      <c r="U20" s="18" t="n">
        <v>39673</v>
      </c>
      <c r="V20" s="18" t="n">
        <v>28664</v>
      </c>
      <c r="W20" s="18" t="n">
        <v>20103</v>
      </c>
      <c r="X20" s="18" t="n">
        <v>23351</v>
      </c>
      <c r="Y20" s="18" t="n">
        <v>23800</v>
      </c>
      <c r="Z20" s="18" t="n">
        <v>24338</v>
      </c>
      <c r="AA20" s="18" t="n">
        <v>20855</v>
      </c>
      <c r="AB20" s="18" t="n">
        <v>22830</v>
      </c>
      <c r="AC20" s="18" t="n">
        <v>25928</v>
      </c>
    </row>
    <row r="21">
      <c r="A21" s="4" t="inlineStr">
        <is>
          <t>PP&amp;E (net)</t>
        </is>
      </c>
      <c r="B21" s="18" t="n">
        <v>95247</v>
      </c>
      <c r="C21" s="18" t="n">
        <v>94839</v>
      </c>
      <c r="D21" s="18" t="n">
        <v>100565</v>
      </c>
      <c r="E21" s="18" t="n">
        <v>105254</v>
      </c>
      <c r="F21" s="18" t="n">
        <v>108787</v>
      </c>
      <c r="G21" s="18" t="n">
        <v>108771</v>
      </c>
      <c r="H21" s="18" t="n">
        <v>94072</v>
      </c>
      <c r="I21" s="18" t="n">
        <v>85439</v>
      </c>
      <c r="J21" s="18" t="n">
        <v>83975</v>
      </c>
      <c r="K21" s="18" t="n">
        <v>82170</v>
      </c>
      <c r="L21" s="18" t="n">
        <v>80497</v>
      </c>
      <c r="M21" s="18" t="n">
        <v>78849</v>
      </c>
      <c r="N21" s="18" t="n">
        <v>67182</v>
      </c>
      <c r="O21" s="18" t="n">
        <v>66673</v>
      </c>
      <c r="P21" s="18" t="n">
        <v>68041</v>
      </c>
      <c r="Q21" s="18" t="n">
        <v>70196</v>
      </c>
      <c r="R21" s="18" t="n">
        <v>70242</v>
      </c>
      <c r="S21" s="18" t="n">
        <v>73711</v>
      </c>
      <c r="T21" s="18" t="n">
        <v>72127</v>
      </c>
      <c r="U21" s="18" t="n">
        <v>60433</v>
      </c>
      <c r="V21" s="18" t="n">
        <v>61104</v>
      </c>
      <c r="W21" s="18" t="n">
        <v>62178</v>
      </c>
      <c r="X21" s="18" t="n">
        <v>71579</v>
      </c>
      <c r="Y21" s="18" t="n">
        <v>69994</v>
      </c>
      <c r="Z21" s="18" t="n">
        <v>71629</v>
      </c>
      <c r="AA21" s="18" t="n">
        <v>73112</v>
      </c>
      <c r="AB21" s="18" t="n">
        <v>76247</v>
      </c>
      <c r="AC21" s="18" t="n">
        <v>79851</v>
      </c>
    </row>
    <row r="22">
      <c r="A22" s="4" t="inlineStr">
        <is>
          <t>Total Assets</t>
        </is>
      </c>
      <c r="B22" s="18" t="n">
        <v>129273</v>
      </c>
      <c r="C22" s="18" t="n">
        <v>133685</v>
      </c>
      <c r="D22" s="18" t="n">
        <v>138109</v>
      </c>
      <c r="E22" s="18" t="n">
        <v>151015</v>
      </c>
      <c r="F22" s="18" t="n">
        <v>151413</v>
      </c>
      <c r="G22" s="18" t="n">
        <v>146081</v>
      </c>
      <c r="H22" s="18" t="n">
        <v>124580</v>
      </c>
      <c r="I22" s="18" t="n">
        <v>118669</v>
      </c>
      <c r="J22" s="18" t="n">
        <v>118953</v>
      </c>
      <c r="K22" s="18" t="n">
        <v>119535</v>
      </c>
      <c r="L22" s="18" t="n">
        <v>117006</v>
      </c>
      <c r="M22" s="18" t="n">
        <v>112582</v>
      </c>
      <c r="N22" s="18" t="n">
        <v>111993</v>
      </c>
      <c r="O22" s="18" t="n">
        <v>102414</v>
      </c>
      <c r="P22" s="18" t="n">
        <v>100861</v>
      </c>
      <c r="Q22" s="18" t="n">
        <v>102290</v>
      </c>
      <c r="R22" s="18" t="n">
        <v>104783</v>
      </c>
      <c r="S22" s="18" t="n">
        <v>103233</v>
      </c>
      <c r="T22" s="18" t="n">
        <v>108927</v>
      </c>
      <c r="U22" s="18" t="n">
        <v>105725</v>
      </c>
      <c r="V22" s="18" t="n">
        <v>95166</v>
      </c>
      <c r="W22" s="18" t="n">
        <v>87824</v>
      </c>
      <c r="X22" s="18" t="n">
        <v>101296</v>
      </c>
      <c r="Y22" s="18" t="n">
        <v>99988</v>
      </c>
      <c r="Z22" s="18" t="n">
        <v>102362</v>
      </c>
      <c r="AA22" s="18" t="n">
        <v>100722</v>
      </c>
      <c r="AB22" s="18" t="n">
        <v>108790</v>
      </c>
      <c r="AC22" s="18" t="n">
        <v>116012</v>
      </c>
    </row>
    <row r="23">
      <c r="A23" s="4" t="inlineStr">
        <is>
          <t>Total Current Liabilities</t>
        </is>
      </c>
      <c r="B23" s="18" t="n">
        <v>22034</v>
      </c>
      <c r="C23" s="18" t="n">
        <v>18674</v>
      </c>
      <c r="D23" s="18" t="n">
        <v>20139</v>
      </c>
      <c r="E23" s="18" t="n">
        <v>20093</v>
      </c>
      <c r="F23" s="18" t="n">
        <v>18064</v>
      </c>
      <c r="G23" s="18" t="n">
        <v>13350</v>
      </c>
      <c r="H23" s="18" t="n">
        <v>12853</v>
      </c>
      <c r="I23" s="18" t="n">
        <v>11638</v>
      </c>
      <c r="J23" s="18" t="n">
        <v>12340</v>
      </c>
      <c r="K23" s="18" t="n">
        <v>11999</v>
      </c>
      <c r="L23" s="18" t="n">
        <v>11366</v>
      </c>
      <c r="M23" s="18" t="n">
        <v>11530</v>
      </c>
      <c r="N23" s="18" t="n">
        <v>13989</v>
      </c>
      <c r="O23" s="18" t="n">
        <v>10368</v>
      </c>
      <c r="P23" s="18" t="n">
        <v>12339</v>
      </c>
      <c r="Q23" s="18" t="n">
        <v>13762</v>
      </c>
      <c r="R23" s="18" t="n">
        <v>14824</v>
      </c>
      <c r="S23" s="18" t="n">
        <v>13361</v>
      </c>
      <c r="T23" s="18" t="n">
        <v>16403</v>
      </c>
      <c r="U23" s="18" t="n">
        <v>20619</v>
      </c>
      <c r="V23" s="18" t="n">
        <v>16919</v>
      </c>
      <c r="W23" s="18" t="n">
        <v>11889</v>
      </c>
      <c r="X23" s="18" t="n">
        <v>19043</v>
      </c>
      <c r="Y23" s="18" t="n">
        <v>15175</v>
      </c>
      <c r="Z23" s="18" t="n">
        <v>14296</v>
      </c>
      <c r="AA23" s="18" t="n">
        <v>12297</v>
      </c>
      <c r="AB23" s="18" t="n">
        <v>15639</v>
      </c>
      <c r="AC23" s="18" t="n">
        <v>15726</v>
      </c>
    </row>
    <row r="24">
      <c r="A24" s="4" t="inlineStr">
        <is>
          <t>Long-term Debt</t>
        </is>
      </c>
      <c r="B24" s="18" t="n">
        <v>24629</v>
      </c>
      <c r="C24" s="18" t="n">
        <v>31835</v>
      </c>
      <c r="D24" s="18" t="n">
        <v>28544</v>
      </c>
      <c r="E24" s="18" t="n">
        <v>31702</v>
      </c>
      <c r="F24" s="18" t="n">
        <v>29309</v>
      </c>
      <c r="G24" s="18" t="n">
        <v>28610</v>
      </c>
      <c r="H24" s="18" t="n">
        <v>28649</v>
      </c>
      <c r="I24" s="18" t="n">
        <v>32476</v>
      </c>
      <c r="J24" s="18" t="n">
        <v>33230</v>
      </c>
      <c r="K24" s="18" t="n">
        <v>32467</v>
      </c>
      <c r="L24" s="18" t="n">
        <v>29513</v>
      </c>
      <c r="M24" s="18" t="n">
        <v>25700</v>
      </c>
      <c r="N24" s="18" t="n">
        <v>24436</v>
      </c>
      <c r="O24" s="18" t="n">
        <v>24444</v>
      </c>
      <c r="P24" s="18" t="n">
        <v>23412</v>
      </c>
      <c r="Q24" s="18" t="n">
        <v>20687</v>
      </c>
      <c r="R24" s="18" t="n">
        <v>20860</v>
      </c>
      <c r="S24" s="18" t="n">
        <v>16241</v>
      </c>
      <c r="T24" s="18" t="n">
        <v>15934</v>
      </c>
      <c r="U24" s="18" t="n">
        <v>13638</v>
      </c>
      <c r="V24" s="18" t="n">
        <v>11749</v>
      </c>
      <c r="W24" s="18" t="n">
        <v>12017</v>
      </c>
      <c r="X24" s="18" t="n">
        <v>14282</v>
      </c>
      <c r="Y24" s="18" t="n">
        <v>17212</v>
      </c>
      <c r="Z24" s="18" t="n">
        <v>16204</v>
      </c>
      <c r="AA24" s="18" t="n">
        <v>17213</v>
      </c>
      <c r="AB24" s="18" t="n">
        <v>20166</v>
      </c>
      <c r="AC24" s="18" t="n">
        <v>24590</v>
      </c>
    </row>
    <row r="25">
      <c r="A25" s="4" t="inlineStr">
        <is>
          <t>Total Equity</t>
        </is>
      </c>
      <c r="B25" s="18" t="n">
        <v>64491</v>
      </c>
      <c r="C25" s="18" t="n">
        <v>65404</v>
      </c>
      <c r="D25" s="18" t="n">
        <v>69237</v>
      </c>
      <c r="E25" s="18" t="n">
        <v>74269</v>
      </c>
      <c r="F25" s="18" t="n">
        <v>76803</v>
      </c>
      <c r="G25" s="18" t="n">
        <v>77233</v>
      </c>
      <c r="H25" s="18" t="n">
        <v>62287</v>
      </c>
      <c r="I25" s="18" t="n">
        <v>55786</v>
      </c>
      <c r="J25" s="18" t="n">
        <v>53002</v>
      </c>
      <c r="K25" s="18" t="n">
        <v>56649</v>
      </c>
      <c r="L25" s="18" t="n">
        <v>55970</v>
      </c>
      <c r="M25" s="18" t="n">
        <v>56977</v>
      </c>
      <c r="N25" s="18" t="n">
        <v>54309</v>
      </c>
      <c r="O25" s="18" t="n">
        <v>50647</v>
      </c>
      <c r="P25" s="18" t="n">
        <v>45957</v>
      </c>
      <c r="Q25" s="18" t="n">
        <v>48122</v>
      </c>
      <c r="R25" s="18" t="n">
        <v>47936</v>
      </c>
      <c r="S25" s="18" t="n">
        <v>48922</v>
      </c>
      <c r="T25" s="18" t="n">
        <v>51264</v>
      </c>
      <c r="U25" s="18" t="n">
        <v>50787</v>
      </c>
      <c r="V25" s="18" t="n">
        <v>44957</v>
      </c>
      <c r="W25" s="18" t="n">
        <v>42601</v>
      </c>
      <c r="X25" s="18" t="n">
        <v>44496</v>
      </c>
      <c r="Y25" s="18" t="n">
        <v>41392</v>
      </c>
      <c r="Z25" s="18" t="n">
        <v>44811</v>
      </c>
      <c r="AA25" s="18" t="n">
        <v>45516</v>
      </c>
      <c r="AB25" s="18" t="n">
        <v>47665</v>
      </c>
      <c r="AC25" s="18" t="n">
        <v>50407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1863.5</v>
      </c>
      <c r="C27" s="18" t="n">
        <v>3459</v>
      </c>
      <c r="D27" s="18" t="n">
        <v>3839</v>
      </c>
      <c r="E27" s="18" t="n">
        <v>4091</v>
      </c>
      <c r="F27" s="18" t="n">
        <v>2456</v>
      </c>
      <c r="G27" s="18" t="n">
        <v>4405</v>
      </c>
      <c r="H27" s="18" t="n">
        <v>4753</v>
      </c>
      <c r="I27" s="18" t="n">
        <v>4602</v>
      </c>
      <c r="J27" s="18" t="n">
        <v>4059</v>
      </c>
      <c r="K27" s="18" t="n">
        <v>3843</v>
      </c>
      <c r="L27" s="18" t="n">
        <v>3876</v>
      </c>
      <c r="M27" s="18" t="n">
        <v>3277</v>
      </c>
      <c r="N27" s="18" t="n">
        <v>3087</v>
      </c>
      <c r="O27" s="18" t="n">
        <v>2889</v>
      </c>
      <c r="P27" s="18" t="n">
        <v>2968</v>
      </c>
      <c r="Q27" s="18" t="n">
        <v>3014</v>
      </c>
      <c r="R27" s="18" t="n">
        <v>3098</v>
      </c>
      <c r="S27" s="18" t="n">
        <v>2405</v>
      </c>
      <c r="T27" s="18" t="n">
        <v>2679</v>
      </c>
      <c r="U27" s="18" t="n">
        <v>2851</v>
      </c>
      <c r="V27" s="18" t="n">
        <v>2832</v>
      </c>
      <c r="W27" s="18" t="n">
        <v>2456</v>
      </c>
      <c r="X27" s="18" t="n">
        <v>2605</v>
      </c>
      <c r="Y27" s="18" t="n">
        <v>2629</v>
      </c>
      <c r="Z27" s="18" t="n">
        <v>2666</v>
      </c>
      <c r="AA27" s="18" t="n">
        <v>2648</v>
      </c>
      <c r="AB27" s="18" t="n">
        <v>2892.921</v>
      </c>
      <c r="AC27" s="18" t="n">
        <v>2925.061</v>
      </c>
    </row>
    <row r="28">
      <c r="A28" s="4" t="inlineStr">
        <is>
          <t>Stock-based Compensation</t>
        </is>
      </c>
      <c r="B28" s="18" t="n">
        <v>72.5</v>
      </c>
      <c r="C28" s="18" t="n">
        <v>103</v>
      </c>
      <c r="D28" s="18" t="n">
        <v>110.671</v>
      </c>
      <c r="E28" s="18" t="n">
        <v>129</v>
      </c>
      <c r="F28" s="18" t="n">
        <v>52</v>
      </c>
      <c r="G28" s="18" t="n">
        <v>116</v>
      </c>
      <c r="H28" s="18" t="n">
        <v>86.955</v>
      </c>
      <c r="I28" s="18" t="n">
        <v>0</v>
      </c>
      <c r="J28" s="18" t="n">
        <v>140.445</v>
      </c>
      <c r="K28" s="18" t="n">
        <v>0</v>
      </c>
      <c r="L28" s="18" t="n">
        <v>105</v>
      </c>
      <c r="M28" s="18" t="n">
        <v>0</v>
      </c>
      <c r="N28" s="18" t="n">
        <v>123.313</v>
      </c>
      <c r="O28" s="18" t="n">
        <v>0</v>
      </c>
      <c r="P28" s="18" t="n">
        <v>138.275</v>
      </c>
      <c r="Q28" s="18" t="n">
        <v>0</v>
      </c>
      <c r="R28" s="18" t="n">
        <v>129</v>
      </c>
      <c r="S28" s="18" t="n">
        <v>0</v>
      </c>
      <c r="T28" s="18" t="n">
        <v>88</v>
      </c>
      <c r="U28" s="18" t="n">
        <v>0</v>
      </c>
      <c r="V28" s="18" t="n">
        <v>109</v>
      </c>
      <c r="W28" s="18" t="n">
        <v>0</v>
      </c>
      <c r="X28" s="18" t="n">
        <v>97</v>
      </c>
      <c r="Y28" s="18" t="n">
        <v>0</v>
      </c>
      <c r="Z28" s="18" t="n">
        <v>112</v>
      </c>
      <c r="AA28" s="18" t="n">
        <v>0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846</v>
      </c>
      <c r="C29" s="18" t="n">
        <v>-494</v>
      </c>
      <c r="D29" s="18" t="n">
        <v>1178</v>
      </c>
      <c r="E29" s="18" t="n">
        <v>-573</v>
      </c>
      <c r="F29" s="18" t="n">
        <v>-53</v>
      </c>
      <c r="G29" s="18" t="n">
        <v>222</v>
      </c>
      <c r="H29" s="18" t="n">
        <v>581</v>
      </c>
      <c r="I29" s="18" t="n">
        <v>1500</v>
      </c>
      <c r="J29" s="18" t="n">
        <v>368</v>
      </c>
      <c r="K29" s="18" t="n">
        <v>-1281</v>
      </c>
      <c r="L29" s="18" t="n">
        <v>929</v>
      </c>
      <c r="M29" s="18" t="n">
        <v>-1074</v>
      </c>
      <c r="N29" s="18" t="n">
        <v>237</v>
      </c>
      <c r="O29" s="18" t="n">
        <v>-42</v>
      </c>
      <c r="P29" s="18" t="n">
        <v>4</v>
      </c>
      <c r="Q29" s="18" t="n">
        <v>95</v>
      </c>
      <c r="R29" s="18" t="n">
        <v>669</v>
      </c>
      <c r="S29" s="18" t="n">
        <v>-1404</v>
      </c>
      <c r="T29" s="18" t="n">
        <v>-904</v>
      </c>
      <c r="U29" s="18" t="n">
        <v>-991</v>
      </c>
      <c r="V29" s="18" t="n">
        <v>-825</v>
      </c>
      <c r="W29" s="18" t="n">
        <v>436</v>
      </c>
      <c r="X29" s="18" t="n">
        <v>518</v>
      </c>
      <c r="Y29" s="18" t="n">
        <v>-1537</v>
      </c>
      <c r="Z29" s="18" t="n">
        <v>248</v>
      </c>
      <c r="AA29" s="18" t="n">
        <v>-174</v>
      </c>
      <c r="AB29" s="18" t="n">
        <v>649.151</v>
      </c>
      <c r="AC29" s="18" t="n">
        <v>-2348.063</v>
      </c>
    </row>
    <row r="30">
      <c r="A30" s="4" t="inlineStr">
        <is>
          <t>Operating Cash Flow</t>
        </is>
      </c>
      <c r="B30" s="18" t="n">
        <v>6927</v>
      </c>
      <c r="C30" s="18" t="n">
        <v>7173</v>
      </c>
      <c r="D30" s="18" t="n">
        <v>12981</v>
      </c>
      <c r="E30" s="18" t="n">
        <v>11859</v>
      </c>
      <c r="F30" s="18" t="n">
        <v>13505</v>
      </c>
      <c r="G30" s="18" t="n">
        <v>10423</v>
      </c>
      <c r="H30" s="18" t="n">
        <v>8873</v>
      </c>
      <c r="I30" s="18" t="n">
        <v>5260</v>
      </c>
      <c r="J30" s="18" t="n">
        <v>5365</v>
      </c>
      <c r="K30" s="18" t="n">
        <v>7697</v>
      </c>
      <c r="L30" s="18" t="n">
        <v>9107</v>
      </c>
      <c r="M30" s="18" t="n">
        <v>7343</v>
      </c>
      <c r="N30" s="18" t="n">
        <v>11118</v>
      </c>
      <c r="O30" s="18" t="n">
        <v>7274</v>
      </c>
      <c r="P30" s="18" t="n">
        <v>10597</v>
      </c>
      <c r="Q30" s="18" t="n">
        <v>7442</v>
      </c>
      <c r="R30" s="18" t="n">
        <v>8264</v>
      </c>
      <c r="S30" s="18" t="n">
        <v>9369</v>
      </c>
      <c r="T30" s="18" t="n">
        <v>17865</v>
      </c>
      <c r="U30" s="18" t="n">
        <v>13277</v>
      </c>
      <c r="V30" s="18" t="n">
        <v>18897</v>
      </c>
      <c r="W30" s="18" t="n">
        <v>6770</v>
      </c>
      <c r="X30" s="18" t="n">
        <v>11931</v>
      </c>
      <c r="Y30" s="18" t="n">
        <v>8884</v>
      </c>
      <c r="Z30" s="18" t="n">
        <v>11781</v>
      </c>
      <c r="AA30" s="18" t="n">
        <v>8317</v>
      </c>
      <c r="AB30" s="18" t="n">
        <v>10380.953</v>
      </c>
      <c r="AC30" s="18" t="n">
        <v>9388.245000000001</v>
      </c>
    </row>
    <row r="31">
      <c r="A31" s="4" t="inlineStr">
        <is>
          <t>Capex</t>
        </is>
      </c>
      <c r="B31" s="18" t="n">
        <v>-6211.5</v>
      </c>
      <c r="C31" s="18" t="n">
        <v>-12314</v>
      </c>
      <c r="D31" s="18" t="n">
        <v>-11280</v>
      </c>
      <c r="E31" s="18" t="n">
        <v>-9109</v>
      </c>
      <c r="F31" s="18" t="n">
        <v>-6308</v>
      </c>
      <c r="G31" s="18" t="n">
        <v>-6770</v>
      </c>
      <c r="H31" s="18" t="n">
        <v>-5993</v>
      </c>
      <c r="I31" s="18" t="n">
        <v>-4368</v>
      </c>
      <c r="J31" s="18" t="n">
        <v>-3343</v>
      </c>
      <c r="K31" s="18" t="n">
        <v>-2727</v>
      </c>
      <c r="L31" s="18" t="n">
        <v>-1525</v>
      </c>
      <c r="M31" s="18" t="n">
        <v>-2542</v>
      </c>
      <c r="N31" s="18" t="n">
        <v>-3311</v>
      </c>
      <c r="O31" s="18" t="n">
        <v>-3058</v>
      </c>
      <c r="P31" s="18" t="n">
        <v>-4065</v>
      </c>
      <c r="Q31" s="18" t="n">
        <v>-3795</v>
      </c>
      <c r="R31" s="18" t="n">
        <v>-3845</v>
      </c>
      <c r="S31" s="18" t="n">
        <v>-2921</v>
      </c>
      <c r="T31" s="18" t="n">
        <v>-2883</v>
      </c>
      <c r="U31" s="18" t="n">
        <v>-2878</v>
      </c>
      <c r="V31" s="18" t="n">
        <v>-3233</v>
      </c>
      <c r="W31" s="18" t="n">
        <v>-3027</v>
      </c>
      <c r="X31" s="18" t="n">
        <v>-4056</v>
      </c>
      <c r="Y31" s="18" t="n">
        <v>-4744</v>
      </c>
      <c r="Z31" s="18" t="n">
        <v>-4529</v>
      </c>
      <c r="AA31" s="18" t="n">
        <v>-5006</v>
      </c>
      <c r="AB31" s="18" t="n">
        <v>-4394.993</v>
      </c>
      <c r="AC31" s="18" t="n">
        <v>-5078.788</v>
      </c>
    </row>
    <row r="32">
      <c r="A32" s="4" t="inlineStr">
        <is>
          <t>Free Cash Flow</t>
        </is>
      </c>
      <c r="B32" s="18" t="n">
        <v>715.5</v>
      </c>
      <c r="C32" s="18" t="n">
        <v>-5141</v>
      </c>
      <c r="D32" s="18" t="n">
        <v>1701</v>
      </c>
      <c r="E32" s="18" t="n">
        <v>2750</v>
      </c>
      <c r="F32" s="18" t="n">
        <v>7197</v>
      </c>
      <c r="G32" s="18" t="n">
        <v>3653</v>
      </c>
      <c r="H32" s="18" t="n">
        <v>2880</v>
      </c>
      <c r="I32" s="18" t="n">
        <v>892</v>
      </c>
      <c r="J32" s="18" t="n">
        <v>2022</v>
      </c>
      <c r="K32" s="18" t="n">
        <v>4970</v>
      </c>
      <c r="L32" s="18" t="n">
        <v>7582</v>
      </c>
      <c r="M32" s="18" t="n">
        <v>4801</v>
      </c>
      <c r="N32" s="18" t="n">
        <v>7807</v>
      </c>
      <c r="O32" s="18" t="n">
        <v>4216</v>
      </c>
      <c r="P32" s="18" t="n">
        <v>6532</v>
      </c>
      <c r="Q32" s="18" t="n">
        <v>3647</v>
      </c>
      <c r="R32" s="18" t="n">
        <v>4419</v>
      </c>
      <c r="S32" s="18" t="n">
        <v>6448</v>
      </c>
      <c r="T32" s="18" t="n">
        <v>14982</v>
      </c>
      <c r="U32" s="18" t="n">
        <v>10399</v>
      </c>
      <c r="V32" s="18" t="n">
        <v>15664</v>
      </c>
      <c r="W32" s="18" t="n">
        <v>3743</v>
      </c>
      <c r="X32" s="18" t="n">
        <v>7875</v>
      </c>
      <c r="Y32" s="18" t="n">
        <v>4140</v>
      </c>
      <c r="Z32" s="18" t="n">
        <v>7252</v>
      </c>
      <c r="AA32" s="18" t="n">
        <v>3311</v>
      </c>
      <c r="AB32" s="18" t="n">
        <v>5985.96</v>
      </c>
      <c r="AC32" s="18" t="n">
        <v>4309.457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57031.274647</v>
      </c>
      <c r="C4" s="18" t="n">
        <v>56062.181468</v>
      </c>
      <c r="D4" s="18" t="n">
        <v>55409.739204</v>
      </c>
      <c r="E4" s="18" t="n">
        <v>56868.060116</v>
      </c>
      <c r="F4" s="18" t="n">
        <v>57566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29303.56031</v>
      </c>
      <c r="C8" s="18" t="n">
        <v>28805.625087</v>
      </c>
      <c r="D8" s="18" t="n">
        <v>28470.390055</v>
      </c>
      <c r="E8" s="18" t="n">
        <v>29219.698133</v>
      </c>
      <c r="F8" s="18" t="n">
        <v>29578.310554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24642.857878</v>
      </c>
      <c r="C12" s="18" t="n">
        <v>24224.118763</v>
      </c>
      <c r="D12" s="18" t="n">
        <v>23942.202532</v>
      </c>
      <c r="E12" s="18" t="n">
        <v>24572.333898</v>
      </c>
      <c r="F12" s="18" t="n">
        <v>24873.909366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12538.429357</v>
      </c>
      <c r="C16" s="18" t="n">
        <v>12325.372461</v>
      </c>
      <c r="D16" s="18" t="n">
        <v>12181.931844</v>
      </c>
      <c r="E16" s="18" t="n">
        <v>12502.546346</v>
      </c>
      <c r="F16" s="18" t="n">
        <v>12655.989698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12445.32307</v>
      </c>
      <c r="C20" s="18" t="n">
        <v>12996.28486</v>
      </c>
      <c r="D20" s="18" t="n">
        <v>12664.703</v>
      </c>
      <c r="E20" s="18" t="n">
        <v>13114.190835</v>
      </c>
      <c r="F20" s="18" t="n">
        <v>17790.500007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5.07599</v>
      </c>
      <c r="C24" s="38" t="n">
        <v>5.00045</v>
      </c>
      <c r="D24" s="38" t="n">
        <v>4.84199</v>
      </c>
      <c r="E24" s="38" t="n">
        <v>5.16002</v>
      </c>
      <c r="F24" s="38" t="n">
        <v>7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BHP Group Limited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0.1080902227771059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1.480244890695969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0.9725740683974692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2026-06-08T06:38:34Z</dcterms:created>
  <dcterms:modified xmlns:dcterms="http://purl.org/dc/terms/" xmlns:xsi="http://www.w3.org/2001/XMLSchema-instance" xsi:type="dcterms:W3CDTF">2026-06-08T06:38:34Z</dcterms:modified>
</cp:coreProperties>
</file>