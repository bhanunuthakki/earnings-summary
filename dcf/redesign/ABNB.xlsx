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Airbnb, Inc. (ABNB)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Airbnb is an asset-light, two-sided travel booking platform whose value rests on durable nights-booked and ADR compounding as global travel normalizes off the COVID base. Near-term revenue grows ~13% in line with consensus before fading toward a mature ~3.5% rate over the decade, while operating leverage on a fixed-cost platform lifts operating margin from ~22% toward ~30% at maturity. Minimal capex and strong cash conversion drive an FCFF profile typical of a scaled marketplace.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Airbnb, Inc. (ABNB)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0.105641744503635</v>
      </c>
      <c r="C20" s="15" t="n">
        <v>0.05</v>
      </c>
      <c r="D20" s="16" t="n">
        <v>0.105641744503635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0.22</v>
      </c>
      <c r="D29" s="16" t="n">
        <v>0.22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27.906703232</v>
      </c>
      <c r="D34" s="18" t="n">
        <v>27.906703232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1.208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15</v>
      </c>
    </row>
    <row r="46">
      <c r="A46" s="4" t="inlineStr">
        <is>
          <t>Terminal growth (g)</t>
        </is>
      </c>
      <c r="B46" s="15" t="n">
        <v>0.035</v>
      </c>
    </row>
    <row r="48">
      <c r="A48" s="4" t="inlineStr">
        <is>
          <t>Current price</t>
        </is>
      </c>
      <c r="B48" s="23" t="n">
        <v>133.72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Dashboard!$B$48*Financials!AB17</f>
        <v/>
      </c>
    </row>
    <row r="10">
      <c r="A10" s="4" t="inlineStr">
        <is>
          <t>Total debt (D)</t>
        </is>
      </c>
      <c r="B10" s="28">
        <f>Financials!AB37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SUM(Financials!H3:K3)</f>
        <v/>
      </c>
      <c r="C4" s="28">
        <f>SUM(Financials!L3:O3)</f>
        <v/>
      </c>
      <c r="D4" s="28">
        <f>SUM(Financials!P3:S3)</f>
        <v/>
      </c>
      <c r="E4" s="28">
        <f>SUM(Financials!T3:W3)</f>
        <v/>
      </c>
      <c r="F4" s="28">
        <f>SUM(Financials!X3:AA3)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27">
        <f>IFERROR(G6/F6-1,"")</f>
        <v/>
      </c>
      <c r="H7" s="27">
        <f>IFERROR(H6/G6-1,"")</f>
        <v/>
      </c>
      <c r="I7" s="27">
        <f>IFERROR(I6/H6-1,"")</f>
        <v/>
      </c>
      <c r="J7" s="27">
        <f>IFERROR(J6/I6-1,"")</f>
        <v/>
      </c>
      <c r="K7" s="27">
        <f>IFERROR(K6/J6-1,"")</f>
        <v/>
      </c>
      <c r="L7" s="27">
        <f>IFERROR(L6/K6-1,"")</f>
        <v/>
      </c>
      <c r="M7" s="27">
        <f>IFERROR(M6/L6-1,"")</f>
        <v/>
      </c>
      <c r="N7" s="27">
        <f>IFERROR(N6/M6-1,"")</f>
        <v/>
      </c>
      <c r="O7" s="27">
        <f>IFERROR(O6/N6-1,"")</f>
        <v/>
      </c>
      <c r="P7" s="2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SUM(Financials!H5:K5)</f>
        <v/>
      </c>
      <c r="C10" s="28">
        <f>SUM(Financials!L5:O5)</f>
        <v/>
      </c>
      <c r="D10" s="28">
        <f>SUM(Financials!P5:S5)</f>
        <v/>
      </c>
      <c r="E10" s="28">
        <f>SUM(Financials!T5:W5)</f>
        <v/>
      </c>
      <c r="F10" s="28">
        <f>SUM(Financials!X5:AA5)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27">
        <f>IFERROR(B10/B6,"")</f>
        <v/>
      </c>
      <c r="C11" s="27">
        <f>IFERROR(C10/C6,"")</f>
        <v/>
      </c>
      <c r="D11" s="27">
        <f>IFERROR(D10/D6,"")</f>
        <v/>
      </c>
      <c r="E11" s="27">
        <f>IFERROR(E10/E6,"")</f>
        <v/>
      </c>
      <c r="F11" s="27">
        <f>IFERROR(F10/F6,"")</f>
        <v/>
      </c>
      <c r="G11" s="15" t="n">
        <v>0.1704109141410015</v>
      </c>
      <c r="H11" s="15" t="n">
        <v>0.1704109141410015</v>
      </c>
      <c r="I11" s="15" t="n">
        <v>0.1704109141410015</v>
      </c>
      <c r="J11" s="15" t="n">
        <v>0.1704109141410015</v>
      </c>
      <c r="K11" s="15" t="n">
        <v>0.1704109141410015</v>
      </c>
      <c r="L11" s="15" t="n">
        <v>0.1704109141410015</v>
      </c>
      <c r="M11" s="15" t="n">
        <v>0.1704109141410015</v>
      </c>
      <c r="N11" s="15" t="n">
        <v>0.1704109141410015</v>
      </c>
      <c r="O11" s="15" t="n">
        <v>0.1704109141410015</v>
      </c>
      <c r="P11" s="15" t="n">
        <v>0.1704109141410015</v>
      </c>
    </row>
    <row r="12">
      <c r="A12" s="4" t="inlineStr">
        <is>
          <t>R&amp;D / Technology</t>
        </is>
      </c>
      <c r="B12" s="28">
        <f>SUM(Financials!H7:K7)</f>
        <v/>
      </c>
      <c r="C12" s="28">
        <f>SUM(Financials!L7:O7)</f>
        <v/>
      </c>
      <c r="D12" s="28">
        <f>SUM(Financials!P7:S7)</f>
        <v/>
      </c>
      <c r="E12" s="28">
        <f>SUM(Financials!T7:W7)</f>
        <v/>
      </c>
      <c r="F12" s="28">
        <f>SUM(Financials!X7:AA7)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27">
        <f>IFERROR(B12/B6,"")</f>
        <v/>
      </c>
      <c r="C13" s="27">
        <f>IFERROR(C12/C6,"")</f>
        <v/>
      </c>
      <c r="D13" s="27">
        <f>IFERROR(D12/D6,"")</f>
        <v/>
      </c>
      <c r="E13" s="27">
        <f>IFERROR(E12/E6,"")</f>
        <v/>
      </c>
      <c r="F13" s="27">
        <f>IFERROR(F12/F6,"")</f>
        <v/>
      </c>
      <c r="G13" s="15" t="n">
        <v>0.1923045502818397</v>
      </c>
      <c r="H13" s="15" t="n">
        <v>0.1923045502818397</v>
      </c>
      <c r="I13" s="15" t="n">
        <v>0.1923045502818397</v>
      </c>
      <c r="J13" s="15" t="n">
        <v>0.1923045502818397</v>
      </c>
      <c r="K13" s="15" t="n">
        <v>0.1923045502818397</v>
      </c>
      <c r="L13" s="15" t="n">
        <v>0.1923045502818397</v>
      </c>
      <c r="M13" s="15" t="n">
        <v>0.1923045502818397</v>
      </c>
      <c r="N13" s="15" t="n">
        <v>0.1923045502818397</v>
      </c>
      <c r="O13" s="15" t="n">
        <v>0.1923045502818397</v>
      </c>
      <c r="P13" s="15" t="n">
        <v>0.1923045502818397</v>
      </c>
    </row>
    <row r="14">
      <c r="A14" s="4" t="inlineStr">
        <is>
          <t>SG&amp;A</t>
        </is>
      </c>
      <c r="B14" s="28">
        <f>SUM(Financials!H9:K9)</f>
        <v/>
      </c>
      <c r="C14" s="28">
        <f>SUM(Financials!L9:O9)</f>
        <v/>
      </c>
      <c r="D14" s="28">
        <f>SUM(Financials!P9:S9)</f>
        <v/>
      </c>
      <c r="E14" s="28">
        <f>SUM(Financials!T9:W9)</f>
        <v/>
      </c>
      <c r="F14" s="28">
        <f>SUM(Financials!X9:AA9)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27">
        <f>IFERROR(B14/B6,"")</f>
        <v/>
      </c>
      <c r="C15" s="27">
        <f>IFERROR(C14/C6,"")</f>
        <v/>
      </c>
      <c r="D15" s="27">
        <f>IFERROR(D14/D6,"")</f>
        <v/>
      </c>
      <c r="E15" s="27">
        <f>IFERROR(E14/E6,"")</f>
        <v/>
      </c>
      <c r="F15" s="27">
        <f>IFERROR(F14/F6,"")</f>
        <v/>
      </c>
      <c r="G15" s="15" t="n">
        <v>0.3210522016175149</v>
      </c>
      <c r="H15" s="15" t="n">
        <v>0.3210522016175149</v>
      </c>
      <c r="I15" s="15" t="n">
        <v>0.3210522016175149</v>
      </c>
      <c r="J15" s="15" t="n">
        <v>0.3210522016175149</v>
      </c>
      <c r="K15" s="15" t="n">
        <v>0.3210522016175149</v>
      </c>
      <c r="L15" s="15" t="n">
        <v>0.3210522016175149</v>
      </c>
      <c r="M15" s="15" t="n">
        <v>0.3210522016175149</v>
      </c>
      <c r="N15" s="15" t="n">
        <v>0.3210522016175149</v>
      </c>
      <c r="O15" s="15" t="n">
        <v>0.3210522016175149</v>
      </c>
      <c r="P15" s="15" t="n">
        <v>0.3210522016175149</v>
      </c>
    </row>
    <row r="16">
      <c r="A16" s="4" t="inlineStr">
        <is>
          <t>Other opex (fulfilment, etc.)</t>
        </is>
      </c>
      <c r="B16" s="28">
        <f>B6-(B10+B12+B14)-SUM(Financials!H13:K13)</f>
        <v/>
      </c>
      <c r="C16" s="28">
        <f>C6-(C10+C12+C14)-SUM(Financials!L13:O13)</f>
        <v/>
      </c>
      <c r="D16" s="28">
        <f>D6-(D10+D12+D14)-SUM(Financials!P13:S13)</f>
        <v/>
      </c>
      <c r="E16" s="28">
        <f>E6-(E10+E12+E14)-SUM(Financials!T13:W13)</f>
        <v/>
      </c>
      <c r="F16" s="28">
        <f>F6-(F10+F12+F14)-SUM(Financials!X13:AA13)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7">
        <f>IFERROR(B16/B6,"")</f>
        <v/>
      </c>
      <c r="C17" s="27">
        <f>IFERROR(C16/C6,"")</f>
        <v/>
      </c>
      <c r="D17" s="27">
        <f>IFERROR(D16/D6,"")</f>
        <v/>
      </c>
      <c r="E17" s="27">
        <f>IFERROR(E16/E6,"")</f>
        <v/>
      </c>
      <c r="F17" s="27">
        <f>IFERROR(F16/F6,"")</f>
        <v/>
      </c>
      <c r="G17" s="27">
        <f>IFERROR(G16/G6,"")</f>
        <v/>
      </c>
      <c r="H17" s="27">
        <f>IFERROR(H16/H6,"")</f>
        <v/>
      </c>
      <c r="I17" s="27">
        <f>IFERROR(I16/I6,"")</f>
        <v/>
      </c>
      <c r="J17" s="27">
        <f>IFERROR(J16/J6,"")</f>
        <v/>
      </c>
      <c r="K17" s="27">
        <f>IFERROR(K16/K6,"")</f>
        <v/>
      </c>
      <c r="L17" s="27">
        <f>IFERROR(L16/L6,"")</f>
        <v/>
      </c>
      <c r="M17" s="27">
        <f>IFERROR(M16/M6,"")</f>
        <v/>
      </c>
      <c r="N17" s="27">
        <f>IFERROR(N16/N6,"")</f>
        <v/>
      </c>
      <c r="O17" s="27">
        <f>IFERROR(O16/O6,"")</f>
        <v/>
      </c>
      <c r="P17" s="2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27">
        <f>IFERROR(B19/B6,"")</f>
        <v/>
      </c>
      <c r="C20" s="27">
        <f>IFERROR(C19/C6,"")</f>
        <v/>
      </c>
      <c r="D20" s="27">
        <f>IFERROR(D19/D6,"")</f>
        <v/>
      </c>
      <c r="E20" s="27">
        <f>IFERROR(E19/E6,"")</f>
        <v/>
      </c>
      <c r="F20" s="27">
        <f>IFERROR(F19/F6,"")</f>
        <v/>
      </c>
      <c r="G20" s="27">
        <f>IFERROR(G19/G6,"")</f>
        <v/>
      </c>
      <c r="H20" s="27">
        <f>IFERROR(H19/H6,"")</f>
        <v/>
      </c>
      <c r="I20" s="27">
        <f>IFERROR(I19/I6,"")</f>
        <v/>
      </c>
      <c r="J20" s="27">
        <f>IFERROR(J19/J6,"")</f>
        <v/>
      </c>
      <c r="K20" s="27">
        <f>IFERROR(K19/K6,"")</f>
        <v/>
      </c>
      <c r="L20" s="27">
        <f>IFERROR(L19/L6,"")</f>
        <v/>
      </c>
      <c r="M20" s="27">
        <f>IFERROR(M19/M6,"")</f>
        <v/>
      </c>
      <c r="N20" s="27">
        <f>IFERROR(N19/N6,"")</f>
        <v/>
      </c>
      <c r="O20" s="27">
        <f>IFERROR(O19/O6,"")</f>
        <v/>
      </c>
      <c r="P20" s="2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SUM(Financials!H40:K40)</f>
        <v/>
      </c>
      <c r="C24" s="28">
        <f>SUM(Financials!L40:O40)</f>
        <v/>
      </c>
      <c r="D24" s="28">
        <f>SUM(Financials!P40:S40)</f>
        <v/>
      </c>
      <c r="E24" s="28">
        <f>SUM(Financials!T40:W40)</f>
        <v/>
      </c>
      <c r="F24" s="28">
        <f>SUM(Financials!X40:AA40)</f>
        <v/>
      </c>
      <c r="G24" s="32">
        <f>G6*0.0056</f>
        <v/>
      </c>
      <c r="H24" s="32">
        <f>H6*0.0056</f>
        <v/>
      </c>
      <c r="I24" s="32">
        <f>I6*0.0056</f>
        <v/>
      </c>
      <c r="J24" s="32">
        <f>J6*0.0056</f>
        <v/>
      </c>
      <c r="K24" s="32">
        <f>K6*0.0056</f>
        <v/>
      </c>
      <c r="L24" s="32">
        <f>L6*0.0056</f>
        <v/>
      </c>
      <c r="M24" s="32">
        <f>M6*0.0056</f>
        <v/>
      </c>
      <c r="N24" s="32">
        <f>N6*0.0056</f>
        <v/>
      </c>
      <c r="O24" s="32">
        <f>O6*0.0056</f>
        <v/>
      </c>
      <c r="P24" s="32">
        <f>P6*0.0056</f>
        <v/>
      </c>
    </row>
    <row r="25">
      <c r="A25" s="4" t="inlineStr">
        <is>
          <t>+ SBC (non-cash)</t>
        </is>
      </c>
      <c r="B25" s="28">
        <f>SUM(Financials!H41:K41)</f>
        <v/>
      </c>
      <c r="C25" s="28">
        <f>SUM(Financials!L41:O41)</f>
        <v/>
      </c>
      <c r="D25" s="28">
        <f>SUM(Financials!P41:S41)</f>
        <v/>
      </c>
      <c r="E25" s="28">
        <f>SUM(Financials!T41:W41)</f>
        <v/>
      </c>
      <c r="F25" s="28">
        <f>SUM(Financials!X41:AA41)</f>
        <v/>
      </c>
      <c r="G25" s="32">
        <f>G6*0.1301</f>
        <v/>
      </c>
      <c r="H25" s="32">
        <f>H6*0.1243</f>
        <v/>
      </c>
      <c r="I25" s="32">
        <f>I6*0.1185</f>
        <v/>
      </c>
      <c r="J25" s="32">
        <f>J6*0.1127</f>
        <v/>
      </c>
      <c r="K25" s="32">
        <f>K6*0.1069</f>
        <v/>
      </c>
      <c r="L25" s="32">
        <f>L6*0.1012</f>
        <v/>
      </c>
      <c r="M25" s="32">
        <f>M6*0.0954</f>
        <v/>
      </c>
      <c r="N25" s="32">
        <f>N6*0.0896</f>
        <v/>
      </c>
      <c r="O25" s="32">
        <f>O6*0.0838</f>
        <v/>
      </c>
      <c r="P25" s="32">
        <f>P6*0.0780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-SUM(Financials!H44:K44)</f>
        <v/>
      </c>
      <c r="C27" s="28">
        <f>-SUM(Financials!L44:O44)</f>
        <v/>
      </c>
      <c r="D27" s="28">
        <f>-SUM(Financials!P44:S44)</f>
        <v/>
      </c>
      <c r="E27" s="28">
        <f>-SUM(Financials!T44:W44)</f>
        <v/>
      </c>
      <c r="F27" s="28">
        <f>-SUM(Financials!X44:AA44)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34">
        <f>IFERROR(B27/B24,"")</f>
        <v/>
      </c>
      <c r="C28" s="34">
        <f>IFERROR(C27/C24,"")</f>
        <v/>
      </c>
      <c r="D28" s="34">
        <f>IFERROR(D27/D24,"")</f>
        <v/>
      </c>
      <c r="E28" s="34">
        <f>IFERROR(E27/E24,"")</f>
        <v/>
      </c>
      <c r="F28" s="34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Financials!K38+Financials!K37-Financials!K32</f>
        <v/>
      </c>
      <c r="C34" s="28">
        <f>Financials!O38+Financials!O37-Financials!O32</f>
        <v/>
      </c>
      <c r="D34" s="28">
        <f>Financials!S38+Financials!S37-Financials!S32</f>
        <v/>
      </c>
      <c r="E34" s="28">
        <f>Financials!W38+Financials!W37-Financials!W32</f>
        <v/>
      </c>
      <c r="F34" s="28">
        <f>Financials!AA38+Financials!AA37-Financials!AA32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Financials!K38</f>
        <v/>
      </c>
      <c r="C35" s="28">
        <f>Financials!O38</f>
        <v/>
      </c>
      <c r="D35" s="28">
        <f>Financials!S38</f>
        <v/>
      </c>
      <c r="E35" s="28">
        <f>Financials!W38</f>
        <v/>
      </c>
      <c r="F35" s="28">
        <f>Financials!AA38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27">
        <f>IFERROR(C23/B34,"")</f>
        <v/>
      </c>
      <c r="D36" s="27">
        <f>IFERROR(D23/C34,"")</f>
        <v/>
      </c>
      <c r="E36" s="27">
        <f>IFERROR(E23/D34,"")</f>
        <v/>
      </c>
      <c r="F36" s="27">
        <f>IFERROR(F23/E34,"")</f>
        <v/>
      </c>
      <c r="G36" s="27">
        <f>IFERROR(G23/F34,"")</f>
        <v/>
      </c>
      <c r="H36" s="27">
        <f>IFERROR(H23/G34,"")</f>
        <v/>
      </c>
      <c r="I36" s="27">
        <f>IFERROR(I23/H34,"")</f>
        <v/>
      </c>
      <c r="J36" s="27">
        <f>IFERROR(J23/I34,"")</f>
        <v/>
      </c>
      <c r="K36" s="27">
        <f>IFERROR(K23/J34,"")</f>
        <v/>
      </c>
      <c r="L36" s="27">
        <f>IFERROR(L23/K34,"")</f>
        <v/>
      </c>
      <c r="M36" s="27">
        <f>IFERROR(M23/L34,"")</f>
        <v/>
      </c>
      <c r="N36" s="27">
        <f>IFERROR(N23/M34,"")</f>
        <v/>
      </c>
      <c r="O36" s="27">
        <f>IFERROR(O23/N34,"")</f>
        <v/>
      </c>
      <c r="P36" s="27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IFERROR(SUM(Financials!L15:O15)/B35,"")</f>
        <v/>
      </c>
      <c r="D37" s="11">
        <f>IFERROR(SUM(Financials!P15:S15)/C35,"")</f>
        <v/>
      </c>
      <c r="E37" s="11">
        <f>IFERROR(SUM(Financials!T15:W15)/D35,"")</f>
        <v/>
      </c>
      <c r="F37" s="11">
        <f>IFERROR(SUM(Financials!X15:AA15)/E35,"")</f>
        <v/>
      </c>
      <c r="G37" s="27">
        <f>IFERROR(G23/F35,"")</f>
        <v/>
      </c>
      <c r="H37" s="27">
        <f>IFERROR(H23/G35,"")</f>
        <v/>
      </c>
      <c r="I37" s="27">
        <f>IFERROR(I23/H35,"")</f>
        <v/>
      </c>
      <c r="J37" s="27">
        <f>IFERROR(J23/I35,"")</f>
        <v/>
      </c>
      <c r="K37" s="27">
        <f>IFERROR(K23/J35,"")</f>
        <v/>
      </c>
      <c r="L37" s="27">
        <f>IFERROR(L23/K35,"")</f>
        <v/>
      </c>
      <c r="M37" s="27">
        <f>IFERROR(M23/L35,"")</f>
        <v/>
      </c>
      <c r="N37" s="27">
        <f>IFERROR(N23/M35,"")</f>
        <v/>
      </c>
      <c r="O37" s="27">
        <f>IFERROR(O23/N35,"")</f>
        <v/>
      </c>
      <c r="P37" s="27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IFERROR(C36-WACC!$B$14,"")</f>
        <v/>
      </c>
      <c r="D38" s="11">
        <f>IFERROR(D36-WACC!$B$14,"")</f>
        <v/>
      </c>
      <c r="E38" s="11">
        <f>IFERROR(E36-WACC!$B$14,"")</f>
        <v/>
      </c>
      <c r="F38" s="11">
        <f>IFERROR(F36-WACC!$B$14,"")</f>
        <v/>
      </c>
      <c r="G38" s="11">
        <f>IFERROR(G36-WACC!$B$14,"")</f>
        <v/>
      </c>
      <c r="H38" s="11">
        <f>IFERROR(H36-WACC!$B$14,"")</f>
        <v/>
      </c>
      <c r="I38" s="11">
        <f>IFERROR(I36-WACC!$B$14,"")</f>
        <v/>
      </c>
      <c r="J38" s="11">
        <f>IFERROR(J36-WACC!$B$14,"")</f>
        <v/>
      </c>
      <c r="K38" s="11">
        <f>IFERROR(K36-WACC!$B$14,"")</f>
        <v/>
      </c>
      <c r="L38" s="11">
        <f>IFERROR(L36-WACC!$B$14,"")</f>
        <v/>
      </c>
      <c r="M38" s="11">
        <f>IFERROR(M36-WACC!$B$14,"")</f>
        <v/>
      </c>
      <c r="N38" s="11">
        <f>IFERROR(N36-WACC!$B$14,"")</f>
        <v/>
      </c>
      <c r="O38" s="11">
        <f>IFERROR(O36-WACC!$B$14,"")</f>
        <v/>
      </c>
      <c r="P38" s="11">
        <f>IFERROR(P36-WACC!$B$14,"")</f>
        <v/>
      </c>
    </row>
    <row r="39">
      <c r="A39" s="4" t="inlineStr">
        <is>
          <t xml:space="preserve">  Incremental op margin (ΔEBIT / ΔRev)</t>
        </is>
      </c>
      <c r="C39" s="27">
        <f>IFERROR((C19-B19)/(C6-B6),"")</f>
        <v/>
      </c>
      <c r="D39" s="27">
        <f>IFERROR((D19-C19)/(D6-C6),"")</f>
        <v/>
      </c>
      <c r="E39" s="27">
        <f>IFERROR((E19-D19)/(E6-D6),"")</f>
        <v/>
      </c>
      <c r="F39" s="27">
        <f>IFERROR((F19-E19)/(F6-E6),"")</f>
        <v/>
      </c>
      <c r="G39" s="27">
        <f>IFERROR((G19-F19)/(G6-F6),"")</f>
        <v/>
      </c>
      <c r="H39" s="27">
        <f>IFERROR((H19-G19)/(H6-G6),"")</f>
        <v/>
      </c>
      <c r="I39" s="27">
        <f>IFERROR((I19-H19)/(I6-H6),"")</f>
        <v/>
      </c>
      <c r="J39" s="27">
        <f>IFERROR((J19-I19)/(J6-I6),"")</f>
        <v/>
      </c>
      <c r="K39" s="27">
        <f>IFERROR((K19-J19)/(K6-J6),"")</f>
        <v/>
      </c>
      <c r="L39" s="27">
        <f>IFERROR((L19-K19)/(L6-K6),"")</f>
        <v/>
      </c>
      <c r="M39" s="27">
        <f>IFERROR((M19-L19)/(M6-L6),"")</f>
        <v/>
      </c>
      <c r="N39" s="27">
        <f>IFERROR((N19-M19)/(N6-M6),"")</f>
        <v/>
      </c>
      <c r="O39" s="27">
        <f>IFERROR((O19-N19)/(O6-N6),"")</f>
        <v/>
      </c>
      <c r="P39" s="27">
        <f>IFERROR((P19-O19)/(P6-O6),"")</f>
        <v/>
      </c>
    </row>
    <row r="40">
      <c r="A40" s="3" t="inlineStr">
        <is>
          <t xml:space="preserve">  ROIIC (ΔNOPAT / ΔInvested capital)</t>
        </is>
      </c>
      <c r="C40" s="27">
        <f>IFERROR((C23-B23)/(C34-B34),"")</f>
        <v/>
      </c>
      <c r="D40" s="27">
        <f>IFERROR((D23-C23)/(D34-C34),"")</f>
        <v/>
      </c>
      <c r="E40" s="27">
        <f>IFERROR((E23-D23)/(E34-D34),"")</f>
        <v/>
      </c>
      <c r="F40" s="27">
        <f>IFERROR((F23-E23)/(F34-E34),"")</f>
        <v/>
      </c>
      <c r="G40" s="27">
        <f>IFERROR((G23-F23)/(G34-F34),"")</f>
        <v/>
      </c>
      <c r="H40" s="27">
        <f>IFERROR((H23-G23)/(H34-G34),"")</f>
        <v/>
      </c>
      <c r="I40" s="27">
        <f>IFERROR((I23-H23)/(I34-H34),"")</f>
        <v/>
      </c>
      <c r="J40" s="27">
        <f>IFERROR((J23-I23)/(J34-I34),"")</f>
        <v/>
      </c>
      <c r="K40" s="27">
        <f>IFERROR((K23-J23)/(K34-J34),"")</f>
        <v/>
      </c>
      <c r="L40" s="27">
        <f>IFERROR((L23-K23)/(L34-K34),"")</f>
        <v/>
      </c>
      <c r="M40" s="27">
        <f>IFERROR((M23-L23)/(M34-L34),"")</f>
        <v/>
      </c>
      <c r="N40" s="27">
        <f>IFERROR((N23-M23)/(N34-M34),"")</f>
        <v/>
      </c>
      <c r="O40" s="27">
        <f>IFERROR((O23-N23)/(O34-N34),"")</f>
        <v/>
      </c>
      <c r="P40" s="2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35">
        <f>IFERROR((C6-B6)/(C34-B34),"")</f>
        <v/>
      </c>
      <c r="D41" s="35">
        <f>IFERROR((D6-C6)/(D34-C34),"")</f>
        <v/>
      </c>
      <c r="E41" s="35">
        <f>IFERROR((E6-D6)/(E34-D34),"")</f>
        <v/>
      </c>
      <c r="F41" s="35">
        <f>IFERROR((F6-E6)/(F34-E34),"")</f>
        <v/>
      </c>
      <c r="G41" s="35">
        <f>IFERROR((G6-F6)/(G34-F34),"")</f>
        <v/>
      </c>
      <c r="H41" s="35">
        <f>IFERROR((H6-G6)/(H34-G34),"")</f>
        <v/>
      </c>
      <c r="I41" s="35">
        <f>IFERROR((I6-H6)/(I34-H34),"")</f>
        <v/>
      </c>
      <c r="J41" s="35">
        <f>IFERROR((J6-I6)/(J34-I34),"")</f>
        <v/>
      </c>
      <c r="K41" s="35">
        <f>IFERROR((K6-J6)/(K34-J34),"")</f>
        <v/>
      </c>
      <c r="L41" s="35">
        <f>IFERROR((L6-K6)/(L34-K34),"")</f>
        <v/>
      </c>
      <c r="M41" s="35">
        <f>IFERROR((M6-L6)/(M34-L34),"")</f>
        <v/>
      </c>
      <c r="N41" s="35">
        <f>IFERROR((N6-M6)/(N34-M34),"")</f>
        <v/>
      </c>
      <c r="O41" s="35">
        <f>IFERROR((O6-N6)/(O34-N34),"")</f>
        <v/>
      </c>
      <c r="P41" s="3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7">
        <f>IFERROR((C34-B34)/C23,"")</f>
        <v/>
      </c>
      <c r="D42" s="27">
        <f>IFERROR((D34-C34)/D23,"")</f>
        <v/>
      </c>
      <c r="E42" s="27">
        <f>IFERROR((E34-D34)/E23,"")</f>
        <v/>
      </c>
      <c r="F42" s="27">
        <f>IFERROR((F34-E34)/F23,"")</f>
        <v/>
      </c>
      <c r="G42" s="27">
        <f>IFERROR((G34-F34)/G23,"")</f>
        <v/>
      </c>
      <c r="H42" s="27">
        <f>IFERROR((H34-G34)/H23,"")</f>
        <v/>
      </c>
      <c r="I42" s="27">
        <f>IFERROR((I34-H34)/I23,"")</f>
        <v/>
      </c>
      <c r="J42" s="27">
        <f>IFERROR((J34-I34)/J23,"")</f>
        <v/>
      </c>
      <c r="K42" s="27">
        <f>IFERROR((K34-J34)/K23,"")</f>
        <v/>
      </c>
      <c r="L42" s="27">
        <f>IFERROR((L34-K34)/L23,"")</f>
        <v/>
      </c>
      <c r="M42" s="27">
        <f>IFERROR((M34-L34)/M23,"")</f>
        <v/>
      </c>
      <c r="N42" s="27">
        <f>IFERROR((N34-M34)/N23,"")</f>
        <v/>
      </c>
      <c r="O42" s="27">
        <f>IFERROR((O34-N34)/O23,"")</f>
        <v/>
      </c>
      <c r="P42" s="2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3" t="inlineStr">
        <is>
          <t>Line Item ($M)</t>
        </is>
      </c>
      <c r="B1" s="36" t="inlineStr">
        <is>
          <t>Q3 2019</t>
        </is>
      </c>
      <c r="C1" s="36" t="inlineStr">
        <is>
          <t>Q4 2019</t>
        </is>
      </c>
      <c r="D1" s="36" t="inlineStr">
        <is>
          <t>Q1 2020</t>
        </is>
      </c>
      <c r="E1" s="36" t="inlineStr">
        <is>
          <t>Q2 2020</t>
        </is>
      </c>
      <c r="F1" s="36" t="inlineStr">
        <is>
          <t>Q3 2020</t>
        </is>
      </c>
      <c r="G1" s="36" t="inlineStr">
        <is>
          <t>Q4 2020</t>
        </is>
      </c>
      <c r="H1" s="36" t="inlineStr">
        <is>
          <t>Q1 2021</t>
        </is>
      </c>
      <c r="I1" s="36" t="inlineStr">
        <is>
          <t>Q2 2021</t>
        </is>
      </c>
      <c r="J1" s="36" t="inlineStr">
        <is>
          <t>Q3 2021</t>
        </is>
      </c>
      <c r="K1" s="36" t="inlineStr">
        <is>
          <t>Q4 2021</t>
        </is>
      </c>
      <c r="L1" s="36" t="inlineStr">
        <is>
          <t>Q1 2022</t>
        </is>
      </c>
      <c r="M1" s="36" t="inlineStr">
        <is>
          <t>Q2 2022</t>
        </is>
      </c>
      <c r="N1" s="36" t="inlineStr">
        <is>
          <t>Q3 2022</t>
        </is>
      </c>
      <c r="O1" s="36" t="inlineStr">
        <is>
          <t>Q4 2022</t>
        </is>
      </c>
      <c r="P1" s="36" t="inlineStr">
        <is>
          <t>Q1 2023</t>
        </is>
      </c>
      <c r="Q1" s="36" t="inlineStr">
        <is>
          <t>Q2 2023</t>
        </is>
      </c>
      <c r="R1" s="36" t="inlineStr">
        <is>
          <t>Q3 2023</t>
        </is>
      </c>
      <c r="S1" s="36" t="inlineStr">
        <is>
          <t>Q4 2023</t>
        </is>
      </c>
      <c r="T1" s="36" t="inlineStr">
        <is>
          <t>Q1 2024</t>
        </is>
      </c>
      <c r="U1" s="36" t="inlineStr">
        <is>
          <t>Q2 2024</t>
        </is>
      </c>
      <c r="V1" s="36" t="inlineStr">
        <is>
          <t>Q3 2024</t>
        </is>
      </c>
      <c r="W1" s="36" t="inlineStr">
        <is>
          <t>Q4 2024</t>
        </is>
      </c>
      <c r="X1" s="36" t="inlineStr">
        <is>
          <t>Q1 2025</t>
        </is>
      </c>
      <c r="Y1" s="36" t="inlineStr">
        <is>
          <t>Q2 2025</t>
        </is>
      </c>
      <c r="Z1" s="36" t="inlineStr">
        <is>
          <t>Q3 2025</t>
        </is>
      </c>
      <c r="AA1" s="36" t="inlineStr">
        <is>
          <t>Q4 2025</t>
        </is>
      </c>
      <c r="AB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>
      <c r="A3" s="4" t="inlineStr">
        <is>
          <t>Revenue</t>
        </is>
      </c>
      <c r="B3" s="18" t="n">
        <v>1645.761</v>
      </c>
      <c r="C3" s="18" t="n">
        <v>1106.796</v>
      </c>
      <c r="D3" s="18" t="n">
        <v>841.83</v>
      </c>
      <c r="E3" s="18" t="n">
        <v>334.774</v>
      </c>
      <c r="F3" s="18" t="n">
        <v>1342.331</v>
      </c>
      <c r="G3" s="18" t="n">
        <v>859.264</v>
      </c>
      <c r="H3" s="18" t="n">
        <v>886.936</v>
      </c>
      <c r="I3" s="18" t="n">
        <v>1335.196</v>
      </c>
      <c r="J3" s="18" t="n">
        <v>2237.432</v>
      </c>
      <c r="K3" s="18" t="n">
        <v>1532.196</v>
      </c>
      <c r="L3" s="18" t="n">
        <v>1509</v>
      </c>
      <c r="M3" s="18" t="n">
        <v>2104</v>
      </c>
      <c r="N3" s="18" t="n">
        <v>2884</v>
      </c>
      <c r="O3" s="18" t="n">
        <v>1901.546</v>
      </c>
      <c r="P3" s="18" t="n">
        <v>1818</v>
      </c>
      <c r="Q3" s="18" t="n">
        <v>2484</v>
      </c>
      <c r="R3" s="18" t="n">
        <v>3397</v>
      </c>
      <c r="S3" s="18" t="n">
        <v>2218</v>
      </c>
      <c r="T3" s="18" t="n">
        <v>2142</v>
      </c>
      <c r="U3" s="18" t="n">
        <v>2748</v>
      </c>
      <c r="V3" s="18" t="n">
        <v>3732</v>
      </c>
      <c r="W3" s="18" t="n">
        <v>2480</v>
      </c>
      <c r="X3" s="18" t="n">
        <v>2272</v>
      </c>
      <c r="Y3" s="18" t="n">
        <v>3096</v>
      </c>
      <c r="Z3" s="18" t="n">
        <v>4095</v>
      </c>
      <c r="AA3" s="18" t="n">
        <v>2778</v>
      </c>
      <c r="AB3" s="18" t="n">
        <v>2678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</row>
    <row r="5">
      <c r="A5" s="4" t="inlineStr">
        <is>
          <t>Cost of Revenue</t>
        </is>
      </c>
      <c r="B5" s="18" t="n">
        <v>308.667</v>
      </c>
      <c r="C5" s="18" t="n">
        <v>293.618</v>
      </c>
      <c r="D5" s="18" t="n">
        <v>277.772</v>
      </c>
      <c r="E5" s="18" t="n">
        <v>161.198</v>
      </c>
      <c r="F5" s="18" t="n">
        <v>227.325</v>
      </c>
      <c r="G5" s="18" t="n">
        <v>209.747</v>
      </c>
      <c r="H5" s="18" t="n">
        <v>254.515</v>
      </c>
      <c r="I5" s="18" t="n">
        <v>294.427</v>
      </c>
      <c r="J5" s="18" t="n">
        <v>311.58</v>
      </c>
      <c r="K5" s="18" t="n">
        <v>295.311</v>
      </c>
      <c r="L5" s="18" t="n">
        <v>363</v>
      </c>
      <c r="M5" s="18" t="n">
        <v>390</v>
      </c>
      <c r="N5" s="18" t="n">
        <v>401</v>
      </c>
      <c r="O5" s="18" t="n">
        <v>345.121</v>
      </c>
      <c r="P5" s="18" t="n">
        <v>428</v>
      </c>
      <c r="Q5" s="18" t="n">
        <v>432</v>
      </c>
      <c r="R5" s="18" t="n">
        <v>459</v>
      </c>
      <c r="S5" s="18" t="n">
        <v>384</v>
      </c>
      <c r="T5" s="18" t="n">
        <v>480</v>
      </c>
      <c r="U5" s="18" t="n">
        <v>506</v>
      </c>
      <c r="V5" s="18" t="n">
        <v>465</v>
      </c>
      <c r="W5" s="18" t="n">
        <v>427</v>
      </c>
      <c r="X5" s="18" t="n">
        <v>506</v>
      </c>
      <c r="Y5" s="18" t="n">
        <v>544</v>
      </c>
      <c r="Z5" s="18" t="n">
        <v>549</v>
      </c>
      <c r="AA5" s="18" t="n">
        <v>487</v>
      </c>
      <c r="AB5" s="18" t="n">
        <v>581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</row>
    <row r="7">
      <c r="A7" s="4" t="inlineStr">
        <is>
          <t>R&amp;D Expense</t>
        </is>
      </c>
      <c r="B7" s="18" t="n">
        <v>276.368</v>
      </c>
      <c r="C7" s="18" t="n">
        <v>282.899</v>
      </c>
      <c r="D7" s="18" t="n">
        <v>258.819</v>
      </c>
      <c r="E7" s="18" t="n">
        <v>217.938</v>
      </c>
      <c r="F7" s="18" t="n">
        <v>213.92</v>
      </c>
      <c r="G7" s="18" t="n">
        <v>2062.195</v>
      </c>
      <c r="H7" s="18" t="n">
        <v>363.061</v>
      </c>
      <c r="I7" s="18" t="n">
        <v>349.734</v>
      </c>
      <c r="J7" s="18" t="n">
        <v>344.41</v>
      </c>
      <c r="K7" s="18" t="n">
        <v>367.843</v>
      </c>
      <c r="L7" s="18" t="n">
        <v>363</v>
      </c>
      <c r="M7" s="18" t="n">
        <v>375</v>
      </c>
      <c r="N7" s="18" t="n">
        <v>366</v>
      </c>
      <c r="O7" s="18" t="n">
        <v>397.841</v>
      </c>
      <c r="P7" s="18" t="n">
        <v>420</v>
      </c>
      <c r="Q7" s="18" t="n">
        <v>451</v>
      </c>
      <c r="R7" s="18" t="n">
        <v>419</v>
      </c>
      <c r="S7" s="18" t="n">
        <v>432</v>
      </c>
      <c r="T7" s="18" t="n">
        <v>475</v>
      </c>
      <c r="U7" s="18" t="n">
        <v>519</v>
      </c>
      <c r="V7" s="18" t="n">
        <v>524</v>
      </c>
      <c r="W7" s="18" t="n">
        <v>538</v>
      </c>
      <c r="X7" s="18" t="n">
        <v>568</v>
      </c>
      <c r="Y7" s="18" t="n">
        <v>610</v>
      </c>
      <c r="Z7" s="18" t="n">
        <v>587</v>
      </c>
      <c r="AA7" s="18" t="n">
        <v>589</v>
      </c>
      <c r="AB7" s="18" t="n">
        <v>638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</row>
    <row r="9">
      <c r="A9" s="4" t="inlineStr">
        <is>
          <t>SG&amp;A Expense</t>
        </is>
      </c>
      <c r="B9" s="18" t="n">
        <v>828.196</v>
      </c>
      <c r="C9" s="18" t="n">
        <v>643.932</v>
      </c>
      <c r="D9" s="18" t="n">
        <v>408.941</v>
      </c>
      <c r="E9" s="18" t="n">
        <v>264.136</v>
      </c>
      <c r="F9" s="18" t="n">
        <v>293.515</v>
      </c>
      <c r="G9" s="18" t="n">
        <v>1343.584</v>
      </c>
      <c r="H9" s="18" t="n">
        <v>418.887</v>
      </c>
      <c r="I9" s="18" t="n">
        <v>533.626</v>
      </c>
      <c r="J9" s="18" t="n">
        <v>501.604</v>
      </c>
      <c r="K9" s="18" t="n">
        <v>567.539</v>
      </c>
      <c r="L9" s="18" t="n">
        <v>555</v>
      </c>
      <c r="M9" s="18" t="n">
        <v>623</v>
      </c>
      <c r="N9" s="18" t="n">
        <v>624</v>
      </c>
      <c r="O9" s="18" t="n">
        <v>664.082</v>
      </c>
      <c r="P9" s="18" t="n">
        <v>693</v>
      </c>
      <c r="Q9" s="18" t="n">
        <v>761</v>
      </c>
      <c r="R9" s="18" t="n">
        <v>707</v>
      </c>
      <c r="S9" s="18" t="n">
        <v>1627</v>
      </c>
      <c r="T9" s="18" t="n">
        <v>801</v>
      </c>
      <c r="U9" s="18" t="n">
        <v>888</v>
      </c>
      <c r="V9" s="18" t="n">
        <v>849</v>
      </c>
      <c r="W9" s="18" t="n">
        <v>795</v>
      </c>
      <c r="X9" s="18" t="n">
        <v>857</v>
      </c>
      <c r="Y9" s="18" t="n">
        <v>998</v>
      </c>
      <c r="Z9" s="18" t="n">
        <v>969</v>
      </c>
      <c r="AA9" s="18" t="n">
        <v>1106</v>
      </c>
      <c r="AB9" s="18" t="n">
        <v>1047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</row>
    <row r="11">
      <c r="A11" s="4" t="inlineStr">
        <is>
          <t>Gross Profit</t>
        </is>
      </c>
      <c r="B11" s="18" t="n">
        <v>1337.094</v>
      </c>
      <c r="C11" s="18" t="n">
        <v>813.178</v>
      </c>
      <c r="D11" s="18" t="n">
        <v>564.058</v>
      </c>
      <c r="E11" s="18" t="n">
        <v>173.576</v>
      </c>
      <c r="F11" s="18" t="n">
        <v>1115.006</v>
      </c>
      <c r="G11" s="18" t="n">
        <v>649.5170000000001</v>
      </c>
      <c r="H11" s="18" t="n">
        <v>632.421</v>
      </c>
      <c r="I11" s="18" t="n">
        <v>1040.769</v>
      </c>
      <c r="J11" s="18" t="n">
        <v>1925.852</v>
      </c>
      <c r="K11" s="18" t="n">
        <v>1236.885</v>
      </c>
      <c r="L11" s="18" t="n">
        <v>1146</v>
      </c>
      <c r="M11" s="18" t="n">
        <v>1714</v>
      </c>
      <c r="N11" s="18" t="n">
        <v>2483</v>
      </c>
      <c r="O11" s="18" t="n">
        <v>1556.425</v>
      </c>
      <c r="P11" s="18" t="n">
        <v>1390</v>
      </c>
      <c r="Q11" s="18" t="n">
        <v>2052</v>
      </c>
      <c r="R11" s="18" t="n">
        <v>2938</v>
      </c>
      <c r="S11" s="18" t="n">
        <v>1834</v>
      </c>
      <c r="T11" s="18" t="n">
        <v>1662</v>
      </c>
      <c r="U11" s="18" t="n">
        <v>2242</v>
      </c>
      <c r="V11" s="18" t="n">
        <v>3267</v>
      </c>
      <c r="W11" s="18" t="n">
        <v>2053</v>
      </c>
      <c r="X11" s="18" t="n">
        <v>1766</v>
      </c>
      <c r="Y11" s="18" t="n">
        <v>2552</v>
      </c>
      <c r="Z11" s="18" t="n">
        <v>3546</v>
      </c>
      <c r="AA11" s="18" t="n">
        <v>2291</v>
      </c>
      <c r="AB11" s="18" t="n">
        <v>2097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</row>
    <row r="13">
      <c r="A13" s="4" t="inlineStr">
        <is>
          <t>Operating Income</t>
        </is>
      </c>
      <c r="B13" s="18" t="n">
        <v>232.53</v>
      </c>
      <c r="C13" s="18" t="n">
        <v>-327.939</v>
      </c>
      <c r="D13" s="18" t="n">
        <v>-325.489</v>
      </c>
      <c r="E13" s="18" t="n">
        <v>-583.215</v>
      </c>
      <c r="F13" s="18" t="n">
        <v>418.737</v>
      </c>
      <c r="G13" s="18" t="n">
        <v>-3100.18</v>
      </c>
      <c r="H13" s="18" t="n">
        <v>-446.945</v>
      </c>
      <c r="I13" s="18" t="n">
        <v>-51.278</v>
      </c>
      <c r="J13" s="18" t="n">
        <v>851.973</v>
      </c>
      <c r="K13" s="18" t="n">
        <v>75.56699999999999</v>
      </c>
      <c r="L13" s="18" t="n">
        <v>-5</v>
      </c>
      <c r="M13" s="18" t="n">
        <v>369</v>
      </c>
      <c r="N13" s="18" t="n">
        <v>1203</v>
      </c>
      <c r="O13" s="18" t="n">
        <v>234.827</v>
      </c>
      <c r="P13" s="18" t="n">
        <v>-5</v>
      </c>
      <c r="Q13" s="18" t="n">
        <v>523</v>
      </c>
      <c r="R13" s="18" t="n">
        <v>1496</v>
      </c>
      <c r="S13" s="18" t="n">
        <v>-496</v>
      </c>
      <c r="T13" s="18" t="n">
        <v>101</v>
      </c>
      <c r="U13" s="18" t="n">
        <v>497</v>
      </c>
      <c r="V13" s="18" t="n">
        <v>1525</v>
      </c>
      <c r="W13" s="18" t="n">
        <v>430</v>
      </c>
      <c r="X13" s="18" t="n">
        <v>38</v>
      </c>
      <c r="Y13" s="18" t="n">
        <v>612</v>
      </c>
      <c r="Z13" s="18" t="n">
        <v>1625</v>
      </c>
      <c r="AA13" s="18" t="n">
        <v>269</v>
      </c>
      <c r="AB13" s="18" t="n">
        <v>86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</row>
    <row r="15">
      <c r="A15" s="4" t="inlineStr">
        <is>
          <t>Net Income</t>
        </is>
      </c>
      <c r="B15" s="18" t="n">
        <v>266.65</v>
      </c>
      <c r="C15" s="18" t="n">
        <v>-351.538</v>
      </c>
      <c r="D15" s="18" t="n">
        <v>-340.605</v>
      </c>
      <c r="E15" s="18" t="n">
        <v>-575.588</v>
      </c>
      <c r="F15" s="18" t="n">
        <v>219.328</v>
      </c>
      <c r="G15" s="18" t="n">
        <v>-3887.851</v>
      </c>
      <c r="H15" s="18" t="n">
        <v>-1172.211</v>
      </c>
      <c r="I15" s="18" t="n">
        <v>-68.217</v>
      </c>
      <c r="J15" s="18" t="n">
        <v>833.893</v>
      </c>
      <c r="K15" s="18" t="n">
        <v>54.501</v>
      </c>
      <c r="L15" s="18" t="n">
        <v>-19</v>
      </c>
      <c r="M15" s="18" t="n">
        <v>379</v>
      </c>
      <c r="N15" s="18" t="n">
        <v>1214</v>
      </c>
      <c r="O15" s="18" t="n">
        <v>318.663</v>
      </c>
      <c r="P15" s="18" t="n">
        <v>117</v>
      </c>
      <c r="Q15" s="18" t="n">
        <v>650</v>
      </c>
      <c r="R15" s="18" t="n">
        <v>4374</v>
      </c>
      <c r="S15" s="18" t="n">
        <v>-349</v>
      </c>
      <c r="T15" s="18" t="n">
        <v>264</v>
      </c>
      <c r="U15" s="18" t="n">
        <v>555</v>
      </c>
      <c r="V15" s="18" t="n">
        <v>1368</v>
      </c>
      <c r="W15" s="18" t="n">
        <v>461</v>
      </c>
      <c r="X15" s="18" t="n">
        <v>154</v>
      </c>
      <c r="Y15" s="18" t="n">
        <v>642</v>
      </c>
      <c r="Z15" s="18" t="n">
        <v>1374</v>
      </c>
      <c r="AA15" s="18" t="n">
        <v>341</v>
      </c>
      <c r="AB15" s="18" t="n">
        <v>160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</row>
    <row r="17">
      <c r="A17" s="4" t="inlineStr">
        <is>
          <t>Diluted Shares (M)</t>
        </is>
      </c>
      <c r="B17" s="18" t="n">
        <v>530.9450000000001</v>
      </c>
      <c r="C17" s="18" t="n">
        <v>530.9450000000001</v>
      </c>
      <c r="D17" s="18" t="n">
        <v>530.9450000000001</v>
      </c>
      <c r="E17" s="18" t="n">
        <v>530.9450000000001</v>
      </c>
      <c r="F17" s="18" t="n">
        <v>587.1990070000001</v>
      </c>
      <c r="G17" s="18" t="n">
        <v>594.079504</v>
      </c>
      <c r="H17" s="18" t="n">
        <v>600.96</v>
      </c>
      <c r="I17" s="18" t="n">
        <v>611.739</v>
      </c>
      <c r="J17" s="18" t="n">
        <v>681.9160000000001</v>
      </c>
      <c r="K17" s="18" t="n">
        <v>680.896</v>
      </c>
      <c r="L17" s="18" t="n">
        <v>635</v>
      </c>
      <c r="M17" s="18" t="n">
        <v>684</v>
      </c>
      <c r="N17" s="18" t="n">
        <v>680</v>
      </c>
      <c r="O17" s="18" t="n">
        <v>672</v>
      </c>
      <c r="P17" s="18" t="n">
        <v>670</v>
      </c>
      <c r="Q17" s="18" t="n">
        <v>665</v>
      </c>
      <c r="R17" s="18" t="n">
        <v>660</v>
      </c>
      <c r="S17" s="18" t="n">
        <v>638</v>
      </c>
      <c r="T17" s="18" t="n">
        <v>654</v>
      </c>
      <c r="U17" s="18" t="n">
        <v>649</v>
      </c>
      <c r="V17" s="18" t="n">
        <v>642</v>
      </c>
      <c r="W17" s="18" t="n">
        <v>623</v>
      </c>
      <c r="X17" s="18" t="n">
        <v>632</v>
      </c>
      <c r="Y17" s="18" t="n">
        <v>626</v>
      </c>
      <c r="Z17" s="18" t="n">
        <v>621</v>
      </c>
      <c r="AA17" s="18" t="n">
        <v>623</v>
      </c>
      <c r="AB17" s="18" t="n">
        <v>608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</row>
    <row r="19">
      <c r="A19" s="4" t="inlineStr">
        <is>
          <t>North America</t>
        </is>
      </c>
      <c r="P19" s="18" t="n">
        <v>925</v>
      </c>
      <c r="Q19" s="18" t="n">
        <v>1192</v>
      </c>
      <c r="R19" s="18" t="n">
        <v>1478</v>
      </c>
      <c r="S19" s="18" t="n">
        <v>1043</v>
      </c>
      <c r="T19" s="18" t="n">
        <v>1015</v>
      </c>
      <c r="U19" s="18" t="n">
        <v>1308</v>
      </c>
      <c r="V19" s="18" t="n">
        <v>1572</v>
      </c>
      <c r="W19" s="18" t="n">
        <v>2419</v>
      </c>
      <c r="X19" s="18" t="n">
        <v>1054</v>
      </c>
      <c r="Y19" s="18" t="n">
        <v>1377</v>
      </c>
      <c r="Z19" s="18" t="n">
        <v>1619</v>
      </c>
      <c r="AA19" s="18" t="n">
        <v>1146</v>
      </c>
      <c r="AB19" s="18" t="n">
        <v>1138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</row>
    <row r="22">
      <c r="A22" s="4" t="inlineStr">
        <is>
          <t>EMEA</t>
        </is>
      </c>
      <c r="P22" s="18" t="n">
        <v>458</v>
      </c>
      <c r="Q22" s="18" t="n">
        <v>941</v>
      </c>
      <c r="R22" s="18" t="n">
        <v>1533</v>
      </c>
      <c r="S22" s="18" t="n">
        <v>683</v>
      </c>
      <c r="T22" s="18" t="n">
        <v>567</v>
      </c>
      <c r="U22" s="18" t="n">
        <v>1048</v>
      </c>
      <c r="V22" s="18" t="n">
        <v>1726</v>
      </c>
      <c r="W22" s="18" t="n">
        <v>1842</v>
      </c>
      <c r="X22" s="18" t="n">
        <v>597</v>
      </c>
      <c r="Y22" s="18" t="n">
        <v>1233</v>
      </c>
      <c r="Z22" s="18" t="n">
        <v>1969</v>
      </c>
      <c r="AA22" s="18" t="n">
        <v>930</v>
      </c>
      <c r="AB22" s="18" t="n">
        <v>747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</row>
    <row r="25">
      <c r="A25" s="4" t="inlineStr">
        <is>
          <t>Latin America</t>
        </is>
      </c>
      <c r="P25" s="18" t="n">
        <v>235</v>
      </c>
      <c r="Q25" s="18" t="n">
        <v>163</v>
      </c>
      <c r="R25" s="18" t="n">
        <v>178</v>
      </c>
      <c r="S25" s="18" t="n">
        <v>248</v>
      </c>
      <c r="T25" s="18" t="n">
        <v>307</v>
      </c>
      <c r="U25" s="18" t="n">
        <v>185</v>
      </c>
      <c r="V25" s="18" t="n">
        <v>199</v>
      </c>
      <c r="W25" s="18" t="n">
        <v>463</v>
      </c>
      <c r="X25" s="18" t="n">
        <v>343</v>
      </c>
      <c r="Y25" s="18" t="n">
        <v>231</v>
      </c>
      <c r="Z25" s="18" t="n">
        <v>235</v>
      </c>
      <c r="AA25" s="18" t="n">
        <v>351</v>
      </c>
      <c r="AB25" s="18" t="n">
        <v>451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  <c r="Y26" s="27">
        <f>IFERROR(Y25/U25-1,"")</f>
        <v/>
      </c>
      <c r="Z26" s="27">
        <f>IFERROR(Z25/V25-1,"")</f>
        <v/>
      </c>
      <c r="AA26" s="27">
        <f>IFERROR(AA25/W25-1,"")</f>
        <v/>
      </c>
      <c r="AB26" s="27">
        <f>IFERROR(AB25/X25-1,"")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  <c r="Y27" s="27">
        <f>IFERROR(Y25/Y3,"")</f>
        <v/>
      </c>
      <c r="Z27" s="27">
        <f>IFERROR(Z25/Z3,"")</f>
        <v/>
      </c>
      <c r="AA27" s="27">
        <f>IFERROR(AA25/AA3,"")</f>
        <v/>
      </c>
      <c r="AB27" s="27">
        <f>IFERROR(AB25/AB3,"")</f>
        <v/>
      </c>
    </row>
    <row r="28">
      <c r="A28" s="4" t="inlineStr">
        <is>
          <t>Asia Pacific</t>
        </is>
      </c>
      <c r="P28" s="18" t="n">
        <v>200</v>
      </c>
      <c r="Q28" s="18" t="n">
        <v>188</v>
      </c>
      <c r="R28" s="18" t="n">
        <v>208</v>
      </c>
      <c r="S28" s="18" t="n">
        <v>244</v>
      </c>
      <c r="T28" s="18" t="n">
        <v>253</v>
      </c>
      <c r="U28" s="18" t="n">
        <v>207</v>
      </c>
      <c r="V28" s="18" t="n">
        <v>235</v>
      </c>
      <c r="W28" s="18" t="n">
        <v>504</v>
      </c>
      <c r="X28" s="18" t="n">
        <v>278</v>
      </c>
      <c r="Y28" s="18" t="n">
        <v>255</v>
      </c>
      <c r="Z28" s="18" t="n">
        <v>272</v>
      </c>
      <c r="AA28" s="18" t="n">
        <v>351</v>
      </c>
      <c r="AB28" s="18" t="n">
        <v>342</v>
      </c>
    </row>
    <row r="29">
      <c r="A29" s="4" t="inlineStr">
        <is>
          <t xml:space="preserve">    % YoY</t>
        </is>
      </c>
      <c r="F29" s="27">
        <f>IFERROR(F28/B28-1,"")</f>
        <v/>
      </c>
      <c r="G29" s="27">
        <f>IFERROR(G28/C28-1,"")</f>
        <v/>
      </c>
      <c r="H29" s="27">
        <f>IFERROR(H28/D28-1,"")</f>
        <v/>
      </c>
      <c r="I29" s="27">
        <f>IFERROR(I28/E28-1,"")</f>
        <v/>
      </c>
      <c r="J29" s="27">
        <f>IFERROR(J28/F28-1,"")</f>
        <v/>
      </c>
      <c r="K29" s="27">
        <f>IFERROR(K28/G28-1,"")</f>
        <v/>
      </c>
      <c r="L29" s="27">
        <f>IFERROR(L28/H28-1,"")</f>
        <v/>
      </c>
      <c r="M29" s="27">
        <f>IFERROR(M28/I28-1,"")</f>
        <v/>
      </c>
      <c r="N29" s="27">
        <f>IFERROR(N28/J28-1,"")</f>
        <v/>
      </c>
      <c r="O29" s="27">
        <f>IFERROR(O28/K28-1,"")</f>
        <v/>
      </c>
      <c r="P29" s="27">
        <f>IFERROR(P28/L28-1,"")</f>
        <v/>
      </c>
      <c r="Q29" s="27">
        <f>IFERROR(Q28/M28-1,"")</f>
        <v/>
      </c>
      <c r="R29" s="27">
        <f>IFERROR(R28/N28-1,"")</f>
        <v/>
      </c>
      <c r="S29" s="27">
        <f>IFERROR(S28/O28-1,"")</f>
        <v/>
      </c>
      <c r="T29" s="27">
        <f>IFERROR(T28/P28-1,"")</f>
        <v/>
      </c>
      <c r="U29" s="27">
        <f>IFERROR(U28/Q28-1,"")</f>
        <v/>
      </c>
      <c r="V29" s="27">
        <f>IFERROR(V28/R28-1,"")</f>
        <v/>
      </c>
      <c r="W29" s="27">
        <f>IFERROR(W28/S28-1,"")</f>
        <v/>
      </c>
      <c r="X29" s="27">
        <f>IFERROR(X28/T28-1,"")</f>
        <v/>
      </c>
      <c r="Y29" s="27">
        <f>IFERROR(Y28/U28-1,"")</f>
        <v/>
      </c>
      <c r="Z29" s="27">
        <f>IFERROR(Z28/V28-1,"")</f>
        <v/>
      </c>
      <c r="AA29" s="27">
        <f>IFERROR(AA28/W28-1,"")</f>
        <v/>
      </c>
      <c r="AB29" s="27">
        <f>IFERROR(AB28/X28-1,"")</f>
        <v/>
      </c>
    </row>
    <row r="30">
      <c r="A30" s="4" t="inlineStr">
        <is>
          <t xml:space="preserve">    % of revenue</t>
        </is>
      </c>
      <c r="B30" s="27">
        <f>IFERROR(B28/B3,"")</f>
        <v/>
      </c>
      <c r="C30" s="27">
        <f>IFERROR(C28/C3,"")</f>
        <v/>
      </c>
      <c r="D30" s="27">
        <f>IFERROR(D28/D3,"")</f>
        <v/>
      </c>
      <c r="E30" s="27">
        <f>IFERROR(E28/E3,"")</f>
        <v/>
      </c>
      <c r="F30" s="27">
        <f>IFERROR(F28/F3,"")</f>
        <v/>
      </c>
      <c r="G30" s="27">
        <f>IFERROR(G28/G3,"")</f>
        <v/>
      </c>
      <c r="H30" s="27">
        <f>IFERROR(H28/H3,"")</f>
        <v/>
      </c>
      <c r="I30" s="27">
        <f>IFERROR(I28/I3,"")</f>
        <v/>
      </c>
      <c r="J30" s="27">
        <f>IFERROR(J28/J3,"")</f>
        <v/>
      </c>
      <c r="K30" s="27">
        <f>IFERROR(K28/K3,"")</f>
        <v/>
      </c>
      <c r="L30" s="27">
        <f>IFERROR(L28/L3,"")</f>
        <v/>
      </c>
      <c r="M30" s="27">
        <f>IFERROR(M28/M3,"")</f>
        <v/>
      </c>
      <c r="N30" s="27">
        <f>IFERROR(N28/N3,"")</f>
        <v/>
      </c>
      <c r="O30" s="27">
        <f>IFERROR(O28/O3,"")</f>
        <v/>
      </c>
      <c r="P30" s="27">
        <f>IFERROR(P28/P3,"")</f>
        <v/>
      </c>
      <c r="Q30" s="27">
        <f>IFERROR(Q28/Q3,"")</f>
        <v/>
      </c>
      <c r="R30" s="27">
        <f>IFERROR(R28/R3,"")</f>
        <v/>
      </c>
      <c r="S30" s="27">
        <f>IFERROR(S28/S3,"")</f>
        <v/>
      </c>
      <c r="T30" s="27">
        <f>IFERROR(T28/T3,"")</f>
        <v/>
      </c>
      <c r="U30" s="27">
        <f>IFERROR(U28/U3,"")</f>
        <v/>
      </c>
      <c r="V30" s="27">
        <f>IFERROR(V28/V3,"")</f>
        <v/>
      </c>
      <c r="W30" s="27">
        <f>IFERROR(W28/W3,"")</f>
        <v/>
      </c>
      <c r="X30" s="27">
        <f>IFERROR(X28/X3,"")</f>
        <v/>
      </c>
      <c r="Y30" s="27">
        <f>IFERROR(Y28/Y3,"")</f>
        <v/>
      </c>
      <c r="Z30" s="27">
        <f>IFERROR(Z28/Z3,"")</f>
        <v/>
      </c>
      <c r="AA30" s="27">
        <f>IFERROR(AA28/AA3,"")</f>
        <v/>
      </c>
      <c r="AB30" s="27">
        <f>IFERROR(AB28/AB3,"")</f>
        <v/>
      </c>
    </row>
    <row r="31">
      <c r="A31" s="5" t="inlineStr">
        <is>
          <t xml:space="preserve">  BALANCE SHEET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</row>
    <row r="32">
      <c r="A32" s="4" t="inlineStr">
        <is>
          <t>Cash &amp; ST Investments</t>
        </is>
      </c>
      <c r="C32" s="18" t="n">
        <v>3074.273</v>
      </c>
      <c r="F32" s="18" t="n">
        <v>4495.211</v>
      </c>
      <c r="G32" s="18" t="n">
        <v>6391.257</v>
      </c>
      <c r="H32" s="18" t="n">
        <v>6569.307</v>
      </c>
      <c r="I32" s="18" t="n">
        <v>7427.939</v>
      </c>
      <c r="J32" s="18" t="n">
        <v>7920.703</v>
      </c>
      <c r="K32" s="18" t="n">
        <v>8322</v>
      </c>
      <c r="L32" s="18" t="n">
        <v>9322.289000000001</v>
      </c>
      <c r="M32" s="18" t="n">
        <v>9895.478999999999</v>
      </c>
      <c r="N32" s="18" t="n">
        <v>9627.585999999999</v>
      </c>
      <c r="O32" s="18" t="n">
        <v>9622</v>
      </c>
      <c r="P32" s="18" t="n">
        <v>10594</v>
      </c>
      <c r="Q32" s="18" t="n">
        <v>10340</v>
      </c>
      <c r="R32" s="18" t="n">
        <v>10962</v>
      </c>
      <c r="S32" s="18" t="n">
        <v>10071</v>
      </c>
      <c r="T32" s="18" t="n">
        <v>11093</v>
      </c>
      <c r="U32" s="18" t="n">
        <v>11251</v>
      </c>
      <c r="V32" s="18" t="n">
        <v>11253</v>
      </c>
      <c r="W32" s="18" t="n">
        <v>10611</v>
      </c>
      <c r="X32" s="18" t="n">
        <v>11492</v>
      </c>
      <c r="Y32" s="18" t="n">
        <v>11356</v>
      </c>
      <c r="Z32" s="18" t="n">
        <v>11684</v>
      </c>
      <c r="AA32" s="18" t="n">
        <v>11014</v>
      </c>
      <c r="AB32" s="18" t="n">
        <v>12065</v>
      </c>
    </row>
    <row r="33">
      <c r="A33" s="4" t="inlineStr">
        <is>
          <t>Total Current Assets</t>
        </is>
      </c>
      <c r="C33" s="18" t="n">
        <v>6561.443</v>
      </c>
      <c r="F33" s="18" t="n">
        <v>7212.208</v>
      </c>
      <c r="G33" s="18" t="n">
        <v>8916.386</v>
      </c>
      <c r="H33" s="18" t="n">
        <v>10926.641</v>
      </c>
      <c r="I33" s="18" t="n">
        <v>14095.982</v>
      </c>
      <c r="J33" s="18" t="n">
        <v>12220.917</v>
      </c>
      <c r="K33" s="18" t="n">
        <v>12386</v>
      </c>
      <c r="L33" s="18" t="n">
        <v>15761.447</v>
      </c>
      <c r="M33" s="18" t="n">
        <v>17825.649</v>
      </c>
      <c r="N33" s="18" t="n">
        <v>14866.524</v>
      </c>
      <c r="O33" s="18" t="n">
        <v>14861</v>
      </c>
      <c r="P33" s="18" t="n">
        <v>18869</v>
      </c>
      <c r="Q33" s="18" t="n">
        <v>20052</v>
      </c>
      <c r="R33" s="18" t="n">
        <v>17523</v>
      </c>
      <c r="S33" s="18" t="n">
        <v>16509</v>
      </c>
      <c r="T33" s="18" t="n">
        <v>20393</v>
      </c>
      <c r="U33" s="18" t="n">
        <v>22252</v>
      </c>
      <c r="V33" s="18" t="n">
        <v>18319</v>
      </c>
      <c r="W33" s="18" t="n">
        <v>17180</v>
      </c>
      <c r="X33" s="18" t="n">
        <v>21295</v>
      </c>
      <c r="Y33" s="18" t="n">
        <v>23180</v>
      </c>
      <c r="Z33" s="18" t="n">
        <v>19538</v>
      </c>
      <c r="AA33" s="18" t="n">
        <v>18797</v>
      </c>
      <c r="AB33" s="18" t="n">
        <v>23601</v>
      </c>
    </row>
    <row r="34">
      <c r="A34" s="4" t="inlineStr">
        <is>
          <t>PP&amp;E (net)</t>
        </is>
      </c>
      <c r="C34" s="18" t="n">
        <v>686.867</v>
      </c>
      <c r="F34" s="18" t="n">
        <v>615.693</v>
      </c>
      <c r="G34" s="18" t="n">
        <v>654.2619999999999</v>
      </c>
      <c r="H34" s="18" t="n">
        <v>511.973</v>
      </c>
      <c r="I34" s="18" t="n">
        <v>482.322</v>
      </c>
      <c r="J34" s="18" t="n">
        <v>453.934</v>
      </c>
      <c r="K34" s="18" t="n">
        <v>429</v>
      </c>
      <c r="L34" s="18" t="n">
        <v>405.839</v>
      </c>
      <c r="M34" s="18" t="n">
        <v>282.689</v>
      </c>
      <c r="N34" s="18" t="n">
        <v>272.676</v>
      </c>
      <c r="O34" s="18" t="n">
        <v>259</v>
      </c>
      <c r="P34" s="18" t="n">
        <v>260</v>
      </c>
      <c r="Q34" s="18" t="n">
        <v>263</v>
      </c>
      <c r="R34" s="18" t="n">
        <v>270</v>
      </c>
      <c r="S34" s="18" t="n">
        <v>279</v>
      </c>
      <c r="T34" s="18" t="n">
        <v>282</v>
      </c>
      <c r="U34" s="18" t="n">
        <v>273</v>
      </c>
      <c r="V34" s="18" t="n">
        <v>262</v>
      </c>
      <c r="W34" s="18" t="n">
        <v>291</v>
      </c>
      <c r="X34" s="18" t="n">
        <v>277</v>
      </c>
      <c r="Y34" s="18" t="n">
        <v>276</v>
      </c>
      <c r="Z34" s="18" t="n">
        <v>272</v>
      </c>
      <c r="AA34" s="18" t="n">
        <v>257</v>
      </c>
      <c r="AB34" s="18" t="n">
        <v>0</v>
      </c>
    </row>
    <row r="35">
      <c r="A35" s="4" t="inlineStr">
        <is>
          <t>Total Assets</t>
        </is>
      </c>
      <c r="C35" s="18" t="n">
        <v>8310.119000000001</v>
      </c>
      <c r="F35" s="18" t="n">
        <v>8728.478999999999</v>
      </c>
      <c r="G35" s="18" t="n">
        <v>10491.499</v>
      </c>
      <c r="H35" s="18" t="n">
        <v>12339.077</v>
      </c>
      <c r="I35" s="18" t="n">
        <v>15484.81</v>
      </c>
      <c r="J35" s="18" t="n">
        <v>13582.003</v>
      </c>
      <c r="K35" s="18" t="n">
        <v>13708</v>
      </c>
      <c r="L35" s="18" t="n">
        <v>17068.442</v>
      </c>
      <c r="M35" s="18" t="n">
        <v>19059.126</v>
      </c>
      <c r="N35" s="18" t="n">
        <v>16076.59</v>
      </c>
      <c r="O35" s="18" t="n">
        <v>16038</v>
      </c>
      <c r="P35" s="18" t="n">
        <v>20018</v>
      </c>
      <c r="Q35" s="18" t="n">
        <v>21188</v>
      </c>
      <c r="R35" s="18" t="n">
        <v>21439</v>
      </c>
      <c r="S35" s="18" t="n">
        <v>20645</v>
      </c>
      <c r="T35" s="18" t="n">
        <v>24537</v>
      </c>
      <c r="U35" s="18" t="n">
        <v>26320</v>
      </c>
      <c r="V35" s="18" t="n">
        <v>22172</v>
      </c>
      <c r="W35" s="18" t="n">
        <v>20959</v>
      </c>
      <c r="X35" s="18" t="n">
        <v>25056</v>
      </c>
      <c r="Y35" s="18" t="n">
        <v>26992</v>
      </c>
      <c r="Z35" s="18" t="n">
        <v>23064</v>
      </c>
      <c r="AA35" s="18" t="n">
        <v>22208</v>
      </c>
      <c r="AB35" s="18" t="n">
        <v>26828</v>
      </c>
    </row>
    <row r="36">
      <c r="A36" s="4" t="inlineStr">
        <is>
          <t>Total Current Liabilities</t>
        </is>
      </c>
      <c r="C36" s="18" t="n">
        <v>5233.764</v>
      </c>
      <c r="F36" s="18" t="n">
        <v>5918.05</v>
      </c>
      <c r="G36" s="18" t="n">
        <v>5139.779</v>
      </c>
      <c r="H36" s="18" t="n">
        <v>6573.192</v>
      </c>
      <c r="I36" s="18" t="n">
        <v>9496.35</v>
      </c>
      <c r="J36" s="18" t="n">
        <v>6559.314</v>
      </c>
      <c r="K36" s="18" t="n">
        <v>6359</v>
      </c>
      <c r="L36" s="18" t="n">
        <v>9773.781999999999</v>
      </c>
      <c r="M36" s="18" t="n">
        <v>11287.165</v>
      </c>
      <c r="N36" s="18" t="n">
        <v>8015.327</v>
      </c>
      <c r="O36" s="18" t="n">
        <v>7978</v>
      </c>
      <c r="P36" s="18" t="n">
        <v>12212</v>
      </c>
      <c r="Q36" s="18" t="n">
        <v>13624</v>
      </c>
      <c r="R36" s="18" t="n">
        <v>9821</v>
      </c>
      <c r="S36" s="18" t="n">
        <v>9950</v>
      </c>
      <c r="T36" s="18" t="n">
        <v>14139</v>
      </c>
      <c r="U36" s="18" t="n">
        <v>15828</v>
      </c>
      <c r="V36" s="18" t="n">
        <v>11336</v>
      </c>
      <c r="W36" s="18" t="n">
        <v>10161</v>
      </c>
      <c r="X36" s="18" t="n">
        <v>16730</v>
      </c>
      <c r="Y36" s="18" t="n">
        <v>18816</v>
      </c>
      <c r="Z36" s="18" t="n">
        <v>14039</v>
      </c>
      <c r="AA36" s="18" t="n">
        <v>13649</v>
      </c>
      <c r="AB36" s="18" t="n">
        <v>16364</v>
      </c>
    </row>
    <row r="37">
      <c r="A37" s="4" t="inlineStr">
        <is>
          <t>Long-term Debt</t>
        </is>
      </c>
      <c r="C37" s="18" t="n">
        <v>0</v>
      </c>
      <c r="F37" s="18" t="n">
        <v>1811.302</v>
      </c>
      <c r="G37" s="18" t="n">
        <v>1815.562</v>
      </c>
      <c r="H37" s="18" t="n">
        <v>1979.398</v>
      </c>
      <c r="I37" s="18" t="n">
        <v>1980.455</v>
      </c>
      <c r="J37" s="18" t="n">
        <v>1981.496</v>
      </c>
      <c r="K37" s="18" t="n">
        <v>1983</v>
      </c>
      <c r="L37" s="18" t="n">
        <v>1983.578</v>
      </c>
      <c r="M37" s="18" t="n">
        <v>1984.618</v>
      </c>
      <c r="N37" s="18" t="n">
        <v>1985.659</v>
      </c>
      <c r="O37" s="18" t="n">
        <v>1987</v>
      </c>
      <c r="P37" s="18" t="n">
        <v>1988</v>
      </c>
      <c r="Q37" s="18" t="n">
        <v>1989</v>
      </c>
      <c r="R37" s="18" t="n">
        <v>1990</v>
      </c>
      <c r="S37" s="18" t="n">
        <v>1991</v>
      </c>
      <c r="T37" s="18" t="n">
        <v>1992</v>
      </c>
      <c r="U37" s="18" t="n">
        <v>1993</v>
      </c>
      <c r="V37" s="18" t="n">
        <v>1994</v>
      </c>
      <c r="W37" s="18" t="n">
        <v>1995</v>
      </c>
      <c r="X37" s="18" t="n">
        <v>0</v>
      </c>
      <c r="Y37" s="18" t="n">
        <v>0</v>
      </c>
      <c r="Z37" s="18" t="n">
        <v>213</v>
      </c>
      <c r="AA37" s="18" t="n">
        <v>0</v>
      </c>
      <c r="AB37" s="18" t="n">
        <v>2475</v>
      </c>
    </row>
    <row r="38">
      <c r="A38" s="4" t="inlineStr">
        <is>
          <t>Total Equity</t>
        </is>
      </c>
      <c r="C38" s="18" t="n">
        <v>-807.6849999999999</v>
      </c>
      <c r="F38" s="18" t="n">
        <v>321.224</v>
      </c>
      <c r="G38" s="18" t="n">
        <v>2901.783</v>
      </c>
      <c r="H38" s="18" t="n">
        <v>3159.423</v>
      </c>
      <c r="I38" s="18" t="n">
        <v>3393.201</v>
      </c>
      <c r="J38" s="18" t="n">
        <v>4448.934</v>
      </c>
      <c r="K38" s="18" t="n">
        <v>4775</v>
      </c>
      <c r="L38" s="18" t="n">
        <v>4737.416</v>
      </c>
      <c r="M38" s="18" t="n">
        <v>5245.025</v>
      </c>
      <c r="N38" s="18" t="n">
        <v>5540.136</v>
      </c>
      <c r="O38" s="18" t="n">
        <v>5560</v>
      </c>
      <c r="P38" s="18" t="n">
        <v>5291</v>
      </c>
      <c r="Q38" s="18" t="n">
        <v>5059</v>
      </c>
      <c r="R38" s="18" t="n">
        <v>9123</v>
      </c>
      <c r="S38" s="18" t="n">
        <v>8165</v>
      </c>
      <c r="T38" s="18" t="n">
        <v>7896</v>
      </c>
      <c r="U38" s="18" t="n">
        <v>8002</v>
      </c>
      <c r="V38" s="18" t="n">
        <v>8488</v>
      </c>
      <c r="W38" s="18" t="n">
        <v>8412</v>
      </c>
      <c r="X38" s="18" t="n">
        <v>7937</v>
      </c>
      <c r="Y38" s="18" t="n">
        <v>7782</v>
      </c>
      <c r="Z38" s="18" t="n">
        <v>8610</v>
      </c>
      <c r="AA38" s="18" t="n">
        <v>8199</v>
      </c>
      <c r="AB38" s="18" t="n">
        <v>7636</v>
      </c>
    </row>
    <row r="39">
      <c r="A39" s="5" t="inlineStr">
        <is>
          <t xml:space="preserve">  CASH FLOW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</row>
    <row r="40">
      <c r="A40" s="4" t="inlineStr">
        <is>
          <t>D&amp;A</t>
        </is>
      </c>
      <c r="B40" s="18" t="n">
        <v>31.198</v>
      </c>
      <c r="C40" s="18" t="n">
        <v>37.83</v>
      </c>
      <c r="D40" s="18" t="n">
        <v>33.872</v>
      </c>
      <c r="E40" s="18" t="n">
        <v>29.928</v>
      </c>
      <c r="F40" s="18" t="n">
        <v>29.638</v>
      </c>
      <c r="G40" s="18" t="n">
        <v>32.438</v>
      </c>
      <c r="H40" s="18" t="n">
        <v>38.252</v>
      </c>
      <c r="I40" s="18" t="n">
        <v>35.536</v>
      </c>
      <c r="J40" s="18" t="n">
        <v>33.687</v>
      </c>
      <c r="K40" s="18" t="n">
        <v>30.844</v>
      </c>
      <c r="L40" s="18" t="n">
        <v>29.232</v>
      </c>
      <c r="M40" s="18" t="n">
        <v>26.005</v>
      </c>
      <c r="N40" s="18" t="n">
        <v>12.815</v>
      </c>
      <c r="O40" s="18" t="n">
        <v>13</v>
      </c>
      <c r="P40" s="18" t="n">
        <v>11</v>
      </c>
      <c r="Q40" s="18" t="n">
        <v>9</v>
      </c>
      <c r="R40" s="18" t="n">
        <v>8</v>
      </c>
      <c r="S40" s="18" t="n">
        <v>16</v>
      </c>
      <c r="T40" s="18" t="n">
        <v>14</v>
      </c>
      <c r="U40" s="18" t="n">
        <v>14</v>
      </c>
      <c r="V40" s="18" t="n">
        <v>15</v>
      </c>
      <c r="W40" s="18" t="n">
        <v>22</v>
      </c>
      <c r="X40" s="18" t="n">
        <v>25</v>
      </c>
      <c r="Y40" s="18" t="n">
        <v>21</v>
      </c>
      <c r="Z40" s="18" t="n">
        <v>22</v>
      </c>
      <c r="AA40" s="18" t="n">
        <v>0</v>
      </c>
      <c r="AB40" s="18" t="n">
        <v>0</v>
      </c>
    </row>
    <row r="41">
      <c r="A41" s="4" t="inlineStr">
        <is>
          <t>Stock-based Compensation</t>
        </is>
      </c>
      <c r="B41" s="18" t="n">
        <v>40.198</v>
      </c>
      <c r="C41" s="18" t="n">
        <v>25.237</v>
      </c>
      <c r="D41" s="18" t="n">
        <v>41.626</v>
      </c>
      <c r="E41" s="18" t="n">
        <v>37.79</v>
      </c>
      <c r="F41" s="18" t="n">
        <v>29.36</v>
      </c>
      <c r="G41" s="18" t="n">
        <v>2893.172</v>
      </c>
      <c r="H41" s="18" t="n">
        <v>229.474</v>
      </c>
      <c r="I41" s="18" t="n">
        <v>232.863</v>
      </c>
      <c r="J41" s="18" t="n">
        <v>210.789</v>
      </c>
      <c r="K41" s="18" t="n">
        <v>225.704</v>
      </c>
      <c r="L41" s="18" t="n">
        <v>194.923</v>
      </c>
      <c r="M41" s="18" t="n">
        <v>247</v>
      </c>
      <c r="N41" s="18" t="n">
        <v>234</v>
      </c>
      <c r="O41" s="18" t="n">
        <v>253.608</v>
      </c>
      <c r="P41" s="18" t="n">
        <v>240</v>
      </c>
      <c r="Q41" s="18" t="n">
        <v>304</v>
      </c>
      <c r="R41" s="18" t="n">
        <v>286</v>
      </c>
      <c r="S41" s="18" t="n">
        <v>290</v>
      </c>
      <c r="T41" s="18" t="n">
        <v>295</v>
      </c>
      <c r="U41" s="18" t="n">
        <v>382</v>
      </c>
      <c r="V41" s="18" t="n">
        <v>362</v>
      </c>
      <c r="W41" s="18" t="n">
        <v>368</v>
      </c>
      <c r="X41" s="18" t="n">
        <v>358</v>
      </c>
      <c r="Y41" s="18" t="n">
        <v>424</v>
      </c>
      <c r="Z41" s="18" t="n">
        <v>399</v>
      </c>
      <c r="AA41" s="18" t="n">
        <v>411</v>
      </c>
      <c r="AB41" s="18" t="n">
        <v>410</v>
      </c>
    </row>
    <row r="42">
      <c r="A42" s="4" t="inlineStr">
        <is>
          <t>Change in Working Capital</t>
        </is>
      </c>
      <c r="B42" s="18" t="n">
        <v>0</v>
      </c>
      <c r="C42" s="18" t="n">
        <v>37.306</v>
      </c>
      <c r="D42" s="18" t="n">
        <v>-357.448</v>
      </c>
      <c r="E42" s="18" t="n">
        <v>163.937</v>
      </c>
      <c r="F42" s="18" t="n">
        <v>-12.159</v>
      </c>
      <c r="G42" s="18" t="n">
        <v>-78.94</v>
      </c>
      <c r="H42" s="18" t="n">
        <v>728.999</v>
      </c>
      <c r="I42" s="18" t="n">
        <v>593.74</v>
      </c>
      <c r="J42" s="18" t="n">
        <v>-593.689</v>
      </c>
      <c r="K42" s="18" t="n">
        <v>20.881</v>
      </c>
      <c r="L42" s="18" t="n">
        <v>953.59</v>
      </c>
      <c r="M42" s="18" t="n">
        <v>23</v>
      </c>
      <c r="N42" s="18" t="n">
        <v>-560.301</v>
      </c>
      <c r="O42" s="18" t="n">
        <v>-98.048</v>
      </c>
      <c r="P42" s="18" t="n">
        <v>1207</v>
      </c>
      <c r="Q42" s="18" t="n">
        <v>-25</v>
      </c>
      <c r="R42" s="18" t="n">
        <v>-592</v>
      </c>
      <c r="S42" s="18" t="n">
        <v>130</v>
      </c>
      <c r="T42" s="18" t="n">
        <v>1346</v>
      </c>
      <c r="U42" s="18" t="n">
        <v>-22</v>
      </c>
      <c r="V42" s="18" t="n">
        <v>-895</v>
      </c>
      <c r="W42" s="18" t="n">
        <v>-496</v>
      </c>
      <c r="X42" s="18" t="n">
        <v>1181</v>
      </c>
      <c r="Y42" s="18" t="n">
        <v>-210</v>
      </c>
      <c r="Z42" s="18" t="n">
        <v>-748</v>
      </c>
      <c r="AA42" s="18" t="n">
        <v>-329</v>
      </c>
      <c r="AB42" s="18" t="n">
        <v>957</v>
      </c>
    </row>
    <row r="43">
      <c r="A43" s="4" t="inlineStr">
        <is>
          <t>Operating Cash Flow</t>
        </is>
      </c>
      <c r="B43" s="18" t="n">
        <v>0</v>
      </c>
      <c r="C43" s="18" t="n">
        <v>-196.374</v>
      </c>
      <c r="D43" s="18" t="n">
        <v>-569.83</v>
      </c>
      <c r="E43" s="18" t="n">
        <v>-256.462</v>
      </c>
      <c r="F43" s="18" t="n">
        <v>335.67</v>
      </c>
      <c r="G43" s="18" t="n">
        <v>-139.11</v>
      </c>
      <c r="H43" s="18" t="n">
        <v>606.376</v>
      </c>
      <c r="I43" s="18" t="n">
        <v>791.299</v>
      </c>
      <c r="J43" s="18" t="n">
        <v>523.178</v>
      </c>
      <c r="K43" s="18" t="n">
        <v>380.849</v>
      </c>
      <c r="L43" s="18" t="n">
        <v>1201.992</v>
      </c>
      <c r="M43" s="18" t="n">
        <v>801</v>
      </c>
      <c r="N43" s="18" t="n">
        <v>965.563</v>
      </c>
      <c r="O43" s="18" t="n">
        <v>462.698</v>
      </c>
      <c r="P43" s="18" t="n">
        <v>1587</v>
      </c>
      <c r="Q43" s="18" t="n">
        <v>909</v>
      </c>
      <c r="R43" s="18" t="n">
        <v>1325</v>
      </c>
      <c r="S43" s="18" t="n">
        <v>63</v>
      </c>
      <c r="T43" s="18" t="n">
        <v>1923</v>
      </c>
      <c r="U43" s="18" t="n">
        <v>1051</v>
      </c>
      <c r="V43" s="18" t="n">
        <v>1078</v>
      </c>
      <c r="W43" s="18" t="n">
        <v>466</v>
      </c>
      <c r="X43" s="18" t="n">
        <v>1789</v>
      </c>
      <c r="Y43" s="18" t="n">
        <v>975</v>
      </c>
      <c r="Z43" s="18" t="n">
        <v>1356</v>
      </c>
      <c r="AA43" s="18" t="n">
        <v>526</v>
      </c>
      <c r="AB43" s="18" t="n">
        <v>1708</v>
      </c>
    </row>
    <row r="44">
      <c r="A44" s="4" t="inlineStr">
        <is>
          <t>Capex</t>
        </is>
      </c>
      <c r="B44" s="18" t="n">
        <v>0</v>
      </c>
      <c r="C44" s="18" t="n">
        <v>-26.174</v>
      </c>
      <c r="D44" s="18" t="n">
        <v>-15.667</v>
      </c>
      <c r="E44" s="18" t="n">
        <v>-6.186</v>
      </c>
      <c r="F44" s="18" t="n">
        <v>-7.636</v>
      </c>
      <c r="G44" s="18" t="n">
        <v>-7.882</v>
      </c>
      <c r="H44" s="18" t="n">
        <v>-7.706</v>
      </c>
      <c r="I44" s="18" t="n">
        <v>-7.652</v>
      </c>
      <c r="J44" s="18" t="n">
        <v>-5.506</v>
      </c>
      <c r="K44" s="18" t="n">
        <v>-4.458</v>
      </c>
      <c r="L44" s="18" t="n">
        <v>-5.959</v>
      </c>
      <c r="M44" s="18" t="n">
        <v>-5</v>
      </c>
      <c r="N44" s="18" t="n">
        <v>-5.599</v>
      </c>
      <c r="O44" s="18" t="n">
        <v>-8.394</v>
      </c>
      <c r="P44" s="18" t="n">
        <v>-6</v>
      </c>
      <c r="Q44" s="18" t="n">
        <v>-9</v>
      </c>
      <c r="R44" s="18" t="n">
        <v>-15</v>
      </c>
      <c r="S44" s="18" t="n">
        <v>30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-23</v>
      </c>
      <c r="Z44" s="18" t="n">
        <v>0</v>
      </c>
      <c r="AA44" s="18" t="n">
        <v>7</v>
      </c>
      <c r="AB44" s="18" t="n">
        <v>0</v>
      </c>
    </row>
    <row r="45">
      <c r="A45" s="4" t="inlineStr">
        <is>
          <t>Free Cash Flow</t>
        </is>
      </c>
      <c r="B45" s="18" t="n">
        <v>0</v>
      </c>
      <c r="C45" s="18" t="n">
        <v>-222.548</v>
      </c>
      <c r="D45" s="18" t="n">
        <v>-585.497</v>
      </c>
      <c r="E45" s="18" t="n">
        <v>-262.648</v>
      </c>
      <c r="F45" s="18" t="n">
        <v>328.034</v>
      </c>
      <c r="G45" s="18" t="n">
        <v>-146.992</v>
      </c>
      <c r="H45" s="18" t="n">
        <v>598.67</v>
      </c>
      <c r="I45" s="18" t="n">
        <v>783.647</v>
      </c>
      <c r="J45" s="18" t="n">
        <v>517.672</v>
      </c>
      <c r="K45" s="18" t="n">
        <v>376.391</v>
      </c>
      <c r="L45" s="18" t="n">
        <v>1196.033</v>
      </c>
      <c r="M45" s="18" t="n">
        <v>796</v>
      </c>
      <c r="N45" s="18" t="n">
        <v>959.9640000000001</v>
      </c>
      <c r="O45" s="18" t="n">
        <v>454.304</v>
      </c>
      <c r="P45" s="18" t="n">
        <v>1581</v>
      </c>
      <c r="Q45" s="18" t="n">
        <v>900</v>
      </c>
      <c r="R45" s="18" t="n">
        <v>1310</v>
      </c>
      <c r="S45" s="18" t="n">
        <v>93</v>
      </c>
      <c r="T45" s="18" t="n">
        <v>1923</v>
      </c>
      <c r="U45" s="18" t="n">
        <v>1051</v>
      </c>
      <c r="V45" s="18" t="n">
        <v>1078</v>
      </c>
      <c r="W45" s="18" t="n">
        <v>466</v>
      </c>
      <c r="X45" s="18" t="n">
        <v>1789</v>
      </c>
      <c r="Y45" s="18" t="n">
        <v>952</v>
      </c>
      <c r="Z45" s="18" t="n">
        <v>1356</v>
      </c>
      <c r="AA45" s="18" t="n">
        <v>533</v>
      </c>
      <c r="AB45" s="18" t="n">
        <v>1708</v>
      </c>
    </row>
    <row r="47">
      <c r="A4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13953.351616</v>
      </c>
      <c r="C4" s="18" t="n">
        <v>15420.232192</v>
      </c>
      <c r="D4" s="18" t="n">
        <v>17061.095242</v>
      </c>
      <c r="E4" s="18" t="n">
        <v>18827.556134</v>
      </c>
      <c r="F4" s="18" t="n">
        <v>20206.628571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4780.413209</v>
      </c>
      <c r="C8" s="18" t="n">
        <v>5282.965963</v>
      </c>
      <c r="D8" s="18" t="n">
        <v>5845.12505</v>
      </c>
      <c r="E8" s="18" t="n">
        <v>6450.313912</v>
      </c>
      <c r="F8" s="18" t="n">
        <v>6922.783629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5018.534123</v>
      </c>
      <c r="C12" s="18" t="n">
        <v>5546.119926</v>
      </c>
      <c r="D12" s="18" t="n">
        <v>6136.28116</v>
      </c>
      <c r="E12" s="18" t="n">
        <v>6771.615559</v>
      </c>
      <c r="F12" s="18" t="n">
        <v>7267.619837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4560.778689</v>
      </c>
      <c r="C16" s="18" t="n">
        <v>5040.241821</v>
      </c>
      <c r="D16" s="18" t="n">
        <v>5576.572692</v>
      </c>
      <c r="E16" s="18" t="n">
        <v>6153.95635</v>
      </c>
      <c r="F16" s="18" t="n">
        <v>6604.718601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3099.20619</v>
      </c>
      <c r="C20" s="18" t="n">
        <v>3578.2595</v>
      </c>
      <c r="D20" s="18" t="n">
        <v>4126.626889</v>
      </c>
      <c r="E20" s="18" t="n">
        <v>5476.948758</v>
      </c>
      <c r="F20" s="18" t="n">
        <v>6433.80823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5.1277</v>
      </c>
      <c r="C24" s="38" t="n">
        <v>6.05409</v>
      </c>
      <c r="D24" s="38" t="n">
        <v>7.15858</v>
      </c>
      <c r="E24" s="38" t="n">
        <v>8.79125</v>
      </c>
      <c r="F24" s="38" t="n">
        <v>10.32714</v>
      </c>
    </row>
    <row r="25">
      <c r="A25" s="4" t="inlineStr">
        <is>
          <t xml:space="preserve">  model</t>
        </is>
      </c>
      <c r="B25" s="8">
        <f>Model!G23/Financials!AB17</f>
        <v/>
      </c>
      <c r="C25" s="8">
        <f>Model!H23/Financials!AB17</f>
        <v/>
      </c>
      <c r="D25" s="8">
        <f>Model!I23/Financials!AB17</f>
        <v/>
      </c>
      <c r="E25" s="8">
        <f>Model!J23/Financials!AB17</f>
        <v/>
      </c>
      <c r="F25" s="8">
        <f>Model!K23/Financials!AB17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Airbnb,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Financials!AB32</f>
        <v/>
      </c>
    </row>
    <row r="33">
      <c r="A33" s="4" t="inlineStr">
        <is>
          <t>- Long-term debt</t>
        </is>
      </c>
      <c r="B33" s="28">
        <f>-Financials!AB37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Financials!AB17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0.005555101707376849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0.3600294117647059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1.039138001320937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Financials!AB32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Financials!AB37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Financials!AB17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2026-06-08T03:48:19Z</dcterms:created>
  <dcterms:modified xmlns:dcterms="http://purl.org/dc/terms/" xmlns:xsi="http://www.w3.org/2001/XMLSchema-instance" xsi:type="dcterms:W3CDTF">2026-06-08T03:48:19Z</dcterms:modified>
</cp:coreProperties>
</file>