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8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9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9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5" fontId="7" fillId="0" borderId="0" pivotButton="0" quotePrefix="0" xfId="0"/>
    <xf numFmtId="164" fontId="3" fillId="0" borderId="0" pivotButton="0" quotePrefix="0" xfId="0"/>
    <xf numFmtId="3" fontId="7" fillId="0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70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9" fontId="1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Nebius Group N.V. (NBIS)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2026-06-07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2026-06-07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NBIS is an AI-cloud 'neocloud' scaling GPU data-center capacity from a $534M base toward consensus ~$39B by 2030, funded largely by its Yandex-sale net cash rather than debt. Revenue compounds at triple-digit then fading rates while heavy capex suppresses near-term GAAP profitability; as utilization and contracted ARR ramp, operating leverage drives margins from deeply negative toward a mature ~25% operating margin. Value rests on disciplined capacity deployment converting to durable cloud-infra cash flows, with optionality from minority stakes (ClickHouse, Toloka, Avride) treated as upside outside the base DCF.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Nebius Group N.V. (NBIS)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Model!G36-WACC!B14</f>
        <v/>
      </c>
      <c r="C15" s="10">
        <f>IF(Model!G36-WACC!B14&lt;0,"!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0.6</v>
      </c>
      <c r="C20" s="15" t="n">
        <v>0.04</v>
      </c>
      <c r="D20" s="16" t="n">
        <v>0.6</v>
      </c>
      <c r="E20" s="2" t="inlineStr"/>
    </row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0.03</v>
      </c>
      <c r="D29" s="16" t="n">
        <v>0.03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0.25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0.25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2710.3867552</v>
      </c>
      <c r="D34" s="18" t="n">
        <v>2710.3867552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1.238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0.04</v>
      </c>
    </row>
    <row r="48">
      <c r="A48" s="4" t="inlineStr">
        <is>
          <t>Current price</t>
        </is>
      </c>
      <c r="B48" s="23" t="n">
        <v>264.51</v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26">
        <f>Dashboard!$B$40</f>
        <v/>
      </c>
    </row>
    <row r="5">
      <c r="A5" s="4" t="inlineStr">
        <is>
          <t>Cost of equity (CAPM)</t>
        </is>
      </c>
      <c r="B5" s="27">
        <f>B2+B4*B3</f>
        <v/>
      </c>
    </row>
    <row r="6">
      <c r="A6" s="4" t="inlineStr">
        <is>
          <t>Pre-tax cost of debt</t>
        </is>
      </c>
      <c r="B6" s="11">
        <f>Dashboard!$B$41</f>
        <v/>
      </c>
    </row>
    <row r="7">
      <c r="A7" s="4" t="inlineStr">
        <is>
          <t>Tax rate</t>
        </is>
      </c>
      <c r="B7" s="11">
        <f>Dashboard!$B$31</f>
        <v/>
      </c>
    </row>
    <row r="8">
      <c r="A8" s="4" t="inlineStr">
        <is>
          <t>After-tax cost of debt</t>
        </is>
      </c>
      <c r="B8" s="27">
        <f>B6*(1-B7)</f>
        <v/>
      </c>
    </row>
    <row r="9">
      <c r="A9" s="4" t="inlineStr">
        <is>
          <t>Market cap (E)</t>
        </is>
      </c>
      <c r="B9" s="28">
        <f>Dashboard!$B$48*Financials!AC17</f>
        <v/>
      </c>
    </row>
    <row r="10">
      <c r="A10" s="4" t="inlineStr">
        <is>
          <t>Total debt (D)</t>
        </is>
      </c>
      <c r="B10" s="28">
        <f>Financials!AC24</f>
        <v/>
      </c>
    </row>
    <row r="11">
      <c r="A11" s="4" t="inlineStr">
        <is>
          <t>Equity weight</t>
        </is>
      </c>
      <c r="B11" s="27">
        <f>B9/(B9+B10)</f>
        <v/>
      </c>
    </row>
    <row r="12">
      <c r="A12" s="4" t="inlineStr">
        <is>
          <t>Debt weight</t>
        </is>
      </c>
      <c r="B12" s="27">
        <f>B10/(B9+B10)</f>
        <v/>
      </c>
    </row>
    <row r="14">
      <c r="A14" s="3" t="inlineStr">
        <is>
          <t>WACC</t>
        </is>
      </c>
      <c r="B14" s="29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FY2021A</t>
        </is>
      </c>
      <c r="C1" s="30" t="inlineStr">
        <is>
          <t>FY2022A</t>
        </is>
      </c>
      <c r="D1" s="30" t="inlineStr">
        <is>
          <t>FY2023A</t>
        </is>
      </c>
      <c r="E1" s="30" t="inlineStr">
        <is>
          <t>FY2024A</t>
        </is>
      </c>
      <c r="F1" s="30" t="inlineStr">
        <is>
          <t>FY2025A</t>
        </is>
      </c>
      <c r="G1" s="31" t="inlineStr">
        <is>
          <t>FY2026E</t>
        </is>
      </c>
      <c r="H1" s="31" t="inlineStr">
        <is>
          <t>FY2027E</t>
        </is>
      </c>
      <c r="I1" s="31" t="inlineStr">
        <is>
          <t>FY2028E</t>
        </is>
      </c>
      <c r="J1" s="31" t="inlineStr">
        <is>
          <t>FY2029E</t>
        </is>
      </c>
      <c r="K1" s="31" t="inlineStr">
        <is>
          <t>FY2030E</t>
        </is>
      </c>
      <c r="L1" s="31" t="inlineStr">
        <is>
          <t>FY2031E</t>
        </is>
      </c>
      <c r="M1" s="31" t="inlineStr">
        <is>
          <t>FY2032E</t>
        </is>
      </c>
      <c r="N1" s="31" t="inlineStr">
        <is>
          <t>FY2033E</t>
        </is>
      </c>
      <c r="O1" s="31" t="inlineStr">
        <is>
          <t>FY2034E</t>
        </is>
      </c>
      <c r="P1" s="3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28">
        <f>SUM(Financials!I3:L3)</f>
        <v/>
      </c>
      <c r="C4" s="28">
        <f>SUM(Financials!M3:P3)</f>
        <v/>
      </c>
      <c r="D4" s="28">
        <f>SUM(Financials!Q3:T3)</f>
        <v/>
      </c>
      <c r="E4" s="28">
        <f>SUM(Financials!U3:X3)</f>
        <v/>
      </c>
      <c r="F4" s="28">
        <f>SUM(Financials!Y3:AB3)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27">
        <f>IFERROR(C4/B4-1,"")</f>
        <v/>
      </c>
      <c r="D5" s="27">
        <f>IFERROR(D4/C4-1,"")</f>
        <v/>
      </c>
      <c r="E5" s="27">
        <f>IFERROR(E4/D4-1,"")</f>
        <v/>
      </c>
      <c r="F5" s="27">
        <f>IFERROR(F4/E4-1,"")</f>
        <v/>
      </c>
      <c r="G5" s="11">
        <f>Dashboard!$B$20+(Dashboard!$C$20-Dashboard!$B$20)*MAX(0,0-2)/7</f>
        <v/>
      </c>
      <c r="H5" s="11">
        <f>Dashboard!$B$20+(Dashboard!$C$20-Dashboard!$B$20)*MAX(0,1-2)/7</f>
        <v/>
      </c>
      <c r="I5" s="11">
        <f>Dashboard!$B$20+(Dashboard!$C$20-Dashboard!$B$20)*MAX(0,2-2)/7</f>
        <v/>
      </c>
      <c r="J5" s="11">
        <f>Dashboard!$B$20+(Dashboard!$C$20-Dashboard!$B$20)*MAX(0,3-2)/7</f>
        <v/>
      </c>
      <c r="K5" s="11">
        <f>Dashboard!$B$20+(Dashboard!$C$20-Dashboard!$B$20)*MAX(0,4-2)/7</f>
        <v/>
      </c>
      <c r="L5" s="11">
        <f>Dashboard!$B$20+(Dashboard!$C$20-Dashboard!$B$20)*MAX(0,5-2)/7</f>
        <v/>
      </c>
      <c r="M5" s="11">
        <f>Dashboard!$B$20+(Dashboard!$C$20-Dashboard!$B$20)*MAX(0,6-2)/7</f>
        <v/>
      </c>
      <c r="N5" s="11">
        <f>Dashboard!$B$20+(Dashboard!$C$20-Dashboard!$B$20)*MAX(0,7-2)/7</f>
        <v/>
      </c>
      <c r="O5" s="11">
        <f>Dashboard!$B$20+(Dashboard!$C$20-Dashboard!$B$20)*MAX(0,8-2)/7</f>
        <v/>
      </c>
      <c r="P5" s="11">
        <f>Dashboard!$B$20+(Dashboard!$C$20-Dashboard!$B$20)*MAX(0,9-2)/7</f>
        <v/>
      </c>
    </row>
    <row r="6">
      <c r="A6" s="3" t="inlineStr">
        <is>
          <t>Total revenue</t>
        </is>
      </c>
      <c r="B6" s="33">
        <f>B4</f>
        <v/>
      </c>
      <c r="C6" s="33">
        <f>C4</f>
        <v/>
      </c>
      <c r="D6" s="33">
        <f>D4</f>
        <v/>
      </c>
      <c r="E6" s="33">
        <f>E4</f>
        <v/>
      </c>
      <c r="F6" s="33">
        <f>F4</f>
        <v/>
      </c>
      <c r="G6" s="33">
        <f>G4</f>
        <v/>
      </c>
      <c r="H6" s="33">
        <f>H4</f>
        <v/>
      </c>
      <c r="I6" s="33">
        <f>I4</f>
        <v/>
      </c>
      <c r="J6" s="33">
        <f>J4</f>
        <v/>
      </c>
      <c r="K6" s="33">
        <f>K4</f>
        <v/>
      </c>
      <c r="L6" s="33">
        <f>L4</f>
        <v/>
      </c>
      <c r="M6" s="33">
        <f>M4</f>
        <v/>
      </c>
      <c r="N6" s="33">
        <f>N4</f>
        <v/>
      </c>
      <c r="O6" s="33">
        <f>O4</f>
        <v/>
      </c>
      <c r="P6" s="33">
        <f>P4</f>
        <v/>
      </c>
    </row>
    <row r="7">
      <c r="A7" s="4" t="inlineStr">
        <is>
          <t xml:space="preserve">    growth %</t>
        </is>
      </c>
      <c r="C7" s="27">
        <f>IFERROR(C6/B6-1,"")</f>
        <v/>
      </c>
      <c r="D7" s="27">
        <f>IFERROR(D6/C6-1,"")</f>
        <v/>
      </c>
      <c r="E7" s="27">
        <f>IFERROR(E6/D6-1,"")</f>
        <v/>
      </c>
      <c r="F7" s="27">
        <f>IFERROR(F6/E6-1,"")</f>
        <v/>
      </c>
      <c r="G7" s="27">
        <f>IFERROR(G6/F6-1,"")</f>
        <v/>
      </c>
      <c r="H7" s="27">
        <f>IFERROR(H6/G6-1,"")</f>
        <v/>
      </c>
      <c r="I7" s="27">
        <f>IFERROR(I6/H6-1,"")</f>
        <v/>
      </c>
      <c r="J7" s="27">
        <f>IFERROR(J6/I6-1,"")</f>
        <v/>
      </c>
      <c r="K7" s="27">
        <f>IFERROR(K6/J6-1,"")</f>
        <v/>
      </c>
      <c r="L7" s="27">
        <f>IFERROR(L6/K6-1,"")</f>
        <v/>
      </c>
      <c r="M7" s="27">
        <f>IFERROR(M6/L6-1,"")</f>
        <v/>
      </c>
      <c r="N7" s="27">
        <f>IFERROR(N6/M6-1,"")</f>
        <v/>
      </c>
      <c r="O7" s="27">
        <f>IFERROR(O6/N6-1,"")</f>
        <v/>
      </c>
      <c r="P7" s="27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28">
        <f>SUM(Financials!I5:L5)</f>
        <v/>
      </c>
      <c r="C10" s="28">
        <f>SUM(Financials!M5:P5)</f>
        <v/>
      </c>
      <c r="D10" s="28">
        <f>SUM(Financials!Q5:T5)</f>
        <v/>
      </c>
      <c r="E10" s="28">
        <f>SUM(Financials!U5:X5)</f>
        <v/>
      </c>
      <c r="F10" s="28">
        <f>SUM(Financials!Y5:AB5)</f>
        <v/>
      </c>
      <c r="G10" s="32">
        <f>G6*G11</f>
        <v/>
      </c>
      <c r="H10" s="32">
        <f>H6*H11</f>
        <v/>
      </c>
      <c r="I10" s="32">
        <f>I6*I11</f>
        <v/>
      </c>
      <c r="J10" s="32">
        <f>J6*J11</f>
        <v/>
      </c>
      <c r="K10" s="32">
        <f>K6*K11</f>
        <v/>
      </c>
      <c r="L10" s="32">
        <f>L6*L11</f>
        <v/>
      </c>
      <c r="M10" s="32">
        <f>M6*M11</f>
        <v/>
      </c>
      <c r="N10" s="32">
        <f>N6*N11</f>
        <v/>
      </c>
      <c r="O10" s="32">
        <f>O6*O11</f>
        <v/>
      </c>
      <c r="P10" s="32">
        <f>P6*P11</f>
        <v/>
      </c>
    </row>
    <row r="11">
      <c r="A11" s="4" t="inlineStr">
        <is>
          <t xml:space="preserve">    % of revenue</t>
        </is>
      </c>
      <c r="B11" s="27">
        <f>IFERROR(B10/B6,"")</f>
        <v/>
      </c>
      <c r="C11" s="27">
        <f>IFERROR(C10/C6,"")</f>
        <v/>
      </c>
      <c r="D11" s="27">
        <f>IFERROR(D10/D6,"")</f>
        <v/>
      </c>
      <c r="E11" s="27">
        <f>IFERROR(E10/E6,"")</f>
        <v/>
      </c>
      <c r="F11" s="27">
        <f>IFERROR(F10/F6,"")</f>
        <v/>
      </c>
      <c r="G11" s="15" t="n">
        <v>0.3201048296518157</v>
      </c>
      <c r="H11" s="15" t="n">
        <v>0.3201048296518157</v>
      </c>
      <c r="I11" s="15" t="n">
        <v>0.3201048296518157</v>
      </c>
      <c r="J11" s="15" t="n">
        <v>0.3201048296518157</v>
      </c>
      <c r="K11" s="15" t="n">
        <v>0.3201048296518157</v>
      </c>
      <c r="L11" s="15" t="n">
        <v>0.3201048296518157</v>
      </c>
      <c r="M11" s="15" t="n">
        <v>0.3201048296518157</v>
      </c>
      <c r="N11" s="15" t="n">
        <v>0.3201048296518157</v>
      </c>
      <c r="O11" s="15" t="n">
        <v>0.3201048296518157</v>
      </c>
      <c r="P11" s="15" t="n">
        <v>0.3201048296518157</v>
      </c>
    </row>
    <row r="12">
      <c r="A12" s="4" t="inlineStr">
        <is>
          <t>R&amp;D / Technology</t>
        </is>
      </c>
      <c r="B12" s="28">
        <f>SUM(Financials!I7:L7)</f>
        <v/>
      </c>
      <c r="C12" s="28">
        <f>SUM(Financials!M7:P7)</f>
        <v/>
      </c>
      <c r="D12" s="28">
        <f>SUM(Financials!Q7:T7)</f>
        <v/>
      </c>
      <c r="E12" s="28">
        <f>SUM(Financials!U7:X7)</f>
        <v/>
      </c>
      <c r="F12" s="28">
        <f>SUM(Financials!Y7:AB7)</f>
        <v/>
      </c>
      <c r="G12" s="32">
        <f>G6*G13</f>
        <v/>
      </c>
      <c r="H12" s="32">
        <f>H6*H13</f>
        <v/>
      </c>
      <c r="I12" s="32">
        <f>I6*I13</f>
        <v/>
      </c>
      <c r="J12" s="32">
        <f>J6*J13</f>
        <v/>
      </c>
      <c r="K12" s="32">
        <f>K6*K13</f>
        <v/>
      </c>
      <c r="L12" s="32">
        <f>L6*L13</f>
        <v/>
      </c>
      <c r="M12" s="32">
        <f>M6*M13</f>
        <v/>
      </c>
      <c r="N12" s="32">
        <f>N6*N13</f>
        <v/>
      </c>
      <c r="O12" s="32">
        <f>O6*O13</f>
        <v/>
      </c>
      <c r="P12" s="32">
        <f>P6*P13</f>
        <v/>
      </c>
    </row>
    <row r="13">
      <c r="A13" s="4" t="inlineStr">
        <is>
          <t xml:space="preserve">    % of revenue</t>
        </is>
      </c>
      <c r="B13" s="27">
        <f>IFERROR(B12/B6,"")</f>
        <v/>
      </c>
      <c r="C13" s="27">
        <f>IFERROR(C12/C6,"")</f>
        <v/>
      </c>
      <c r="D13" s="27">
        <f>IFERROR(D12/D6,"")</f>
        <v/>
      </c>
      <c r="E13" s="27">
        <f>IFERROR(E12/E6,"")</f>
        <v/>
      </c>
      <c r="F13" s="27">
        <f>IFERROR(F12/F6,"")</f>
        <v/>
      </c>
      <c r="G13" s="15" t="n">
        <v>0.3384500187195806</v>
      </c>
      <c r="H13" s="15" t="n">
        <v>0.3384500187195806</v>
      </c>
      <c r="I13" s="15" t="n">
        <v>0.3384500187195806</v>
      </c>
      <c r="J13" s="15" t="n">
        <v>0.3384500187195806</v>
      </c>
      <c r="K13" s="15" t="n">
        <v>0.3384500187195806</v>
      </c>
      <c r="L13" s="15" t="n">
        <v>0.3384500187195806</v>
      </c>
      <c r="M13" s="15" t="n">
        <v>0.3384500187195806</v>
      </c>
      <c r="N13" s="15" t="n">
        <v>0.3384500187195806</v>
      </c>
      <c r="O13" s="15" t="n">
        <v>0.3384500187195806</v>
      </c>
      <c r="P13" s="15" t="n">
        <v>0.3384500187195806</v>
      </c>
    </row>
    <row r="14">
      <c r="A14" s="4" t="inlineStr">
        <is>
          <t>SG&amp;A</t>
        </is>
      </c>
      <c r="B14" s="28">
        <f>SUM(Financials!I9:L9)</f>
        <v/>
      </c>
      <c r="C14" s="28">
        <f>SUM(Financials!M9:P9)</f>
        <v/>
      </c>
      <c r="D14" s="28">
        <f>SUM(Financials!Q9:T9)</f>
        <v/>
      </c>
      <c r="E14" s="28">
        <f>SUM(Financials!U9:X9)</f>
        <v/>
      </c>
      <c r="F14" s="28">
        <f>SUM(Financials!Y9:AB9)</f>
        <v/>
      </c>
      <c r="G14" s="32">
        <f>G6*G15</f>
        <v/>
      </c>
      <c r="H14" s="32">
        <f>H6*H15</f>
        <v/>
      </c>
      <c r="I14" s="32">
        <f>I6*I15</f>
        <v/>
      </c>
      <c r="J14" s="32">
        <f>J6*J15</f>
        <v/>
      </c>
      <c r="K14" s="32">
        <f>K6*K15</f>
        <v/>
      </c>
      <c r="L14" s="32">
        <f>L6*L15</f>
        <v/>
      </c>
      <c r="M14" s="32">
        <f>M6*M15</f>
        <v/>
      </c>
      <c r="N14" s="32">
        <f>N6*N15</f>
        <v/>
      </c>
      <c r="O14" s="32">
        <f>O6*O15</f>
        <v/>
      </c>
      <c r="P14" s="32">
        <f>P6*P15</f>
        <v/>
      </c>
    </row>
    <row r="15">
      <c r="A15" s="4" t="inlineStr">
        <is>
          <t xml:space="preserve">    % of revenue</t>
        </is>
      </c>
      <c r="B15" s="27">
        <f>IFERROR(B14/B6,"")</f>
        <v/>
      </c>
      <c r="C15" s="27">
        <f>IFERROR(C14/C6,"")</f>
        <v/>
      </c>
      <c r="D15" s="27">
        <f>IFERROR(D14/D6,"")</f>
        <v/>
      </c>
      <c r="E15" s="27">
        <f>IFERROR(E14/E6,"")</f>
        <v/>
      </c>
      <c r="F15" s="27">
        <f>IFERROR(F14/F6,"")</f>
        <v/>
      </c>
      <c r="G15" s="15" t="n">
        <v>0.2993260950954699</v>
      </c>
      <c r="H15" s="15" t="n">
        <v>0.2993260950954699</v>
      </c>
      <c r="I15" s="15" t="n">
        <v>0.2993260950954699</v>
      </c>
      <c r="J15" s="15" t="n">
        <v>0.2993260950954699</v>
      </c>
      <c r="K15" s="15" t="n">
        <v>0.2993260950954699</v>
      </c>
      <c r="L15" s="15" t="n">
        <v>0.2993260950954699</v>
      </c>
      <c r="M15" s="15" t="n">
        <v>0.2993260950954699</v>
      </c>
      <c r="N15" s="15" t="n">
        <v>0.2993260950954699</v>
      </c>
      <c r="O15" s="15" t="n">
        <v>0.2993260950954699</v>
      </c>
      <c r="P15" s="15" t="n">
        <v>0.2993260950954699</v>
      </c>
    </row>
    <row r="16">
      <c r="A16" s="4" t="inlineStr">
        <is>
          <t>Other opex (fulfilment, etc.)</t>
        </is>
      </c>
      <c r="B16" s="28">
        <f>B6-(B10+B12+B14)-SUM(Financials!I13:L13)</f>
        <v/>
      </c>
      <c r="C16" s="28">
        <f>C6-(C10+C12+C14)-SUM(Financials!M13:P13)</f>
        <v/>
      </c>
      <c r="D16" s="28">
        <f>D6-(D10+D12+D14)-SUM(Financials!Q13:T13)</f>
        <v/>
      </c>
      <c r="E16" s="28">
        <f>E6-(E10+E12+E14)-SUM(Financials!U13:X13)</f>
        <v/>
      </c>
      <c r="F16" s="28">
        <f>F6-(F10+F12+F14)-SUM(Financials!Y13:AB13)</f>
        <v/>
      </c>
      <c r="G16" s="28">
        <f>G6*(1-(Dashboard!$B$29+(Dashboard!$B$30-Dashboard!$B$29)*MIN(1,0/4)))-(G10+G12+G14)</f>
        <v/>
      </c>
      <c r="H16" s="28">
        <f>H6*(1-(Dashboard!$B$29+(Dashboard!$B$30-Dashboard!$B$29)*MIN(1,1/4)))-(H10+H12+H14)</f>
        <v/>
      </c>
      <c r="I16" s="28">
        <f>I6*(1-(Dashboard!$B$29+(Dashboard!$B$30-Dashboard!$B$29)*MIN(1,2/4)))-(I10+I12+I14)</f>
        <v/>
      </c>
      <c r="J16" s="28">
        <f>J6*(1-(Dashboard!$B$29+(Dashboard!$B$30-Dashboard!$B$29)*MIN(1,3/4)))-(J10+J12+J14)</f>
        <v/>
      </c>
      <c r="K16" s="28">
        <f>K6*(1-(Dashboard!$B$29+(Dashboard!$B$30-Dashboard!$B$29)*MIN(1,4/4)))-(K10+K12+K14)</f>
        <v/>
      </c>
      <c r="L16" s="28">
        <f>L6*(1-(Dashboard!$B$29+(Dashboard!$B$30-Dashboard!$B$29)*MIN(1,5/4)))-(L10+L12+L14)</f>
        <v/>
      </c>
      <c r="M16" s="28">
        <f>M6*(1-(Dashboard!$B$29+(Dashboard!$B$30-Dashboard!$B$29)*MIN(1,6/4)))-(M10+M12+M14)</f>
        <v/>
      </c>
      <c r="N16" s="28">
        <f>N6*(1-(Dashboard!$B$29+(Dashboard!$B$30-Dashboard!$B$29)*MIN(1,7/4)))-(N10+N12+N14)</f>
        <v/>
      </c>
      <c r="O16" s="28">
        <f>O6*(1-(Dashboard!$B$29+(Dashboard!$B$30-Dashboard!$B$29)*MIN(1,8/4)))-(O10+O12+O14)</f>
        <v/>
      </c>
      <c r="P16" s="28">
        <f>P6*(1-(Dashboard!$B$29+(Dashboard!$B$30-Dashboard!$B$29)*MIN(1,9/4)))-(P10+P12+P14)</f>
        <v/>
      </c>
    </row>
    <row r="17">
      <c r="A17" s="4" t="inlineStr">
        <is>
          <t xml:space="preserve">    % of revenue</t>
        </is>
      </c>
      <c r="B17" s="27">
        <f>IFERROR(B16/B6,"")</f>
        <v/>
      </c>
      <c r="C17" s="27">
        <f>IFERROR(C16/C6,"")</f>
        <v/>
      </c>
      <c r="D17" s="27">
        <f>IFERROR(D16/D6,"")</f>
        <v/>
      </c>
      <c r="E17" s="27">
        <f>IFERROR(E16/E6,"")</f>
        <v/>
      </c>
      <c r="F17" s="27">
        <f>IFERROR(F16/F6,"")</f>
        <v/>
      </c>
      <c r="G17" s="27">
        <f>IFERROR(G16/G6,"")</f>
        <v/>
      </c>
      <c r="H17" s="27">
        <f>IFERROR(H16/H6,"")</f>
        <v/>
      </c>
      <c r="I17" s="27">
        <f>IFERROR(I16/I6,"")</f>
        <v/>
      </c>
      <c r="J17" s="27">
        <f>IFERROR(J16/J6,"")</f>
        <v/>
      </c>
      <c r="K17" s="27">
        <f>IFERROR(K16/K6,"")</f>
        <v/>
      </c>
      <c r="L17" s="27">
        <f>IFERROR(L16/L6,"")</f>
        <v/>
      </c>
      <c r="M17" s="27">
        <f>IFERROR(M16/M6,"")</f>
        <v/>
      </c>
      <c r="N17" s="27">
        <f>IFERROR(N16/N6,"")</f>
        <v/>
      </c>
      <c r="O17" s="27">
        <f>IFERROR(O16/O6,"")</f>
        <v/>
      </c>
      <c r="P17" s="27">
        <f>IFERROR(P16/P6,"")</f>
        <v/>
      </c>
    </row>
    <row r="19">
      <c r="A19" s="3" t="inlineStr">
        <is>
          <t>Operating income (EBIT)</t>
        </is>
      </c>
      <c r="B19" s="33">
        <f>B6-(B10+B12+B14)-B16</f>
        <v/>
      </c>
      <c r="C19" s="33">
        <f>C6-(C10+C12+C14)-C16</f>
        <v/>
      </c>
      <c r="D19" s="33">
        <f>D6-(D10+D12+D14)-D16</f>
        <v/>
      </c>
      <c r="E19" s="33">
        <f>E6-(E10+E12+E14)-E16</f>
        <v/>
      </c>
      <c r="F19" s="33">
        <f>F6-(F10+F12+F14)-F16</f>
        <v/>
      </c>
      <c r="G19" s="33">
        <f>G6-(G10+G12+G14)-G16</f>
        <v/>
      </c>
      <c r="H19" s="33">
        <f>H6-(H10+H12+H14)-H16</f>
        <v/>
      </c>
      <c r="I19" s="33">
        <f>I6-(I10+I12+I14)-I16</f>
        <v/>
      </c>
      <c r="J19" s="33">
        <f>J6-(J10+J12+J14)-J16</f>
        <v/>
      </c>
      <c r="K19" s="33">
        <f>K6-(K10+K12+K14)-K16</f>
        <v/>
      </c>
      <c r="L19" s="33">
        <f>L6-(L10+L12+L14)-L16</f>
        <v/>
      </c>
      <c r="M19" s="33">
        <f>M6-(M10+M12+M14)-M16</f>
        <v/>
      </c>
      <c r="N19" s="33">
        <f>N6-(N10+N12+N14)-N16</f>
        <v/>
      </c>
      <c r="O19" s="33">
        <f>O6-(O10+O12+O14)-O16</f>
        <v/>
      </c>
      <c r="P19" s="33">
        <f>P6-(P10+P12+P14)-P16</f>
        <v/>
      </c>
    </row>
    <row r="20">
      <c r="A20" s="4" t="inlineStr">
        <is>
          <t xml:space="preserve">    operating margin</t>
        </is>
      </c>
      <c r="B20" s="27">
        <f>IFERROR(B19/B6,"")</f>
        <v/>
      </c>
      <c r="C20" s="27">
        <f>IFERROR(C19/C6,"")</f>
        <v/>
      </c>
      <c r="D20" s="27">
        <f>IFERROR(D19/D6,"")</f>
        <v/>
      </c>
      <c r="E20" s="27">
        <f>IFERROR(E19/E6,"")</f>
        <v/>
      </c>
      <c r="F20" s="27">
        <f>IFERROR(F19/F6,"")</f>
        <v/>
      </c>
      <c r="G20" s="27">
        <f>IFERROR(G19/G6,"")</f>
        <v/>
      </c>
      <c r="H20" s="27">
        <f>IFERROR(H19/H6,"")</f>
        <v/>
      </c>
      <c r="I20" s="27">
        <f>IFERROR(I19/I6,"")</f>
        <v/>
      </c>
      <c r="J20" s="27">
        <f>IFERROR(J19/J6,"")</f>
        <v/>
      </c>
      <c r="K20" s="27">
        <f>IFERROR(K19/K6,"")</f>
        <v/>
      </c>
      <c r="L20" s="27">
        <f>IFERROR(L19/L6,"")</f>
        <v/>
      </c>
      <c r="M20" s="27">
        <f>IFERROR(M19/M6,"")</f>
        <v/>
      </c>
      <c r="N20" s="27">
        <f>IFERROR(N19/N6,"")</f>
        <v/>
      </c>
      <c r="O20" s="27">
        <f>IFERROR(O19/O6,"")</f>
        <v/>
      </c>
      <c r="P20" s="27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28">
        <f>B19*(1-Valuation!$B$5)</f>
        <v/>
      </c>
      <c r="C23" s="28">
        <f>C19*(1-Valuation!$B$5)</f>
        <v/>
      </c>
      <c r="D23" s="28">
        <f>D19*(1-Valuation!$B$5)</f>
        <v/>
      </c>
      <c r="E23" s="28">
        <f>E19*(1-Valuation!$B$5)</f>
        <v/>
      </c>
      <c r="F23" s="28">
        <f>F19*(1-Valuation!$B$5)</f>
        <v/>
      </c>
      <c r="G23" s="28">
        <f>G19*(1-Valuation!$B$5)</f>
        <v/>
      </c>
      <c r="H23" s="28">
        <f>H19*(1-Valuation!$B$5)</f>
        <v/>
      </c>
      <c r="I23" s="28">
        <f>I19*(1-Valuation!$B$5)</f>
        <v/>
      </c>
      <c r="J23" s="28">
        <f>J19*(1-Valuation!$B$5)</f>
        <v/>
      </c>
      <c r="K23" s="28">
        <f>K19*(1-Valuation!$B$5)</f>
        <v/>
      </c>
      <c r="L23" s="28">
        <f>L19*(1-Valuation!$B$5)</f>
        <v/>
      </c>
      <c r="M23" s="28">
        <f>M19*(1-Valuation!$B$5)</f>
        <v/>
      </c>
      <c r="N23" s="28">
        <f>N19*(1-Valuation!$B$5)</f>
        <v/>
      </c>
      <c r="O23" s="28">
        <f>O19*(1-Valuation!$B$5)</f>
        <v/>
      </c>
      <c r="P23" s="28">
        <f>P19*(1-Valuation!$B$5)</f>
        <v/>
      </c>
    </row>
    <row r="24">
      <c r="A24" s="4" t="inlineStr">
        <is>
          <t>+ D&amp;A</t>
        </is>
      </c>
      <c r="B24" s="28">
        <f>SUM(Financials!I27:L27)</f>
        <v/>
      </c>
      <c r="C24" s="28">
        <f>SUM(Financials!M27:P27)</f>
        <v/>
      </c>
      <c r="D24" s="28">
        <f>SUM(Financials!Q27:T27)</f>
        <v/>
      </c>
      <c r="E24" s="28">
        <f>SUM(Financials!U27:X27)</f>
        <v/>
      </c>
      <c r="F24" s="28">
        <f>SUM(Financials!Y27:AB27)</f>
        <v/>
      </c>
      <c r="G24" s="32">
        <f>G6*0.8366</f>
        <v/>
      </c>
      <c r="H24" s="32">
        <f>H6*0.8366</f>
        <v/>
      </c>
      <c r="I24" s="32">
        <f>I6*0.8366</f>
        <v/>
      </c>
      <c r="J24" s="32">
        <f>J6*0.8366</f>
        <v/>
      </c>
      <c r="K24" s="32">
        <f>K6*0.8366</f>
        <v/>
      </c>
      <c r="L24" s="32">
        <f>L6*0.8366</f>
        <v/>
      </c>
      <c r="M24" s="32">
        <f>M6*0.8366</f>
        <v/>
      </c>
      <c r="N24" s="32">
        <f>N6*0.8366</f>
        <v/>
      </c>
      <c r="O24" s="32">
        <f>O6*0.8366</f>
        <v/>
      </c>
      <c r="P24" s="32">
        <f>P6*0.8366</f>
        <v/>
      </c>
    </row>
    <row r="25">
      <c r="A25" s="4" t="inlineStr">
        <is>
          <t>+ SBC (non-cash)</t>
        </is>
      </c>
      <c r="B25" s="28">
        <f>SUM(Financials!I28:L28)</f>
        <v/>
      </c>
      <c r="C25" s="28">
        <f>SUM(Financials!M28:P28)</f>
        <v/>
      </c>
      <c r="D25" s="28">
        <f>SUM(Financials!Q28:T28)</f>
        <v/>
      </c>
      <c r="E25" s="28">
        <f>SUM(Financials!U28:X28)</f>
        <v/>
      </c>
      <c r="F25" s="28">
        <f>SUM(Financials!Y28:AB28)</f>
        <v/>
      </c>
      <c r="G25" s="32">
        <f>G6*0.1443</f>
        <v/>
      </c>
      <c r="H25" s="32">
        <f>H6*0.1379</f>
        <v/>
      </c>
      <c r="I25" s="32">
        <f>I6*0.1315</f>
        <v/>
      </c>
      <c r="J25" s="32">
        <f>J6*0.1251</f>
        <v/>
      </c>
      <c r="K25" s="32">
        <f>K6*0.1187</f>
        <v/>
      </c>
      <c r="L25" s="32">
        <f>L6*0.1123</f>
        <v/>
      </c>
      <c r="M25" s="32">
        <f>M6*0.1058</f>
        <v/>
      </c>
      <c r="N25" s="32">
        <f>N6*0.0994</f>
        <v/>
      </c>
      <c r="O25" s="32">
        <f>O6*0.0930</f>
        <v/>
      </c>
      <c r="P25" s="32">
        <f>P6*0.0866</f>
        <v/>
      </c>
    </row>
    <row r="26">
      <c r="A26" s="4" t="inlineStr">
        <is>
          <t>- dNWC</t>
        </is>
      </c>
      <c r="G26" s="32">
        <f>(G6-F6)*0.0050</f>
        <v/>
      </c>
      <c r="H26" s="32">
        <f>(H6-G6)*0.0050</f>
        <v/>
      </c>
      <c r="I26" s="32">
        <f>(I6-H6)*0.0050</f>
        <v/>
      </c>
      <c r="J26" s="32">
        <f>(J6-I6)*0.0050</f>
        <v/>
      </c>
      <c r="K26" s="32">
        <f>(K6-J6)*0.0050</f>
        <v/>
      </c>
      <c r="L26" s="32">
        <f>(L6-K6)*0.0050</f>
        <v/>
      </c>
      <c r="M26" s="32">
        <f>(M6-L6)*0.0050</f>
        <v/>
      </c>
      <c r="N26" s="32">
        <f>(N6-M6)*0.0050</f>
        <v/>
      </c>
      <c r="O26" s="32">
        <f>(O6-N6)*0.0050</f>
        <v/>
      </c>
      <c r="P26" s="32">
        <f>(P6-O6)*0.0050</f>
        <v/>
      </c>
    </row>
    <row r="27">
      <c r="A27" s="4" t="inlineStr">
        <is>
          <t>- Capex</t>
        </is>
      </c>
      <c r="B27" s="28">
        <f>-SUM(Financials!I31:L31)</f>
        <v/>
      </c>
      <c r="C27" s="28">
        <f>-SUM(Financials!M31:P31)</f>
        <v/>
      </c>
      <c r="D27" s="28">
        <f>-SUM(Financials!Q31:T31)</f>
        <v/>
      </c>
      <c r="E27" s="28">
        <f>-SUM(Financials!U31:X31)</f>
        <v/>
      </c>
      <c r="F27" s="28">
        <f>-SUM(Financials!Y31:AB31)</f>
        <v/>
      </c>
      <c r="G27" s="32">
        <f>G24*G28</f>
        <v/>
      </c>
      <c r="H27" s="32">
        <f>H24*H28</f>
        <v/>
      </c>
      <c r="I27" s="32">
        <f>I24*I28</f>
        <v/>
      </c>
      <c r="J27" s="32">
        <f>J24*J28</f>
        <v/>
      </c>
      <c r="K27" s="32">
        <f>K24*K28</f>
        <v/>
      </c>
      <c r="L27" s="32">
        <f>L24*L28</f>
        <v/>
      </c>
      <c r="M27" s="32">
        <f>M24*M28</f>
        <v/>
      </c>
      <c r="N27" s="32">
        <f>N24*N28</f>
        <v/>
      </c>
      <c r="O27" s="32">
        <f>O24*O28</f>
        <v/>
      </c>
      <c r="P27" s="32">
        <f>P24*P28</f>
        <v/>
      </c>
    </row>
    <row r="28">
      <c r="A28" s="4" t="inlineStr">
        <is>
          <t xml:space="preserve">    Capex / D&amp;A  (from Dashboard: $cap'26 -&gt; terminal)</t>
        </is>
      </c>
      <c r="B28" s="34">
        <f>IFERROR(B27/B24,"")</f>
        <v/>
      </c>
      <c r="C28" s="34">
        <f>IFERROR(C27/C24,"")</f>
        <v/>
      </c>
      <c r="D28" s="34">
        <f>IFERROR(D27/D24,"")</f>
        <v/>
      </c>
      <c r="E28" s="34">
        <f>IFERROR(E27/E24,"")</f>
        <v/>
      </c>
      <c r="F28" s="34">
        <f>IFERROR(F27/F24,"")</f>
        <v/>
      </c>
      <c r="G28" s="13">
        <f>(Dashboard!$B$34/G24)+(Dashboard!$B$35-(Dashboard!$B$34/G24))*0/9</f>
        <v/>
      </c>
      <c r="H28" s="13">
        <f>(Dashboard!$B$34/G24)+(Dashboard!$B$35-(Dashboard!$B$34/G24))*1/9</f>
        <v/>
      </c>
      <c r="I28" s="13">
        <f>(Dashboard!$B$34/G24)+(Dashboard!$B$35-(Dashboard!$B$34/G24))*2/9</f>
        <v/>
      </c>
      <c r="J28" s="13">
        <f>(Dashboard!$B$34/G24)+(Dashboard!$B$35-(Dashboard!$B$34/G24))*3/9</f>
        <v/>
      </c>
      <c r="K28" s="13">
        <f>(Dashboard!$B$34/G24)+(Dashboard!$B$35-(Dashboard!$B$34/G24))*4/9</f>
        <v/>
      </c>
      <c r="L28" s="13">
        <f>(Dashboard!$B$34/G24)+(Dashboard!$B$35-(Dashboard!$B$34/G24))*5/9</f>
        <v/>
      </c>
      <c r="M28" s="13">
        <f>(Dashboard!$B$34/G24)+(Dashboard!$B$35-(Dashboard!$B$34/G24))*6/9</f>
        <v/>
      </c>
      <c r="N28" s="13">
        <f>(Dashboard!$B$34/G24)+(Dashboard!$B$35-(Dashboard!$B$34/G24))*7/9</f>
        <v/>
      </c>
      <c r="O28" s="13">
        <f>(Dashboard!$B$34/G24)+(Dashboard!$B$35-(Dashboard!$B$34/G24))*8/9</f>
        <v/>
      </c>
      <c r="P28" s="13">
        <f>(Dashboard!$B$34/G24)+(Dashboard!$B$35-(Dashboard!$B$34/G24))*9/9</f>
        <v/>
      </c>
    </row>
    <row r="30">
      <c r="A30" s="3" t="inlineStr">
        <is>
          <t>FCFF (firm)</t>
        </is>
      </c>
      <c r="B30" s="33">
        <f>B23+B24+B25-B26-B27</f>
        <v/>
      </c>
      <c r="C30" s="33">
        <f>C23+C24+C25-C26-C27</f>
        <v/>
      </c>
      <c r="D30" s="33">
        <f>D23+D24+D25-D26-D27</f>
        <v/>
      </c>
      <c r="E30" s="33">
        <f>E23+E24+E25-E26-E27</f>
        <v/>
      </c>
      <c r="F30" s="33">
        <f>F23+F24+F25-F26-F27</f>
        <v/>
      </c>
      <c r="G30" s="33">
        <f>G23+G24+G25-G26-G27</f>
        <v/>
      </c>
      <c r="H30" s="33">
        <f>H23+H24+H25-H26-H27</f>
        <v/>
      </c>
      <c r="I30" s="33">
        <f>I23+I24+I25-I26-I27</f>
        <v/>
      </c>
      <c r="J30" s="33">
        <f>J23+J24+J25-J26-J27</f>
        <v/>
      </c>
      <c r="K30" s="33">
        <f>K23+K24+K25-K26-K27</f>
        <v/>
      </c>
      <c r="L30" s="33">
        <f>L23+L24+L25-L26-L27</f>
        <v/>
      </c>
      <c r="M30" s="33">
        <f>M23+M24+M25-M26-M27</f>
        <v/>
      </c>
      <c r="N30" s="33">
        <f>N23+N24+N25-N26-N27</f>
        <v/>
      </c>
      <c r="O30" s="33">
        <f>O23+O24+O25-O26-O27</f>
        <v/>
      </c>
      <c r="P30" s="33">
        <f>P23+P24+P25-P26-P27</f>
        <v/>
      </c>
    </row>
    <row r="31">
      <c r="A31" s="3" t="inlineStr">
        <is>
          <t>Valuation FCF (FCFF - SBC)</t>
        </is>
      </c>
      <c r="B31" s="33">
        <f>B30-B25</f>
        <v/>
      </c>
      <c r="C31" s="33">
        <f>C30-C25</f>
        <v/>
      </c>
      <c r="D31" s="33">
        <f>D30-D25</f>
        <v/>
      </c>
      <c r="E31" s="33">
        <f>E30-E25</f>
        <v/>
      </c>
      <c r="F31" s="33">
        <f>F30-F25</f>
        <v/>
      </c>
      <c r="G31" s="33">
        <f>G30-G25</f>
        <v/>
      </c>
      <c r="H31" s="33">
        <f>H30-H25</f>
        <v/>
      </c>
      <c r="I31" s="33">
        <f>I30-I25</f>
        <v/>
      </c>
      <c r="J31" s="33">
        <f>J30-J25</f>
        <v/>
      </c>
      <c r="K31" s="33">
        <f>K30-K25</f>
        <v/>
      </c>
      <c r="L31" s="33">
        <f>L30-L25</f>
        <v/>
      </c>
      <c r="M31" s="33">
        <f>M30-M25</f>
        <v/>
      </c>
      <c r="N31" s="33">
        <f>N30-N25</f>
        <v/>
      </c>
      <c r="O31" s="33">
        <f>O30-O25</f>
        <v/>
      </c>
      <c r="P31" s="33">
        <f>P30-P25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28">
        <f>Financials!L25+Financials!L24-Financials!L19</f>
        <v/>
      </c>
      <c r="C34" s="28">
        <f>Financials!P25+Financials!P24-Financials!P19</f>
        <v/>
      </c>
      <c r="D34" s="28">
        <f>Financials!T25+Financials!T24-Financials!T19</f>
        <v/>
      </c>
      <c r="E34" s="28">
        <f>Financials!X25+Financials!X24-Financials!X19</f>
        <v/>
      </c>
      <c r="F34" s="28">
        <f>Financials!AB25+Financials!AB24-Financials!AB19</f>
        <v/>
      </c>
      <c r="G34" s="32">
        <f>F34+G27-G24+G26</f>
        <v/>
      </c>
      <c r="H34" s="32">
        <f>G34+H27-H24+H26</f>
        <v/>
      </c>
      <c r="I34" s="32">
        <f>H34+I27-I24+I26</f>
        <v/>
      </c>
      <c r="J34" s="32">
        <f>I34+J27-J24+J26</f>
        <v/>
      </c>
      <c r="K34" s="32">
        <f>J34+K27-K24+K26</f>
        <v/>
      </c>
      <c r="L34" s="32">
        <f>K34+L27-L24+L26</f>
        <v/>
      </c>
      <c r="M34" s="32">
        <f>L34+M27-M24+M26</f>
        <v/>
      </c>
      <c r="N34" s="32">
        <f>M34+N27-N24+N26</f>
        <v/>
      </c>
      <c r="O34" s="32">
        <f>N34+O27-O24+O26</f>
        <v/>
      </c>
      <c r="P34" s="32">
        <f>O34+P27-P24+P26</f>
        <v/>
      </c>
    </row>
    <row r="35">
      <c r="A35" s="4" t="inlineStr">
        <is>
          <t>Book equity (year-end)</t>
        </is>
      </c>
      <c r="B35" s="28">
        <f>Financials!L25</f>
        <v/>
      </c>
      <c r="C35" s="28">
        <f>Financials!P25</f>
        <v/>
      </c>
      <c r="D35" s="28">
        <f>Financials!T25</f>
        <v/>
      </c>
      <c r="E35" s="28">
        <f>Financials!X25</f>
        <v/>
      </c>
      <c r="F35" s="28">
        <f>Financials!AB25</f>
        <v/>
      </c>
      <c r="G35" s="32">
        <f>F35+G23</f>
        <v/>
      </c>
      <c r="H35" s="32">
        <f>G35+H23</f>
        <v/>
      </c>
      <c r="I35" s="32">
        <f>H35+I23</f>
        <v/>
      </c>
      <c r="J35" s="32">
        <f>I35+J23</f>
        <v/>
      </c>
      <c r="K35" s="32">
        <f>J35+K23</f>
        <v/>
      </c>
      <c r="L35" s="32">
        <f>K35+L23</f>
        <v/>
      </c>
      <c r="M35" s="32">
        <f>L35+M23</f>
        <v/>
      </c>
      <c r="N35" s="32">
        <f>M35+N23</f>
        <v/>
      </c>
      <c r="O35" s="32">
        <f>N35+O23</f>
        <v/>
      </c>
      <c r="P35" s="32">
        <f>O35+P23</f>
        <v/>
      </c>
    </row>
    <row r="36">
      <c r="A36" s="3" t="inlineStr">
        <is>
          <t xml:space="preserve">  ROIC (NOPAT / beg. invested capital)</t>
        </is>
      </c>
      <c r="C36" s="27">
        <f>IFERROR(C23/B34,"")</f>
        <v/>
      </c>
      <c r="D36" s="27">
        <f>IFERROR(D23/C34,"")</f>
        <v/>
      </c>
      <c r="E36" s="27">
        <f>IFERROR(E23/D34,"")</f>
        <v/>
      </c>
      <c r="F36" s="27">
        <f>IFERROR(F23/E34,"")</f>
        <v/>
      </c>
      <c r="G36" s="27">
        <f>IFERROR(G23/F34,"")</f>
        <v/>
      </c>
      <c r="H36" s="27">
        <f>IFERROR(H23/G34,"")</f>
        <v/>
      </c>
      <c r="I36" s="27">
        <f>IFERROR(I23/H34,"")</f>
        <v/>
      </c>
      <c r="J36" s="27">
        <f>IFERROR(J23/I34,"")</f>
        <v/>
      </c>
      <c r="K36" s="27">
        <f>IFERROR(K23/J34,"")</f>
        <v/>
      </c>
      <c r="L36" s="27">
        <f>IFERROR(L23/K34,"")</f>
        <v/>
      </c>
      <c r="M36" s="27">
        <f>IFERROR(M23/L34,"")</f>
        <v/>
      </c>
      <c r="N36" s="27">
        <f>IFERROR(N23/M34,"")</f>
        <v/>
      </c>
      <c r="O36" s="27">
        <f>IFERROR(O23/N34,"")</f>
        <v/>
      </c>
      <c r="P36" s="27">
        <f>IFERROR(P23/O34,"")</f>
        <v/>
      </c>
    </row>
    <row r="37">
      <c r="A37" s="3" t="inlineStr">
        <is>
          <t xml:space="preserve">  ROE (earnings / beg. equity)</t>
        </is>
      </c>
      <c r="C37" s="11">
        <f>IFERROR(SUM(Financials!M15:P15)/B35,"")</f>
        <v/>
      </c>
      <c r="D37" s="11">
        <f>IFERROR(SUM(Financials!Q15:T15)/C35,"")</f>
        <v/>
      </c>
      <c r="E37" s="11">
        <f>IFERROR(SUM(Financials!U15:X15)/D35,"")</f>
        <v/>
      </c>
      <c r="F37" s="11">
        <f>IFERROR(SUM(Financials!Y15:AB15)/E35,"")</f>
        <v/>
      </c>
      <c r="G37" s="27">
        <f>IFERROR(G23/F35,"")</f>
        <v/>
      </c>
      <c r="H37" s="27">
        <f>IFERROR(H23/G35,"")</f>
        <v/>
      </c>
      <c r="I37" s="27">
        <f>IFERROR(I23/H35,"")</f>
        <v/>
      </c>
      <c r="J37" s="27">
        <f>IFERROR(J23/I35,"")</f>
        <v/>
      </c>
      <c r="K37" s="27">
        <f>IFERROR(K23/J35,"")</f>
        <v/>
      </c>
      <c r="L37" s="27">
        <f>IFERROR(L23/K35,"")</f>
        <v/>
      </c>
      <c r="M37" s="27">
        <f>IFERROR(M23/L35,"")</f>
        <v/>
      </c>
      <c r="N37" s="27">
        <f>IFERROR(N23/M35,"")</f>
        <v/>
      </c>
      <c r="O37" s="27">
        <f>IFERROR(O23/N35,"")</f>
        <v/>
      </c>
      <c r="P37" s="27">
        <f>IFERROR(P23/O35,"")</f>
        <v/>
      </c>
    </row>
    <row r="38">
      <c r="A38" s="4" t="inlineStr">
        <is>
          <t xml:space="preserve">  ROIC - WACC spread (value created)</t>
        </is>
      </c>
      <c r="C38" s="11">
        <f>IFERROR(C36-WACC!$B$14,"")</f>
        <v/>
      </c>
      <c r="D38" s="11">
        <f>IFERROR(D36-WACC!$B$14,"")</f>
        <v/>
      </c>
      <c r="E38" s="11">
        <f>IFERROR(E36-WACC!$B$14,"")</f>
        <v/>
      </c>
      <c r="F38" s="11">
        <f>IFERROR(F36-WACC!$B$14,"")</f>
        <v/>
      </c>
      <c r="G38" s="11">
        <f>IFERROR(G36-WACC!$B$14,"")</f>
        <v/>
      </c>
      <c r="H38" s="11">
        <f>IFERROR(H36-WACC!$B$14,"")</f>
        <v/>
      </c>
      <c r="I38" s="11">
        <f>IFERROR(I36-WACC!$B$14,"")</f>
        <v/>
      </c>
      <c r="J38" s="11">
        <f>IFERROR(J36-WACC!$B$14,"")</f>
        <v/>
      </c>
      <c r="K38" s="11">
        <f>IFERROR(K36-WACC!$B$14,"")</f>
        <v/>
      </c>
      <c r="L38" s="11">
        <f>IFERROR(L36-WACC!$B$14,"")</f>
        <v/>
      </c>
      <c r="M38" s="11">
        <f>IFERROR(M36-WACC!$B$14,"")</f>
        <v/>
      </c>
      <c r="N38" s="11">
        <f>IFERROR(N36-WACC!$B$14,"")</f>
        <v/>
      </c>
      <c r="O38" s="11">
        <f>IFERROR(O36-WACC!$B$14,"")</f>
        <v/>
      </c>
      <c r="P38" s="11">
        <f>IFERROR(P36-WACC!$B$14,"")</f>
        <v/>
      </c>
    </row>
    <row r="39">
      <c r="A39" s="4" t="inlineStr">
        <is>
          <t xml:space="preserve">  Incremental op margin (ΔEBIT / ΔRev)</t>
        </is>
      </c>
      <c r="C39" s="27">
        <f>IFERROR((C19-B19)/(C6-B6),"")</f>
        <v/>
      </c>
      <c r="D39" s="27">
        <f>IFERROR((D19-C19)/(D6-C6),"")</f>
        <v/>
      </c>
      <c r="E39" s="27">
        <f>IFERROR((E19-D19)/(E6-D6),"")</f>
        <v/>
      </c>
      <c r="F39" s="27">
        <f>IFERROR((F19-E19)/(F6-E6),"")</f>
        <v/>
      </c>
      <c r="G39" s="27">
        <f>IFERROR((G19-F19)/(G6-F6),"")</f>
        <v/>
      </c>
      <c r="H39" s="27">
        <f>IFERROR((H19-G19)/(H6-G6),"")</f>
        <v/>
      </c>
      <c r="I39" s="27">
        <f>IFERROR((I19-H19)/(I6-H6),"")</f>
        <v/>
      </c>
      <c r="J39" s="27">
        <f>IFERROR((J19-I19)/(J6-I6),"")</f>
        <v/>
      </c>
      <c r="K39" s="27">
        <f>IFERROR((K19-J19)/(K6-J6),"")</f>
        <v/>
      </c>
      <c r="L39" s="27">
        <f>IFERROR((L19-K19)/(L6-K6),"")</f>
        <v/>
      </c>
      <c r="M39" s="27">
        <f>IFERROR((M19-L19)/(M6-L6),"")</f>
        <v/>
      </c>
      <c r="N39" s="27">
        <f>IFERROR((N19-M19)/(N6-M6),"")</f>
        <v/>
      </c>
      <c r="O39" s="27">
        <f>IFERROR((O19-N19)/(O6-N6),"")</f>
        <v/>
      </c>
      <c r="P39" s="27">
        <f>IFERROR((P19-O19)/(P6-O6),"")</f>
        <v/>
      </c>
    </row>
    <row r="40">
      <c r="A40" s="3" t="inlineStr">
        <is>
          <t xml:space="preserve">  ROIIC (ΔNOPAT / ΔInvested capital)</t>
        </is>
      </c>
      <c r="C40" s="27">
        <f>IFERROR((C23-B23)/(C34-B34),"")</f>
        <v/>
      </c>
      <c r="D40" s="27">
        <f>IFERROR((D23-C23)/(D34-C34),"")</f>
        <v/>
      </c>
      <c r="E40" s="27">
        <f>IFERROR((E23-D23)/(E34-D34),"")</f>
        <v/>
      </c>
      <c r="F40" s="27">
        <f>IFERROR((F23-E23)/(F34-E34),"")</f>
        <v/>
      </c>
      <c r="G40" s="27">
        <f>IFERROR((G23-F23)/(G34-F34),"")</f>
        <v/>
      </c>
      <c r="H40" s="27">
        <f>IFERROR((H23-G23)/(H34-G34),"")</f>
        <v/>
      </c>
      <c r="I40" s="27">
        <f>IFERROR((I23-H23)/(I34-H34),"")</f>
        <v/>
      </c>
      <c r="J40" s="27">
        <f>IFERROR((J23-I23)/(J34-I34),"")</f>
        <v/>
      </c>
      <c r="K40" s="27">
        <f>IFERROR((K23-J23)/(K34-J34),"")</f>
        <v/>
      </c>
      <c r="L40" s="27">
        <f>IFERROR((L23-K23)/(L34-K34),"")</f>
        <v/>
      </c>
      <c r="M40" s="27">
        <f>IFERROR((M23-L23)/(M34-L34),"")</f>
        <v/>
      </c>
      <c r="N40" s="27">
        <f>IFERROR((N23-M23)/(N34-M34),"")</f>
        <v/>
      </c>
      <c r="O40" s="27">
        <f>IFERROR((O23-N23)/(O34-N34),"")</f>
        <v/>
      </c>
      <c r="P40" s="27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35">
        <f>IFERROR((C6-B6)/(C34-B34),"")</f>
        <v/>
      </c>
      <c r="D41" s="35">
        <f>IFERROR((D6-C6)/(D34-C34),"")</f>
        <v/>
      </c>
      <c r="E41" s="35">
        <f>IFERROR((E6-D6)/(E34-D34),"")</f>
        <v/>
      </c>
      <c r="F41" s="35">
        <f>IFERROR((F6-E6)/(F34-E34),"")</f>
        <v/>
      </c>
      <c r="G41" s="35">
        <f>IFERROR((G6-F6)/(G34-F34),"")</f>
        <v/>
      </c>
      <c r="H41" s="35">
        <f>IFERROR((H6-G6)/(H34-G34),"")</f>
        <v/>
      </c>
      <c r="I41" s="35">
        <f>IFERROR((I6-H6)/(I34-H34),"")</f>
        <v/>
      </c>
      <c r="J41" s="35">
        <f>IFERROR((J6-I6)/(J34-I34),"")</f>
        <v/>
      </c>
      <c r="K41" s="35">
        <f>IFERROR((K6-J6)/(K34-J34),"")</f>
        <v/>
      </c>
      <c r="L41" s="35">
        <f>IFERROR((L6-K6)/(L34-K34),"")</f>
        <v/>
      </c>
      <c r="M41" s="35">
        <f>IFERROR((M6-L6)/(M34-L34),"")</f>
        <v/>
      </c>
      <c r="N41" s="35">
        <f>IFERROR((N6-M6)/(N34-M34),"")</f>
        <v/>
      </c>
      <c r="O41" s="35">
        <f>IFERROR((O6-N6)/(O34-N34),"")</f>
        <v/>
      </c>
      <c r="P41" s="35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27">
        <f>IFERROR((C34-B34)/C23,"")</f>
        <v/>
      </c>
      <c r="D42" s="27">
        <f>IFERROR((D34-C34)/D23,"")</f>
        <v/>
      </c>
      <c r="E42" s="27">
        <f>IFERROR((E34-D34)/E23,"")</f>
        <v/>
      </c>
      <c r="F42" s="27">
        <f>IFERROR((F34-E34)/F23,"")</f>
        <v/>
      </c>
      <c r="G42" s="27">
        <f>IFERROR((G34-F34)/G23,"")</f>
        <v/>
      </c>
      <c r="H42" s="27">
        <f>IFERROR((H34-G34)/H23,"")</f>
        <v/>
      </c>
      <c r="I42" s="27">
        <f>IFERROR((I34-H34)/I23,"")</f>
        <v/>
      </c>
      <c r="J42" s="27">
        <f>IFERROR((J34-I34)/J23,"")</f>
        <v/>
      </c>
      <c r="K42" s="27">
        <f>IFERROR((K34-J34)/K23,"")</f>
        <v/>
      </c>
      <c r="L42" s="27">
        <f>IFERROR((L34-K34)/L23,"")</f>
        <v/>
      </c>
      <c r="M42" s="27">
        <f>IFERROR((M34-L34)/M23,"")</f>
        <v/>
      </c>
      <c r="N42" s="27">
        <f>IFERROR((N34-M34)/N23,"")</f>
        <v/>
      </c>
      <c r="O42" s="27">
        <f>IFERROR((O34-N34)/O23,"")</f>
        <v/>
      </c>
      <c r="P42" s="27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3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36" t="inlineStr">
        <is>
          <t>Q2 2019</t>
        </is>
      </c>
      <c r="C1" s="36" t="inlineStr">
        <is>
          <t>Q3 2019</t>
        </is>
      </c>
      <c r="D1" s="36" t="inlineStr">
        <is>
          <t>Q4 2019</t>
        </is>
      </c>
      <c r="E1" s="36" t="inlineStr">
        <is>
          <t>Q1 2020</t>
        </is>
      </c>
      <c r="F1" s="36" t="inlineStr">
        <is>
          <t>Q2 2020</t>
        </is>
      </c>
      <c r="G1" s="36" t="inlineStr">
        <is>
          <t>Q3 2020</t>
        </is>
      </c>
      <c r="H1" s="36" t="inlineStr">
        <is>
          <t>Q4 2020</t>
        </is>
      </c>
      <c r="I1" s="36" t="inlineStr">
        <is>
          <t>Q1 2021</t>
        </is>
      </c>
      <c r="J1" s="36" t="inlineStr">
        <is>
          <t>Q2 2021</t>
        </is>
      </c>
      <c r="K1" s="36" t="inlineStr">
        <is>
          <t>Q3 2021</t>
        </is>
      </c>
      <c r="L1" s="36" t="inlineStr">
        <is>
          <t>Q4 2021</t>
        </is>
      </c>
      <c r="M1" s="36" t="inlineStr">
        <is>
          <t>Q1 2022</t>
        </is>
      </c>
      <c r="N1" s="36" t="inlineStr">
        <is>
          <t>Q2 2022</t>
        </is>
      </c>
      <c r="O1" s="36" t="inlineStr">
        <is>
          <t>Q3 2022</t>
        </is>
      </c>
      <c r="P1" s="36" t="inlineStr">
        <is>
          <t>Q4 2022</t>
        </is>
      </c>
      <c r="Q1" s="36" t="inlineStr">
        <is>
          <t>Q1 2023</t>
        </is>
      </c>
      <c r="R1" s="36" t="inlineStr">
        <is>
          <t>Q2 2023</t>
        </is>
      </c>
      <c r="S1" s="36" t="inlineStr">
        <is>
          <t>Q3 2023</t>
        </is>
      </c>
      <c r="T1" s="36" t="inlineStr">
        <is>
          <t>Q4 2023</t>
        </is>
      </c>
      <c r="U1" s="36" t="inlineStr">
        <is>
          <t>Q1 2024</t>
        </is>
      </c>
      <c r="V1" s="36" t="inlineStr">
        <is>
          <t>Q2 2024</t>
        </is>
      </c>
      <c r="W1" s="36" t="inlineStr">
        <is>
          <t>Q3 2024</t>
        </is>
      </c>
      <c r="X1" s="36" t="inlineStr">
        <is>
          <t>Q4 2024</t>
        </is>
      </c>
      <c r="Y1" s="36" t="inlineStr">
        <is>
          <t>Q1 2025</t>
        </is>
      </c>
      <c r="Z1" s="36" t="inlineStr">
        <is>
          <t>Q2 2025</t>
        </is>
      </c>
      <c r="AA1" s="36" t="inlineStr">
        <is>
          <t>Q3 2025</t>
        </is>
      </c>
      <c r="AB1" s="36" t="inlineStr">
        <is>
          <t>Q4 2025</t>
        </is>
      </c>
      <c r="AC1" s="3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654.869719</v>
      </c>
      <c r="C3" s="18" t="n">
        <v>694.172003</v>
      </c>
      <c r="D3" s="18" t="n">
        <v>832.872829</v>
      </c>
      <c r="E3" s="18" t="n">
        <v>598.354248</v>
      </c>
      <c r="F3" s="18" t="n">
        <v>581.796365</v>
      </c>
      <c r="G3" s="18" t="n">
        <v>750.702638</v>
      </c>
      <c r="H3" s="18" t="n">
        <v>966.203982</v>
      </c>
      <c r="I3" s="18" t="n">
        <v>967.278181</v>
      </c>
      <c r="J3" s="18" t="n">
        <v>1113.188223</v>
      </c>
      <c r="K3" s="18" t="n">
        <v>1254.106871</v>
      </c>
      <c r="L3" s="18" t="n">
        <v>1474.186892</v>
      </c>
      <c r="M3" s="18" t="n">
        <v>1303.100966</v>
      </c>
      <c r="N3" s="18" t="n">
        <v>2161.298969</v>
      </c>
      <c r="O3" s="18" t="n">
        <v>2212.013644</v>
      </c>
      <c r="P3" s="18" t="n">
        <v>2238.074346</v>
      </c>
      <c r="Q3" s="18" t="n">
        <v>5.124114</v>
      </c>
      <c r="R3" s="18" t="n">
        <v>4.7</v>
      </c>
      <c r="S3" s="18" t="n">
        <v>5</v>
      </c>
      <c r="T3" s="18" t="n">
        <v>6.7</v>
      </c>
      <c r="U3" s="18" t="n">
        <v>11.297297</v>
      </c>
      <c r="V3" s="18" t="n">
        <v>12.08427</v>
      </c>
      <c r="W3" s="18" t="n">
        <v>43.3</v>
      </c>
      <c r="X3" s="18" t="n">
        <v>37.9</v>
      </c>
      <c r="Y3" s="18" t="n">
        <v>55.3</v>
      </c>
      <c r="Z3" s="18" t="n">
        <v>105.1</v>
      </c>
      <c r="AA3" s="18" t="n">
        <v>146.1</v>
      </c>
      <c r="AB3" s="18" t="n">
        <v>227.7</v>
      </c>
      <c r="AC3" s="18" t="n">
        <v>399</v>
      </c>
    </row>
    <row r="4">
      <c r="A4" s="4" t="inlineStr">
        <is>
          <t xml:space="preserve">    % YoY</t>
        </is>
      </c>
      <c r="F4" s="27">
        <f>IFERROR(F3/B3-1,"")</f>
        <v/>
      </c>
      <c r="G4" s="27">
        <f>IFERROR(G3/C3-1,"")</f>
        <v/>
      </c>
      <c r="H4" s="27">
        <f>IFERROR(H3/D3-1,"")</f>
        <v/>
      </c>
      <c r="I4" s="27">
        <f>IFERROR(I3/E3-1,"")</f>
        <v/>
      </c>
      <c r="J4" s="27">
        <f>IFERROR(J3/F3-1,"")</f>
        <v/>
      </c>
      <c r="K4" s="27">
        <f>IFERROR(K3/G3-1,"")</f>
        <v/>
      </c>
      <c r="L4" s="27">
        <f>IFERROR(L3/H3-1,"")</f>
        <v/>
      </c>
      <c r="M4" s="27">
        <f>IFERROR(M3/I3-1,"")</f>
        <v/>
      </c>
      <c r="N4" s="27">
        <f>IFERROR(N3/J3-1,"")</f>
        <v/>
      </c>
      <c r="O4" s="27">
        <f>IFERROR(O3/K3-1,"")</f>
        <v/>
      </c>
      <c r="P4" s="27">
        <f>IFERROR(P3/L3-1,"")</f>
        <v/>
      </c>
      <c r="Q4" s="27">
        <f>IFERROR(Q3/M3-1,"")</f>
        <v/>
      </c>
      <c r="R4" s="27">
        <f>IFERROR(R3/N3-1,"")</f>
        <v/>
      </c>
      <c r="S4" s="27">
        <f>IFERROR(S3/O3-1,"")</f>
        <v/>
      </c>
      <c r="T4" s="27">
        <f>IFERROR(T3/P3-1,"")</f>
        <v/>
      </c>
      <c r="U4" s="27">
        <f>IFERROR(U3/Q3-1,"")</f>
        <v/>
      </c>
      <c r="V4" s="27">
        <f>IFERROR(V3/R3-1,"")</f>
        <v/>
      </c>
      <c r="W4" s="27">
        <f>IFERROR(W3/S3-1,"")</f>
        <v/>
      </c>
      <c r="X4" s="27">
        <f>IFERROR(X3/T3-1,"")</f>
        <v/>
      </c>
      <c r="Y4" s="27">
        <f>IFERROR(Y3/U3-1,"")</f>
        <v/>
      </c>
      <c r="Z4" s="27">
        <f>IFERROR(Z3/V3-1,"")</f>
        <v/>
      </c>
      <c r="AA4" s="27">
        <f>IFERROR(AA3/W3-1,"")</f>
        <v/>
      </c>
      <c r="AB4" s="27">
        <f>IFERROR(AB3/X3-1,"")</f>
        <v/>
      </c>
      <c r="AC4" s="27">
        <f>IFERROR(AC3/Y3-1,"")</f>
        <v/>
      </c>
    </row>
    <row r="5">
      <c r="A5" s="4" t="inlineStr">
        <is>
          <t>Cost of Revenue</t>
        </is>
      </c>
      <c r="B5" s="18" t="n">
        <v>198.958776</v>
      </c>
      <c r="C5" s="18" t="n">
        <v>215.296026</v>
      </c>
      <c r="D5" s="18" t="n">
        <v>284.600327</v>
      </c>
      <c r="E5" s="18" t="n">
        <v>206.673642</v>
      </c>
      <c r="F5" s="18" t="n">
        <v>223.574366</v>
      </c>
      <c r="G5" s="18" t="n">
        <v>284.928552</v>
      </c>
      <c r="H5" s="18" t="n">
        <v>424.352999</v>
      </c>
      <c r="I5" s="18" t="n">
        <v>450.230855</v>
      </c>
      <c r="J5" s="18" t="n">
        <v>571.267595</v>
      </c>
      <c r="K5" s="18" t="n">
        <v>627.307539</v>
      </c>
      <c r="L5" s="18" t="n">
        <v>701.029796</v>
      </c>
      <c r="M5" s="18" t="n">
        <v>627.039745</v>
      </c>
      <c r="N5" s="18" t="n">
        <v>894.288201</v>
      </c>
      <c r="O5" s="18" t="n">
        <v>924.486586</v>
      </c>
      <c r="P5" s="18" t="n">
        <v>1057.155934</v>
      </c>
      <c r="Q5" s="18" t="n">
        <v>8.599245</v>
      </c>
      <c r="R5" s="18" t="n">
        <v>5.9</v>
      </c>
      <c r="S5" s="18" t="n">
        <v>7.5</v>
      </c>
      <c r="T5" s="18" t="n">
        <v>9.800000000000001</v>
      </c>
      <c r="U5" s="18" t="n">
        <v>8.756755999999999</v>
      </c>
      <c r="V5" s="18" t="n">
        <v>3.30886</v>
      </c>
      <c r="W5" s="18" t="n">
        <v>18.9</v>
      </c>
      <c r="X5" s="18" t="n">
        <v>27.5</v>
      </c>
      <c r="Y5" s="18" t="n">
        <v>29.5</v>
      </c>
      <c r="Z5" s="18" t="n">
        <v>30.1</v>
      </c>
      <c r="AA5" s="18" t="n">
        <v>42.9</v>
      </c>
      <c r="AB5" s="18" t="n">
        <v>68.5</v>
      </c>
      <c r="AC5" s="18" t="n">
        <v>315.8</v>
      </c>
    </row>
    <row r="6">
      <c r="A6" s="4" t="inlineStr">
        <is>
          <t xml:space="preserve">    % of revenue</t>
        </is>
      </c>
      <c r="B6" s="27">
        <f>IFERROR(B5/B3,"")</f>
        <v/>
      </c>
      <c r="C6" s="27">
        <f>IFERROR(C5/C3,"")</f>
        <v/>
      </c>
      <c r="D6" s="27">
        <f>IFERROR(D5/D3,"")</f>
        <v/>
      </c>
      <c r="E6" s="27">
        <f>IFERROR(E5/E3,"")</f>
        <v/>
      </c>
      <c r="F6" s="27">
        <f>IFERROR(F5/F3,"")</f>
        <v/>
      </c>
      <c r="G6" s="27">
        <f>IFERROR(G5/G3,"")</f>
        <v/>
      </c>
      <c r="H6" s="27">
        <f>IFERROR(H5/H3,"")</f>
        <v/>
      </c>
      <c r="I6" s="27">
        <f>IFERROR(I5/I3,"")</f>
        <v/>
      </c>
      <c r="J6" s="27">
        <f>IFERROR(J5/J3,"")</f>
        <v/>
      </c>
      <c r="K6" s="27">
        <f>IFERROR(K5/K3,"")</f>
        <v/>
      </c>
      <c r="L6" s="27">
        <f>IFERROR(L5/L3,"")</f>
        <v/>
      </c>
      <c r="M6" s="27">
        <f>IFERROR(M5/M3,"")</f>
        <v/>
      </c>
      <c r="N6" s="27">
        <f>IFERROR(N5/N3,"")</f>
        <v/>
      </c>
      <c r="O6" s="27">
        <f>IFERROR(O5/O3,"")</f>
        <v/>
      </c>
      <c r="P6" s="27">
        <f>IFERROR(P5/P3,"")</f>
        <v/>
      </c>
      <c r="Q6" s="27">
        <f>IFERROR(Q5/Q3,"")</f>
        <v/>
      </c>
      <c r="R6" s="27">
        <f>IFERROR(R5/R3,"")</f>
        <v/>
      </c>
      <c r="S6" s="27">
        <f>IFERROR(S5/S3,"")</f>
        <v/>
      </c>
      <c r="T6" s="27">
        <f>IFERROR(T5/T3,"")</f>
        <v/>
      </c>
      <c r="U6" s="27">
        <f>IFERROR(U5/U3,"")</f>
        <v/>
      </c>
      <c r="V6" s="27">
        <f>IFERROR(V5/V3,"")</f>
        <v/>
      </c>
      <c r="W6" s="27">
        <f>IFERROR(W5/W3,"")</f>
        <v/>
      </c>
      <c r="X6" s="27">
        <f>IFERROR(X5/X3,"")</f>
        <v/>
      </c>
      <c r="Y6" s="27">
        <f>IFERROR(Y5/Y3,"")</f>
        <v/>
      </c>
      <c r="Z6" s="27">
        <f>IFERROR(Z5/Z3,"")</f>
        <v/>
      </c>
      <c r="AA6" s="27">
        <f>IFERROR(AA5/AA3,"")</f>
        <v/>
      </c>
      <c r="AB6" s="27">
        <f>IFERROR(AB5/AB3,"")</f>
        <v/>
      </c>
      <c r="AC6" s="27">
        <f>IFERROR(AC5/AC3,"")</f>
        <v/>
      </c>
    </row>
    <row r="7">
      <c r="A7" s="4" t="inlineStr">
        <is>
          <t>R&amp;D Expense</t>
        </is>
      </c>
      <c r="B7" s="18" t="n">
        <v>110.655692</v>
      </c>
      <c r="C7" s="18" t="n">
        <v>114.225175</v>
      </c>
      <c r="D7" s="18" t="n">
        <v>130.514987</v>
      </c>
      <c r="E7" s="18" t="n">
        <v>100.924461</v>
      </c>
      <c r="F7" s="18" t="n">
        <v>126.034569</v>
      </c>
      <c r="G7" s="18" t="n">
        <v>121.147075</v>
      </c>
      <c r="H7" s="18" t="n">
        <v>135.31093</v>
      </c>
      <c r="I7" s="18" t="n">
        <v>145.602241</v>
      </c>
      <c r="J7" s="18" t="n">
        <v>153.62714</v>
      </c>
      <c r="K7" s="18" t="n">
        <v>167.873546</v>
      </c>
      <c r="L7" s="18" t="n">
        <v>187.012542</v>
      </c>
      <c r="M7" s="18" t="n">
        <v>235.531719</v>
      </c>
      <c r="N7" s="18" t="n">
        <v>308.846149</v>
      </c>
      <c r="O7" s="18" t="n">
        <v>283.355952</v>
      </c>
      <c r="P7" s="18" t="n">
        <v>261.229556</v>
      </c>
      <c r="Q7" s="18" t="n">
        <v>29.763472</v>
      </c>
      <c r="R7" s="18" t="n">
        <v>28.7</v>
      </c>
      <c r="S7" s="18" t="n">
        <v>25.5</v>
      </c>
      <c r="T7" s="18" t="n">
        <v>27.4</v>
      </c>
      <c r="U7" s="18" t="n">
        <v>24.659459</v>
      </c>
      <c r="V7" s="18" t="n">
        <v>25.054086</v>
      </c>
      <c r="W7" s="18" t="n">
        <v>34.4</v>
      </c>
      <c r="X7" s="18" t="n">
        <v>35.7</v>
      </c>
      <c r="Y7" s="18" t="n">
        <v>40</v>
      </c>
      <c r="Z7" s="18" t="n">
        <v>42.8</v>
      </c>
      <c r="AA7" s="18" t="n">
        <v>44.9</v>
      </c>
      <c r="AB7" s="18" t="n">
        <v>53.1</v>
      </c>
      <c r="AC7" s="18" t="n">
        <v>67.40000000000001</v>
      </c>
    </row>
    <row r="8">
      <c r="A8" s="4" t="inlineStr">
        <is>
          <t xml:space="preserve">    % of revenue</t>
        </is>
      </c>
      <c r="B8" s="27">
        <f>IFERROR(B7/B3,"")</f>
        <v/>
      </c>
      <c r="C8" s="27">
        <f>IFERROR(C7/C3,"")</f>
        <v/>
      </c>
      <c r="D8" s="27">
        <f>IFERROR(D7/D3,"")</f>
        <v/>
      </c>
      <c r="E8" s="27">
        <f>IFERROR(E7/E3,"")</f>
        <v/>
      </c>
      <c r="F8" s="27">
        <f>IFERROR(F7/F3,"")</f>
        <v/>
      </c>
      <c r="G8" s="27">
        <f>IFERROR(G7/G3,"")</f>
        <v/>
      </c>
      <c r="H8" s="27">
        <f>IFERROR(H7/H3,"")</f>
        <v/>
      </c>
      <c r="I8" s="27">
        <f>IFERROR(I7/I3,"")</f>
        <v/>
      </c>
      <c r="J8" s="27">
        <f>IFERROR(J7/J3,"")</f>
        <v/>
      </c>
      <c r="K8" s="27">
        <f>IFERROR(K7/K3,"")</f>
        <v/>
      </c>
      <c r="L8" s="27">
        <f>IFERROR(L7/L3,"")</f>
        <v/>
      </c>
      <c r="M8" s="27">
        <f>IFERROR(M7/M3,"")</f>
        <v/>
      </c>
      <c r="N8" s="27">
        <f>IFERROR(N7/N3,"")</f>
        <v/>
      </c>
      <c r="O8" s="27">
        <f>IFERROR(O7/O3,"")</f>
        <v/>
      </c>
      <c r="P8" s="27">
        <f>IFERROR(P7/P3,"")</f>
        <v/>
      </c>
      <c r="Q8" s="27">
        <f>IFERROR(Q7/Q3,"")</f>
        <v/>
      </c>
      <c r="R8" s="27">
        <f>IFERROR(R7/R3,"")</f>
        <v/>
      </c>
      <c r="S8" s="27">
        <f>IFERROR(S7/S3,"")</f>
        <v/>
      </c>
      <c r="T8" s="27">
        <f>IFERROR(T7/T3,"")</f>
        <v/>
      </c>
      <c r="U8" s="27">
        <f>IFERROR(U7/U3,"")</f>
        <v/>
      </c>
      <c r="V8" s="27">
        <f>IFERROR(V7/V3,"")</f>
        <v/>
      </c>
      <c r="W8" s="27">
        <f>IFERROR(W7/W3,"")</f>
        <v/>
      </c>
      <c r="X8" s="27">
        <f>IFERROR(X7/X3,"")</f>
        <v/>
      </c>
      <c r="Y8" s="27">
        <f>IFERROR(Y7/Y3,"")</f>
        <v/>
      </c>
      <c r="Z8" s="27">
        <f>IFERROR(Z7/Z3,"")</f>
        <v/>
      </c>
      <c r="AA8" s="27">
        <f>IFERROR(AA7/AA3,"")</f>
        <v/>
      </c>
      <c r="AB8" s="27">
        <f>IFERROR(AB7/AB3,"")</f>
        <v/>
      </c>
      <c r="AC8" s="27">
        <f>IFERROR(AC7/AC3,"")</f>
        <v/>
      </c>
    </row>
    <row r="9">
      <c r="A9" s="4" t="inlineStr">
        <is>
          <t>SG&amp;A Expense</t>
        </is>
      </c>
      <c r="B9" s="18" t="n">
        <v>175.308989</v>
      </c>
      <c r="C9" s="18" t="n">
        <v>191.547306</v>
      </c>
      <c r="D9" s="18" t="n">
        <v>262.624961</v>
      </c>
      <c r="E9" s="18" t="n">
        <v>173.651688</v>
      </c>
      <c r="F9" s="18" t="n">
        <v>167.891534</v>
      </c>
      <c r="G9" s="18" t="n">
        <v>202.58097</v>
      </c>
      <c r="H9" s="18" t="n">
        <v>285.722383</v>
      </c>
      <c r="I9" s="18" t="n">
        <v>305.44861</v>
      </c>
      <c r="J9" s="18" t="n">
        <v>375.739657</v>
      </c>
      <c r="K9" s="18" t="n">
        <v>452.731138</v>
      </c>
      <c r="L9" s="18" t="n">
        <v>0</v>
      </c>
      <c r="M9" s="18" t="n">
        <v>501.585085</v>
      </c>
      <c r="N9" s="18" t="n">
        <v>0</v>
      </c>
      <c r="O9" s="18" t="n">
        <v>700.765284</v>
      </c>
      <c r="P9" s="18" t="n">
        <v>687.525551</v>
      </c>
      <c r="Q9" s="18" t="n">
        <v>34.301584</v>
      </c>
      <c r="R9" s="18" t="n">
        <v>42</v>
      </c>
      <c r="S9" s="18" t="n">
        <v>43.5</v>
      </c>
      <c r="T9" s="18" t="n">
        <v>54.7</v>
      </c>
      <c r="U9" s="18" t="n">
        <v>49.956756</v>
      </c>
      <c r="V9" s="18" t="n">
        <v>0</v>
      </c>
      <c r="W9" s="18" t="n">
        <v>0</v>
      </c>
      <c r="X9" s="18" t="n">
        <v>0</v>
      </c>
      <c r="Y9" s="18" t="n">
        <v>0</v>
      </c>
      <c r="Z9" s="18" t="n">
        <v>0</v>
      </c>
      <c r="AA9" s="18" t="n">
        <v>0</v>
      </c>
      <c r="AB9" s="18" t="n">
        <v>159.9</v>
      </c>
      <c r="AC9" s="18" t="n">
        <v>143.8</v>
      </c>
    </row>
    <row r="10">
      <c r="A10" s="4" t="inlineStr">
        <is>
          <t xml:space="preserve">    % of revenue</t>
        </is>
      </c>
      <c r="B10" s="27">
        <f>IFERROR(B9/B3,"")</f>
        <v/>
      </c>
      <c r="C10" s="27">
        <f>IFERROR(C9/C3,"")</f>
        <v/>
      </c>
      <c r="D10" s="27">
        <f>IFERROR(D9/D3,"")</f>
        <v/>
      </c>
      <c r="E10" s="27">
        <f>IFERROR(E9/E3,"")</f>
        <v/>
      </c>
      <c r="F10" s="27">
        <f>IFERROR(F9/F3,"")</f>
        <v/>
      </c>
      <c r="G10" s="27">
        <f>IFERROR(G9/G3,"")</f>
        <v/>
      </c>
      <c r="H10" s="27">
        <f>IFERROR(H9/H3,"")</f>
        <v/>
      </c>
      <c r="I10" s="27">
        <f>IFERROR(I9/I3,"")</f>
        <v/>
      </c>
      <c r="J10" s="27">
        <f>IFERROR(J9/J3,"")</f>
        <v/>
      </c>
      <c r="K10" s="27">
        <f>IFERROR(K9/K3,"")</f>
        <v/>
      </c>
      <c r="L10" s="27">
        <f>IFERROR(L9/L3,"")</f>
        <v/>
      </c>
      <c r="M10" s="27">
        <f>IFERROR(M9/M3,"")</f>
        <v/>
      </c>
      <c r="N10" s="27">
        <f>IFERROR(N9/N3,"")</f>
        <v/>
      </c>
      <c r="O10" s="27">
        <f>IFERROR(O9/O3,"")</f>
        <v/>
      </c>
      <c r="P10" s="27">
        <f>IFERROR(P9/P3,"")</f>
        <v/>
      </c>
      <c r="Q10" s="27">
        <f>IFERROR(Q9/Q3,"")</f>
        <v/>
      </c>
      <c r="R10" s="27">
        <f>IFERROR(R9/R3,"")</f>
        <v/>
      </c>
      <c r="S10" s="27">
        <f>IFERROR(S9/S3,"")</f>
        <v/>
      </c>
      <c r="T10" s="27">
        <f>IFERROR(T9/T3,"")</f>
        <v/>
      </c>
      <c r="U10" s="27">
        <f>IFERROR(U9/U3,"")</f>
        <v/>
      </c>
      <c r="V10" s="27">
        <f>IFERROR(V9/V3,"")</f>
        <v/>
      </c>
      <c r="W10" s="27">
        <f>IFERROR(W9/W3,"")</f>
        <v/>
      </c>
      <c r="X10" s="27">
        <f>IFERROR(X9/X3,"")</f>
        <v/>
      </c>
      <c r="Y10" s="27">
        <f>IFERROR(Y9/Y3,"")</f>
        <v/>
      </c>
      <c r="Z10" s="27">
        <f>IFERROR(Z9/Z3,"")</f>
        <v/>
      </c>
      <c r="AA10" s="27">
        <f>IFERROR(AA9/AA3,"")</f>
        <v/>
      </c>
      <c r="AB10" s="27">
        <f>IFERROR(AB9/AB3,"")</f>
        <v/>
      </c>
      <c r="AC10" s="27">
        <f>IFERROR(AC9/AC3,"")</f>
        <v/>
      </c>
    </row>
    <row r="11">
      <c r="A11" s="4" t="inlineStr">
        <is>
          <t>Gross Profit</t>
        </is>
      </c>
      <c r="B11" s="18" t="n">
        <v>455.910943</v>
      </c>
      <c r="C11" s="18" t="n">
        <v>478.875976</v>
      </c>
      <c r="D11" s="18" t="n">
        <v>548.272501</v>
      </c>
      <c r="E11" s="18" t="n">
        <v>391.680605</v>
      </c>
      <c r="F11" s="18" t="n">
        <v>358.221999</v>
      </c>
      <c r="G11" s="18" t="n">
        <v>465.774085</v>
      </c>
      <c r="H11" s="18" t="n">
        <v>541.850982</v>
      </c>
      <c r="I11" s="18" t="n">
        <v>517.047325</v>
      </c>
      <c r="J11" s="18" t="n">
        <v>541.920627</v>
      </c>
      <c r="K11" s="18" t="n">
        <v>626.7993310000001</v>
      </c>
      <c r="L11" s="18" t="n">
        <v>773.157096</v>
      </c>
      <c r="M11" s="18" t="n">
        <v>676.061221</v>
      </c>
      <c r="N11" s="18" t="n">
        <v>1267.010768</v>
      </c>
      <c r="O11" s="18" t="n">
        <v>1287.527057</v>
      </c>
      <c r="P11" s="18" t="n">
        <v>1180.918411</v>
      </c>
      <c r="Q11" s="18" t="n">
        <v>-3.475131</v>
      </c>
      <c r="R11" s="18" t="n">
        <v>-1.2</v>
      </c>
      <c r="S11" s="18" t="n">
        <v>-2.5</v>
      </c>
      <c r="T11" s="18" t="n">
        <v>-3.1</v>
      </c>
      <c r="U11" s="18" t="n">
        <v>2.54054</v>
      </c>
      <c r="V11" s="18" t="n">
        <v>8.775410000000001</v>
      </c>
      <c r="W11" s="18" t="n">
        <v>24.4</v>
      </c>
      <c r="X11" s="18" t="n">
        <v>10.4</v>
      </c>
      <c r="Y11" s="18" t="n">
        <v>25.8</v>
      </c>
      <c r="Z11" s="18" t="n">
        <v>75</v>
      </c>
      <c r="AA11" s="18" t="n">
        <v>103.2</v>
      </c>
      <c r="AB11" s="18" t="n">
        <v>159.2</v>
      </c>
      <c r="AC11" s="18" t="n">
        <v>83.2</v>
      </c>
    </row>
    <row r="12">
      <c r="A12" s="4" t="inlineStr">
        <is>
          <t xml:space="preserve">    gross margin</t>
        </is>
      </c>
      <c r="B12" s="27">
        <f>IFERROR(B11/B3,"")</f>
        <v/>
      </c>
      <c r="C12" s="27">
        <f>IFERROR(C11/C3,"")</f>
        <v/>
      </c>
      <c r="D12" s="27">
        <f>IFERROR(D11/D3,"")</f>
        <v/>
      </c>
      <c r="E12" s="27">
        <f>IFERROR(E11/E3,"")</f>
        <v/>
      </c>
      <c r="F12" s="27">
        <f>IFERROR(F11/F3,"")</f>
        <v/>
      </c>
      <c r="G12" s="27">
        <f>IFERROR(G11/G3,"")</f>
        <v/>
      </c>
      <c r="H12" s="27">
        <f>IFERROR(H11/H3,"")</f>
        <v/>
      </c>
      <c r="I12" s="27">
        <f>IFERROR(I11/I3,"")</f>
        <v/>
      </c>
      <c r="J12" s="27">
        <f>IFERROR(J11/J3,"")</f>
        <v/>
      </c>
      <c r="K12" s="27">
        <f>IFERROR(K11/K3,"")</f>
        <v/>
      </c>
      <c r="L12" s="27">
        <f>IFERROR(L11/L3,"")</f>
        <v/>
      </c>
      <c r="M12" s="27">
        <f>IFERROR(M11/M3,"")</f>
        <v/>
      </c>
      <c r="N12" s="27">
        <f>IFERROR(N11/N3,"")</f>
        <v/>
      </c>
      <c r="O12" s="27">
        <f>IFERROR(O11/O3,"")</f>
        <v/>
      </c>
      <c r="P12" s="27">
        <f>IFERROR(P11/P3,"")</f>
        <v/>
      </c>
      <c r="Q12" s="27">
        <f>IFERROR(Q11/Q3,"")</f>
        <v/>
      </c>
      <c r="R12" s="27">
        <f>IFERROR(R11/R3,"")</f>
        <v/>
      </c>
      <c r="S12" s="27">
        <f>IFERROR(S11/S3,"")</f>
        <v/>
      </c>
      <c r="T12" s="27">
        <f>IFERROR(T11/T3,"")</f>
        <v/>
      </c>
      <c r="U12" s="27">
        <f>IFERROR(U11/U3,"")</f>
        <v/>
      </c>
      <c r="V12" s="27">
        <f>IFERROR(V11/V3,"")</f>
        <v/>
      </c>
      <c r="W12" s="27">
        <f>IFERROR(W11/W3,"")</f>
        <v/>
      </c>
      <c r="X12" s="27">
        <f>IFERROR(X11/X3,"")</f>
        <v/>
      </c>
      <c r="Y12" s="27">
        <f>IFERROR(Y11/Y3,"")</f>
        <v/>
      </c>
      <c r="Z12" s="27">
        <f>IFERROR(Z11/Z3,"")</f>
        <v/>
      </c>
      <c r="AA12" s="27">
        <f>IFERROR(AA11/AA3,"")</f>
        <v/>
      </c>
      <c r="AB12" s="27">
        <f>IFERROR(AB11/AB3,"")</f>
        <v/>
      </c>
      <c r="AC12" s="27">
        <f>IFERROR(AC11/AC3,"")</f>
        <v/>
      </c>
    </row>
    <row r="13">
      <c r="A13" s="4" t="inlineStr">
        <is>
          <t>Operating Income</t>
        </is>
      </c>
      <c r="B13" s="18" t="n">
        <v>110.529138</v>
      </c>
      <c r="C13" s="18" t="n">
        <v>114.687812</v>
      </c>
      <c r="D13" s="18" t="n">
        <v>78.798766</v>
      </c>
      <c r="E13" s="18" t="n">
        <v>66.05663800000001</v>
      </c>
      <c r="F13" s="18" t="n">
        <v>1.629878</v>
      </c>
      <c r="G13" s="18" t="n">
        <v>80.533078</v>
      </c>
      <c r="H13" s="18" t="n">
        <v>55.436053</v>
      </c>
      <c r="I13" s="18" t="n">
        <v>-3.531274</v>
      </c>
      <c r="J13" s="18" t="n">
        <v>-64.587945</v>
      </c>
      <c r="K13" s="18" t="n">
        <v>-78.071775</v>
      </c>
      <c r="L13" s="18" t="n">
        <v>-34.780912</v>
      </c>
      <c r="M13" s="18" t="n">
        <v>-152.841783</v>
      </c>
      <c r="N13" s="18" t="n">
        <v>160.535387</v>
      </c>
      <c r="O13" s="18" t="n">
        <v>179.352457</v>
      </c>
      <c r="P13" s="18" t="n">
        <v>83.219128</v>
      </c>
      <c r="Q13" s="18" t="n">
        <v>-74.39505200000001</v>
      </c>
      <c r="R13" s="18" t="n">
        <v>-78.40000000000001</v>
      </c>
      <c r="S13" s="18" t="n">
        <v>-77.59999999999999</v>
      </c>
      <c r="T13" s="18" t="n">
        <v>-93.5</v>
      </c>
      <c r="U13" s="18" t="n">
        <v>-80.843243</v>
      </c>
      <c r="V13" s="18" t="n">
        <v>-95.800068</v>
      </c>
      <c r="W13" s="18" t="n">
        <v>-87</v>
      </c>
      <c r="X13" s="18" t="n">
        <v>-149.3</v>
      </c>
      <c r="Y13" s="18" t="n">
        <v>-129.5</v>
      </c>
      <c r="Z13" s="18" t="n">
        <v>-111.2</v>
      </c>
      <c r="AA13" s="18" t="n">
        <v>-130.199999</v>
      </c>
      <c r="AB13" s="18" t="n">
        <v>-234.5</v>
      </c>
      <c r="AC13" s="18" t="n">
        <v>-128</v>
      </c>
    </row>
    <row r="14">
      <c r="A14" s="4" t="inlineStr">
        <is>
          <t xml:space="preserve">    operating margin</t>
        </is>
      </c>
      <c r="B14" s="27">
        <f>IFERROR(B13/B3,"")</f>
        <v/>
      </c>
      <c r="C14" s="27">
        <f>IFERROR(C13/C3,"")</f>
        <v/>
      </c>
      <c r="D14" s="27">
        <f>IFERROR(D13/D3,"")</f>
        <v/>
      </c>
      <c r="E14" s="27">
        <f>IFERROR(E13/E3,"")</f>
        <v/>
      </c>
      <c r="F14" s="27">
        <f>IFERROR(F13/F3,"")</f>
        <v/>
      </c>
      <c r="G14" s="27">
        <f>IFERROR(G13/G3,"")</f>
        <v/>
      </c>
      <c r="H14" s="27">
        <f>IFERROR(H13/H3,"")</f>
        <v/>
      </c>
      <c r="I14" s="27">
        <f>IFERROR(I13/I3,"")</f>
        <v/>
      </c>
      <c r="J14" s="27">
        <f>IFERROR(J13/J3,"")</f>
        <v/>
      </c>
      <c r="K14" s="27">
        <f>IFERROR(K13/K3,"")</f>
        <v/>
      </c>
      <c r="L14" s="27">
        <f>IFERROR(L13/L3,"")</f>
        <v/>
      </c>
      <c r="M14" s="27">
        <f>IFERROR(M13/M3,"")</f>
        <v/>
      </c>
      <c r="N14" s="27">
        <f>IFERROR(N13/N3,"")</f>
        <v/>
      </c>
      <c r="O14" s="27">
        <f>IFERROR(O13/O3,"")</f>
        <v/>
      </c>
      <c r="P14" s="27">
        <f>IFERROR(P13/P3,"")</f>
        <v/>
      </c>
      <c r="Q14" s="27">
        <f>IFERROR(Q13/Q3,"")</f>
        <v/>
      </c>
      <c r="R14" s="27">
        <f>IFERROR(R13/R3,"")</f>
        <v/>
      </c>
      <c r="S14" s="27">
        <f>IFERROR(S13/S3,"")</f>
        <v/>
      </c>
      <c r="T14" s="27">
        <f>IFERROR(T13/T3,"")</f>
        <v/>
      </c>
      <c r="U14" s="27">
        <f>IFERROR(U13/U3,"")</f>
        <v/>
      </c>
      <c r="V14" s="27">
        <f>IFERROR(V13/V3,"")</f>
        <v/>
      </c>
      <c r="W14" s="27">
        <f>IFERROR(W13/W3,"")</f>
        <v/>
      </c>
      <c r="X14" s="27">
        <f>IFERROR(X13/X3,"")</f>
        <v/>
      </c>
      <c r="Y14" s="27">
        <f>IFERROR(Y13/Y3,"")</f>
        <v/>
      </c>
      <c r="Z14" s="27">
        <f>IFERROR(Z13/Z3,"")</f>
        <v/>
      </c>
      <c r="AA14" s="27">
        <f>IFERROR(AA13/AA3,"")</f>
        <v/>
      </c>
      <c r="AB14" s="27">
        <f>IFERROR(AB13/AB3,"")</f>
        <v/>
      </c>
      <c r="AC14" s="27">
        <f>IFERROR(AC13/AC3,"")</f>
        <v/>
      </c>
    </row>
    <row r="15">
      <c r="A15" s="4" t="inlineStr">
        <is>
          <t>Net Income</t>
        </is>
      </c>
      <c r="B15" s="18" t="n">
        <v>58.610341</v>
      </c>
      <c r="C15" s="18" t="n">
        <v>71.677955</v>
      </c>
      <c r="D15" s="18" t="n">
        <v>15.321534</v>
      </c>
      <c r="E15" s="18" t="n">
        <v>73.758366</v>
      </c>
      <c r="F15" s="18" t="n">
        <v>-47.730148</v>
      </c>
      <c r="G15" s="18" t="n">
        <v>283.114048</v>
      </c>
      <c r="H15" s="18" t="n">
        <v>4.264311</v>
      </c>
      <c r="I15" s="18" t="n">
        <v>-39.373046</v>
      </c>
      <c r="J15" s="18" t="n">
        <v>-53.046081</v>
      </c>
      <c r="K15" s="18" t="n">
        <v>-46.494187</v>
      </c>
      <c r="L15" s="18" t="n">
        <v>-59.1663</v>
      </c>
      <c r="M15" s="18" t="n">
        <v>-177.291059</v>
      </c>
      <c r="N15" s="18" t="n">
        <v>105.836615</v>
      </c>
      <c r="O15" s="18" t="n">
        <v>717.077604</v>
      </c>
      <c r="P15" s="18" t="n">
        <v>67.287018</v>
      </c>
      <c r="Q15" s="18" t="n">
        <v>58.354939</v>
      </c>
      <c r="R15" s="18" t="n">
        <v>176.3</v>
      </c>
      <c r="S15" s="18" t="n">
        <v>84.3</v>
      </c>
      <c r="T15" s="18" t="n">
        <v>-72.90000000000001</v>
      </c>
      <c r="U15" s="18" t="n">
        <v>130.983783</v>
      </c>
      <c r="V15" s="18" t="n">
        <v>-554.472904</v>
      </c>
      <c r="W15" s="18" t="n">
        <v>-94.2</v>
      </c>
      <c r="X15" s="18" t="n">
        <v>-133.199999</v>
      </c>
      <c r="Y15" s="18" t="n">
        <v>-113.6</v>
      </c>
      <c r="Z15" s="18" t="n">
        <v>584.4</v>
      </c>
      <c r="AA15" s="18" t="n">
        <v>-119.6</v>
      </c>
      <c r="AB15" s="18" t="n">
        <v>-249.6</v>
      </c>
      <c r="AC15" s="18" t="n">
        <v>621.2</v>
      </c>
    </row>
    <row r="16">
      <c r="A16" s="4" t="inlineStr">
        <is>
          <t xml:space="preserve">    net margin</t>
        </is>
      </c>
      <c r="B16" s="27">
        <f>IFERROR(B15/B3,"")</f>
        <v/>
      </c>
      <c r="C16" s="27">
        <f>IFERROR(C15/C3,"")</f>
        <v/>
      </c>
      <c r="D16" s="27">
        <f>IFERROR(D15/D3,"")</f>
        <v/>
      </c>
      <c r="E16" s="27">
        <f>IFERROR(E15/E3,"")</f>
        <v/>
      </c>
      <c r="F16" s="27">
        <f>IFERROR(F15/F3,"")</f>
        <v/>
      </c>
      <c r="G16" s="27">
        <f>IFERROR(G15/G3,"")</f>
        <v/>
      </c>
      <c r="H16" s="27">
        <f>IFERROR(H15/H3,"")</f>
        <v/>
      </c>
      <c r="I16" s="27">
        <f>IFERROR(I15/I3,"")</f>
        <v/>
      </c>
      <c r="J16" s="27">
        <f>IFERROR(J15/J3,"")</f>
        <v/>
      </c>
      <c r="K16" s="27">
        <f>IFERROR(K15/K3,"")</f>
        <v/>
      </c>
      <c r="L16" s="27">
        <f>IFERROR(L15/L3,"")</f>
        <v/>
      </c>
      <c r="M16" s="27">
        <f>IFERROR(M15/M3,"")</f>
        <v/>
      </c>
      <c r="N16" s="27">
        <f>IFERROR(N15/N3,"")</f>
        <v/>
      </c>
      <c r="O16" s="27">
        <f>IFERROR(O15/O3,"")</f>
        <v/>
      </c>
      <c r="P16" s="27">
        <f>IFERROR(P15/P3,"")</f>
        <v/>
      </c>
      <c r="Q16" s="27">
        <f>IFERROR(Q15/Q3,"")</f>
        <v/>
      </c>
      <c r="R16" s="27">
        <f>IFERROR(R15/R3,"")</f>
        <v/>
      </c>
      <c r="S16" s="27">
        <f>IFERROR(S15/S3,"")</f>
        <v/>
      </c>
      <c r="T16" s="27">
        <f>IFERROR(T15/T3,"")</f>
        <v/>
      </c>
      <c r="U16" s="27">
        <f>IFERROR(U15/U3,"")</f>
        <v/>
      </c>
      <c r="V16" s="27">
        <f>IFERROR(V15/V3,"")</f>
        <v/>
      </c>
      <c r="W16" s="27">
        <f>IFERROR(W15/W3,"")</f>
        <v/>
      </c>
      <c r="X16" s="27">
        <f>IFERROR(X15/X3,"")</f>
        <v/>
      </c>
      <c r="Y16" s="27">
        <f>IFERROR(Y15/Y3,"")</f>
        <v/>
      </c>
      <c r="Z16" s="27">
        <f>IFERROR(Z15/Z3,"")</f>
        <v/>
      </c>
      <c r="AA16" s="27">
        <f>IFERROR(AA15/AA3,"")</f>
        <v/>
      </c>
      <c r="AB16" s="27">
        <f>IFERROR(AB15/AB3,"")</f>
        <v/>
      </c>
      <c r="AC16" s="27">
        <f>IFERROR(AC15/AC3,"")</f>
        <v/>
      </c>
    </row>
    <row r="17">
      <c r="A17" s="4" t="inlineStr">
        <is>
          <t>Diluted Shares (M)</t>
        </is>
      </c>
      <c r="B17" s="18" t="n">
        <v>335</v>
      </c>
      <c r="C17" s="18" t="n">
        <v>335</v>
      </c>
      <c r="D17" s="18" t="n">
        <v>336</v>
      </c>
      <c r="E17" s="18" t="n">
        <v>338</v>
      </c>
      <c r="F17" s="18" t="n">
        <v>328</v>
      </c>
      <c r="G17" s="18" t="n">
        <v>362</v>
      </c>
      <c r="H17" s="18" t="n">
        <v>366</v>
      </c>
      <c r="I17" s="18" t="n">
        <v>355</v>
      </c>
      <c r="J17" s="18" t="n">
        <v>357</v>
      </c>
      <c r="K17" s="18" t="n">
        <v>363</v>
      </c>
      <c r="L17" s="18" t="n">
        <v>363</v>
      </c>
      <c r="M17" s="18" t="n">
        <v>365</v>
      </c>
      <c r="N17" s="18" t="n">
        <v>376</v>
      </c>
      <c r="O17" s="18" t="n">
        <v>371</v>
      </c>
      <c r="P17" s="18" t="n">
        <v>372</v>
      </c>
      <c r="Q17" s="18" t="n">
        <v>372</v>
      </c>
      <c r="R17" s="18" t="n">
        <v>372</v>
      </c>
      <c r="S17" s="18" t="n">
        <v>361</v>
      </c>
      <c r="T17" s="18" t="n">
        <v>371</v>
      </c>
      <c r="U17" s="18" t="n">
        <v>361</v>
      </c>
      <c r="V17" s="18" t="n">
        <v>294</v>
      </c>
      <c r="W17" s="18" t="n">
        <v>287</v>
      </c>
      <c r="X17" s="18" t="n">
        <v>236</v>
      </c>
      <c r="Y17" s="18" t="n">
        <v>238</v>
      </c>
      <c r="Z17" s="18" t="n">
        <v>240</v>
      </c>
      <c r="AA17" s="18" t="n">
        <v>251.807222</v>
      </c>
      <c r="AB17" s="18" t="n">
        <v>253.016971</v>
      </c>
      <c r="AC17" s="18" t="n">
        <v>308.971701</v>
      </c>
    </row>
    <row r="18">
      <c r="A18" s="5" t="inlineStr">
        <is>
          <t xml:space="preserve">  BALANCE SHEET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Cash &amp; ST Investments</t>
        </is>
      </c>
      <c r="B19" s="18" t="n">
        <v>1259.742202</v>
      </c>
      <c r="C19" s="18" t="n">
        <v>1367.267004</v>
      </c>
      <c r="D19" s="18" t="n">
        <v>1424.375785</v>
      </c>
      <c r="E19" s="18" t="n">
        <v>2476.731656</v>
      </c>
      <c r="F19" s="18" t="n">
        <v>3446.704431</v>
      </c>
      <c r="G19" s="18" t="n">
        <v>3241.591514</v>
      </c>
      <c r="H19" s="18" t="n">
        <v>3201.206481</v>
      </c>
      <c r="I19" s="18" t="n">
        <v>3043.047201</v>
      </c>
      <c r="J19" s="18" t="n">
        <v>2936.073272</v>
      </c>
      <c r="K19" s="18" t="n">
        <v>1907.944291</v>
      </c>
      <c r="L19" s="18" t="n">
        <v>1437.431223</v>
      </c>
      <c r="M19" s="18" t="n">
        <v>1055.844855</v>
      </c>
      <c r="N19" s="18" t="n">
        <v>1438.885621</v>
      </c>
      <c r="O19" s="18" t="n">
        <v>1730.836724</v>
      </c>
      <c r="P19" s="18" t="n">
        <v>1126.536912</v>
      </c>
      <c r="Q19" s="18" t="n">
        <v>1578.201275</v>
      </c>
      <c r="R19" s="18" t="n">
        <v>866.97927</v>
      </c>
      <c r="S19" s="18" t="n">
        <v>924.879764</v>
      </c>
      <c r="T19" s="18" t="n">
        <v>121.2</v>
      </c>
      <c r="U19" s="18" t="n">
        <v>157.539604</v>
      </c>
      <c r="V19" s="18" t="n">
        <v>3894.7</v>
      </c>
      <c r="W19" s="18" t="n">
        <v>2288.2</v>
      </c>
      <c r="X19" s="18" t="n">
        <v>2449.6</v>
      </c>
      <c r="Y19" s="18" t="n">
        <v>1447</v>
      </c>
      <c r="Z19" s="18" t="n">
        <v>1679.3</v>
      </c>
      <c r="AA19" s="18" t="n">
        <v>4794.8</v>
      </c>
      <c r="AB19" s="18" t="n">
        <v>3678.1</v>
      </c>
      <c r="AC19" s="18" t="n">
        <v>9298.200000000001</v>
      </c>
    </row>
    <row r="20">
      <c r="A20" s="4" t="inlineStr">
        <is>
          <t>Total Current Assets</t>
        </is>
      </c>
      <c r="B20" s="18" t="n">
        <v>1702.258371</v>
      </c>
      <c r="C20" s="18" t="n">
        <v>1817.926025</v>
      </c>
      <c r="D20" s="18" t="n">
        <v>1940.180926</v>
      </c>
      <c r="E20" s="18" t="n">
        <v>2865.049198</v>
      </c>
      <c r="F20" s="18" t="n">
        <v>3926.729921</v>
      </c>
      <c r="G20" s="18" t="n">
        <v>3763.628083</v>
      </c>
      <c r="H20" s="18" t="n">
        <v>3902.989539</v>
      </c>
      <c r="I20" s="18" t="n">
        <v>3841.228265</v>
      </c>
      <c r="J20" s="18" t="n">
        <v>3890.604862</v>
      </c>
      <c r="K20" s="18" t="n">
        <v>2923.279134</v>
      </c>
      <c r="L20" s="18" t="n">
        <v>2681.664588</v>
      </c>
      <c r="M20" s="18" t="n">
        <v>2152.343329</v>
      </c>
      <c r="N20" s="18" t="n">
        <v>3166.149869</v>
      </c>
      <c r="O20" s="18" t="n">
        <v>3572.082814</v>
      </c>
      <c r="P20" s="18" t="n">
        <v>3220.590604</v>
      </c>
      <c r="Q20" s="18" t="n">
        <v>3563.689064</v>
      </c>
      <c r="R20" s="18" t="n">
        <v>2740.853376</v>
      </c>
      <c r="S20" s="18" t="n">
        <v>2758.504421</v>
      </c>
      <c r="T20" s="18" t="n">
        <v>3453.5</v>
      </c>
      <c r="U20" s="18" t="n">
        <v>3211.650089</v>
      </c>
      <c r="V20" s="18" t="n">
        <v>3965.8</v>
      </c>
      <c r="W20" s="18" t="n">
        <v>2381.9</v>
      </c>
      <c r="X20" s="18" t="n">
        <v>2533.3</v>
      </c>
      <c r="Y20" s="18" t="n">
        <v>1683.3</v>
      </c>
      <c r="Z20" s="18" t="n">
        <v>2029.6</v>
      </c>
      <c r="AA20" s="18" t="n">
        <v>5217</v>
      </c>
      <c r="AB20" s="18" t="n">
        <v>4711.4</v>
      </c>
      <c r="AC20" s="18" t="n">
        <v>11238.3</v>
      </c>
    </row>
    <row r="21">
      <c r="A21" s="4" t="inlineStr">
        <is>
          <t>PP&amp;E (net)</t>
        </is>
      </c>
      <c r="B21" s="18" t="n">
        <v>946.514489</v>
      </c>
      <c r="C21" s="18" t="n">
        <v>982.065626</v>
      </c>
      <c r="D21" s="18" t="n">
        <v>1114.163624</v>
      </c>
      <c r="E21" s="18" t="n">
        <v>771.271962</v>
      </c>
      <c r="F21" s="18" t="n">
        <v>987.86698</v>
      </c>
      <c r="G21" s="18" t="n">
        <v>1028.643421</v>
      </c>
      <c r="H21" s="18" t="n">
        <v>1109.767708</v>
      </c>
      <c r="I21" s="18" t="n">
        <v>1212.693668</v>
      </c>
      <c r="J21" s="18" t="n">
        <v>1478.121796</v>
      </c>
      <c r="K21" s="18" t="n">
        <v>1727.142137</v>
      </c>
      <c r="L21" s="18" t="n">
        <v>1804.583591</v>
      </c>
      <c r="M21" s="18" t="n">
        <v>1742.239779</v>
      </c>
      <c r="N21" s="18" t="n">
        <v>2642.70935</v>
      </c>
      <c r="O21" s="18" t="n">
        <v>2380.709434</v>
      </c>
      <c r="P21" s="18" t="n">
        <v>2098.684563</v>
      </c>
      <c r="Q21" s="18" t="n">
        <v>2100.278533</v>
      </c>
      <c r="R21" s="18" t="n">
        <v>2028.775691</v>
      </c>
      <c r="S21" s="18" t="n">
        <v>2068.666287</v>
      </c>
      <c r="T21" s="18" t="n">
        <v>146.9</v>
      </c>
      <c r="U21" s="18" t="n">
        <v>194.194805</v>
      </c>
      <c r="V21" s="18" t="n">
        <v>338.2</v>
      </c>
      <c r="W21" s="18" t="n">
        <v>507</v>
      </c>
      <c r="X21" s="18" t="n">
        <v>892</v>
      </c>
      <c r="Y21" s="18" t="n">
        <v>1584.4</v>
      </c>
      <c r="Z21" s="18" t="n">
        <v>2066.7</v>
      </c>
      <c r="AA21" s="18" t="n">
        <v>3815.4</v>
      </c>
      <c r="AB21" s="18" t="n">
        <v>6491.3</v>
      </c>
      <c r="AC21" s="18" t="n">
        <v>8397.700000000001</v>
      </c>
    </row>
    <row r="22">
      <c r="A22" s="4" t="inlineStr">
        <is>
          <t>Total Assets</t>
        </is>
      </c>
      <c r="B22" s="18" t="n">
        <v>4287.72633</v>
      </c>
      <c r="C22" s="18" t="n">
        <v>4382.894745</v>
      </c>
      <c r="D22" s="18" t="n">
        <v>4695.862396</v>
      </c>
      <c r="E22" s="18" t="n">
        <v>4910.307151</v>
      </c>
      <c r="F22" s="18" t="n">
        <v>6339.340373</v>
      </c>
      <c r="G22" s="18" t="n">
        <v>6653.591949</v>
      </c>
      <c r="H22" s="18" t="n">
        <v>6929.825457</v>
      </c>
      <c r="I22" s="18" t="n">
        <v>7288.607659</v>
      </c>
      <c r="J22" s="18" t="n">
        <v>7659.390878</v>
      </c>
      <c r="K22" s="18" t="n">
        <v>7032.775706</v>
      </c>
      <c r="L22" s="18" t="n">
        <v>6912.800943</v>
      </c>
      <c r="M22" s="18" t="n">
        <v>6119.231459</v>
      </c>
      <c r="N22" s="18" t="n">
        <v>9182.832049000001</v>
      </c>
      <c r="O22" s="18" t="n">
        <v>9640.369183000001</v>
      </c>
      <c r="P22" s="18" t="n">
        <v>8278.107382</v>
      </c>
      <c r="Q22" s="18" t="n">
        <v>8581.006020000001</v>
      </c>
      <c r="R22" s="18" t="n">
        <v>7504.232514</v>
      </c>
      <c r="S22" s="18" t="n">
        <v>7364.813569</v>
      </c>
      <c r="T22" s="18" t="n">
        <v>8755.1</v>
      </c>
      <c r="U22" s="18" t="n">
        <v>8646.026642000001</v>
      </c>
      <c r="V22" s="18" t="n">
        <v>4414.1</v>
      </c>
      <c r="W22" s="18" t="n">
        <v>3005.2</v>
      </c>
      <c r="X22" s="18" t="n">
        <v>3548.6</v>
      </c>
      <c r="Y22" s="18" t="n">
        <v>3436.5</v>
      </c>
      <c r="Z22" s="18" t="n">
        <v>5096.6</v>
      </c>
      <c r="AA22" s="18" t="n">
        <v>10102.2</v>
      </c>
      <c r="AB22" s="18" t="n">
        <v>12449.8</v>
      </c>
      <c r="AC22" s="18" t="n">
        <v>22303.3</v>
      </c>
    </row>
    <row r="23">
      <c r="A23" s="4" t="inlineStr">
        <is>
          <t>Total Current Liabilities</t>
        </is>
      </c>
      <c r="B23" s="18" t="n">
        <v>561.375323</v>
      </c>
      <c r="C23" s="18" t="n">
        <v>656.29249</v>
      </c>
      <c r="D23" s="18" t="n">
        <v>750.690202</v>
      </c>
      <c r="E23" s="18" t="n">
        <v>599.099473</v>
      </c>
      <c r="F23" s="18" t="n">
        <v>588.0832380000001</v>
      </c>
      <c r="G23" s="18" t="n">
        <v>750.818457</v>
      </c>
      <c r="H23" s="18" t="n">
        <v>844.730901</v>
      </c>
      <c r="I23" s="18" t="n">
        <v>1106.661992</v>
      </c>
      <c r="J23" s="18" t="n">
        <v>1179.840121</v>
      </c>
      <c r="K23" s="18" t="n">
        <v>1479.619626</v>
      </c>
      <c r="L23" s="18" t="n">
        <v>1489.93137</v>
      </c>
      <c r="M23" s="18" t="n">
        <v>2575.303764</v>
      </c>
      <c r="N23" s="18" t="n">
        <v>2515.917929</v>
      </c>
      <c r="O23" s="18" t="n">
        <v>2672.766089</v>
      </c>
      <c r="P23" s="18" t="n">
        <v>2521.395973</v>
      </c>
      <c r="Q23" s="18" t="n">
        <v>2901.626881</v>
      </c>
      <c r="R23" s="18" t="n">
        <v>2973.493504</v>
      </c>
      <c r="S23" s="18" t="n">
        <v>3088.462532</v>
      </c>
      <c r="T23" s="18" t="n">
        <v>3870.4</v>
      </c>
      <c r="U23" s="18" t="n">
        <v>3731.832104</v>
      </c>
      <c r="V23" s="18" t="n">
        <v>76.59999999999999</v>
      </c>
      <c r="W23" s="18" t="n">
        <v>107.1</v>
      </c>
      <c r="X23" s="18" t="n">
        <v>264</v>
      </c>
      <c r="Y23" s="18" t="n">
        <v>93.5</v>
      </c>
      <c r="Z23" s="18" t="n">
        <v>138.1</v>
      </c>
      <c r="AA23" s="18" t="n">
        <v>794.6</v>
      </c>
      <c r="AB23" s="18" t="n">
        <v>1527.8</v>
      </c>
      <c r="AC23" s="18" t="n">
        <v>1349</v>
      </c>
    </row>
    <row r="24">
      <c r="A24" s="4" t="inlineStr">
        <is>
          <t>Long-term Debt</t>
        </is>
      </c>
      <c r="B24" s="18" t="n">
        <v>0</v>
      </c>
      <c r="C24" s="18" t="n">
        <v>0</v>
      </c>
      <c r="D24" s="18" t="n">
        <v>0</v>
      </c>
      <c r="E24" s="18" t="n">
        <v>1080.524299</v>
      </c>
      <c r="F24" s="18" t="n">
        <v>1109.975227</v>
      </c>
      <c r="G24" s="18" t="n">
        <v>1148.863941</v>
      </c>
      <c r="H24" s="18" t="n">
        <v>1119.242908</v>
      </c>
      <c r="I24" s="18" t="n">
        <v>1130.815773</v>
      </c>
      <c r="J24" s="18" t="n">
        <v>1134.827879</v>
      </c>
      <c r="K24" s="18" t="n">
        <v>1146.292238</v>
      </c>
      <c r="L24" s="18" t="n">
        <v>1151.04728</v>
      </c>
      <c r="M24" s="18" t="n">
        <v>0</v>
      </c>
      <c r="N24" s="18" t="n">
        <v>503.244497</v>
      </c>
      <c r="O24" s="18" t="n">
        <v>511.642718</v>
      </c>
      <c r="P24" s="18" t="n">
        <v>401.140939</v>
      </c>
      <c r="Q24" s="18" t="n">
        <v>386.686033</v>
      </c>
      <c r="R24" s="18" t="n">
        <v>274.893339</v>
      </c>
      <c r="S24" s="18" t="n">
        <v>276.185551</v>
      </c>
      <c r="T24" s="18" t="n">
        <v>558.558354</v>
      </c>
      <c r="U24" s="18" t="n">
        <v>0</v>
      </c>
      <c r="V24" s="18" t="n">
        <v>0</v>
      </c>
      <c r="W24" s="18" t="n">
        <v>0</v>
      </c>
      <c r="X24" s="18" t="n">
        <v>0</v>
      </c>
      <c r="Y24" s="18" t="n">
        <v>0</v>
      </c>
      <c r="Z24" s="18" t="n">
        <v>978.2</v>
      </c>
      <c r="AA24" s="18" t="n">
        <v>4090.8</v>
      </c>
      <c r="AB24" s="18" t="n">
        <v>4103.2</v>
      </c>
      <c r="AC24" s="18" t="n">
        <v>8432</v>
      </c>
    </row>
    <row r="25">
      <c r="A25" s="4" t="inlineStr">
        <is>
          <t>Total Equity</t>
        </is>
      </c>
      <c r="B25" s="18" t="n">
        <v>2967.960174</v>
      </c>
      <c r="C25" s="18" t="n">
        <v>3012.412061</v>
      </c>
      <c r="D25" s="18" t="n">
        <v>3144.188651</v>
      </c>
      <c r="E25" s="18" t="n">
        <v>2630.792625</v>
      </c>
      <c r="F25" s="18" t="n">
        <v>3954.68842</v>
      </c>
      <c r="G25" s="18" t="n">
        <v>4133.954127</v>
      </c>
      <c r="H25" s="18" t="n">
        <v>4365.863151</v>
      </c>
      <c r="I25" s="18" t="n">
        <v>4342.412644</v>
      </c>
      <c r="J25" s="18" t="n">
        <v>4520.693815</v>
      </c>
      <c r="K25" s="18" t="n">
        <v>3542.695952</v>
      </c>
      <c r="L25" s="18" t="n">
        <v>3462.139951</v>
      </c>
      <c r="M25" s="18" t="n">
        <v>2805.853833</v>
      </c>
      <c r="N25" s="18" t="n">
        <v>5027.476867</v>
      </c>
      <c r="O25" s="18" t="n">
        <v>5255.650155</v>
      </c>
      <c r="P25" s="18" t="n">
        <v>4245.744966</v>
      </c>
      <c r="Q25" s="18" t="n">
        <v>4142.663504</v>
      </c>
      <c r="R25" s="18" t="n">
        <v>3397.176619</v>
      </c>
      <c r="S25" s="18" t="n">
        <v>3123.255934</v>
      </c>
      <c r="T25" s="18" t="n">
        <v>3293.7</v>
      </c>
      <c r="U25" s="18" t="n">
        <v>3333.906093</v>
      </c>
      <c r="V25" s="18" t="n">
        <v>4333.4</v>
      </c>
      <c r="W25" s="18" t="n">
        <v>2873.7</v>
      </c>
      <c r="X25" s="18" t="n">
        <v>3253.7</v>
      </c>
      <c r="Y25" s="18" t="n">
        <v>3161.3</v>
      </c>
      <c r="Z25" s="18" t="n">
        <v>3775.5</v>
      </c>
      <c r="AA25" s="18" t="n">
        <v>4810.8</v>
      </c>
      <c r="AB25" s="18" t="n">
        <v>4613.2</v>
      </c>
      <c r="AC25" s="18" t="n">
        <v>7240.9</v>
      </c>
    </row>
    <row r="26">
      <c r="A26" s="5" t="inlineStr">
        <is>
          <t xml:space="preserve">  CASH FLOW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</row>
    <row r="27">
      <c r="A27" s="4" t="inlineStr">
        <is>
          <t>D&amp;A</t>
        </is>
      </c>
      <c r="B27" s="18" t="n">
        <v>96.304604</v>
      </c>
      <c r="C27" s="18" t="n">
        <v>100.366324</v>
      </c>
      <c r="D27" s="18" t="n">
        <v>106.779534</v>
      </c>
      <c r="E27" s="18" t="n">
        <v>90.921845</v>
      </c>
      <c r="F27" s="18" t="n">
        <v>92.867248</v>
      </c>
      <c r="G27" s="18" t="n">
        <v>106.318682</v>
      </c>
      <c r="H27" s="18" t="n">
        <v>107.534888</v>
      </c>
      <c r="I27" s="18" t="n">
        <v>119.135826</v>
      </c>
      <c r="J27" s="18" t="n">
        <v>134.236066</v>
      </c>
      <c r="K27" s="18" t="n">
        <v>156.691503</v>
      </c>
      <c r="L27" s="18" t="n">
        <v>153.978249</v>
      </c>
      <c r="M27" s="18" t="n">
        <v>167.534566</v>
      </c>
      <c r="N27" s="18" t="n">
        <v>257.389821</v>
      </c>
      <c r="O27" s="18" t="n">
        <v>220.767369</v>
      </c>
      <c r="P27" s="18" t="n">
        <v>218.236955</v>
      </c>
      <c r="Q27" s="18" t="n">
        <v>6.854865</v>
      </c>
      <c r="R27" s="18" t="n">
        <v>6.5</v>
      </c>
      <c r="S27" s="18" t="n">
        <v>6.1</v>
      </c>
      <c r="T27" s="18" t="n">
        <v>8.300000000000001</v>
      </c>
      <c r="U27" s="18" t="n">
        <v>8.912152000000001</v>
      </c>
      <c r="V27" s="18" t="n">
        <v>11.5</v>
      </c>
      <c r="W27" s="18" t="n">
        <v>25.3</v>
      </c>
      <c r="X27" s="18" t="n">
        <v>37.3</v>
      </c>
      <c r="Y27" s="18" t="n">
        <v>49.2</v>
      </c>
      <c r="Z27" s="18" t="n">
        <v>75.2</v>
      </c>
      <c r="AA27" s="18" t="n">
        <v>111.8</v>
      </c>
      <c r="AB27" s="18" t="n">
        <v>210.7</v>
      </c>
      <c r="AC27" s="18" t="n">
        <v>241.8</v>
      </c>
    </row>
    <row r="28">
      <c r="A28" s="4" t="inlineStr">
        <is>
          <t>Stock-based Compensation</t>
        </is>
      </c>
      <c r="B28" s="18" t="n">
        <v>34.87</v>
      </c>
      <c r="C28" s="18" t="n">
        <v>34.738621</v>
      </c>
      <c r="D28" s="18" t="n">
        <v>0</v>
      </c>
      <c r="E28" s="18" t="n">
        <v>34.552561</v>
      </c>
      <c r="F28" s="18" t="n">
        <v>59.978248</v>
      </c>
      <c r="G28" s="18" t="n">
        <v>50.04498</v>
      </c>
      <c r="H28" s="18" t="n">
        <v>0</v>
      </c>
      <c r="I28" s="18" t="n">
        <v>76.43868399999999</v>
      </c>
      <c r="J28" s="18" t="n">
        <v>0</v>
      </c>
      <c r="K28" s="18" t="n">
        <v>0</v>
      </c>
      <c r="L28" s="18" t="n">
        <v>0</v>
      </c>
      <c r="M28" s="18" t="n">
        <v>74.998503</v>
      </c>
      <c r="N28" s="18" t="n">
        <v>-51.641664</v>
      </c>
      <c r="O28" s="18" t="n">
        <v>12.292436</v>
      </c>
      <c r="P28" s="18" t="n">
        <v>0</v>
      </c>
      <c r="Q28" s="18" t="n">
        <v>0</v>
      </c>
      <c r="R28" s="18" t="n">
        <v>0</v>
      </c>
      <c r="S28" s="18" t="n">
        <v>0</v>
      </c>
      <c r="T28" s="18" t="n">
        <v>0</v>
      </c>
      <c r="U28" s="18" t="n">
        <v>0</v>
      </c>
      <c r="V28" s="18" t="n">
        <v>0</v>
      </c>
      <c r="W28" s="18" t="n">
        <v>6.9</v>
      </c>
      <c r="X28" s="18" t="n">
        <v>42.6</v>
      </c>
      <c r="Y28" s="18" t="n">
        <v>0</v>
      </c>
      <c r="Z28" s="18" t="n">
        <v>0</v>
      </c>
      <c r="AA28" s="18" t="n">
        <v>26.2</v>
      </c>
      <c r="AB28" s="18" t="n">
        <v>50.9</v>
      </c>
      <c r="AC28" s="18" t="n">
        <v>0</v>
      </c>
    </row>
    <row r="29">
      <c r="A29" s="4" t="inlineStr">
        <is>
          <t>Change in Working Capital</t>
        </is>
      </c>
      <c r="B29" s="18" t="n">
        <v>-54.936102</v>
      </c>
      <c r="C29" s="18" t="n">
        <v>4.4834</v>
      </c>
      <c r="D29" s="18" t="n">
        <v>-88.15936600000001</v>
      </c>
      <c r="E29" s="18" t="n">
        <v>-52.362642</v>
      </c>
      <c r="F29" s="18" t="n">
        <v>-157.562246</v>
      </c>
      <c r="G29" s="18" t="n">
        <v>45.91782</v>
      </c>
      <c r="H29" s="18" t="n">
        <v>-112.132508</v>
      </c>
      <c r="I29" s="18" t="n">
        <v>-41.498672</v>
      </c>
      <c r="J29" s="18" t="n">
        <v>-183.771699</v>
      </c>
      <c r="K29" s="18" t="n">
        <v>-95.35466700000001</v>
      </c>
      <c r="L29" s="18" t="n">
        <v>-86.113923</v>
      </c>
      <c r="M29" s="18" t="n">
        <v>-140.803256</v>
      </c>
      <c r="N29" s="18" t="n">
        <v>20.196021</v>
      </c>
      <c r="O29" s="18" t="n">
        <v>112.549413</v>
      </c>
      <c r="P29" s="18" t="n">
        <v>-292.48297</v>
      </c>
      <c r="Q29" s="18" t="n">
        <v>99.061666</v>
      </c>
      <c r="R29" s="18" t="n">
        <v>-167.009769</v>
      </c>
      <c r="S29" s="18" t="n">
        <v>-28.844077</v>
      </c>
      <c r="T29" s="18" t="n">
        <v>92.739475</v>
      </c>
      <c r="U29" s="18" t="n">
        <v>0</v>
      </c>
      <c r="V29" s="18" t="n">
        <v>0</v>
      </c>
      <c r="W29" s="18" t="n">
        <v>-13.2</v>
      </c>
      <c r="X29" s="18" t="n">
        <v>-34.9</v>
      </c>
      <c r="Y29" s="18" t="n">
        <v>0</v>
      </c>
      <c r="Z29" s="18" t="n">
        <v>0</v>
      </c>
      <c r="AA29" s="18" t="n">
        <v>-98.5</v>
      </c>
      <c r="AB29" s="18" t="n">
        <v>-804.4</v>
      </c>
      <c r="AC29" s="18" t="n">
        <v>2121.699999</v>
      </c>
    </row>
    <row r="30">
      <c r="A30" s="4" t="inlineStr">
        <is>
          <t>Operating Cash Flow</t>
        </is>
      </c>
      <c r="B30" s="18" t="n">
        <v>167.106557</v>
      </c>
      <c r="C30" s="18" t="n">
        <v>227.01465</v>
      </c>
      <c r="D30" s="18" t="n">
        <v>143.328905</v>
      </c>
      <c r="E30" s="18" t="n">
        <v>96.636645</v>
      </c>
      <c r="F30" s="18" t="n">
        <v>-1.852499</v>
      </c>
      <c r="G30" s="18" t="n">
        <v>239.299324</v>
      </c>
      <c r="H30" s="18" t="n">
        <v>69.489161</v>
      </c>
      <c r="I30" s="18" t="n">
        <v>112.748376</v>
      </c>
      <c r="J30" s="18" t="n">
        <v>-65.282245</v>
      </c>
      <c r="K30" s="18" t="n">
        <v>30.39284</v>
      </c>
      <c r="L30" s="18" t="n">
        <v>47.610009</v>
      </c>
      <c r="M30" s="18" t="n">
        <v>-48.4707</v>
      </c>
      <c r="N30" s="18" t="n">
        <v>397.372423</v>
      </c>
      <c r="O30" s="18" t="n">
        <v>453.005398</v>
      </c>
      <c r="P30" s="18" t="n">
        <v>-58.33249</v>
      </c>
      <c r="Q30" s="18" t="n">
        <v>306.88811</v>
      </c>
      <c r="R30" s="18" t="n">
        <v>135.657959</v>
      </c>
      <c r="S30" s="18" t="n">
        <v>176.224949</v>
      </c>
      <c r="T30" s="18" t="n">
        <v>145.532343</v>
      </c>
      <c r="U30" s="18" t="n">
        <v>0</v>
      </c>
      <c r="V30" s="18" t="n">
        <v>0</v>
      </c>
      <c r="W30" s="18" t="n">
        <v>-55.8</v>
      </c>
      <c r="X30" s="18" t="n">
        <v>-74.59999999999999</v>
      </c>
      <c r="Y30" s="18" t="n">
        <v>0</v>
      </c>
      <c r="Z30" s="18" t="n">
        <v>0</v>
      </c>
      <c r="AA30" s="18" t="n">
        <v>-80.40000000000001</v>
      </c>
      <c r="AB30" s="18" t="n">
        <v>834.3</v>
      </c>
      <c r="AC30" s="18" t="n">
        <v>2258</v>
      </c>
    </row>
    <row r="31">
      <c r="A31" s="4" t="inlineStr">
        <is>
          <t>Capex</t>
        </is>
      </c>
      <c r="B31" s="18" t="n">
        <v>-122.425405</v>
      </c>
      <c r="C31" s="18" t="n">
        <v>-82.015303</v>
      </c>
      <c r="D31" s="18" t="n">
        <v>-90.179355</v>
      </c>
      <c r="E31" s="18" t="n">
        <v>-30.206801</v>
      </c>
      <c r="F31" s="18" t="n">
        <v>-146.432997</v>
      </c>
      <c r="G31" s="18" t="n">
        <v>-59.426041</v>
      </c>
      <c r="H31" s="18" t="n">
        <v>-86.93699100000001</v>
      </c>
      <c r="I31" s="18" t="n">
        <v>-46.872032</v>
      </c>
      <c r="J31" s="18" t="n">
        <v>-184.731114</v>
      </c>
      <c r="K31" s="18" t="n">
        <v>-117.64919</v>
      </c>
      <c r="L31" s="18" t="n">
        <v>-263.146989</v>
      </c>
      <c r="M31" s="18" t="n">
        <v>-215.275034</v>
      </c>
      <c r="N31" s="18" t="n">
        <v>-146.644814</v>
      </c>
      <c r="O31" s="18" t="n">
        <v>-78.907856</v>
      </c>
      <c r="P31" s="18" t="n">
        <v>-319.424109</v>
      </c>
      <c r="Q31" s="18" t="n">
        <v>-130.20156</v>
      </c>
      <c r="R31" s="18" t="n">
        <v>-283.989849</v>
      </c>
      <c r="S31" s="18" t="n">
        <v>-272.429439</v>
      </c>
      <c r="T31" s="18" t="n">
        <v>609.803666</v>
      </c>
      <c r="U31" s="18" t="n">
        <v>0</v>
      </c>
      <c r="V31" s="18" t="n">
        <v>0</v>
      </c>
      <c r="W31" s="18" t="n">
        <v>-172.1</v>
      </c>
      <c r="X31" s="18" t="n">
        <v>-417.7</v>
      </c>
      <c r="Y31" s="18" t="n">
        <v>0</v>
      </c>
      <c r="Z31" s="18" t="n">
        <v>0</v>
      </c>
      <c r="AA31" s="18" t="n">
        <v>-955.5</v>
      </c>
      <c r="AB31" s="18" t="n">
        <v>-2056</v>
      </c>
      <c r="AC31" s="18" t="n">
        <v>-2472.9</v>
      </c>
    </row>
    <row r="32">
      <c r="A32" s="4" t="inlineStr">
        <is>
          <t>Free Cash Flow</t>
        </is>
      </c>
      <c r="B32" s="18" t="n">
        <v>44.681151</v>
      </c>
      <c r="C32" s="18" t="n">
        <v>144.999346</v>
      </c>
      <c r="D32" s="18" t="n">
        <v>53.14955</v>
      </c>
      <c r="E32" s="18" t="n">
        <v>66.42984300000001</v>
      </c>
      <c r="F32" s="18" t="n">
        <v>-148.285497</v>
      </c>
      <c r="G32" s="18" t="n">
        <v>179.873283</v>
      </c>
      <c r="H32" s="18" t="n">
        <v>-17.44783</v>
      </c>
      <c r="I32" s="18" t="n">
        <v>65.87634300000001</v>
      </c>
      <c r="J32" s="18" t="n">
        <v>-250.01336</v>
      </c>
      <c r="K32" s="18" t="n">
        <v>-87.25635</v>
      </c>
      <c r="L32" s="18" t="n">
        <v>-215.53698</v>
      </c>
      <c r="M32" s="18" t="n">
        <v>-263.745735</v>
      </c>
      <c r="N32" s="18" t="n">
        <v>250.727608</v>
      </c>
      <c r="O32" s="18" t="n">
        <v>374.097541</v>
      </c>
      <c r="P32" s="18" t="n">
        <v>-377.7566</v>
      </c>
      <c r="Q32" s="18" t="n">
        <v>176.68655</v>
      </c>
      <c r="R32" s="18" t="n">
        <v>-148.33189</v>
      </c>
      <c r="S32" s="18" t="n">
        <v>-96.20449000000001</v>
      </c>
      <c r="T32" s="18" t="n">
        <v>755.33601</v>
      </c>
      <c r="U32" s="18" t="n">
        <v>0</v>
      </c>
      <c r="V32" s="18" t="n">
        <v>0</v>
      </c>
      <c r="W32" s="18" t="n">
        <v>-227.9</v>
      </c>
      <c r="X32" s="18" t="n">
        <v>-492.3</v>
      </c>
      <c r="Y32" s="18" t="n">
        <v>0</v>
      </c>
      <c r="Z32" s="18" t="n">
        <v>0</v>
      </c>
      <c r="AA32" s="18" t="n">
        <v>-1035.9</v>
      </c>
      <c r="AB32" s="18" t="n">
        <v>-1221.7</v>
      </c>
      <c r="AC32" s="18" t="n">
        <v>-214.9</v>
      </c>
    </row>
    <row r="34">
      <c r="A3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2026</v>
      </c>
      <c r="C2" s="36" t="n">
        <v>2027</v>
      </c>
      <c r="D2" s="36" t="n">
        <v>2028</v>
      </c>
      <c r="E2" s="36" t="n">
        <v>2029</v>
      </c>
      <c r="F2" s="3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3387.983444</v>
      </c>
      <c r="C4" s="18" t="n">
        <v>11476.233501</v>
      </c>
      <c r="D4" s="18" t="n">
        <v>20674.207377</v>
      </c>
      <c r="E4" s="18" t="n">
        <v>27980.2</v>
      </c>
      <c r="F4" s="18" t="n">
        <v>38855.7</v>
      </c>
    </row>
    <row r="5">
      <c r="A5" s="4" t="inlineStr">
        <is>
          <t xml:space="preserve">  model</t>
        </is>
      </c>
      <c r="B5" s="28">
        <f>Model!G6</f>
        <v/>
      </c>
      <c r="C5" s="28">
        <f>Model!H6</f>
        <v/>
      </c>
      <c r="D5" s="28">
        <f>Model!I6</f>
        <v/>
      </c>
      <c r="E5" s="28">
        <f>Model!J6</f>
        <v/>
      </c>
      <c r="F5" s="28">
        <f>Model!K6</f>
        <v/>
      </c>
    </row>
    <row r="6">
      <c r="A6" s="4" t="inlineStr">
        <is>
          <t xml:space="preserve">  vs consensus</t>
        </is>
      </c>
      <c r="B6" s="37">
        <f>IFERROR(B5/B4-1,"")</f>
        <v/>
      </c>
      <c r="C6" s="37">
        <f>IFERROR(C5/C4-1,"")</f>
        <v/>
      </c>
      <c r="D6" s="37">
        <f>IFERROR(D5/D4-1,"")</f>
        <v/>
      </c>
      <c r="E6" s="37">
        <f>IFERROR(E5/E4-1,"")</f>
        <v/>
      </c>
      <c r="F6" s="37">
        <f>IFERROR(F5/F4-1,"")</f>
        <v/>
      </c>
    </row>
    <row r="8">
      <c r="A8" s="3" t="inlineStr">
        <is>
          <t>EBITDA* — consensus</t>
        </is>
      </c>
      <c r="B8" s="18" t="n">
        <v>-2262.963687</v>
      </c>
      <c r="C8" s="18" t="n">
        <v>-7665.415166</v>
      </c>
      <c r="D8" s="18" t="n">
        <v>-13809.093617</v>
      </c>
      <c r="E8" s="18" t="n">
        <v>-18689.045446</v>
      </c>
      <c r="F8" s="18" t="n">
        <v>-25953.207737</v>
      </c>
    </row>
    <row r="9">
      <c r="A9" s="4" t="inlineStr">
        <is>
          <t xml:space="preserve">  model</t>
        </is>
      </c>
      <c r="B9" s="28">
        <f>Model!G19+Model!G24</f>
        <v/>
      </c>
      <c r="C9" s="28">
        <f>Model!H19+Model!H24</f>
        <v/>
      </c>
      <c r="D9" s="28">
        <f>Model!I19+Model!I24</f>
        <v/>
      </c>
      <c r="E9" s="28">
        <f>Model!J19+Model!J24</f>
        <v/>
      </c>
      <c r="F9" s="28">
        <f>Model!K19+Model!K24</f>
        <v/>
      </c>
    </row>
    <row r="10">
      <c r="A10" s="4" t="inlineStr">
        <is>
          <t xml:space="preserve">  vs consensus</t>
        </is>
      </c>
      <c r="B10" s="37">
        <f>IFERROR(B9/B8-1,"")</f>
        <v/>
      </c>
      <c r="C10" s="37">
        <f>IFERROR(C9/C8-1,"")</f>
        <v/>
      </c>
      <c r="D10" s="37">
        <f>IFERROR(D9/D8-1,"")</f>
        <v/>
      </c>
      <c r="E10" s="37">
        <f>IFERROR(E9/E8-1,"")</f>
        <v/>
      </c>
      <c r="F10" s="37">
        <f>IFERROR(F9/F8-1,"")</f>
        <v/>
      </c>
    </row>
    <row r="12">
      <c r="A12" s="3" t="inlineStr">
        <is>
          <t>EBIT* — consensus</t>
        </is>
      </c>
      <c r="B12" s="18" t="n">
        <v>-2735.645552</v>
      </c>
      <c r="C12" s="18" t="n">
        <v>-9266.546799</v>
      </c>
      <c r="D12" s="18" t="n">
        <v>-16693.500545</v>
      </c>
      <c r="E12" s="18" t="n">
        <v>-22592.763796</v>
      </c>
      <c r="F12" s="18" t="n">
        <v>-31374.245082</v>
      </c>
    </row>
    <row r="13">
      <c r="A13" s="4" t="inlineStr">
        <is>
          <t xml:space="preserve">  model</t>
        </is>
      </c>
      <c r="B13" s="28">
        <f>Model!G19</f>
        <v/>
      </c>
      <c r="C13" s="28">
        <f>Model!H19</f>
        <v/>
      </c>
      <c r="D13" s="28">
        <f>Model!I19</f>
        <v/>
      </c>
      <c r="E13" s="28">
        <f>Model!J19</f>
        <v/>
      </c>
      <c r="F13" s="28">
        <f>Model!K19</f>
        <v/>
      </c>
    </row>
    <row r="14">
      <c r="A14" s="4" t="inlineStr">
        <is>
          <t xml:space="preserve">  vs consensus</t>
        </is>
      </c>
      <c r="B14" s="37">
        <f>IFERROR(B13/B12-1,"")</f>
        <v/>
      </c>
      <c r="C14" s="37">
        <f>IFERROR(C13/C12-1,"")</f>
        <v/>
      </c>
      <c r="D14" s="37">
        <f>IFERROR(D13/D12-1,"")</f>
        <v/>
      </c>
      <c r="E14" s="37">
        <f>IFERROR(E13/E12-1,"")</f>
        <v/>
      </c>
      <c r="F14" s="37">
        <f>IFERROR(F13/F12-1,"")</f>
        <v/>
      </c>
    </row>
    <row r="16">
      <c r="A16" s="3" t="inlineStr">
        <is>
          <t>SG&amp;A — consensus</t>
        </is>
      </c>
      <c r="B16" s="18" t="n">
        <v>3360.110491</v>
      </c>
      <c r="C16" s="18" t="n">
        <v>11381.818486</v>
      </c>
      <c r="D16" s="18" t="n">
        <v>20504.120597</v>
      </c>
      <c r="E16" s="18" t="n">
        <v>27750.006792</v>
      </c>
      <c r="F16" s="18" t="n">
        <v>38536.034015</v>
      </c>
    </row>
    <row r="17">
      <c r="A17" s="4" t="inlineStr">
        <is>
          <t xml:space="preserve">  model</t>
        </is>
      </c>
      <c r="B17" s="28">
        <f>Model!G14</f>
        <v/>
      </c>
      <c r="C17" s="28">
        <f>Model!H14</f>
        <v/>
      </c>
      <c r="D17" s="28">
        <f>Model!I14</f>
        <v/>
      </c>
      <c r="E17" s="28">
        <f>Model!J14</f>
        <v/>
      </c>
      <c r="F17" s="28">
        <f>Model!K14</f>
        <v/>
      </c>
    </row>
    <row r="18">
      <c r="A18" s="4" t="inlineStr">
        <is>
          <t xml:space="preserve">  vs consensus</t>
        </is>
      </c>
      <c r="B18" s="37">
        <f>IFERROR(B17/B16-1,"")</f>
        <v/>
      </c>
      <c r="C18" s="37">
        <f>IFERROR(C17/C16-1,"")</f>
        <v/>
      </c>
      <c r="D18" s="37">
        <f>IFERROR(D17/D16-1,"")</f>
        <v/>
      </c>
      <c r="E18" s="37">
        <f>IFERROR(E17/E16-1,"")</f>
        <v/>
      </c>
      <c r="F18" s="37">
        <f>IFERROR(F17/F16-1,"")</f>
        <v/>
      </c>
    </row>
    <row r="20">
      <c r="A20" s="3" t="inlineStr">
        <is>
          <t>Net income (NOPAT) — consensus</t>
        </is>
      </c>
      <c r="B20" s="18" t="n">
        <v>-520.5728779999999</v>
      </c>
      <c r="C20" s="18" t="n">
        <v>-239.089873</v>
      </c>
      <c r="D20" s="18" t="n">
        <v>341.214985</v>
      </c>
      <c r="E20" s="18" t="n">
        <v>-561.766562</v>
      </c>
      <c r="F20" s="18" t="n">
        <v>-20.24384</v>
      </c>
    </row>
    <row r="21">
      <c r="A21" s="4" t="inlineStr">
        <is>
          <t xml:space="preserve">  model</t>
        </is>
      </c>
      <c r="B21" s="28">
        <f>Model!G23</f>
        <v/>
      </c>
      <c r="C21" s="28">
        <f>Model!H23</f>
        <v/>
      </c>
      <c r="D21" s="28">
        <f>Model!I23</f>
        <v/>
      </c>
      <c r="E21" s="28">
        <f>Model!J23</f>
        <v/>
      </c>
      <c r="F21" s="28">
        <f>Model!K23</f>
        <v/>
      </c>
    </row>
    <row r="22">
      <c r="A22" s="4" t="inlineStr">
        <is>
          <t xml:space="preserve">  vs consensus</t>
        </is>
      </c>
      <c r="B22" s="37">
        <f>IFERROR(B21/B20-1,"")</f>
        <v/>
      </c>
      <c r="C22" s="37">
        <f>IFERROR(C21/C20-1,"")</f>
        <v/>
      </c>
      <c r="D22" s="37">
        <f>IFERROR(D21/D20-1,"")</f>
        <v/>
      </c>
      <c r="E22" s="37">
        <f>IFERROR(E21/E20-1,"")</f>
        <v/>
      </c>
      <c r="F22" s="37">
        <f>IFERROR(F21/F20-1,"")</f>
        <v/>
      </c>
    </row>
    <row r="24">
      <c r="A24" s="3" t="inlineStr">
        <is>
          <t>EPS — consensus</t>
        </is>
      </c>
      <c r="B24" s="38" t="n">
        <v>-2.05721</v>
      </c>
      <c r="C24" s="38" t="n">
        <v>-0.94484</v>
      </c>
      <c r="D24" s="38" t="n">
        <v>1.34842</v>
      </c>
      <c r="E24" s="38" t="n">
        <v>-2.22</v>
      </c>
      <c r="F24" s="38" t="n">
        <v>-0.08</v>
      </c>
    </row>
    <row r="25">
      <c r="A25" s="4" t="inlineStr">
        <is>
          <t xml:space="preserve">  model</t>
        </is>
      </c>
      <c r="B25" s="8">
        <f>Model!G23/Financials!AC17</f>
        <v/>
      </c>
      <c r="C25" s="8">
        <f>Model!H23/Financials!AC17</f>
        <v/>
      </c>
      <c r="D25" s="8">
        <f>Model!I23/Financials!AC17</f>
        <v/>
      </c>
      <c r="E25" s="8">
        <f>Model!J23/Financials!AC17</f>
        <v/>
      </c>
      <c r="F25" s="8">
        <f>Model!K23/Financials!AC17</f>
        <v/>
      </c>
    </row>
    <row r="26">
      <c r="A26" s="4" t="inlineStr">
        <is>
          <t xml:space="preserve">  vs consensus</t>
        </is>
      </c>
      <c r="B26" s="37">
        <f>IFERROR(B25/B24-1,"")</f>
        <v/>
      </c>
      <c r="C26" s="37">
        <f>IFERROR(C25/C24-1,"")</f>
        <v/>
      </c>
      <c r="D26" s="37">
        <f>IFERROR(D25/D24-1,"")</f>
        <v/>
      </c>
      <c r="E26" s="37">
        <f>IFERROR(E25/E24-1,"")</f>
        <v/>
      </c>
      <c r="F26" s="37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Nebius Group N.V.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WACC!B14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36" t="n">
        <v>2026</v>
      </c>
      <c r="D11" s="36" t="n">
        <v>2027</v>
      </c>
      <c r="E11" s="36" t="n">
        <v>2028</v>
      </c>
      <c r="F11" s="36" t="n">
        <v>2029</v>
      </c>
      <c r="G11" s="36" t="n">
        <v>2030</v>
      </c>
      <c r="H11" s="36" t="n">
        <v>2031</v>
      </c>
      <c r="I11" s="36" t="n">
        <v>2032</v>
      </c>
      <c r="J11" s="36" t="n">
        <v>2033</v>
      </c>
      <c r="K11" s="36" t="n">
        <v>2034</v>
      </c>
      <c r="L11" s="36" t="n">
        <v>2035</v>
      </c>
    </row>
    <row r="12">
      <c r="A12" s="4" t="inlineStr">
        <is>
          <t>FCFF ($M)</t>
        </is>
      </c>
      <c r="C12" s="28">
        <f>Model!G31</f>
        <v/>
      </c>
      <c r="D12" s="28">
        <f>Model!H31</f>
        <v/>
      </c>
      <c r="E12" s="28">
        <f>Model!I31</f>
        <v/>
      </c>
      <c r="F12" s="28">
        <f>Model!J31</f>
        <v/>
      </c>
      <c r="G12" s="28">
        <f>Model!K31</f>
        <v/>
      </c>
      <c r="H12" s="28">
        <f>Model!L31</f>
        <v/>
      </c>
      <c r="I12" s="28">
        <f>Model!M31</f>
        <v/>
      </c>
      <c r="J12" s="28">
        <f>Model!N31</f>
        <v/>
      </c>
      <c r="K12" s="28">
        <f>Model!O31</f>
        <v/>
      </c>
      <c r="L12" s="28">
        <f>Model!P31</f>
        <v/>
      </c>
    </row>
    <row r="13">
      <c r="A13" s="4" t="inlineStr">
        <is>
          <t>PV factor</t>
        </is>
      </c>
      <c r="C13" s="39">
        <f>1/(1+$B$3)^1</f>
        <v/>
      </c>
      <c r="D13" s="39">
        <f>1/(1+$B$3)^2</f>
        <v/>
      </c>
      <c r="E13" s="39">
        <f>1/(1+$B$3)^3</f>
        <v/>
      </c>
      <c r="F13" s="39">
        <f>1/(1+$B$3)^4</f>
        <v/>
      </c>
      <c r="G13" s="39">
        <f>1/(1+$B$3)^5</f>
        <v/>
      </c>
      <c r="H13" s="39">
        <f>1/(1+$B$3)^6</f>
        <v/>
      </c>
      <c r="I13" s="39">
        <f>1/(1+$B$3)^7</f>
        <v/>
      </c>
      <c r="J13" s="39">
        <f>1/(1+$B$3)^8</f>
        <v/>
      </c>
      <c r="K13" s="39">
        <f>1/(1+$B$3)^9</f>
        <v/>
      </c>
      <c r="L13" s="39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Model!P6</f>
        <v/>
      </c>
    </row>
    <row r="21">
      <c r="A21" s="4" t="inlineStr">
        <is>
          <t>Terminal EBIT</t>
        </is>
      </c>
      <c r="B21" s="28">
        <f>Model!P19</f>
        <v/>
      </c>
    </row>
    <row r="22">
      <c r="A22" s="4" t="inlineStr">
        <is>
          <t>Terminal EBITDA</t>
        </is>
      </c>
      <c r="B22" s="28">
        <f>Model!P19+Model!P24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Financials!AC19</f>
        <v/>
      </c>
    </row>
    <row r="33">
      <c r="A33" s="4" t="inlineStr">
        <is>
          <t>- Long-term debt</t>
        </is>
      </c>
      <c r="B33" s="28">
        <f>-Financials!AC24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7">
        <f>B28/B31</f>
        <v/>
      </c>
    </row>
    <row r="40">
      <c r="A40" s="4" t="inlineStr">
        <is>
          <t>Implied perpetuity g (from exit multiple)</t>
        </is>
      </c>
      <c r="B40" s="27">
        <f>(B24*$B$3-B19)/(B24+B19)</f>
        <v/>
      </c>
    </row>
    <row r="41">
      <c r="A41" s="4" t="inlineStr">
        <is>
          <t>Implied exit EV/EBITDA (from perpetuity)</t>
        </is>
      </c>
      <c r="B41" s="34">
        <f>B26/B22</f>
        <v/>
      </c>
    </row>
    <row r="42">
      <c r="A42" s="4" t="inlineStr">
        <is>
          <t>Upside / (downside) to fair value</t>
        </is>
      </c>
      <c r="B42" s="40">
        <f>B36/$B$2-1</f>
        <v/>
      </c>
    </row>
    <row r="44">
      <c r="A44" s="4" t="inlineStr">
        <is>
          <t>Owner cashflow / share</t>
        </is>
      </c>
      <c r="B44" s="41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29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27">
        <f>MAX(-0.05,NORMINV(RAND(),$C$6,$D$6))</f>
        <v/>
      </c>
      <c r="L2" s="27">
        <f>MAX(0.02,NORMINV(RAND(),$C$7,$D$7))</f>
        <v/>
      </c>
      <c r="M2" s="27">
        <f>MIN(0.16,MAX(0.05,NORMINV(RAND(),$C$8,$D$8)))</f>
        <v/>
      </c>
      <c r="N2" s="34">
        <f>MIN(24,MAX(5,NORMINV(RAND(),$C$9,$D$9)))</f>
        <v/>
      </c>
      <c r="O2" s="41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27">
        <f>MAX(-0.05,NORMINV(RAND(),$C$6,$D$6))</f>
        <v/>
      </c>
      <c r="L3" s="27">
        <f>MAX(0.02,NORMINV(RAND(),$C$7,$D$7))</f>
        <v/>
      </c>
      <c r="M3" s="27">
        <f>MIN(0.16,MAX(0.05,NORMINV(RAND(),$C$8,$D$8)))</f>
        <v/>
      </c>
      <c r="N3" s="34">
        <f>MIN(24,MAX(5,NORMINV(RAND(),$C$9,$D$9)))</f>
        <v/>
      </c>
      <c r="O3" s="41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39" t="n">
        <v>0.8365780606514412</v>
      </c>
      <c r="K4" s="27">
        <f>MAX(-0.05,NORMINV(RAND(),$C$6,$D$6))</f>
        <v/>
      </c>
      <c r="L4" s="27">
        <f>MAX(0.02,NORMINV(RAND(),$C$7,$D$7))</f>
        <v/>
      </c>
      <c r="M4" s="27">
        <f>MIN(0.16,MAX(0.05,NORMINV(RAND(),$C$8,$D$8)))</f>
        <v/>
      </c>
      <c r="N4" s="34">
        <f>MIN(24,MAX(5,NORMINV(RAND(),$C$9,$D$9)))</f>
        <v/>
      </c>
      <c r="O4" s="41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39" t="n">
        <v>0.9562765719400316</v>
      </c>
      <c r="K5" s="27">
        <f>MAX(-0.05,NORMINV(RAND(),$C$6,$D$6))</f>
        <v/>
      </c>
      <c r="L5" s="27">
        <f>MAX(0.02,NORMINV(RAND(),$C$7,$D$7))</f>
        <v/>
      </c>
      <c r="M5" s="27">
        <f>MIN(0.16,MAX(0.05,NORMINV(RAND(),$C$8,$D$8)))</f>
        <v/>
      </c>
      <c r="N5" s="34">
        <f>MIN(24,MAX(5,NORMINV(RAND(),$C$9,$D$9)))</f>
        <v/>
      </c>
      <c r="O5" s="41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(Model!P6/Model!F6)^(1/10)-1</f>
        <v/>
      </c>
      <c r="D6" s="15" t="n">
        <v>0.03</v>
      </c>
      <c r="H6" s="4" t="inlineStr">
        <is>
          <t>nwc (% incr revenue)</t>
        </is>
      </c>
      <c r="I6" s="39" t="n">
        <v>0.005</v>
      </c>
      <c r="K6" s="27">
        <f>MAX(-0.05,NORMINV(RAND(),$C$6,$D$6))</f>
        <v/>
      </c>
      <c r="L6" s="27">
        <f>MAX(0.02,NORMINV(RAND(),$C$7,$D$7))</f>
        <v/>
      </c>
      <c r="M6" s="27">
        <f>MIN(0.16,MAX(0.05,NORMINV(RAND(),$C$8,$D$8)))</f>
        <v/>
      </c>
      <c r="N6" s="34">
        <f>MIN(24,MAX(5,NORMINV(RAND(),$C$9,$D$9)))</f>
        <v/>
      </c>
      <c r="O6" s="41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7">
        <f>MAX(-0.05,NORMINV(RAND(),$C$6,$D$6))</f>
        <v/>
      </c>
      <c r="L7" s="27">
        <f>MAX(0.02,NORMINV(RAND(),$C$7,$D$7))</f>
        <v/>
      </c>
      <c r="M7" s="27">
        <f>MIN(0.16,MAX(0.05,NORMINV(RAND(),$C$8,$D$8)))</f>
        <v/>
      </c>
      <c r="N7" s="34">
        <f>MIN(24,MAX(5,NORMINV(RAND(),$C$9,$D$9)))</f>
        <v/>
      </c>
      <c r="O7" s="41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WACC!B14</f>
        <v/>
      </c>
      <c r="D8" s="15" t="n">
        <v>0.005</v>
      </c>
      <c r="H8" s="4" t="inlineStr">
        <is>
          <t>k (calibration)</t>
        </is>
      </c>
      <c r="I8" s="39" t="n">
        <v>1.113120529484096</v>
      </c>
      <c r="K8" s="27">
        <f>MAX(-0.05,NORMINV(RAND(),$C$6,$D$6))</f>
        <v/>
      </c>
      <c r="L8" s="27">
        <f>MAX(0.02,NORMINV(RAND(),$C$7,$D$7))</f>
        <v/>
      </c>
      <c r="M8" s="27">
        <f>MIN(0.16,MAX(0.05,NORMINV(RAND(),$C$8,$D$8)))</f>
        <v/>
      </c>
      <c r="N8" s="34">
        <f>MIN(24,MAX(5,NORMINV(RAND(),$C$9,$D$9)))</f>
        <v/>
      </c>
      <c r="O8" s="41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Financials!AC19</f>
        <v/>
      </c>
      <c r="K9" s="27">
        <f>MAX(-0.05,NORMINV(RAND(),$C$6,$D$6))</f>
        <v/>
      </c>
      <c r="L9" s="27">
        <f>MAX(0.02,NORMINV(RAND(),$C$7,$D$7))</f>
        <v/>
      </c>
      <c r="M9" s="27">
        <f>MIN(0.16,MAX(0.05,NORMINV(RAND(),$C$8,$D$8)))</f>
        <v/>
      </c>
      <c r="N9" s="34">
        <f>MIN(24,MAX(5,NORMINV(RAND(),$C$9,$D$9)))</f>
        <v/>
      </c>
      <c r="O9" s="41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Financials!AC24</f>
        <v/>
      </c>
      <c r="K10" s="27">
        <f>MAX(-0.05,NORMINV(RAND(),$C$6,$D$6))</f>
        <v/>
      </c>
      <c r="L10" s="27">
        <f>MAX(0.02,NORMINV(RAND(),$C$7,$D$7))</f>
        <v/>
      </c>
      <c r="M10" s="27">
        <f>MIN(0.16,MAX(0.05,NORMINV(RAND(),$C$8,$D$8)))</f>
        <v/>
      </c>
      <c r="N10" s="34">
        <f>MIN(24,MAX(5,NORMINV(RAND(),$C$9,$D$9)))</f>
        <v/>
      </c>
      <c r="O10" s="41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7">
        <f>MAX(-0.05,NORMINV(RAND(),$C$6,$D$6))</f>
        <v/>
      </c>
      <c r="L11" s="27">
        <f>MAX(0.02,NORMINV(RAND(),$C$7,$D$7))</f>
        <v/>
      </c>
      <c r="M11" s="27">
        <f>MIN(0.16,MAX(0.05,NORMINV(RAND(),$C$8,$D$8)))</f>
        <v/>
      </c>
      <c r="N11" s="34">
        <f>MIN(24,MAX(5,NORMINV(RAND(),$C$9,$D$9)))</f>
        <v/>
      </c>
      <c r="O11" s="41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1">
        <f>AVERAGE($O$2:$O$1001)</f>
        <v/>
      </c>
      <c r="K12" s="27">
        <f>MAX(-0.05,NORMINV(RAND(),$C$6,$D$6))</f>
        <v/>
      </c>
      <c r="L12" s="27">
        <f>MAX(0.02,NORMINV(RAND(),$C$7,$D$7))</f>
        <v/>
      </c>
      <c r="M12" s="27">
        <f>MIN(0.16,MAX(0.05,NORMINV(RAND(),$C$8,$D$8)))</f>
        <v/>
      </c>
      <c r="N12" s="34">
        <f>MIN(24,MAX(5,NORMINV(RAND(),$C$9,$D$9)))</f>
        <v/>
      </c>
      <c r="O12" s="41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43">
        <f>MEDIAN($O$2:$O$1001)</f>
        <v/>
      </c>
      <c r="K13" s="27">
        <f>MAX(-0.05,NORMINV(RAND(),$C$6,$D$6))</f>
        <v/>
      </c>
      <c r="L13" s="27">
        <f>MAX(0.02,NORMINV(RAND(),$C$7,$D$7))</f>
        <v/>
      </c>
      <c r="M13" s="27">
        <f>MIN(0.16,MAX(0.05,NORMINV(RAND(),$C$8,$D$8)))</f>
        <v/>
      </c>
      <c r="N13" s="34">
        <f>MIN(24,MAX(5,NORMINV(RAND(),$C$9,$D$9)))</f>
        <v/>
      </c>
      <c r="O13" s="41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1">
        <f>STDEV($O$2:$O$1001)</f>
        <v/>
      </c>
      <c r="K14" s="27">
        <f>MAX(-0.05,NORMINV(RAND(),$C$6,$D$6))</f>
        <v/>
      </c>
      <c r="L14" s="27">
        <f>MAX(0.02,NORMINV(RAND(),$C$7,$D$7))</f>
        <v/>
      </c>
      <c r="M14" s="27">
        <f>MIN(0.16,MAX(0.05,NORMINV(RAND(),$C$8,$D$8)))</f>
        <v/>
      </c>
      <c r="N14" s="34">
        <f>MIN(24,MAX(5,NORMINV(RAND(),$C$9,$D$9)))</f>
        <v/>
      </c>
      <c r="O14" s="41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1">
        <f>MIN($O$2:$O$1001)</f>
        <v/>
      </c>
      <c r="K15" s="27">
        <f>MAX(-0.05,NORMINV(RAND(),$C$6,$D$6))</f>
        <v/>
      </c>
      <c r="L15" s="27">
        <f>MAX(0.02,NORMINV(RAND(),$C$7,$D$7))</f>
        <v/>
      </c>
      <c r="M15" s="27">
        <f>MIN(0.16,MAX(0.05,NORMINV(RAND(),$C$8,$D$8)))</f>
        <v/>
      </c>
      <c r="N15" s="34">
        <f>MIN(24,MAX(5,NORMINV(RAND(),$C$9,$D$9)))</f>
        <v/>
      </c>
      <c r="O15" s="41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1">
        <f>MAX($O$2:$O$1001)</f>
        <v/>
      </c>
      <c r="K16" s="27">
        <f>MAX(-0.05,NORMINV(RAND(),$C$6,$D$6))</f>
        <v/>
      </c>
      <c r="L16" s="27">
        <f>MAX(0.02,NORMINV(RAND(),$C$7,$D$7))</f>
        <v/>
      </c>
      <c r="M16" s="27">
        <f>MIN(0.16,MAX(0.05,NORMINV(RAND(),$C$8,$D$8)))</f>
        <v/>
      </c>
      <c r="N16" s="34">
        <f>MIN(24,MAX(5,NORMINV(RAND(),$C$9,$D$9)))</f>
        <v/>
      </c>
      <c r="O16" s="41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7">
        <f>MAX(-0.05,NORMINV(RAND(),$C$6,$D$6))</f>
        <v/>
      </c>
      <c r="L17" s="27">
        <f>MAX(0.02,NORMINV(RAND(),$C$7,$D$7))</f>
        <v/>
      </c>
      <c r="M17" s="27">
        <f>MIN(0.16,MAX(0.05,NORMINV(RAND(),$C$8,$D$8)))</f>
        <v/>
      </c>
      <c r="N17" s="34">
        <f>MIN(24,MAX(5,NORMINV(RAND(),$C$9,$D$9)))</f>
        <v/>
      </c>
      <c r="O17" s="41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7">
        <f>MAX(-0.05,NORMINV(RAND(),$C$6,$D$6))</f>
        <v/>
      </c>
      <c r="L18" s="27">
        <f>MAX(0.02,NORMINV(RAND(),$C$7,$D$7))</f>
        <v/>
      </c>
      <c r="M18" s="27">
        <f>MIN(0.16,MAX(0.05,NORMINV(RAND(),$C$8,$D$8)))</f>
        <v/>
      </c>
      <c r="N18" s="34">
        <f>MIN(24,MAX(5,NORMINV(RAND(),$C$9,$D$9)))</f>
        <v/>
      </c>
      <c r="O18" s="41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7">
        <f>MAX(-0.05,NORMINV(RAND(),$C$6,$D$6))</f>
        <v/>
      </c>
      <c r="L19" s="27">
        <f>MAX(0.02,NORMINV(RAND(),$C$7,$D$7))</f>
        <v/>
      </c>
      <c r="M19" s="27">
        <f>MIN(0.16,MAX(0.05,NORMINV(RAND(),$C$8,$D$8)))</f>
        <v/>
      </c>
      <c r="N19" s="34">
        <f>MIN(24,MAX(5,NORMINV(RAND(),$C$9,$D$9)))</f>
        <v/>
      </c>
      <c r="O19" s="41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7">
        <f>MAX(-0.05,NORMINV(RAND(),$C$6,$D$6))</f>
        <v/>
      </c>
      <c r="L20" s="27">
        <f>MAX(0.02,NORMINV(RAND(),$C$7,$D$7))</f>
        <v/>
      </c>
      <c r="M20" s="27">
        <f>MIN(0.16,MAX(0.05,NORMINV(RAND(),$C$8,$D$8)))</f>
        <v/>
      </c>
      <c r="N20" s="34">
        <f>MIN(24,MAX(5,NORMINV(RAND(),$C$9,$D$9)))</f>
        <v/>
      </c>
      <c r="O20" s="41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7">
        <f>MAX(-0.05,NORMINV(RAND(),$C$6,$D$6))</f>
        <v/>
      </c>
      <c r="L21" s="27">
        <f>MAX(0.02,NORMINV(RAND(),$C$7,$D$7))</f>
        <v/>
      </c>
      <c r="M21" s="27">
        <f>MIN(0.16,MAX(0.05,NORMINV(RAND(),$C$8,$D$8)))</f>
        <v/>
      </c>
      <c r="N21" s="34">
        <f>MIN(24,MAX(5,NORMINV(RAND(),$C$9,$D$9)))</f>
        <v/>
      </c>
      <c r="O21" s="41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7">
        <f>MAX(-0.05,NORMINV(RAND(),$C$6,$D$6))</f>
        <v/>
      </c>
      <c r="L22" s="27">
        <f>MAX(0.02,NORMINV(RAND(),$C$7,$D$7))</f>
        <v/>
      </c>
      <c r="M22" s="27">
        <f>MIN(0.16,MAX(0.05,NORMINV(RAND(),$C$8,$D$8)))</f>
        <v/>
      </c>
      <c r="N22" s="34">
        <f>MIN(24,MAX(5,NORMINV(RAND(),$C$9,$D$9)))</f>
        <v/>
      </c>
      <c r="O22" s="41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7">
        <f>MAX(-0.05,NORMINV(RAND(),$C$6,$D$6))</f>
        <v/>
      </c>
      <c r="L23" s="27">
        <f>MAX(0.02,NORMINV(RAND(),$C$7,$D$7))</f>
        <v/>
      </c>
      <c r="M23" s="27">
        <f>MIN(0.16,MAX(0.05,NORMINV(RAND(),$C$8,$D$8)))</f>
        <v/>
      </c>
      <c r="N23" s="34">
        <f>MIN(24,MAX(5,NORMINV(RAND(),$C$9,$D$9)))</f>
        <v/>
      </c>
      <c r="O23" s="41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1">
        <f>PERCENTILE($O$2:$O$1001,0.05)</f>
        <v/>
      </c>
      <c r="K24" s="27">
        <f>MAX(-0.05,NORMINV(RAND(),$C$6,$D$6))</f>
        <v/>
      </c>
      <c r="L24" s="27">
        <f>MAX(0.02,NORMINV(RAND(),$C$7,$D$7))</f>
        <v/>
      </c>
      <c r="M24" s="27">
        <f>MIN(0.16,MAX(0.05,NORMINV(RAND(),$C$8,$D$8)))</f>
        <v/>
      </c>
      <c r="N24" s="34">
        <f>MIN(24,MAX(5,NORMINV(RAND(),$C$9,$D$9)))</f>
        <v/>
      </c>
      <c r="O24" s="41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1">
        <f>PERCENTILE($O$2:$O$1001,0.1)</f>
        <v/>
      </c>
      <c r="K25" s="27">
        <f>MAX(-0.05,NORMINV(RAND(),$C$6,$D$6))</f>
        <v/>
      </c>
      <c r="L25" s="27">
        <f>MAX(0.02,NORMINV(RAND(),$C$7,$D$7))</f>
        <v/>
      </c>
      <c r="M25" s="27">
        <f>MIN(0.16,MAX(0.05,NORMINV(RAND(),$C$8,$D$8)))</f>
        <v/>
      </c>
      <c r="N25" s="34">
        <f>MIN(24,MAX(5,NORMINV(RAND(),$C$9,$D$9)))</f>
        <v/>
      </c>
      <c r="O25" s="41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1">
        <f>PERCENTILE($O$2:$O$1001,0.25)</f>
        <v/>
      </c>
      <c r="K26" s="27">
        <f>MAX(-0.05,NORMINV(RAND(),$C$6,$D$6))</f>
        <v/>
      </c>
      <c r="L26" s="27">
        <f>MAX(0.02,NORMINV(RAND(),$C$7,$D$7))</f>
        <v/>
      </c>
      <c r="M26" s="27">
        <f>MIN(0.16,MAX(0.05,NORMINV(RAND(),$C$8,$D$8)))</f>
        <v/>
      </c>
      <c r="N26" s="34">
        <f>MIN(24,MAX(5,NORMINV(RAND(),$C$9,$D$9)))</f>
        <v/>
      </c>
      <c r="O26" s="41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1">
        <f>PERCENTILE($O$2:$O$1001,0.5)</f>
        <v/>
      </c>
      <c r="K27" s="27">
        <f>MAX(-0.05,NORMINV(RAND(),$C$6,$D$6))</f>
        <v/>
      </c>
      <c r="L27" s="27">
        <f>MAX(0.02,NORMINV(RAND(),$C$7,$D$7))</f>
        <v/>
      </c>
      <c r="M27" s="27">
        <f>MIN(0.16,MAX(0.05,NORMINV(RAND(),$C$8,$D$8)))</f>
        <v/>
      </c>
      <c r="N27" s="34">
        <f>MIN(24,MAX(5,NORMINV(RAND(),$C$9,$D$9)))</f>
        <v/>
      </c>
      <c r="O27" s="41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1">
        <f>PERCENTILE($O$2:$O$1001,0.75)</f>
        <v/>
      </c>
      <c r="K28" s="27">
        <f>MAX(-0.05,NORMINV(RAND(),$C$6,$D$6))</f>
        <v/>
      </c>
      <c r="L28" s="27">
        <f>MAX(0.02,NORMINV(RAND(),$C$7,$D$7))</f>
        <v/>
      </c>
      <c r="M28" s="27">
        <f>MIN(0.16,MAX(0.05,NORMINV(RAND(),$C$8,$D$8)))</f>
        <v/>
      </c>
      <c r="N28" s="34">
        <f>MIN(24,MAX(5,NORMINV(RAND(),$C$9,$D$9)))</f>
        <v/>
      </c>
      <c r="O28" s="41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1">
        <f>PERCENTILE($O$2:$O$1001,0.9)</f>
        <v/>
      </c>
      <c r="K29" s="27">
        <f>MAX(-0.05,NORMINV(RAND(),$C$6,$D$6))</f>
        <v/>
      </c>
      <c r="L29" s="27">
        <f>MAX(0.02,NORMINV(RAND(),$C$7,$D$7))</f>
        <v/>
      </c>
      <c r="M29" s="27">
        <f>MIN(0.16,MAX(0.05,NORMINV(RAND(),$C$8,$D$8)))</f>
        <v/>
      </c>
      <c r="N29" s="34">
        <f>MIN(24,MAX(5,NORMINV(RAND(),$C$9,$D$9)))</f>
        <v/>
      </c>
      <c r="O29" s="41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1">
        <f>PERCENTILE($O$2:$O$1001,0.95)</f>
        <v/>
      </c>
      <c r="K30" s="27">
        <f>MAX(-0.05,NORMINV(RAND(),$C$6,$D$6))</f>
        <v/>
      </c>
      <c r="L30" s="27">
        <f>MAX(0.02,NORMINV(RAND(),$C$7,$D$7))</f>
        <v/>
      </c>
      <c r="M30" s="27">
        <f>MIN(0.16,MAX(0.05,NORMINV(RAND(),$C$8,$D$8)))</f>
        <v/>
      </c>
      <c r="N30" s="34">
        <f>MIN(24,MAX(5,NORMINV(RAND(),$C$9,$D$9)))</f>
        <v/>
      </c>
      <c r="O30" s="41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7">
        <f>MAX(-0.05,NORMINV(RAND(),$C$6,$D$6))</f>
        <v/>
      </c>
      <c r="L31" s="27">
        <f>MAX(0.02,NORMINV(RAND(),$C$7,$D$7))</f>
        <v/>
      </c>
      <c r="M31" s="27">
        <f>MIN(0.16,MAX(0.05,NORMINV(RAND(),$C$8,$D$8)))</f>
        <v/>
      </c>
      <c r="N31" s="34">
        <f>MIN(24,MAX(5,NORMINV(RAND(),$C$9,$D$9)))</f>
        <v/>
      </c>
      <c r="O31" s="41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7">
        <f>MAX(-0.05,NORMINV(RAND(),$C$6,$D$6))</f>
        <v/>
      </c>
      <c r="L32" s="27">
        <f>MAX(0.02,NORMINV(RAND(),$C$7,$D$7))</f>
        <v/>
      </c>
      <c r="M32" s="27">
        <f>MIN(0.16,MAX(0.05,NORMINV(RAND(),$C$8,$D$8)))</f>
        <v/>
      </c>
      <c r="N32" s="34">
        <f>MIN(24,MAX(5,NORMINV(RAND(),$C$9,$D$9)))</f>
        <v/>
      </c>
      <c r="O32" s="41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7">
        <f>MAX(-0.05,NORMINV(RAND(),$C$6,$D$6))</f>
        <v/>
      </c>
      <c r="L33" s="27">
        <f>MAX(0.02,NORMINV(RAND(),$C$7,$D$7))</f>
        <v/>
      </c>
      <c r="M33" s="27">
        <f>MIN(0.16,MAX(0.05,NORMINV(RAND(),$C$8,$D$8)))</f>
        <v/>
      </c>
      <c r="N33" s="34">
        <f>MIN(24,MAX(5,NORMINV(RAND(),$C$9,$D$9)))</f>
        <v/>
      </c>
      <c r="O33" s="41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27">
        <f>MAX(-0.05,NORMINV(RAND(),$C$6,$D$6))</f>
        <v/>
      </c>
      <c r="L34" s="27">
        <f>MAX(0.02,NORMINV(RAND(),$C$7,$D$7))</f>
        <v/>
      </c>
      <c r="M34" s="27">
        <f>MIN(0.16,MAX(0.05,NORMINV(RAND(),$C$8,$D$8)))</f>
        <v/>
      </c>
      <c r="N34" s="34">
        <f>MIN(24,MAX(5,NORMINV(RAND(),$C$9,$D$9)))</f>
        <v/>
      </c>
      <c r="O34" s="41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27">
        <f>MAX(-0.05,NORMINV(RAND(),$C$6,$D$6))</f>
        <v/>
      </c>
      <c r="L35" s="27">
        <f>MAX(0.02,NORMINV(RAND(),$C$7,$D$7))</f>
        <v/>
      </c>
      <c r="M35" s="27">
        <f>MIN(0.16,MAX(0.05,NORMINV(RAND(),$C$8,$D$8)))</f>
        <v/>
      </c>
      <c r="N35" s="34">
        <f>MIN(24,MAX(5,NORMINV(RAND(),$C$9,$D$9)))</f>
        <v/>
      </c>
      <c r="O35" s="41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27">
        <f>MAX(-0.05,NORMINV(RAND(),$C$6,$D$6))</f>
        <v/>
      </c>
      <c r="L36" s="27">
        <f>MAX(0.02,NORMINV(RAND(),$C$7,$D$7))</f>
        <v/>
      </c>
      <c r="M36" s="27">
        <f>MIN(0.16,MAX(0.05,NORMINV(RAND(),$C$8,$D$8)))</f>
        <v/>
      </c>
      <c r="N36" s="34">
        <f>MIN(24,MAX(5,NORMINV(RAND(),$C$9,$D$9)))</f>
        <v/>
      </c>
      <c r="O36" s="41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27">
        <f>MAX(-0.05,NORMINV(RAND(),$C$6,$D$6))</f>
        <v/>
      </c>
      <c r="L37" s="27">
        <f>MAX(0.02,NORMINV(RAND(),$C$7,$D$7))</f>
        <v/>
      </c>
      <c r="M37" s="27">
        <f>MIN(0.16,MAX(0.05,NORMINV(RAND(),$C$8,$D$8)))</f>
        <v/>
      </c>
      <c r="N37" s="34">
        <f>MIN(24,MAX(5,NORMINV(RAND(),$C$9,$D$9)))</f>
        <v/>
      </c>
      <c r="O37" s="41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27">
        <f>MAX(-0.05,NORMINV(RAND(),$C$6,$D$6))</f>
        <v/>
      </c>
      <c r="L38" s="27">
        <f>MAX(0.02,NORMINV(RAND(),$C$7,$D$7))</f>
        <v/>
      </c>
      <c r="M38" s="27">
        <f>MIN(0.16,MAX(0.05,NORMINV(RAND(),$C$8,$D$8)))</f>
        <v/>
      </c>
      <c r="N38" s="34">
        <f>MIN(24,MAX(5,NORMINV(RAND(),$C$9,$D$9)))</f>
        <v/>
      </c>
      <c r="O38" s="41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27">
        <f>MAX(-0.05,NORMINV(RAND(),$C$6,$D$6))</f>
        <v/>
      </c>
      <c r="L39" s="27">
        <f>MAX(0.02,NORMINV(RAND(),$C$7,$D$7))</f>
        <v/>
      </c>
      <c r="M39" s="27">
        <f>MIN(0.16,MAX(0.05,NORMINV(RAND(),$C$8,$D$8)))</f>
        <v/>
      </c>
      <c r="N39" s="34">
        <f>MIN(24,MAX(5,NORMINV(RAND(),$C$9,$D$9)))</f>
        <v/>
      </c>
      <c r="O39" s="41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27">
        <f>MAX(-0.05,NORMINV(RAND(),$C$6,$D$6))</f>
        <v/>
      </c>
      <c r="L40" s="27">
        <f>MAX(0.02,NORMINV(RAND(),$C$7,$D$7))</f>
        <v/>
      </c>
      <c r="M40" s="27">
        <f>MIN(0.16,MAX(0.05,NORMINV(RAND(),$C$8,$D$8)))</f>
        <v/>
      </c>
      <c r="N40" s="34">
        <f>MIN(24,MAX(5,NORMINV(RAND(),$C$9,$D$9)))</f>
        <v/>
      </c>
      <c r="O40" s="41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27">
        <f>MAX(-0.05,NORMINV(RAND(),$C$6,$D$6))</f>
        <v/>
      </c>
      <c r="L41" s="27">
        <f>MAX(0.02,NORMINV(RAND(),$C$7,$D$7))</f>
        <v/>
      </c>
      <c r="M41" s="27">
        <f>MIN(0.16,MAX(0.05,NORMINV(RAND(),$C$8,$D$8)))</f>
        <v/>
      </c>
      <c r="N41" s="34">
        <f>MIN(24,MAX(5,NORMINV(RAND(),$C$9,$D$9)))</f>
        <v/>
      </c>
      <c r="O41" s="41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27">
        <f>MAX(-0.05,NORMINV(RAND(),$C$6,$D$6))</f>
        <v/>
      </c>
      <c r="L42" s="27">
        <f>MAX(0.02,NORMINV(RAND(),$C$7,$D$7))</f>
        <v/>
      </c>
      <c r="M42" s="27">
        <f>MIN(0.16,MAX(0.05,NORMINV(RAND(),$C$8,$D$8)))</f>
        <v/>
      </c>
      <c r="N42" s="34">
        <f>MIN(24,MAX(5,NORMINV(RAND(),$C$9,$D$9)))</f>
        <v/>
      </c>
      <c r="O42" s="41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27">
        <f>MAX(-0.05,NORMINV(RAND(),$C$6,$D$6))</f>
        <v/>
      </c>
      <c r="L43" s="27">
        <f>MAX(0.02,NORMINV(RAND(),$C$7,$D$7))</f>
        <v/>
      </c>
      <c r="M43" s="27">
        <f>MIN(0.16,MAX(0.05,NORMINV(RAND(),$C$8,$D$8)))</f>
        <v/>
      </c>
      <c r="N43" s="34">
        <f>MIN(24,MAX(5,NORMINV(RAND(),$C$9,$D$9)))</f>
        <v/>
      </c>
      <c r="O43" s="41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27">
        <f>MAX(-0.05,NORMINV(RAND(),$C$6,$D$6))</f>
        <v/>
      </c>
      <c r="L44" s="27">
        <f>MAX(0.02,NORMINV(RAND(),$C$7,$D$7))</f>
        <v/>
      </c>
      <c r="M44" s="27">
        <f>MIN(0.16,MAX(0.05,NORMINV(RAND(),$C$8,$D$8)))</f>
        <v/>
      </c>
      <c r="N44" s="34">
        <f>MIN(24,MAX(5,NORMINV(RAND(),$C$9,$D$9)))</f>
        <v/>
      </c>
      <c r="O44" s="41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27">
        <f>MAX(-0.05,NORMINV(RAND(),$C$6,$D$6))</f>
        <v/>
      </c>
      <c r="L45" s="27">
        <f>MAX(0.02,NORMINV(RAND(),$C$7,$D$7))</f>
        <v/>
      </c>
      <c r="M45" s="27">
        <f>MIN(0.16,MAX(0.05,NORMINV(RAND(),$C$8,$D$8)))</f>
        <v/>
      </c>
      <c r="N45" s="34">
        <f>MIN(24,MAX(5,NORMINV(RAND(),$C$9,$D$9)))</f>
        <v/>
      </c>
      <c r="O45" s="41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27">
        <f>MAX(-0.05,NORMINV(RAND(),$C$6,$D$6))</f>
        <v/>
      </c>
      <c r="L46" s="27">
        <f>MAX(0.02,NORMINV(RAND(),$C$7,$D$7))</f>
        <v/>
      </c>
      <c r="M46" s="27">
        <f>MIN(0.16,MAX(0.05,NORMINV(RAND(),$C$8,$D$8)))</f>
        <v/>
      </c>
      <c r="N46" s="34">
        <f>MIN(24,MAX(5,NORMINV(RAND(),$C$9,$D$9)))</f>
        <v/>
      </c>
      <c r="O46" s="41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27">
        <f>MAX(-0.05,NORMINV(RAND(),$C$6,$D$6))</f>
        <v/>
      </c>
      <c r="L47" s="27">
        <f>MAX(0.02,NORMINV(RAND(),$C$7,$D$7))</f>
        <v/>
      </c>
      <c r="M47" s="27">
        <f>MIN(0.16,MAX(0.05,NORMINV(RAND(),$C$8,$D$8)))</f>
        <v/>
      </c>
      <c r="N47" s="34">
        <f>MIN(24,MAX(5,NORMINV(RAND(),$C$9,$D$9)))</f>
        <v/>
      </c>
      <c r="O47" s="41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27">
        <f>MAX(-0.05,NORMINV(RAND(),$C$6,$D$6))</f>
        <v/>
      </c>
      <c r="L48" s="27">
        <f>MAX(0.02,NORMINV(RAND(),$C$7,$D$7))</f>
        <v/>
      </c>
      <c r="M48" s="27">
        <f>MIN(0.16,MAX(0.05,NORMINV(RAND(),$C$8,$D$8)))</f>
        <v/>
      </c>
      <c r="N48" s="34">
        <f>MIN(24,MAX(5,NORMINV(RAND(),$C$9,$D$9)))</f>
        <v/>
      </c>
      <c r="O48" s="41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7">
        <f>MAX(-0.05,NORMINV(RAND(),$C$6,$D$6))</f>
        <v/>
      </c>
      <c r="L49" s="27">
        <f>MAX(0.02,NORMINV(RAND(),$C$7,$D$7))</f>
        <v/>
      </c>
      <c r="M49" s="27">
        <f>MIN(0.16,MAX(0.05,NORMINV(RAND(),$C$8,$D$8)))</f>
        <v/>
      </c>
      <c r="N49" s="34">
        <f>MIN(24,MAX(5,NORMINV(RAND(),$C$9,$D$9)))</f>
        <v/>
      </c>
      <c r="O49" s="41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7">
        <f>MAX(-0.05,NORMINV(RAND(),$C$6,$D$6))</f>
        <v/>
      </c>
      <c r="L50" s="27">
        <f>MAX(0.02,NORMINV(RAND(),$C$7,$D$7))</f>
        <v/>
      </c>
      <c r="M50" s="27">
        <f>MIN(0.16,MAX(0.05,NORMINV(RAND(),$C$8,$D$8)))</f>
        <v/>
      </c>
      <c r="N50" s="34">
        <f>MIN(24,MAX(5,NORMINV(RAND(),$C$9,$D$9)))</f>
        <v/>
      </c>
      <c r="O50" s="41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7">
        <f>MAX(-0.05,NORMINV(RAND(),$C$6,$D$6))</f>
        <v/>
      </c>
      <c r="L51" s="27">
        <f>MAX(0.02,NORMINV(RAND(),$C$7,$D$7))</f>
        <v/>
      </c>
      <c r="M51" s="27">
        <f>MIN(0.16,MAX(0.05,NORMINV(RAND(),$C$8,$D$8)))</f>
        <v/>
      </c>
      <c r="N51" s="34">
        <f>MIN(24,MAX(5,NORMINV(RAND(),$C$9,$D$9)))</f>
        <v/>
      </c>
      <c r="O51" s="41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7">
        <f>MAX(-0.05,NORMINV(RAND(),$C$6,$D$6))</f>
        <v/>
      </c>
      <c r="L52" s="27">
        <f>MAX(0.02,NORMINV(RAND(),$C$7,$D$7))</f>
        <v/>
      </c>
      <c r="M52" s="27">
        <f>MIN(0.16,MAX(0.05,NORMINV(RAND(),$C$8,$D$8)))</f>
        <v/>
      </c>
      <c r="N52" s="34">
        <f>MIN(24,MAX(5,NORMINV(RAND(),$C$9,$D$9)))</f>
        <v/>
      </c>
      <c r="O52" s="41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7">
        <f>MAX(-0.05,NORMINV(RAND(),$C$6,$D$6))</f>
        <v/>
      </c>
      <c r="L53" s="27">
        <f>MAX(0.02,NORMINV(RAND(),$C$7,$D$7))</f>
        <v/>
      </c>
      <c r="M53" s="27">
        <f>MIN(0.16,MAX(0.05,NORMINV(RAND(),$C$8,$D$8)))</f>
        <v/>
      </c>
      <c r="N53" s="34">
        <f>MIN(24,MAX(5,NORMINV(RAND(),$C$9,$D$9)))</f>
        <v/>
      </c>
      <c r="O53" s="41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7">
        <f>MAX(-0.05,NORMINV(RAND(),$C$6,$D$6))</f>
        <v/>
      </c>
      <c r="L54" s="27">
        <f>MAX(0.02,NORMINV(RAND(),$C$7,$D$7))</f>
        <v/>
      </c>
      <c r="M54" s="27">
        <f>MIN(0.16,MAX(0.05,NORMINV(RAND(),$C$8,$D$8)))</f>
        <v/>
      </c>
      <c r="N54" s="34">
        <f>MIN(24,MAX(5,NORMINV(RAND(),$C$9,$D$9)))</f>
        <v/>
      </c>
      <c r="O54" s="41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7">
        <f>MAX(-0.05,NORMINV(RAND(),$C$6,$D$6))</f>
        <v/>
      </c>
      <c r="L55" s="27">
        <f>MAX(0.02,NORMINV(RAND(),$C$7,$D$7))</f>
        <v/>
      </c>
      <c r="M55" s="27">
        <f>MIN(0.16,MAX(0.05,NORMINV(RAND(),$C$8,$D$8)))</f>
        <v/>
      </c>
      <c r="N55" s="34">
        <f>MIN(24,MAX(5,NORMINV(RAND(),$C$9,$D$9)))</f>
        <v/>
      </c>
      <c r="O55" s="41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7">
        <f>MAX(-0.05,NORMINV(RAND(),$C$6,$D$6))</f>
        <v/>
      </c>
      <c r="L56" s="27">
        <f>MAX(0.02,NORMINV(RAND(),$C$7,$D$7))</f>
        <v/>
      </c>
      <c r="M56" s="27">
        <f>MIN(0.16,MAX(0.05,NORMINV(RAND(),$C$8,$D$8)))</f>
        <v/>
      </c>
      <c r="N56" s="34">
        <f>MIN(24,MAX(5,NORMINV(RAND(),$C$9,$D$9)))</f>
        <v/>
      </c>
      <c r="O56" s="41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7">
        <f>MAX(-0.05,NORMINV(RAND(),$C$6,$D$6))</f>
        <v/>
      </c>
      <c r="L57" s="27">
        <f>MAX(0.02,NORMINV(RAND(),$C$7,$D$7))</f>
        <v/>
      </c>
      <c r="M57" s="27">
        <f>MIN(0.16,MAX(0.05,NORMINV(RAND(),$C$8,$D$8)))</f>
        <v/>
      </c>
      <c r="N57" s="34">
        <f>MIN(24,MAX(5,NORMINV(RAND(),$C$9,$D$9)))</f>
        <v/>
      </c>
      <c r="O57" s="41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7">
        <f>MAX(-0.05,NORMINV(RAND(),$C$6,$D$6))</f>
        <v/>
      </c>
      <c r="L58" s="27">
        <f>MAX(0.02,NORMINV(RAND(),$C$7,$D$7))</f>
        <v/>
      </c>
      <c r="M58" s="27">
        <f>MIN(0.16,MAX(0.05,NORMINV(RAND(),$C$8,$D$8)))</f>
        <v/>
      </c>
      <c r="N58" s="34">
        <f>MIN(24,MAX(5,NORMINV(RAND(),$C$9,$D$9)))</f>
        <v/>
      </c>
      <c r="O58" s="41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7">
        <f>MAX(-0.05,NORMINV(RAND(),$C$6,$D$6))</f>
        <v/>
      </c>
      <c r="L59" s="27">
        <f>MAX(0.02,NORMINV(RAND(),$C$7,$D$7))</f>
        <v/>
      </c>
      <c r="M59" s="27">
        <f>MIN(0.16,MAX(0.05,NORMINV(RAND(),$C$8,$D$8)))</f>
        <v/>
      </c>
      <c r="N59" s="34">
        <f>MIN(24,MAX(5,NORMINV(RAND(),$C$9,$D$9)))</f>
        <v/>
      </c>
      <c r="O59" s="41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7">
        <f>MAX(-0.05,NORMINV(RAND(),$C$6,$D$6))</f>
        <v/>
      </c>
      <c r="L60" s="27">
        <f>MAX(0.02,NORMINV(RAND(),$C$7,$D$7))</f>
        <v/>
      </c>
      <c r="M60" s="27">
        <f>MIN(0.16,MAX(0.05,NORMINV(RAND(),$C$8,$D$8)))</f>
        <v/>
      </c>
      <c r="N60" s="34">
        <f>MIN(24,MAX(5,NORMINV(RAND(),$C$9,$D$9)))</f>
        <v/>
      </c>
      <c r="O60" s="41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7">
        <f>MAX(-0.05,NORMINV(RAND(),$C$6,$D$6))</f>
        <v/>
      </c>
      <c r="L61" s="27">
        <f>MAX(0.02,NORMINV(RAND(),$C$7,$D$7))</f>
        <v/>
      </c>
      <c r="M61" s="27">
        <f>MIN(0.16,MAX(0.05,NORMINV(RAND(),$C$8,$D$8)))</f>
        <v/>
      </c>
      <c r="N61" s="34">
        <f>MIN(24,MAX(5,NORMINV(RAND(),$C$9,$D$9)))</f>
        <v/>
      </c>
      <c r="O61" s="41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7">
        <f>MAX(-0.05,NORMINV(RAND(),$C$6,$D$6))</f>
        <v/>
      </c>
      <c r="L62" s="27">
        <f>MAX(0.02,NORMINV(RAND(),$C$7,$D$7))</f>
        <v/>
      </c>
      <c r="M62" s="27">
        <f>MIN(0.16,MAX(0.05,NORMINV(RAND(),$C$8,$D$8)))</f>
        <v/>
      </c>
      <c r="N62" s="34">
        <f>MIN(24,MAX(5,NORMINV(RAND(),$C$9,$D$9)))</f>
        <v/>
      </c>
      <c r="O62" s="41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7">
        <f>MAX(-0.05,NORMINV(RAND(),$C$6,$D$6))</f>
        <v/>
      </c>
      <c r="L63" s="27">
        <f>MAX(0.02,NORMINV(RAND(),$C$7,$D$7))</f>
        <v/>
      </c>
      <c r="M63" s="27">
        <f>MIN(0.16,MAX(0.05,NORMINV(RAND(),$C$8,$D$8)))</f>
        <v/>
      </c>
      <c r="N63" s="34">
        <f>MIN(24,MAX(5,NORMINV(RAND(),$C$9,$D$9)))</f>
        <v/>
      </c>
      <c r="O63" s="41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7">
        <f>MAX(-0.05,NORMINV(RAND(),$C$6,$D$6))</f>
        <v/>
      </c>
      <c r="L64" s="27">
        <f>MAX(0.02,NORMINV(RAND(),$C$7,$D$7))</f>
        <v/>
      </c>
      <c r="M64" s="27">
        <f>MIN(0.16,MAX(0.05,NORMINV(RAND(),$C$8,$D$8)))</f>
        <v/>
      </c>
      <c r="N64" s="34">
        <f>MIN(24,MAX(5,NORMINV(RAND(),$C$9,$D$9)))</f>
        <v/>
      </c>
      <c r="O64" s="41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7">
        <f>MAX(-0.05,NORMINV(RAND(),$C$6,$D$6))</f>
        <v/>
      </c>
      <c r="L65" s="27">
        <f>MAX(0.02,NORMINV(RAND(),$C$7,$D$7))</f>
        <v/>
      </c>
      <c r="M65" s="27">
        <f>MIN(0.16,MAX(0.05,NORMINV(RAND(),$C$8,$D$8)))</f>
        <v/>
      </c>
      <c r="N65" s="34">
        <f>MIN(24,MAX(5,NORMINV(RAND(),$C$9,$D$9)))</f>
        <v/>
      </c>
      <c r="O65" s="41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7">
        <f>MAX(-0.05,NORMINV(RAND(),$C$6,$D$6))</f>
        <v/>
      </c>
      <c r="L66" s="27">
        <f>MAX(0.02,NORMINV(RAND(),$C$7,$D$7))</f>
        <v/>
      </c>
      <c r="M66" s="27">
        <f>MIN(0.16,MAX(0.05,NORMINV(RAND(),$C$8,$D$8)))</f>
        <v/>
      </c>
      <c r="N66" s="34">
        <f>MIN(24,MAX(5,NORMINV(RAND(),$C$9,$D$9)))</f>
        <v/>
      </c>
      <c r="O66" s="41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7">
        <f>MAX(-0.05,NORMINV(RAND(),$C$6,$D$6))</f>
        <v/>
      </c>
      <c r="L67" s="27">
        <f>MAX(0.02,NORMINV(RAND(),$C$7,$D$7))</f>
        <v/>
      </c>
      <c r="M67" s="27">
        <f>MIN(0.16,MAX(0.05,NORMINV(RAND(),$C$8,$D$8)))</f>
        <v/>
      </c>
      <c r="N67" s="34">
        <f>MIN(24,MAX(5,NORMINV(RAND(),$C$9,$D$9)))</f>
        <v/>
      </c>
      <c r="O67" s="41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7">
        <f>MAX(-0.05,NORMINV(RAND(),$C$6,$D$6))</f>
        <v/>
      </c>
      <c r="L68" s="27">
        <f>MAX(0.02,NORMINV(RAND(),$C$7,$D$7))</f>
        <v/>
      </c>
      <c r="M68" s="27">
        <f>MIN(0.16,MAX(0.05,NORMINV(RAND(),$C$8,$D$8)))</f>
        <v/>
      </c>
      <c r="N68" s="34">
        <f>MIN(24,MAX(5,NORMINV(RAND(),$C$9,$D$9)))</f>
        <v/>
      </c>
      <c r="O68" s="41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7">
        <f>MAX(-0.05,NORMINV(RAND(),$C$6,$D$6))</f>
        <v/>
      </c>
      <c r="L69" s="27">
        <f>MAX(0.02,NORMINV(RAND(),$C$7,$D$7))</f>
        <v/>
      </c>
      <c r="M69" s="27">
        <f>MIN(0.16,MAX(0.05,NORMINV(RAND(),$C$8,$D$8)))</f>
        <v/>
      </c>
      <c r="N69" s="34">
        <f>MIN(24,MAX(5,NORMINV(RAND(),$C$9,$D$9)))</f>
        <v/>
      </c>
      <c r="O69" s="41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7">
        <f>MAX(-0.05,NORMINV(RAND(),$C$6,$D$6))</f>
        <v/>
      </c>
      <c r="L70" s="27">
        <f>MAX(0.02,NORMINV(RAND(),$C$7,$D$7))</f>
        <v/>
      </c>
      <c r="M70" s="27">
        <f>MIN(0.16,MAX(0.05,NORMINV(RAND(),$C$8,$D$8)))</f>
        <v/>
      </c>
      <c r="N70" s="34">
        <f>MIN(24,MAX(5,NORMINV(RAND(),$C$9,$D$9)))</f>
        <v/>
      </c>
      <c r="O70" s="41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7">
        <f>MAX(-0.05,NORMINV(RAND(),$C$6,$D$6))</f>
        <v/>
      </c>
      <c r="L71" s="27">
        <f>MAX(0.02,NORMINV(RAND(),$C$7,$D$7))</f>
        <v/>
      </c>
      <c r="M71" s="27">
        <f>MIN(0.16,MAX(0.05,NORMINV(RAND(),$C$8,$D$8)))</f>
        <v/>
      </c>
      <c r="N71" s="34">
        <f>MIN(24,MAX(5,NORMINV(RAND(),$C$9,$D$9)))</f>
        <v/>
      </c>
      <c r="O71" s="41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7">
        <f>MAX(-0.05,NORMINV(RAND(),$C$6,$D$6))</f>
        <v/>
      </c>
      <c r="L72" s="27">
        <f>MAX(0.02,NORMINV(RAND(),$C$7,$D$7))</f>
        <v/>
      </c>
      <c r="M72" s="27">
        <f>MIN(0.16,MAX(0.05,NORMINV(RAND(),$C$8,$D$8)))</f>
        <v/>
      </c>
      <c r="N72" s="34">
        <f>MIN(24,MAX(5,NORMINV(RAND(),$C$9,$D$9)))</f>
        <v/>
      </c>
      <c r="O72" s="41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7">
        <f>MAX(-0.05,NORMINV(RAND(),$C$6,$D$6))</f>
        <v/>
      </c>
      <c r="L73" s="27">
        <f>MAX(0.02,NORMINV(RAND(),$C$7,$D$7))</f>
        <v/>
      </c>
      <c r="M73" s="27">
        <f>MIN(0.16,MAX(0.05,NORMINV(RAND(),$C$8,$D$8)))</f>
        <v/>
      </c>
      <c r="N73" s="34">
        <f>MIN(24,MAX(5,NORMINV(RAND(),$C$9,$D$9)))</f>
        <v/>
      </c>
      <c r="O73" s="41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7">
        <f>MAX(-0.05,NORMINV(RAND(),$C$6,$D$6))</f>
        <v/>
      </c>
      <c r="L74" s="27">
        <f>MAX(0.02,NORMINV(RAND(),$C$7,$D$7))</f>
        <v/>
      </c>
      <c r="M74" s="27">
        <f>MIN(0.16,MAX(0.05,NORMINV(RAND(),$C$8,$D$8)))</f>
        <v/>
      </c>
      <c r="N74" s="34">
        <f>MIN(24,MAX(5,NORMINV(RAND(),$C$9,$D$9)))</f>
        <v/>
      </c>
      <c r="O74" s="41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7">
        <f>MAX(-0.05,NORMINV(RAND(),$C$6,$D$6))</f>
        <v/>
      </c>
      <c r="L75" s="27">
        <f>MAX(0.02,NORMINV(RAND(),$C$7,$D$7))</f>
        <v/>
      </c>
      <c r="M75" s="27">
        <f>MIN(0.16,MAX(0.05,NORMINV(RAND(),$C$8,$D$8)))</f>
        <v/>
      </c>
      <c r="N75" s="34">
        <f>MIN(24,MAX(5,NORMINV(RAND(),$C$9,$D$9)))</f>
        <v/>
      </c>
      <c r="O75" s="41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7">
        <f>MAX(-0.05,NORMINV(RAND(),$C$6,$D$6))</f>
        <v/>
      </c>
      <c r="L76" s="27">
        <f>MAX(0.02,NORMINV(RAND(),$C$7,$D$7))</f>
        <v/>
      </c>
      <c r="M76" s="27">
        <f>MIN(0.16,MAX(0.05,NORMINV(RAND(),$C$8,$D$8)))</f>
        <v/>
      </c>
      <c r="N76" s="34">
        <f>MIN(24,MAX(5,NORMINV(RAND(),$C$9,$D$9)))</f>
        <v/>
      </c>
      <c r="O76" s="41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7">
        <f>MAX(-0.05,NORMINV(RAND(),$C$6,$D$6))</f>
        <v/>
      </c>
      <c r="L77" s="27">
        <f>MAX(0.02,NORMINV(RAND(),$C$7,$D$7))</f>
        <v/>
      </c>
      <c r="M77" s="27">
        <f>MIN(0.16,MAX(0.05,NORMINV(RAND(),$C$8,$D$8)))</f>
        <v/>
      </c>
      <c r="N77" s="34">
        <f>MIN(24,MAX(5,NORMINV(RAND(),$C$9,$D$9)))</f>
        <v/>
      </c>
      <c r="O77" s="41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7">
        <f>MAX(-0.05,NORMINV(RAND(),$C$6,$D$6))</f>
        <v/>
      </c>
      <c r="L78" s="27">
        <f>MAX(0.02,NORMINV(RAND(),$C$7,$D$7))</f>
        <v/>
      </c>
      <c r="M78" s="27">
        <f>MIN(0.16,MAX(0.05,NORMINV(RAND(),$C$8,$D$8)))</f>
        <v/>
      </c>
      <c r="N78" s="34">
        <f>MIN(24,MAX(5,NORMINV(RAND(),$C$9,$D$9)))</f>
        <v/>
      </c>
      <c r="O78" s="41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7">
        <f>MAX(-0.05,NORMINV(RAND(),$C$6,$D$6))</f>
        <v/>
      </c>
      <c r="L79" s="27">
        <f>MAX(0.02,NORMINV(RAND(),$C$7,$D$7))</f>
        <v/>
      </c>
      <c r="M79" s="27">
        <f>MIN(0.16,MAX(0.05,NORMINV(RAND(),$C$8,$D$8)))</f>
        <v/>
      </c>
      <c r="N79" s="34">
        <f>MIN(24,MAX(5,NORMINV(RAND(),$C$9,$D$9)))</f>
        <v/>
      </c>
      <c r="O79" s="41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7">
        <f>MAX(-0.05,NORMINV(RAND(),$C$6,$D$6))</f>
        <v/>
      </c>
      <c r="L80" s="27">
        <f>MAX(0.02,NORMINV(RAND(),$C$7,$D$7))</f>
        <v/>
      </c>
      <c r="M80" s="27">
        <f>MIN(0.16,MAX(0.05,NORMINV(RAND(),$C$8,$D$8)))</f>
        <v/>
      </c>
      <c r="N80" s="34">
        <f>MIN(24,MAX(5,NORMINV(RAND(),$C$9,$D$9)))</f>
        <v/>
      </c>
      <c r="O80" s="41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7">
        <f>MAX(-0.05,NORMINV(RAND(),$C$6,$D$6))</f>
        <v/>
      </c>
      <c r="L81" s="27">
        <f>MAX(0.02,NORMINV(RAND(),$C$7,$D$7))</f>
        <v/>
      </c>
      <c r="M81" s="27">
        <f>MIN(0.16,MAX(0.05,NORMINV(RAND(),$C$8,$D$8)))</f>
        <v/>
      </c>
      <c r="N81" s="34">
        <f>MIN(24,MAX(5,NORMINV(RAND(),$C$9,$D$9)))</f>
        <v/>
      </c>
      <c r="O81" s="41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7">
        <f>MAX(-0.05,NORMINV(RAND(),$C$6,$D$6))</f>
        <v/>
      </c>
      <c r="L82" s="27">
        <f>MAX(0.02,NORMINV(RAND(),$C$7,$D$7))</f>
        <v/>
      </c>
      <c r="M82" s="27">
        <f>MIN(0.16,MAX(0.05,NORMINV(RAND(),$C$8,$D$8)))</f>
        <v/>
      </c>
      <c r="N82" s="34">
        <f>MIN(24,MAX(5,NORMINV(RAND(),$C$9,$D$9)))</f>
        <v/>
      </c>
      <c r="O82" s="41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7">
        <f>MAX(-0.05,NORMINV(RAND(),$C$6,$D$6))</f>
        <v/>
      </c>
      <c r="L83" s="27">
        <f>MAX(0.02,NORMINV(RAND(),$C$7,$D$7))</f>
        <v/>
      </c>
      <c r="M83" s="27">
        <f>MIN(0.16,MAX(0.05,NORMINV(RAND(),$C$8,$D$8)))</f>
        <v/>
      </c>
      <c r="N83" s="34">
        <f>MIN(24,MAX(5,NORMINV(RAND(),$C$9,$D$9)))</f>
        <v/>
      </c>
      <c r="O83" s="41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7">
        <f>MAX(-0.05,NORMINV(RAND(),$C$6,$D$6))</f>
        <v/>
      </c>
      <c r="L84" s="27">
        <f>MAX(0.02,NORMINV(RAND(),$C$7,$D$7))</f>
        <v/>
      </c>
      <c r="M84" s="27">
        <f>MIN(0.16,MAX(0.05,NORMINV(RAND(),$C$8,$D$8)))</f>
        <v/>
      </c>
      <c r="N84" s="34">
        <f>MIN(24,MAX(5,NORMINV(RAND(),$C$9,$D$9)))</f>
        <v/>
      </c>
      <c r="O84" s="41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7">
        <f>MAX(-0.05,NORMINV(RAND(),$C$6,$D$6))</f>
        <v/>
      </c>
      <c r="L85" s="27">
        <f>MAX(0.02,NORMINV(RAND(),$C$7,$D$7))</f>
        <v/>
      </c>
      <c r="M85" s="27">
        <f>MIN(0.16,MAX(0.05,NORMINV(RAND(),$C$8,$D$8)))</f>
        <v/>
      </c>
      <c r="N85" s="34">
        <f>MIN(24,MAX(5,NORMINV(RAND(),$C$9,$D$9)))</f>
        <v/>
      </c>
      <c r="O85" s="41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7">
        <f>MAX(-0.05,NORMINV(RAND(),$C$6,$D$6))</f>
        <v/>
      </c>
      <c r="L86" s="27">
        <f>MAX(0.02,NORMINV(RAND(),$C$7,$D$7))</f>
        <v/>
      </c>
      <c r="M86" s="27">
        <f>MIN(0.16,MAX(0.05,NORMINV(RAND(),$C$8,$D$8)))</f>
        <v/>
      </c>
      <c r="N86" s="34">
        <f>MIN(24,MAX(5,NORMINV(RAND(),$C$9,$D$9)))</f>
        <v/>
      </c>
      <c r="O86" s="41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7">
        <f>MAX(-0.05,NORMINV(RAND(),$C$6,$D$6))</f>
        <v/>
      </c>
      <c r="L87" s="27">
        <f>MAX(0.02,NORMINV(RAND(),$C$7,$D$7))</f>
        <v/>
      </c>
      <c r="M87" s="27">
        <f>MIN(0.16,MAX(0.05,NORMINV(RAND(),$C$8,$D$8)))</f>
        <v/>
      </c>
      <c r="N87" s="34">
        <f>MIN(24,MAX(5,NORMINV(RAND(),$C$9,$D$9)))</f>
        <v/>
      </c>
      <c r="O87" s="41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7">
        <f>MAX(-0.05,NORMINV(RAND(),$C$6,$D$6))</f>
        <v/>
      </c>
      <c r="L88" s="27">
        <f>MAX(0.02,NORMINV(RAND(),$C$7,$D$7))</f>
        <v/>
      </c>
      <c r="M88" s="27">
        <f>MIN(0.16,MAX(0.05,NORMINV(RAND(),$C$8,$D$8)))</f>
        <v/>
      </c>
      <c r="N88" s="34">
        <f>MIN(24,MAX(5,NORMINV(RAND(),$C$9,$D$9)))</f>
        <v/>
      </c>
      <c r="O88" s="41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7">
        <f>MAX(-0.05,NORMINV(RAND(),$C$6,$D$6))</f>
        <v/>
      </c>
      <c r="L89" s="27">
        <f>MAX(0.02,NORMINV(RAND(),$C$7,$D$7))</f>
        <v/>
      </c>
      <c r="M89" s="27">
        <f>MIN(0.16,MAX(0.05,NORMINV(RAND(),$C$8,$D$8)))</f>
        <v/>
      </c>
      <c r="N89" s="34">
        <f>MIN(24,MAX(5,NORMINV(RAND(),$C$9,$D$9)))</f>
        <v/>
      </c>
      <c r="O89" s="41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7">
        <f>MAX(-0.05,NORMINV(RAND(),$C$6,$D$6))</f>
        <v/>
      </c>
      <c r="L90" s="27">
        <f>MAX(0.02,NORMINV(RAND(),$C$7,$D$7))</f>
        <v/>
      </c>
      <c r="M90" s="27">
        <f>MIN(0.16,MAX(0.05,NORMINV(RAND(),$C$8,$D$8)))</f>
        <v/>
      </c>
      <c r="N90" s="34">
        <f>MIN(24,MAX(5,NORMINV(RAND(),$C$9,$D$9)))</f>
        <v/>
      </c>
      <c r="O90" s="41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7">
        <f>MAX(-0.05,NORMINV(RAND(),$C$6,$D$6))</f>
        <v/>
      </c>
      <c r="L91" s="27">
        <f>MAX(0.02,NORMINV(RAND(),$C$7,$D$7))</f>
        <v/>
      </c>
      <c r="M91" s="27">
        <f>MIN(0.16,MAX(0.05,NORMINV(RAND(),$C$8,$D$8)))</f>
        <v/>
      </c>
      <c r="N91" s="34">
        <f>MIN(24,MAX(5,NORMINV(RAND(),$C$9,$D$9)))</f>
        <v/>
      </c>
      <c r="O91" s="41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7">
        <f>MAX(-0.05,NORMINV(RAND(),$C$6,$D$6))</f>
        <v/>
      </c>
      <c r="L92" s="27">
        <f>MAX(0.02,NORMINV(RAND(),$C$7,$D$7))</f>
        <v/>
      </c>
      <c r="M92" s="27">
        <f>MIN(0.16,MAX(0.05,NORMINV(RAND(),$C$8,$D$8)))</f>
        <v/>
      </c>
      <c r="N92" s="34">
        <f>MIN(24,MAX(5,NORMINV(RAND(),$C$9,$D$9)))</f>
        <v/>
      </c>
      <c r="O92" s="41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7">
        <f>MAX(-0.05,NORMINV(RAND(),$C$6,$D$6))</f>
        <v/>
      </c>
      <c r="L93" s="27">
        <f>MAX(0.02,NORMINV(RAND(),$C$7,$D$7))</f>
        <v/>
      </c>
      <c r="M93" s="27">
        <f>MIN(0.16,MAX(0.05,NORMINV(RAND(),$C$8,$D$8)))</f>
        <v/>
      </c>
      <c r="N93" s="34">
        <f>MIN(24,MAX(5,NORMINV(RAND(),$C$9,$D$9)))</f>
        <v/>
      </c>
      <c r="O93" s="41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7">
        <f>MAX(-0.05,NORMINV(RAND(),$C$6,$D$6))</f>
        <v/>
      </c>
      <c r="L94" s="27">
        <f>MAX(0.02,NORMINV(RAND(),$C$7,$D$7))</f>
        <v/>
      </c>
      <c r="M94" s="27">
        <f>MIN(0.16,MAX(0.05,NORMINV(RAND(),$C$8,$D$8)))</f>
        <v/>
      </c>
      <c r="N94" s="34">
        <f>MIN(24,MAX(5,NORMINV(RAND(),$C$9,$D$9)))</f>
        <v/>
      </c>
      <c r="O94" s="41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7">
        <f>MAX(-0.05,NORMINV(RAND(),$C$6,$D$6))</f>
        <v/>
      </c>
      <c r="L95" s="27">
        <f>MAX(0.02,NORMINV(RAND(),$C$7,$D$7))</f>
        <v/>
      </c>
      <c r="M95" s="27">
        <f>MIN(0.16,MAX(0.05,NORMINV(RAND(),$C$8,$D$8)))</f>
        <v/>
      </c>
      <c r="N95" s="34">
        <f>MIN(24,MAX(5,NORMINV(RAND(),$C$9,$D$9)))</f>
        <v/>
      </c>
      <c r="O95" s="41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7">
        <f>MAX(-0.05,NORMINV(RAND(),$C$6,$D$6))</f>
        <v/>
      </c>
      <c r="L96" s="27">
        <f>MAX(0.02,NORMINV(RAND(),$C$7,$D$7))</f>
        <v/>
      </c>
      <c r="M96" s="27">
        <f>MIN(0.16,MAX(0.05,NORMINV(RAND(),$C$8,$D$8)))</f>
        <v/>
      </c>
      <c r="N96" s="34">
        <f>MIN(24,MAX(5,NORMINV(RAND(),$C$9,$D$9)))</f>
        <v/>
      </c>
      <c r="O96" s="41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7">
        <f>MAX(-0.05,NORMINV(RAND(),$C$6,$D$6))</f>
        <v/>
      </c>
      <c r="L97" s="27">
        <f>MAX(0.02,NORMINV(RAND(),$C$7,$D$7))</f>
        <v/>
      </c>
      <c r="M97" s="27">
        <f>MIN(0.16,MAX(0.05,NORMINV(RAND(),$C$8,$D$8)))</f>
        <v/>
      </c>
      <c r="N97" s="34">
        <f>MIN(24,MAX(5,NORMINV(RAND(),$C$9,$D$9)))</f>
        <v/>
      </c>
      <c r="O97" s="41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7">
        <f>MAX(-0.05,NORMINV(RAND(),$C$6,$D$6))</f>
        <v/>
      </c>
      <c r="L98" s="27">
        <f>MAX(0.02,NORMINV(RAND(),$C$7,$D$7))</f>
        <v/>
      </c>
      <c r="M98" s="27">
        <f>MIN(0.16,MAX(0.05,NORMINV(RAND(),$C$8,$D$8)))</f>
        <v/>
      </c>
      <c r="N98" s="34">
        <f>MIN(24,MAX(5,NORMINV(RAND(),$C$9,$D$9)))</f>
        <v/>
      </c>
      <c r="O98" s="41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7">
        <f>MAX(-0.05,NORMINV(RAND(),$C$6,$D$6))</f>
        <v/>
      </c>
      <c r="L99" s="27">
        <f>MAX(0.02,NORMINV(RAND(),$C$7,$D$7))</f>
        <v/>
      </c>
      <c r="M99" s="27">
        <f>MIN(0.16,MAX(0.05,NORMINV(RAND(),$C$8,$D$8)))</f>
        <v/>
      </c>
      <c r="N99" s="34">
        <f>MIN(24,MAX(5,NORMINV(RAND(),$C$9,$D$9)))</f>
        <v/>
      </c>
      <c r="O99" s="41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7">
        <f>MAX(-0.05,NORMINV(RAND(),$C$6,$D$6))</f>
        <v/>
      </c>
      <c r="L100" s="27">
        <f>MAX(0.02,NORMINV(RAND(),$C$7,$D$7))</f>
        <v/>
      </c>
      <c r="M100" s="27">
        <f>MIN(0.16,MAX(0.05,NORMINV(RAND(),$C$8,$D$8)))</f>
        <v/>
      </c>
      <c r="N100" s="34">
        <f>MIN(24,MAX(5,NORMINV(RAND(),$C$9,$D$9)))</f>
        <v/>
      </c>
      <c r="O100" s="41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7">
        <f>MAX(-0.05,NORMINV(RAND(),$C$6,$D$6))</f>
        <v/>
      </c>
      <c r="L101" s="27">
        <f>MAX(0.02,NORMINV(RAND(),$C$7,$D$7))</f>
        <v/>
      </c>
      <c r="M101" s="27">
        <f>MIN(0.16,MAX(0.05,NORMINV(RAND(),$C$8,$D$8)))</f>
        <v/>
      </c>
      <c r="N101" s="34">
        <f>MIN(24,MAX(5,NORMINV(RAND(),$C$9,$D$9)))</f>
        <v/>
      </c>
      <c r="O101" s="41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7">
        <f>MAX(-0.05,NORMINV(RAND(),$C$6,$D$6))</f>
        <v/>
      </c>
      <c r="L102" s="27">
        <f>MAX(0.02,NORMINV(RAND(),$C$7,$D$7))</f>
        <v/>
      </c>
      <c r="M102" s="27">
        <f>MIN(0.16,MAX(0.05,NORMINV(RAND(),$C$8,$D$8)))</f>
        <v/>
      </c>
      <c r="N102" s="34">
        <f>MIN(24,MAX(5,NORMINV(RAND(),$C$9,$D$9)))</f>
        <v/>
      </c>
      <c r="O102" s="41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7">
        <f>MAX(-0.05,NORMINV(RAND(),$C$6,$D$6))</f>
        <v/>
      </c>
      <c r="L103" s="27">
        <f>MAX(0.02,NORMINV(RAND(),$C$7,$D$7))</f>
        <v/>
      </c>
      <c r="M103" s="27">
        <f>MIN(0.16,MAX(0.05,NORMINV(RAND(),$C$8,$D$8)))</f>
        <v/>
      </c>
      <c r="N103" s="34">
        <f>MIN(24,MAX(5,NORMINV(RAND(),$C$9,$D$9)))</f>
        <v/>
      </c>
      <c r="O103" s="41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7">
        <f>MAX(-0.05,NORMINV(RAND(),$C$6,$D$6))</f>
        <v/>
      </c>
      <c r="L104" s="27">
        <f>MAX(0.02,NORMINV(RAND(),$C$7,$D$7))</f>
        <v/>
      </c>
      <c r="M104" s="27">
        <f>MIN(0.16,MAX(0.05,NORMINV(RAND(),$C$8,$D$8)))</f>
        <v/>
      </c>
      <c r="N104" s="34">
        <f>MIN(24,MAX(5,NORMINV(RAND(),$C$9,$D$9)))</f>
        <v/>
      </c>
      <c r="O104" s="41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7">
        <f>MAX(-0.05,NORMINV(RAND(),$C$6,$D$6))</f>
        <v/>
      </c>
      <c r="L105" s="27">
        <f>MAX(0.02,NORMINV(RAND(),$C$7,$D$7))</f>
        <v/>
      </c>
      <c r="M105" s="27">
        <f>MIN(0.16,MAX(0.05,NORMINV(RAND(),$C$8,$D$8)))</f>
        <v/>
      </c>
      <c r="N105" s="34">
        <f>MIN(24,MAX(5,NORMINV(RAND(),$C$9,$D$9)))</f>
        <v/>
      </c>
      <c r="O105" s="41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7">
        <f>MAX(-0.05,NORMINV(RAND(),$C$6,$D$6))</f>
        <v/>
      </c>
      <c r="L106" s="27">
        <f>MAX(0.02,NORMINV(RAND(),$C$7,$D$7))</f>
        <v/>
      </c>
      <c r="M106" s="27">
        <f>MIN(0.16,MAX(0.05,NORMINV(RAND(),$C$8,$D$8)))</f>
        <v/>
      </c>
      <c r="N106" s="34">
        <f>MIN(24,MAX(5,NORMINV(RAND(),$C$9,$D$9)))</f>
        <v/>
      </c>
      <c r="O106" s="41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7">
        <f>MAX(-0.05,NORMINV(RAND(),$C$6,$D$6))</f>
        <v/>
      </c>
      <c r="L107" s="27">
        <f>MAX(0.02,NORMINV(RAND(),$C$7,$D$7))</f>
        <v/>
      </c>
      <c r="M107" s="27">
        <f>MIN(0.16,MAX(0.05,NORMINV(RAND(),$C$8,$D$8)))</f>
        <v/>
      </c>
      <c r="N107" s="34">
        <f>MIN(24,MAX(5,NORMINV(RAND(),$C$9,$D$9)))</f>
        <v/>
      </c>
      <c r="O107" s="41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7">
        <f>MAX(-0.05,NORMINV(RAND(),$C$6,$D$6))</f>
        <v/>
      </c>
      <c r="L108" s="27">
        <f>MAX(0.02,NORMINV(RAND(),$C$7,$D$7))</f>
        <v/>
      </c>
      <c r="M108" s="27">
        <f>MIN(0.16,MAX(0.05,NORMINV(RAND(),$C$8,$D$8)))</f>
        <v/>
      </c>
      <c r="N108" s="34">
        <f>MIN(24,MAX(5,NORMINV(RAND(),$C$9,$D$9)))</f>
        <v/>
      </c>
      <c r="O108" s="41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7">
        <f>MAX(-0.05,NORMINV(RAND(),$C$6,$D$6))</f>
        <v/>
      </c>
      <c r="L109" s="27">
        <f>MAX(0.02,NORMINV(RAND(),$C$7,$D$7))</f>
        <v/>
      </c>
      <c r="M109" s="27">
        <f>MIN(0.16,MAX(0.05,NORMINV(RAND(),$C$8,$D$8)))</f>
        <v/>
      </c>
      <c r="N109" s="34">
        <f>MIN(24,MAX(5,NORMINV(RAND(),$C$9,$D$9)))</f>
        <v/>
      </c>
      <c r="O109" s="41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7">
        <f>MAX(-0.05,NORMINV(RAND(),$C$6,$D$6))</f>
        <v/>
      </c>
      <c r="L110" s="27">
        <f>MAX(0.02,NORMINV(RAND(),$C$7,$D$7))</f>
        <v/>
      </c>
      <c r="M110" s="27">
        <f>MIN(0.16,MAX(0.05,NORMINV(RAND(),$C$8,$D$8)))</f>
        <v/>
      </c>
      <c r="N110" s="34">
        <f>MIN(24,MAX(5,NORMINV(RAND(),$C$9,$D$9)))</f>
        <v/>
      </c>
      <c r="O110" s="41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7">
        <f>MAX(-0.05,NORMINV(RAND(),$C$6,$D$6))</f>
        <v/>
      </c>
      <c r="L111" s="27">
        <f>MAX(0.02,NORMINV(RAND(),$C$7,$D$7))</f>
        <v/>
      </c>
      <c r="M111" s="27">
        <f>MIN(0.16,MAX(0.05,NORMINV(RAND(),$C$8,$D$8)))</f>
        <v/>
      </c>
      <c r="N111" s="34">
        <f>MIN(24,MAX(5,NORMINV(RAND(),$C$9,$D$9)))</f>
        <v/>
      </c>
      <c r="O111" s="41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7">
        <f>MAX(-0.05,NORMINV(RAND(),$C$6,$D$6))</f>
        <v/>
      </c>
      <c r="L112" s="27">
        <f>MAX(0.02,NORMINV(RAND(),$C$7,$D$7))</f>
        <v/>
      </c>
      <c r="M112" s="27">
        <f>MIN(0.16,MAX(0.05,NORMINV(RAND(),$C$8,$D$8)))</f>
        <v/>
      </c>
      <c r="N112" s="34">
        <f>MIN(24,MAX(5,NORMINV(RAND(),$C$9,$D$9)))</f>
        <v/>
      </c>
      <c r="O112" s="41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7">
        <f>MAX(-0.05,NORMINV(RAND(),$C$6,$D$6))</f>
        <v/>
      </c>
      <c r="L113" s="27">
        <f>MAX(0.02,NORMINV(RAND(),$C$7,$D$7))</f>
        <v/>
      </c>
      <c r="M113" s="27">
        <f>MIN(0.16,MAX(0.05,NORMINV(RAND(),$C$8,$D$8)))</f>
        <v/>
      </c>
      <c r="N113" s="34">
        <f>MIN(24,MAX(5,NORMINV(RAND(),$C$9,$D$9)))</f>
        <v/>
      </c>
      <c r="O113" s="41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7">
        <f>MAX(-0.05,NORMINV(RAND(),$C$6,$D$6))</f>
        <v/>
      </c>
      <c r="L114" s="27">
        <f>MAX(0.02,NORMINV(RAND(),$C$7,$D$7))</f>
        <v/>
      </c>
      <c r="M114" s="27">
        <f>MIN(0.16,MAX(0.05,NORMINV(RAND(),$C$8,$D$8)))</f>
        <v/>
      </c>
      <c r="N114" s="34">
        <f>MIN(24,MAX(5,NORMINV(RAND(),$C$9,$D$9)))</f>
        <v/>
      </c>
      <c r="O114" s="41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7">
        <f>MAX(-0.05,NORMINV(RAND(),$C$6,$D$6))</f>
        <v/>
      </c>
      <c r="L115" s="27">
        <f>MAX(0.02,NORMINV(RAND(),$C$7,$D$7))</f>
        <v/>
      </c>
      <c r="M115" s="27">
        <f>MIN(0.16,MAX(0.05,NORMINV(RAND(),$C$8,$D$8)))</f>
        <v/>
      </c>
      <c r="N115" s="34">
        <f>MIN(24,MAX(5,NORMINV(RAND(),$C$9,$D$9)))</f>
        <v/>
      </c>
      <c r="O115" s="41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7">
        <f>MAX(-0.05,NORMINV(RAND(),$C$6,$D$6))</f>
        <v/>
      </c>
      <c r="L116" s="27">
        <f>MAX(0.02,NORMINV(RAND(),$C$7,$D$7))</f>
        <v/>
      </c>
      <c r="M116" s="27">
        <f>MIN(0.16,MAX(0.05,NORMINV(RAND(),$C$8,$D$8)))</f>
        <v/>
      </c>
      <c r="N116" s="34">
        <f>MIN(24,MAX(5,NORMINV(RAND(),$C$9,$D$9)))</f>
        <v/>
      </c>
      <c r="O116" s="41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7">
        <f>MAX(-0.05,NORMINV(RAND(),$C$6,$D$6))</f>
        <v/>
      </c>
      <c r="L117" s="27">
        <f>MAX(0.02,NORMINV(RAND(),$C$7,$D$7))</f>
        <v/>
      </c>
      <c r="M117" s="27">
        <f>MIN(0.16,MAX(0.05,NORMINV(RAND(),$C$8,$D$8)))</f>
        <v/>
      </c>
      <c r="N117" s="34">
        <f>MIN(24,MAX(5,NORMINV(RAND(),$C$9,$D$9)))</f>
        <v/>
      </c>
      <c r="O117" s="41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7">
        <f>MAX(-0.05,NORMINV(RAND(),$C$6,$D$6))</f>
        <v/>
      </c>
      <c r="L118" s="27">
        <f>MAX(0.02,NORMINV(RAND(),$C$7,$D$7))</f>
        <v/>
      </c>
      <c r="M118" s="27">
        <f>MIN(0.16,MAX(0.05,NORMINV(RAND(),$C$8,$D$8)))</f>
        <v/>
      </c>
      <c r="N118" s="34">
        <f>MIN(24,MAX(5,NORMINV(RAND(),$C$9,$D$9)))</f>
        <v/>
      </c>
      <c r="O118" s="41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7">
        <f>MAX(-0.05,NORMINV(RAND(),$C$6,$D$6))</f>
        <v/>
      </c>
      <c r="L119" s="27">
        <f>MAX(0.02,NORMINV(RAND(),$C$7,$D$7))</f>
        <v/>
      </c>
      <c r="M119" s="27">
        <f>MIN(0.16,MAX(0.05,NORMINV(RAND(),$C$8,$D$8)))</f>
        <v/>
      </c>
      <c r="N119" s="34">
        <f>MIN(24,MAX(5,NORMINV(RAND(),$C$9,$D$9)))</f>
        <v/>
      </c>
      <c r="O119" s="41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7">
        <f>MAX(-0.05,NORMINV(RAND(),$C$6,$D$6))</f>
        <v/>
      </c>
      <c r="L120" s="27">
        <f>MAX(0.02,NORMINV(RAND(),$C$7,$D$7))</f>
        <v/>
      </c>
      <c r="M120" s="27">
        <f>MIN(0.16,MAX(0.05,NORMINV(RAND(),$C$8,$D$8)))</f>
        <v/>
      </c>
      <c r="N120" s="34">
        <f>MIN(24,MAX(5,NORMINV(RAND(),$C$9,$D$9)))</f>
        <v/>
      </c>
      <c r="O120" s="41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7">
        <f>MAX(-0.05,NORMINV(RAND(),$C$6,$D$6))</f>
        <v/>
      </c>
      <c r="L121" s="27">
        <f>MAX(0.02,NORMINV(RAND(),$C$7,$D$7))</f>
        <v/>
      </c>
      <c r="M121" s="27">
        <f>MIN(0.16,MAX(0.05,NORMINV(RAND(),$C$8,$D$8)))</f>
        <v/>
      </c>
      <c r="N121" s="34">
        <f>MIN(24,MAX(5,NORMINV(RAND(),$C$9,$D$9)))</f>
        <v/>
      </c>
      <c r="O121" s="41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7">
        <f>MAX(-0.05,NORMINV(RAND(),$C$6,$D$6))</f>
        <v/>
      </c>
      <c r="L122" s="27">
        <f>MAX(0.02,NORMINV(RAND(),$C$7,$D$7))</f>
        <v/>
      </c>
      <c r="M122" s="27">
        <f>MIN(0.16,MAX(0.05,NORMINV(RAND(),$C$8,$D$8)))</f>
        <v/>
      </c>
      <c r="N122" s="34">
        <f>MIN(24,MAX(5,NORMINV(RAND(),$C$9,$D$9)))</f>
        <v/>
      </c>
      <c r="O122" s="41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7">
        <f>MAX(-0.05,NORMINV(RAND(),$C$6,$D$6))</f>
        <v/>
      </c>
      <c r="L123" s="27">
        <f>MAX(0.02,NORMINV(RAND(),$C$7,$D$7))</f>
        <v/>
      </c>
      <c r="M123" s="27">
        <f>MIN(0.16,MAX(0.05,NORMINV(RAND(),$C$8,$D$8)))</f>
        <v/>
      </c>
      <c r="N123" s="34">
        <f>MIN(24,MAX(5,NORMINV(RAND(),$C$9,$D$9)))</f>
        <v/>
      </c>
      <c r="O123" s="41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7">
        <f>MAX(-0.05,NORMINV(RAND(),$C$6,$D$6))</f>
        <v/>
      </c>
      <c r="L124" s="27">
        <f>MAX(0.02,NORMINV(RAND(),$C$7,$D$7))</f>
        <v/>
      </c>
      <c r="M124" s="27">
        <f>MIN(0.16,MAX(0.05,NORMINV(RAND(),$C$8,$D$8)))</f>
        <v/>
      </c>
      <c r="N124" s="34">
        <f>MIN(24,MAX(5,NORMINV(RAND(),$C$9,$D$9)))</f>
        <v/>
      </c>
      <c r="O124" s="41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7">
        <f>MAX(-0.05,NORMINV(RAND(),$C$6,$D$6))</f>
        <v/>
      </c>
      <c r="L125" s="27">
        <f>MAX(0.02,NORMINV(RAND(),$C$7,$D$7))</f>
        <v/>
      </c>
      <c r="M125" s="27">
        <f>MIN(0.16,MAX(0.05,NORMINV(RAND(),$C$8,$D$8)))</f>
        <v/>
      </c>
      <c r="N125" s="34">
        <f>MIN(24,MAX(5,NORMINV(RAND(),$C$9,$D$9)))</f>
        <v/>
      </c>
      <c r="O125" s="41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7">
        <f>MAX(-0.05,NORMINV(RAND(),$C$6,$D$6))</f>
        <v/>
      </c>
      <c r="L126" s="27">
        <f>MAX(0.02,NORMINV(RAND(),$C$7,$D$7))</f>
        <v/>
      </c>
      <c r="M126" s="27">
        <f>MIN(0.16,MAX(0.05,NORMINV(RAND(),$C$8,$D$8)))</f>
        <v/>
      </c>
      <c r="N126" s="34">
        <f>MIN(24,MAX(5,NORMINV(RAND(),$C$9,$D$9)))</f>
        <v/>
      </c>
      <c r="O126" s="41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7">
        <f>MAX(-0.05,NORMINV(RAND(),$C$6,$D$6))</f>
        <v/>
      </c>
      <c r="L127" s="27">
        <f>MAX(0.02,NORMINV(RAND(),$C$7,$D$7))</f>
        <v/>
      </c>
      <c r="M127" s="27">
        <f>MIN(0.16,MAX(0.05,NORMINV(RAND(),$C$8,$D$8)))</f>
        <v/>
      </c>
      <c r="N127" s="34">
        <f>MIN(24,MAX(5,NORMINV(RAND(),$C$9,$D$9)))</f>
        <v/>
      </c>
      <c r="O127" s="41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7">
        <f>MAX(-0.05,NORMINV(RAND(),$C$6,$D$6))</f>
        <v/>
      </c>
      <c r="L128" s="27">
        <f>MAX(0.02,NORMINV(RAND(),$C$7,$D$7))</f>
        <v/>
      </c>
      <c r="M128" s="27">
        <f>MIN(0.16,MAX(0.05,NORMINV(RAND(),$C$8,$D$8)))</f>
        <v/>
      </c>
      <c r="N128" s="34">
        <f>MIN(24,MAX(5,NORMINV(RAND(),$C$9,$D$9)))</f>
        <v/>
      </c>
      <c r="O128" s="41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7">
        <f>MAX(-0.05,NORMINV(RAND(),$C$6,$D$6))</f>
        <v/>
      </c>
      <c r="L129" s="27">
        <f>MAX(0.02,NORMINV(RAND(),$C$7,$D$7))</f>
        <v/>
      </c>
      <c r="M129" s="27">
        <f>MIN(0.16,MAX(0.05,NORMINV(RAND(),$C$8,$D$8)))</f>
        <v/>
      </c>
      <c r="N129" s="34">
        <f>MIN(24,MAX(5,NORMINV(RAND(),$C$9,$D$9)))</f>
        <v/>
      </c>
      <c r="O129" s="41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7">
        <f>MAX(-0.05,NORMINV(RAND(),$C$6,$D$6))</f>
        <v/>
      </c>
      <c r="L130" s="27">
        <f>MAX(0.02,NORMINV(RAND(),$C$7,$D$7))</f>
        <v/>
      </c>
      <c r="M130" s="27">
        <f>MIN(0.16,MAX(0.05,NORMINV(RAND(),$C$8,$D$8)))</f>
        <v/>
      </c>
      <c r="N130" s="34">
        <f>MIN(24,MAX(5,NORMINV(RAND(),$C$9,$D$9)))</f>
        <v/>
      </c>
      <c r="O130" s="41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7">
        <f>MAX(-0.05,NORMINV(RAND(),$C$6,$D$6))</f>
        <v/>
      </c>
      <c r="L131" s="27">
        <f>MAX(0.02,NORMINV(RAND(),$C$7,$D$7))</f>
        <v/>
      </c>
      <c r="M131" s="27">
        <f>MIN(0.16,MAX(0.05,NORMINV(RAND(),$C$8,$D$8)))</f>
        <v/>
      </c>
      <c r="N131" s="34">
        <f>MIN(24,MAX(5,NORMINV(RAND(),$C$9,$D$9)))</f>
        <v/>
      </c>
      <c r="O131" s="41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7">
        <f>MAX(-0.05,NORMINV(RAND(),$C$6,$D$6))</f>
        <v/>
      </c>
      <c r="L132" s="27">
        <f>MAX(0.02,NORMINV(RAND(),$C$7,$D$7))</f>
        <v/>
      </c>
      <c r="M132" s="27">
        <f>MIN(0.16,MAX(0.05,NORMINV(RAND(),$C$8,$D$8)))</f>
        <v/>
      </c>
      <c r="N132" s="34">
        <f>MIN(24,MAX(5,NORMINV(RAND(),$C$9,$D$9)))</f>
        <v/>
      </c>
      <c r="O132" s="41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7">
        <f>MAX(-0.05,NORMINV(RAND(),$C$6,$D$6))</f>
        <v/>
      </c>
      <c r="L133" s="27">
        <f>MAX(0.02,NORMINV(RAND(),$C$7,$D$7))</f>
        <v/>
      </c>
      <c r="M133" s="27">
        <f>MIN(0.16,MAX(0.05,NORMINV(RAND(),$C$8,$D$8)))</f>
        <v/>
      </c>
      <c r="N133" s="34">
        <f>MIN(24,MAX(5,NORMINV(RAND(),$C$9,$D$9)))</f>
        <v/>
      </c>
      <c r="O133" s="41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7">
        <f>MAX(-0.05,NORMINV(RAND(),$C$6,$D$6))</f>
        <v/>
      </c>
      <c r="L134" s="27">
        <f>MAX(0.02,NORMINV(RAND(),$C$7,$D$7))</f>
        <v/>
      </c>
      <c r="M134" s="27">
        <f>MIN(0.16,MAX(0.05,NORMINV(RAND(),$C$8,$D$8)))</f>
        <v/>
      </c>
      <c r="N134" s="34">
        <f>MIN(24,MAX(5,NORMINV(RAND(),$C$9,$D$9)))</f>
        <v/>
      </c>
      <c r="O134" s="41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7">
        <f>MAX(-0.05,NORMINV(RAND(),$C$6,$D$6))</f>
        <v/>
      </c>
      <c r="L135" s="27">
        <f>MAX(0.02,NORMINV(RAND(),$C$7,$D$7))</f>
        <v/>
      </c>
      <c r="M135" s="27">
        <f>MIN(0.16,MAX(0.05,NORMINV(RAND(),$C$8,$D$8)))</f>
        <v/>
      </c>
      <c r="N135" s="34">
        <f>MIN(24,MAX(5,NORMINV(RAND(),$C$9,$D$9)))</f>
        <v/>
      </c>
      <c r="O135" s="41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7">
        <f>MAX(-0.05,NORMINV(RAND(),$C$6,$D$6))</f>
        <v/>
      </c>
      <c r="L136" s="27">
        <f>MAX(0.02,NORMINV(RAND(),$C$7,$D$7))</f>
        <v/>
      </c>
      <c r="M136" s="27">
        <f>MIN(0.16,MAX(0.05,NORMINV(RAND(),$C$8,$D$8)))</f>
        <v/>
      </c>
      <c r="N136" s="34">
        <f>MIN(24,MAX(5,NORMINV(RAND(),$C$9,$D$9)))</f>
        <v/>
      </c>
      <c r="O136" s="41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7">
        <f>MAX(-0.05,NORMINV(RAND(),$C$6,$D$6))</f>
        <v/>
      </c>
      <c r="L137" s="27">
        <f>MAX(0.02,NORMINV(RAND(),$C$7,$D$7))</f>
        <v/>
      </c>
      <c r="M137" s="27">
        <f>MIN(0.16,MAX(0.05,NORMINV(RAND(),$C$8,$D$8)))</f>
        <v/>
      </c>
      <c r="N137" s="34">
        <f>MIN(24,MAX(5,NORMINV(RAND(),$C$9,$D$9)))</f>
        <v/>
      </c>
      <c r="O137" s="41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7">
        <f>MAX(-0.05,NORMINV(RAND(),$C$6,$D$6))</f>
        <v/>
      </c>
      <c r="L138" s="27">
        <f>MAX(0.02,NORMINV(RAND(),$C$7,$D$7))</f>
        <v/>
      </c>
      <c r="M138" s="27">
        <f>MIN(0.16,MAX(0.05,NORMINV(RAND(),$C$8,$D$8)))</f>
        <v/>
      </c>
      <c r="N138" s="34">
        <f>MIN(24,MAX(5,NORMINV(RAND(),$C$9,$D$9)))</f>
        <v/>
      </c>
      <c r="O138" s="41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7">
        <f>MAX(-0.05,NORMINV(RAND(),$C$6,$D$6))</f>
        <v/>
      </c>
      <c r="L139" s="27">
        <f>MAX(0.02,NORMINV(RAND(),$C$7,$D$7))</f>
        <v/>
      </c>
      <c r="M139" s="27">
        <f>MIN(0.16,MAX(0.05,NORMINV(RAND(),$C$8,$D$8)))</f>
        <v/>
      </c>
      <c r="N139" s="34">
        <f>MIN(24,MAX(5,NORMINV(RAND(),$C$9,$D$9)))</f>
        <v/>
      </c>
      <c r="O139" s="41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7">
        <f>MAX(-0.05,NORMINV(RAND(),$C$6,$D$6))</f>
        <v/>
      </c>
      <c r="L140" s="27">
        <f>MAX(0.02,NORMINV(RAND(),$C$7,$D$7))</f>
        <v/>
      </c>
      <c r="M140" s="27">
        <f>MIN(0.16,MAX(0.05,NORMINV(RAND(),$C$8,$D$8)))</f>
        <v/>
      </c>
      <c r="N140" s="34">
        <f>MIN(24,MAX(5,NORMINV(RAND(),$C$9,$D$9)))</f>
        <v/>
      </c>
      <c r="O140" s="41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7">
        <f>MAX(-0.05,NORMINV(RAND(),$C$6,$D$6))</f>
        <v/>
      </c>
      <c r="L141" s="27">
        <f>MAX(0.02,NORMINV(RAND(),$C$7,$D$7))</f>
        <v/>
      </c>
      <c r="M141" s="27">
        <f>MIN(0.16,MAX(0.05,NORMINV(RAND(),$C$8,$D$8)))</f>
        <v/>
      </c>
      <c r="N141" s="34">
        <f>MIN(24,MAX(5,NORMINV(RAND(),$C$9,$D$9)))</f>
        <v/>
      </c>
      <c r="O141" s="41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7">
        <f>MAX(-0.05,NORMINV(RAND(),$C$6,$D$6))</f>
        <v/>
      </c>
      <c r="L142" s="27">
        <f>MAX(0.02,NORMINV(RAND(),$C$7,$D$7))</f>
        <v/>
      </c>
      <c r="M142" s="27">
        <f>MIN(0.16,MAX(0.05,NORMINV(RAND(),$C$8,$D$8)))</f>
        <v/>
      </c>
      <c r="N142" s="34">
        <f>MIN(24,MAX(5,NORMINV(RAND(),$C$9,$D$9)))</f>
        <v/>
      </c>
      <c r="O142" s="41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7">
        <f>MAX(-0.05,NORMINV(RAND(),$C$6,$D$6))</f>
        <v/>
      </c>
      <c r="L143" s="27">
        <f>MAX(0.02,NORMINV(RAND(),$C$7,$D$7))</f>
        <v/>
      </c>
      <c r="M143" s="27">
        <f>MIN(0.16,MAX(0.05,NORMINV(RAND(),$C$8,$D$8)))</f>
        <v/>
      </c>
      <c r="N143" s="34">
        <f>MIN(24,MAX(5,NORMINV(RAND(),$C$9,$D$9)))</f>
        <v/>
      </c>
      <c r="O143" s="41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7">
        <f>MAX(-0.05,NORMINV(RAND(),$C$6,$D$6))</f>
        <v/>
      </c>
      <c r="L144" s="27">
        <f>MAX(0.02,NORMINV(RAND(),$C$7,$D$7))</f>
        <v/>
      </c>
      <c r="M144" s="27">
        <f>MIN(0.16,MAX(0.05,NORMINV(RAND(),$C$8,$D$8)))</f>
        <v/>
      </c>
      <c r="N144" s="34">
        <f>MIN(24,MAX(5,NORMINV(RAND(),$C$9,$D$9)))</f>
        <v/>
      </c>
      <c r="O144" s="41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7">
        <f>MAX(-0.05,NORMINV(RAND(),$C$6,$D$6))</f>
        <v/>
      </c>
      <c r="L145" s="27">
        <f>MAX(0.02,NORMINV(RAND(),$C$7,$D$7))</f>
        <v/>
      </c>
      <c r="M145" s="27">
        <f>MIN(0.16,MAX(0.05,NORMINV(RAND(),$C$8,$D$8)))</f>
        <v/>
      </c>
      <c r="N145" s="34">
        <f>MIN(24,MAX(5,NORMINV(RAND(),$C$9,$D$9)))</f>
        <v/>
      </c>
      <c r="O145" s="41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7">
        <f>MAX(-0.05,NORMINV(RAND(),$C$6,$D$6))</f>
        <v/>
      </c>
      <c r="L146" s="27">
        <f>MAX(0.02,NORMINV(RAND(),$C$7,$D$7))</f>
        <v/>
      </c>
      <c r="M146" s="27">
        <f>MIN(0.16,MAX(0.05,NORMINV(RAND(),$C$8,$D$8)))</f>
        <v/>
      </c>
      <c r="N146" s="34">
        <f>MIN(24,MAX(5,NORMINV(RAND(),$C$9,$D$9)))</f>
        <v/>
      </c>
      <c r="O146" s="41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7">
        <f>MAX(-0.05,NORMINV(RAND(),$C$6,$D$6))</f>
        <v/>
      </c>
      <c r="L147" s="27">
        <f>MAX(0.02,NORMINV(RAND(),$C$7,$D$7))</f>
        <v/>
      </c>
      <c r="M147" s="27">
        <f>MIN(0.16,MAX(0.05,NORMINV(RAND(),$C$8,$D$8)))</f>
        <v/>
      </c>
      <c r="N147" s="34">
        <f>MIN(24,MAX(5,NORMINV(RAND(),$C$9,$D$9)))</f>
        <v/>
      </c>
      <c r="O147" s="41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7">
        <f>MAX(-0.05,NORMINV(RAND(),$C$6,$D$6))</f>
        <v/>
      </c>
      <c r="L148" s="27">
        <f>MAX(0.02,NORMINV(RAND(),$C$7,$D$7))</f>
        <v/>
      </c>
      <c r="M148" s="27">
        <f>MIN(0.16,MAX(0.05,NORMINV(RAND(),$C$8,$D$8)))</f>
        <v/>
      </c>
      <c r="N148" s="34">
        <f>MIN(24,MAX(5,NORMINV(RAND(),$C$9,$D$9)))</f>
        <v/>
      </c>
      <c r="O148" s="41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7">
        <f>MAX(-0.05,NORMINV(RAND(),$C$6,$D$6))</f>
        <v/>
      </c>
      <c r="L149" s="27">
        <f>MAX(0.02,NORMINV(RAND(),$C$7,$D$7))</f>
        <v/>
      </c>
      <c r="M149" s="27">
        <f>MIN(0.16,MAX(0.05,NORMINV(RAND(),$C$8,$D$8)))</f>
        <v/>
      </c>
      <c r="N149" s="34">
        <f>MIN(24,MAX(5,NORMINV(RAND(),$C$9,$D$9)))</f>
        <v/>
      </c>
      <c r="O149" s="41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7">
        <f>MAX(-0.05,NORMINV(RAND(),$C$6,$D$6))</f>
        <v/>
      </c>
      <c r="L150" s="27">
        <f>MAX(0.02,NORMINV(RAND(),$C$7,$D$7))</f>
        <v/>
      </c>
      <c r="M150" s="27">
        <f>MIN(0.16,MAX(0.05,NORMINV(RAND(),$C$8,$D$8)))</f>
        <v/>
      </c>
      <c r="N150" s="34">
        <f>MIN(24,MAX(5,NORMINV(RAND(),$C$9,$D$9)))</f>
        <v/>
      </c>
      <c r="O150" s="41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7">
        <f>MAX(-0.05,NORMINV(RAND(),$C$6,$D$6))</f>
        <v/>
      </c>
      <c r="L151" s="27">
        <f>MAX(0.02,NORMINV(RAND(),$C$7,$D$7))</f>
        <v/>
      </c>
      <c r="M151" s="27">
        <f>MIN(0.16,MAX(0.05,NORMINV(RAND(),$C$8,$D$8)))</f>
        <v/>
      </c>
      <c r="N151" s="34">
        <f>MIN(24,MAX(5,NORMINV(RAND(),$C$9,$D$9)))</f>
        <v/>
      </c>
      <c r="O151" s="41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7">
        <f>MAX(-0.05,NORMINV(RAND(),$C$6,$D$6))</f>
        <v/>
      </c>
      <c r="L152" s="27">
        <f>MAX(0.02,NORMINV(RAND(),$C$7,$D$7))</f>
        <v/>
      </c>
      <c r="M152" s="27">
        <f>MIN(0.16,MAX(0.05,NORMINV(RAND(),$C$8,$D$8)))</f>
        <v/>
      </c>
      <c r="N152" s="34">
        <f>MIN(24,MAX(5,NORMINV(RAND(),$C$9,$D$9)))</f>
        <v/>
      </c>
      <c r="O152" s="41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7">
        <f>MAX(-0.05,NORMINV(RAND(),$C$6,$D$6))</f>
        <v/>
      </c>
      <c r="L153" s="27">
        <f>MAX(0.02,NORMINV(RAND(),$C$7,$D$7))</f>
        <v/>
      </c>
      <c r="M153" s="27">
        <f>MIN(0.16,MAX(0.05,NORMINV(RAND(),$C$8,$D$8)))</f>
        <v/>
      </c>
      <c r="N153" s="34">
        <f>MIN(24,MAX(5,NORMINV(RAND(),$C$9,$D$9)))</f>
        <v/>
      </c>
      <c r="O153" s="41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7">
        <f>MAX(-0.05,NORMINV(RAND(),$C$6,$D$6))</f>
        <v/>
      </c>
      <c r="L154" s="27">
        <f>MAX(0.02,NORMINV(RAND(),$C$7,$D$7))</f>
        <v/>
      </c>
      <c r="M154" s="27">
        <f>MIN(0.16,MAX(0.05,NORMINV(RAND(),$C$8,$D$8)))</f>
        <v/>
      </c>
      <c r="N154" s="34">
        <f>MIN(24,MAX(5,NORMINV(RAND(),$C$9,$D$9)))</f>
        <v/>
      </c>
      <c r="O154" s="41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7">
        <f>MAX(-0.05,NORMINV(RAND(),$C$6,$D$6))</f>
        <v/>
      </c>
      <c r="L155" s="27">
        <f>MAX(0.02,NORMINV(RAND(),$C$7,$D$7))</f>
        <v/>
      </c>
      <c r="M155" s="27">
        <f>MIN(0.16,MAX(0.05,NORMINV(RAND(),$C$8,$D$8)))</f>
        <v/>
      </c>
      <c r="N155" s="34">
        <f>MIN(24,MAX(5,NORMINV(RAND(),$C$9,$D$9)))</f>
        <v/>
      </c>
      <c r="O155" s="41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7">
        <f>MAX(-0.05,NORMINV(RAND(),$C$6,$D$6))</f>
        <v/>
      </c>
      <c r="L156" s="27">
        <f>MAX(0.02,NORMINV(RAND(),$C$7,$D$7))</f>
        <v/>
      </c>
      <c r="M156" s="27">
        <f>MIN(0.16,MAX(0.05,NORMINV(RAND(),$C$8,$D$8)))</f>
        <v/>
      </c>
      <c r="N156" s="34">
        <f>MIN(24,MAX(5,NORMINV(RAND(),$C$9,$D$9)))</f>
        <v/>
      </c>
      <c r="O156" s="41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7">
        <f>MAX(-0.05,NORMINV(RAND(),$C$6,$D$6))</f>
        <v/>
      </c>
      <c r="L157" s="27">
        <f>MAX(0.02,NORMINV(RAND(),$C$7,$D$7))</f>
        <v/>
      </c>
      <c r="M157" s="27">
        <f>MIN(0.16,MAX(0.05,NORMINV(RAND(),$C$8,$D$8)))</f>
        <v/>
      </c>
      <c r="N157" s="34">
        <f>MIN(24,MAX(5,NORMINV(RAND(),$C$9,$D$9)))</f>
        <v/>
      </c>
      <c r="O157" s="41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7">
        <f>MAX(-0.05,NORMINV(RAND(),$C$6,$D$6))</f>
        <v/>
      </c>
      <c r="L158" s="27">
        <f>MAX(0.02,NORMINV(RAND(),$C$7,$D$7))</f>
        <v/>
      </c>
      <c r="M158" s="27">
        <f>MIN(0.16,MAX(0.05,NORMINV(RAND(),$C$8,$D$8)))</f>
        <v/>
      </c>
      <c r="N158" s="34">
        <f>MIN(24,MAX(5,NORMINV(RAND(),$C$9,$D$9)))</f>
        <v/>
      </c>
      <c r="O158" s="41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7">
        <f>MAX(-0.05,NORMINV(RAND(),$C$6,$D$6))</f>
        <v/>
      </c>
      <c r="L159" s="27">
        <f>MAX(0.02,NORMINV(RAND(),$C$7,$D$7))</f>
        <v/>
      </c>
      <c r="M159" s="27">
        <f>MIN(0.16,MAX(0.05,NORMINV(RAND(),$C$8,$D$8)))</f>
        <v/>
      </c>
      <c r="N159" s="34">
        <f>MIN(24,MAX(5,NORMINV(RAND(),$C$9,$D$9)))</f>
        <v/>
      </c>
      <c r="O159" s="41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7">
        <f>MAX(-0.05,NORMINV(RAND(),$C$6,$D$6))</f>
        <v/>
      </c>
      <c r="L160" s="27">
        <f>MAX(0.02,NORMINV(RAND(),$C$7,$D$7))</f>
        <v/>
      </c>
      <c r="M160" s="27">
        <f>MIN(0.16,MAX(0.05,NORMINV(RAND(),$C$8,$D$8)))</f>
        <v/>
      </c>
      <c r="N160" s="34">
        <f>MIN(24,MAX(5,NORMINV(RAND(),$C$9,$D$9)))</f>
        <v/>
      </c>
      <c r="O160" s="41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7">
        <f>MAX(-0.05,NORMINV(RAND(),$C$6,$D$6))</f>
        <v/>
      </c>
      <c r="L161" s="27">
        <f>MAX(0.02,NORMINV(RAND(),$C$7,$D$7))</f>
        <v/>
      </c>
      <c r="M161" s="27">
        <f>MIN(0.16,MAX(0.05,NORMINV(RAND(),$C$8,$D$8)))</f>
        <v/>
      </c>
      <c r="N161" s="34">
        <f>MIN(24,MAX(5,NORMINV(RAND(),$C$9,$D$9)))</f>
        <v/>
      </c>
      <c r="O161" s="41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7">
        <f>MAX(-0.05,NORMINV(RAND(),$C$6,$D$6))</f>
        <v/>
      </c>
      <c r="L162" s="27">
        <f>MAX(0.02,NORMINV(RAND(),$C$7,$D$7))</f>
        <v/>
      </c>
      <c r="M162" s="27">
        <f>MIN(0.16,MAX(0.05,NORMINV(RAND(),$C$8,$D$8)))</f>
        <v/>
      </c>
      <c r="N162" s="34">
        <f>MIN(24,MAX(5,NORMINV(RAND(),$C$9,$D$9)))</f>
        <v/>
      </c>
      <c r="O162" s="41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7">
        <f>MAX(-0.05,NORMINV(RAND(),$C$6,$D$6))</f>
        <v/>
      </c>
      <c r="L163" s="27">
        <f>MAX(0.02,NORMINV(RAND(),$C$7,$D$7))</f>
        <v/>
      </c>
      <c r="M163" s="27">
        <f>MIN(0.16,MAX(0.05,NORMINV(RAND(),$C$8,$D$8)))</f>
        <v/>
      </c>
      <c r="N163" s="34">
        <f>MIN(24,MAX(5,NORMINV(RAND(),$C$9,$D$9)))</f>
        <v/>
      </c>
      <c r="O163" s="41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7">
        <f>MAX(-0.05,NORMINV(RAND(),$C$6,$D$6))</f>
        <v/>
      </c>
      <c r="L164" s="27">
        <f>MAX(0.02,NORMINV(RAND(),$C$7,$D$7))</f>
        <v/>
      </c>
      <c r="M164" s="27">
        <f>MIN(0.16,MAX(0.05,NORMINV(RAND(),$C$8,$D$8)))</f>
        <v/>
      </c>
      <c r="N164" s="34">
        <f>MIN(24,MAX(5,NORMINV(RAND(),$C$9,$D$9)))</f>
        <v/>
      </c>
      <c r="O164" s="41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7">
        <f>MAX(-0.05,NORMINV(RAND(),$C$6,$D$6))</f>
        <v/>
      </c>
      <c r="L165" s="27">
        <f>MAX(0.02,NORMINV(RAND(),$C$7,$D$7))</f>
        <v/>
      </c>
      <c r="M165" s="27">
        <f>MIN(0.16,MAX(0.05,NORMINV(RAND(),$C$8,$D$8)))</f>
        <v/>
      </c>
      <c r="N165" s="34">
        <f>MIN(24,MAX(5,NORMINV(RAND(),$C$9,$D$9)))</f>
        <v/>
      </c>
      <c r="O165" s="41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7">
        <f>MAX(-0.05,NORMINV(RAND(),$C$6,$D$6))</f>
        <v/>
      </c>
      <c r="L166" s="27">
        <f>MAX(0.02,NORMINV(RAND(),$C$7,$D$7))</f>
        <v/>
      </c>
      <c r="M166" s="27">
        <f>MIN(0.16,MAX(0.05,NORMINV(RAND(),$C$8,$D$8)))</f>
        <v/>
      </c>
      <c r="N166" s="34">
        <f>MIN(24,MAX(5,NORMINV(RAND(),$C$9,$D$9)))</f>
        <v/>
      </c>
      <c r="O166" s="41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7">
        <f>MAX(-0.05,NORMINV(RAND(),$C$6,$D$6))</f>
        <v/>
      </c>
      <c r="L167" s="27">
        <f>MAX(0.02,NORMINV(RAND(),$C$7,$D$7))</f>
        <v/>
      </c>
      <c r="M167" s="27">
        <f>MIN(0.16,MAX(0.05,NORMINV(RAND(),$C$8,$D$8)))</f>
        <v/>
      </c>
      <c r="N167" s="34">
        <f>MIN(24,MAX(5,NORMINV(RAND(),$C$9,$D$9)))</f>
        <v/>
      </c>
      <c r="O167" s="41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7">
        <f>MAX(-0.05,NORMINV(RAND(),$C$6,$D$6))</f>
        <v/>
      </c>
      <c r="L168" s="27">
        <f>MAX(0.02,NORMINV(RAND(),$C$7,$D$7))</f>
        <v/>
      </c>
      <c r="M168" s="27">
        <f>MIN(0.16,MAX(0.05,NORMINV(RAND(),$C$8,$D$8)))</f>
        <v/>
      </c>
      <c r="N168" s="34">
        <f>MIN(24,MAX(5,NORMINV(RAND(),$C$9,$D$9)))</f>
        <v/>
      </c>
      <c r="O168" s="41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7">
        <f>MAX(-0.05,NORMINV(RAND(),$C$6,$D$6))</f>
        <v/>
      </c>
      <c r="L169" s="27">
        <f>MAX(0.02,NORMINV(RAND(),$C$7,$D$7))</f>
        <v/>
      </c>
      <c r="M169" s="27">
        <f>MIN(0.16,MAX(0.05,NORMINV(RAND(),$C$8,$D$8)))</f>
        <v/>
      </c>
      <c r="N169" s="34">
        <f>MIN(24,MAX(5,NORMINV(RAND(),$C$9,$D$9)))</f>
        <v/>
      </c>
      <c r="O169" s="41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7">
        <f>MAX(-0.05,NORMINV(RAND(),$C$6,$D$6))</f>
        <v/>
      </c>
      <c r="L170" s="27">
        <f>MAX(0.02,NORMINV(RAND(),$C$7,$D$7))</f>
        <v/>
      </c>
      <c r="M170" s="27">
        <f>MIN(0.16,MAX(0.05,NORMINV(RAND(),$C$8,$D$8)))</f>
        <v/>
      </c>
      <c r="N170" s="34">
        <f>MIN(24,MAX(5,NORMINV(RAND(),$C$9,$D$9)))</f>
        <v/>
      </c>
      <c r="O170" s="41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7">
        <f>MAX(-0.05,NORMINV(RAND(),$C$6,$D$6))</f>
        <v/>
      </c>
      <c r="L171" s="27">
        <f>MAX(0.02,NORMINV(RAND(),$C$7,$D$7))</f>
        <v/>
      </c>
      <c r="M171" s="27">
        <f>MIN(0.16,MAX(0.05,NORMINV(RAND(),$C$8,$D$8)))</f>
        <v/>
      </c>
      <c r="N171" s="34">
        <f>MIN(24,MAX(5,NORMINV(RAND(),$C$9,$D$9)))</f>
        <v/>
      </c>
      <c r="O171" s="41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7">
        <f>MAX(-0.05,NORMINV(RAND(),$C$6,$D$6))</f>
        <v/>
      </c>
      <c r="L172" s="27">
        <f>MAX(0.02,NORMINV(RAND(),$C$7,$D$7))</f>
        <v/>
      </c>
      <c r="M172" s="27">
        <f>MIN(0.16,MAX(0.05,NORMINV(RAND(),$C$8,$D$8)))</f>
        <v/>
      </c>
      <c r="N172" s="34">
        <f>MIN(24,MAX(5,NORMINV(RAND(),$C$9,$D$9)))</f>
        <v/>
      </c>
      <c r="O172" s="41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7">
        <f>MAX(-0.05,NORMINV(RAND(),$C$6,$D$6))</f>
        <v/>
      </c>
      <c r="L173" s="27">
        <f>MAX(0.02,NORMINV(RAND(),$C$7,$D$7))</f>
        <v/>
      </c>
      <c r="M173" s="27">
        <f>MIN(0.16,MAX(0.05,NORMINV(RAND(),$C$8,$D$8)))</f>
        <v/>
      </c>
      <c r="N173" s="34">
        <f>MIN(24,MAX(5,NORMINV(RAND(),$C$9,$D$9)))</f>
        <v/>
      </c>
      <c r="O173" s="41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7">
        <f>MAX(-0.05,NORMINV(RAND(),$C$6,$D$6))</f>
        <v/>
      </c>
      <c r="L174" s="27">
        <f>MAX(0.02,NORMINV(RAND(),$C$7,$D$7))</f>
        <v/>
      </c>
      <c r="M174" s="27">
        <f>MIN(0.16,MAX(0.05,NORMINV(RAND(),$C$8,$D$8)))</f>
        <v/>
      </c>
      <c r="N174" s="34">
        <f>MIN(24,MAX(5,NORMINV(RAND(),$C$9,$D$9)))</f>
        <v/>
      </c>
      <c r="O174" s="41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7">
        <f>MAX(-0.05,NORMINV(RAND(),$C$6,$D$6))</f>
        <v/>
      </c>
      <c r="L175" s="27">
        <f>MAX(0.02,NORMINV(RAND(),$C$7,$D$7))</f>
        <v/>
      </c>
      <c r="M175" s="27">
        <f>MIN(0.16,MAX(0.05,NORMINV(RAND(),$C$8,$D$8)))</f>
        <v/>
      </c>
      <c r="N175" s="34">
        <f>MIN(24,MAX(5,NORMINV(RAND(),$C$9,$D$9)))</f>
        <v/>
      </c>
      <c r="O175" s="41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7">
        <f>MAX(-0.05,NORMINV(RAND(),$C$6,$D$6))</f>
        <v/>
      </c>
      <c r="L176" s="27">
        <f>MAX(0.02,NORMINV(RAND(),$C$7,$D$7))</f>
        <v/>
      </c>
      <c r="M176" s="27">
        <f>MIN(0.16,MAX(0.05,NORMINV(RAND(),$C$8,$D$8)))</f>
        <v/>
      </c>
      <c r="N176" s="34">
        <f>MIN(24,MAX(5,NORMINV(RAND(),$C$9,$D$9)))</f>
        <v/>
      </c>
      <c r="O176" s="41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7">
        <f>MAX(-0.05,NORMINV(RAND(),$C$6,$D$6))</f>
        <v/>
      </c>
      <c r="L177" s="27">
        <f>MAX(0.02,NORMINV(RAND(),$C$7,$D$7))</f>
        <v/>
      </c>
      <c r="M177" s="27">
        <f>MIN(0.16,MAX(0.05,NORMINV(RAND(),$C$8,$D$8)))</f>
        <v/>
      </c>
      <c r="N177" s="34">
        <f>MIN(24,MAX(5,NORMINV(RAND(),$C$9,$D$9)))</f>
        <v/>
      </c>
      <c r="O177" s="41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7">
        <f>MAX(-0.05,NORMINV(RAND(),$C$6,$D$6))</f>
        <v/>
      </c>
      <c r="L178" s="27">
        <f>MAX(0.02,NORMINV(RAND(),$C$7,$D$7))</f>
        <v/>
      </c>
      <c r="M178" s="27">
        <f>MIN(0.16,MAX(0.05,NORMINV(RAND(),$C$8,$D$8)))</f>
        <v/>
      </c>
      <c r="N178" s="34">
        <f>MIN(24,MAX(5,NORMINV(RAND(),$C$9,$D$9)))</f>
        <v/>
      </c>
      <c r="O178" s="41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7">
        <f>MAX(-0.05,NORMINV(RAND(),$C$6,$D$6))</f>
        <v/>
      </c>
      <c r="L179" s="27">
        <f>MAX(0.02,NORMINV(RAND(),$C$7,$D$7))</f>
        <v/>
      </c>
      <c r="M179" s="27">
        <f>MIN(0.16,MAX(0.05,NORMINV(RAND(),$C$8,$D$8)))</f>
        <v/>
      </c>
      <c r="N179" s="34">
        <f>MIN(24,MAX(5,NORMINV(RAND(),$C$9,$D$9)))</f>
        <v/>
      </c>
      <c r="O179" s="41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7">
        <f>MAX(-0.05,NORMINV(RAND(),$C$6,$D$6))</f>
        <v/>
      </c>
      <c r="L180" s="27">
        <f>MAX(0.02,NORMINV(RAND(),$C$7,$D$7))</f>
        <v/>
      </c>
      <c r="M180" s="27">
        <f>MIN(0.16,MAX(0.05,NORMINV(RAND(),$C$8,$D$8)))</f>
        <v/>
      </c>
      <c r="N180" s="34">
        <f>MIN(24,MAX(5,NORMINV(RAND(),$C$9,$D$9)))</f>
        <v/>
      </c>
      <c r="O180" s="41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7">
        <f>MAX(-0.05,NORMINV(RAND(),$C$6,$D$6))</f>
        <v/>
      </c>
      <c r="L181" s="27">
        <f>MAX(0.02,NORMINV(RAND(),$C$7,$D$7))</f>
        <v/>
      </c>
      <c r="M181" s="27">
        <f>MIN(0.16,MAX(0.05,NORMINV(RAND(),$C$8,$D$8)))</f>
        <v/>
      </c>
      <c r="N181" s="34">
        <f>MIN(24,MAX(5,NORMINV(RAND(),$C$9,$D$9)))</f>
        <v/>
      </c>
      <c r="O181" s="41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7">
        <f>MAX(-0.05,NORMINV(RAND(),$C$6,$D$6))</f>
        <v/>
      </c>
      <c r="L182" s="27">
        <f>MAX(0.02,NORMINV(RAND(),$C$7,$D$7))</f>
        <v/>
      </c>
      <c r="M182" s="27">
        <f>MIN(0.16,MAX(0.05,NORMINV(RAND(),$C$8,$D$8)))</f>
        <v/>
      </c>
      <c r="N182" s="34">
        <f>MIN(24,MAX(5,NORMINV(RAND(),$C$9,$D$9)))</f>
        <v/>
      </c>
      <c r="O182" s="41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7">
        <f>MAX(-0.05,NORMINV(RAND(),$C$6,$D$6))</f>
        <v/>
      </c>
      <c r="L183" s="27">
        <f>MAX(0.02,NORMINV(RAND(),$C$7,$D$7))</f>
        <v/>
      </c>
      <c r="M183" s="27">
        <f>MIN(0.16,MAX(0.05,NORMINV(RAND(),$C$8,$D$8)))</f>
        <v/>
      </c>
      <c r="N183" s="34">
        <f>MIN(24,MAX(5,NORMINV(RAND(),$C$9,$D$9)))</f>
        <v/>
      </c>
      <c r="O183" s="41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7">
        <f>MAX(-0.05,NORMINV(RAND(),$C$6,$D$6))</f>
        <v/>
      </c>
      <c r="L184" s="27">
        <f>MAX(0.02,NORMINV(RAND(),$C$7,$D$7))</f>
        <v/>
      </c>
      <c r="M184" s="27">
        <f>MIN(0.16,MAX(0.05,NORMINV(RAND(),$C$8,$D$8)))</f>
        <v/>
      </c>
      <c r="N184" s="34">
        <f>MIN(24,MAX(5,NORMINV(RAND(),$C$9,$D$9)))</f>
        <v/>
      </c>
      <c r="O184" s="41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7">
        <f>MAX(-0.05,NORMINV(RAND(),$C$6,$D$6))</f>
        <v/>
      </c>
      <c r="L185" s="27">
        <f>MAX(0.02,NORMINV(RAND(),$C$7,$D$7))</f>
        <v/>
      </c>
      <c r="M185" s="27">
        <f>MIN(0.16,MAX(0.05,NORMINV(RAND(),$C$8,$D$8)))</f>
        <v/>
      </c>
      <c r="N185" s="34">
        <f>MIN(24,MAX(5,NORMINV(RAND(),$C$9,$D$9)))</f>
        <v/>
      </c>
      <c r="O185" s="41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7">
        <f>MAX(-0.05,NORMINV(RAND(),$C$6,$D$6))</f>
        <v/>
      </c>
      <c r="L186" s="27">
        <f>MAX(0.02,NORMINV(RAND(),$C$7,$D$7))</f>
        <v/>
      </c>
      <c r="M186" s="27">
        <f>MIN(0.16,MAX(0.05,NORMINV(RAND(),$C$8,$D$8)))</f>
        <v/>
      </c>
      <c r="N186" s="34">
        <f>MIN(24,MAX(5,NORMINV(RAND(),$C$9,$D$9)))</f>
        <v/>
      </c>
      <c r="O186" s="41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7">
        <f>MAX(-0.05,NORMINV(RAND(),$C$6,$D$6))</f>
        <v/>
      </c>
      <c r="L187" s="27">
        <f>MAX(0.02,NORMINV(RAND(),$C$7,$D$7))</f>
        <v/>
      </c>
      <c r="M187" s="27">
        <f>MIN(0.16,MAX(0.05,NORMINV(RAND(),$C$8,$D$8)))</f>
        <v/>
      </c>
      <c r="N187" s="34">
        <f>MIN(24,MAX(5,NORMINV(RAND(),$C$9,$D$9)))</f>
        <v/>
      </c>
      <c r="O187" s="41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7">
        <f>MAX(-0.05,NORMINV(RAND(),$C$6,$D$6))</f>
        <v/>
      </c>
      <c r="L188" s="27">
        <f>MAX(0.02,NORMINV(RAND(),$C$7,$D$7))</f>
        <v/>
      </c>
      <c r="M188" s="27">
        <f>MIN(0.16,MAX(0.05,NORMINV(RAND(),$C$8,$D$8)))</f>
        <v/>
      </c>
      <c r="N188" s="34">
        <f>MIN(24,MAX(5,NORMINV(RAND(),$C$9,$D$9)))</f>
        <v/>
      </c>
      <c r="O188" s="41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7">
        <f>MAX(-0.05,NORMINV(RAND(),$C$6,$D$6))</f>
        <v/>
      </c>
      <c r="L189" s="27">
        <f>MAX(0.02,NORMINV(RAND(),$C$7,$D$7))</f>
        <v/>
      </c>
      <c r="M189" s="27">
        <f>MIN(0.16,MAX(0.05,NORMINV(RAND(),$C$8,$D$8)))</f>
        <v/>
      </c>
      <c r="N189" s="34">
        <f>MIN(24,MAX(5,NORMINV(RAND(),$C$9,$D$9)))</f>
        <v/>
      </c>
      <c r="O189" s="41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7">
        <f>MAX(-0.05,NORMINV(RAND(),$C$6,$D$6))</f>
        <v/>
      </c>
      <c r="L190" s="27">
        <f>MAX(0.02,NORMINV(RAND(),$C$7,$D$7))</f>
        <v/>
      </c>
      <c r="M190" s="27">
        <f>MIN(0.16,MAX(0.05,NORMINV(RAND(),$C$8,$D$8)))</f>
        <v/>
      </c>
      <c r="N190" s="34">
        <f>MIN(24,MAX(5,NORMINV(RAND(),$C$9,$D$9)))</f>
        <v/>
      </c>
      <c r="O190" s="41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7">
        <f>MAX(-0.05,NORMINV(RAND(),$C$6,$D$6))</f>
        <v/>
      </c>
      <c r="L191" s="27">
        <f>MAX(0.02,NORMINV(RAND(),$C$7,$D$7))</f>
        <v/>
      </c>
      <c r="M191" s="27">
        <f>MIN(0.16,MAX(0.05,NORMINV(RAND(),$C$8,$D$8)))</f>
        <v/>
      </c>
      <c r="N191" s="34">
        <f>MIN(24,MAX(5,NORMINV(RAND(),$C$9,$D$9)))</f>
        <v/>
      </c>
      <c r="O191" s="41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7">
        <f>MAX(-0.05,NORMINV(RAND(),$C$6,$D$6))</f>
        <v/>
      </c>
      <c r="L192" s="27">
        <f>MAX(0.02,NORMINV(RAND(),$C$7,$D$7))</f>
        <v/>
      </c>
      <c r="M192" s="27">
        <f>MIN(0.16,MAX(0.05,NORMINV(RAND(),$C$8,$D$8)))</f>
        <v/>
      </c>
      <c r="N192" s="34">
        <f>MIN(24,MAX(5,NORMINV(RAND(),$C$9,$D$9)))</f>
        <v/>
      </c>
      <c r="O192" s="41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7">
        <f>MAX(-0.05,NORMINV(RAND(),$C$6,$D$6))</f>
        <v/>
      </c>
      <c r="L193" s="27">
        <f>MAX(0.02,NORMINV(RAND(),$C$7,$D$7))</f>
        <v/>
      </c>
      <c r="M193" s="27">
        <f>MIN(0.16,MAX(0.05,NORMINV(RAND(),$C$8,$D$8)))</f>
        <v/>
      </c>
      <c r="N193" s="34">
        <f>MIN(24,MAX(5,NORMINV(RAND(),$C$9,$D$9)))</f>
        <v/>
      </c>
      <c r="O193" s="41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7">
        <f>MAX(-0.05,NORMINV(RAND(),$C$6,$D$6))</f>
        <v/>
      </c>
      <c r="L194" s="27">
        <f>MAX(0.02,NORMINV(RAND(),$C$7,$D$7))</f>
        <v/>
      </c>
      <c r="M194" s="27">
        <f>MIN(0.16,MAX(0.05,NORMINV(RAND(),$C$8,$D$8)))</f>
        <v/>
      </c>
      <c r="N194" s="34">
        <f>MIN(24,MAX(5,NORMINV(RAND(),$C$9,$D$9)))</f>
        <v/>
      </c>
      <c r="O194" s="41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7">
        <f>MAX(-0.05,NORMINV(RAND(),$C$6,$D$6))</f>
        <v/>
      </c>
      <c r="L195" s="27">
        <f>MAX(0.02,NORMINV(RAND(),$C$7,$D$7))</f>
        <v/>
      </c>
      <c r="M195" s="27">
        <f>MIN(0.16,MAX(0.05,NORMINV(RAND(),$C$8,$D$8)))</f>
        <v/>
      </c>
      <c r="N195" s="34">
        <f>MIN(24,MAX(5,NORMINV(RAND(),$C$9,$D$9)))</f>
        <v/>
      </c>
      <c r="O195" s="41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7">
        <f>MAX(-0.05,NORMINV(RAND(),$C$6,$D$6))</f>
        <v/>
      </c>
      <c r="L196" s="27">
        <f>MAX(0.02,NORMINV(RAND(),$C$7,$D$7))</f>
        <v/>
      </c>
      <c r="M196" s="27">
        <f>MIN(0.16,MAX(0.05,NORMINV(RAND(),$C$8,$D$8)))</f>
        <v/>
      </c>
      <c r="N196" s="34">
        <f>MIN(24,MAX(5,NORMINV(RAND(),$C$9,$D$9)))</f>
        <v/>
      </c>
      <c r="O196" s="41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7">
        <f>MAX(-0.05,NORMINV(RAND(),$C$6,$D$6))</f>
        <v/>
      </c>
      <c r="L197" s="27">
        <f>MAX(0.02,NORMINV(RAND(),$C$7,$D$7))</f>
        <v/>
      </c>
      <c r="M197" s="27">
        <f>MIN(0.16,MAX(0.05,NORMINV(RAND(),$C$8,$D$8)))</f>
        <v/>
      </c>
      <c r="N197" s="34">
        <f>MIN(24,MAX(5,NORMINV(RAND(),$C$9,$D$9)))</f>
        <v/>
      </c>
      <c r="O197" s="41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7">
        <f>MAX(-0.05,NORMINV(RAND(),$C$6,$D$6))</f>
        <v/>
      </c>
      <c r="L198" s="27">
        <f>MAX(0.02,NORMINV(RAND(),$C$7,$D$7))</f>
        <v/>
      </c>
      <c r="M198" s="27">
        <f>MIN(0.16,MAX(0.05,NORMINV(RAND(),$C$8,$D$8)))</f>
        <v/>
      </c>
      <c r="N198" s="34">
        <f>MIN(24,MAX(5,NORMINV(RAND(),$C$9,$D$9)))</f>
        <v/>
      </c>
      <c r="O198" s="41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7">
        <f>MAX(-0.05,NORMINV(RAND(),$C$6,$D$6))</f>
        <v/>
      </c>
      <c r="L199" s="27">
        <f>MAX(0.02,NORMINV(RAND(),$C$7,$D$7))</f>
        <v/>
      </c>
      <c r="M199" s="27">
        <f>MIN(0.16,MAX(0.05,NORMINV(RAND(),$C$8,$D$8)))</f>
        <v/>
      </c>
      <c r="N199" s="34">
        <f>MIN(24,MAX(5,NORMINV(RAND(),$C$9,$D$9)))</f>
        <v/>
      </c>
      <c r="O199" s="41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7">
        <f>MAX(-0.05,NORMINV(RAND(),$C$6,$D$6))</f>
        <v/>
      </c>
      <c r="L200" s="27">
        <f>MAX(0.02,NORMINV(RAND(),$C$7,$D$7))</f>
        <v/>
      </c>
      <c r="M200" s="27">
        <f>MIN(0.16,MAX(0.05,NORMINV(RAND(),$C$8,$D$8)))</f>
        <v/>
      </c>
      <c r="N200" s="34">
        <f>MIN(24,MAX(5,NORMINV(RAND(),$C$9,$D$9)))</f>
        <v/>
      </c>
      <c r="O200" s="41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7">
        <f>MAX(-0.05,NORMINV(RAND(),$C$6,$D$6))</f>
        <v/>
      </c>
      <c r="L201" s="27">
        <f>MAX(0.02,NORMINV(RAND(),$C$7,$D$7))</f>
        <v/>
      </c>
      <c r="M201" s="27">
        <f>MIN(0.16,MAX(0.05,NORMINV(RAND(),$C$8,$D$8)))</f>
        <v/>
      </c>
      <c r="N201" s="34">
        <f>MIN(24,MAX(5,NORMINV(RAND(),$C$9,$D$9)))</f>
        <v/>
      </c>
      <c r="O201" s="41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7">
        <f>MAX(-0.05,NORMINV(RAND(),$C$6,$D$6))</f>
        <v/>
      </c>
      <c r="L202" s="27">
        <f>MAX(0.02,NORMINV(RAND(),$C$7,$D$7))</f>
        <v/>
      </c>
      <c r="M202" s="27">
        <f>MIN(0.16,MAX(0.05,NORMINV(RAND(),$C$8,$D$8)))</f>
        <v/>
      </c>
      <c r="N202" s="34">
        <f>MIN(24,MAX(5,NORMINV(RAND(),$C$9,$D$9)))</f>
        <v/>
      </c>
      <c r="O202" s="41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7">
        <f>MAX(-0.05,NORMINV(RAND(),$C$6,$D$6))</f>
        <v/>
      </c>
      <c r="L203" s="27">
        <f>MAX(0.02,NORMINV(RAND(),$C$7,$D$7))</f>
        <v/>
      </c>
      <c r="M203" s="27">
        <f>MIN(0.16,MAX(0.05,NORMINV(RAND(),$C$8,$D$8)))</f>
        <v/>
      </c>
      <c r="N203" s="34">
        <f>MIN(24,MAX(5,NORMINV(RAND(),$C$9,$D$9)))</f>
        <v/>
      </c>
      <c r="O203" s="41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7">
        <f>MAX(-0.05,NORMINV(RAND(),$C$6,$D$6))</f>
        <v/>
      </c>
      <c r="L204" s="27">
        <f>MAX(0.02,NORMINV(RAND(),$C$7,$D$7))</f>
        <v/>
      </c>
      <c r="M204" s="27">
        <f>MIN(0.16,MAX(0.05,NORMINV(RAND(),$C$8,$D$8)))</f>
        <v/>
      </c>
      <c r="N204" s="34">
        <f>MIN(24,MAX(5,NORMINV(RAND(),$C$9,$D$9)))</f>
        <v/>
      </c>
      <c r="O204" s="41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7">
        <f>MAX(-0.05,NORMINV(RAND(),$C$6,$D$6))</f>
        <v/>
      </c>
      <c r="L205" s="27">
        <f>MAX(0.02,NORMINV(RAND(),$C$7,$D$7))</f>
        <v/>
      </c>
      <c r="M205" s="27">
        <f>MIN(0.16,MAX(0.05,NORMINV(RAND(),$C$8,$D$8)))</f>
        <v/>
      </c>
      <c r="N205" s="34">
        <f>MIN(24,MAX(5,NORMINV(RAND(),$C$9,$D$9)))</f>
        <v/>
      </c>
      <c r="O205" s="41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7">
        <f>MAX(-0.05,NORMINV(RAND(),$C$6,$D$6))</f>
        <v/>
      </c>
      <c r="L206" s="27">
        <f>MAX(0.02,NORMINV(RAND(),$C$7,$D$7))</f>
        <v/>
      </c>
      <c r="M206" s="27">
        <f>MIN(0.16,MAX(0.05,NORMINV(RAND(),$C$8,$D$8)))</f>
        <v/>
      </c>
      <c r="N206" s="34">
        <f>MIN(24,MAX(5,NORMINV(RAND(),$C$9,$D$9)))</f>
        <v/>
      </c>
      <c r="O206" s="41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7">
        <f>MAX(-0.05,NORMINV(RAND(),$C$6,$D$6))</f>
        <v/>
      </c>
      <c r="L207" s="27">
        <f>MAX(0.02,NORMINV(RAND(),$C$7,$D$7))</f>
        <v/>
      </c>
      <c r="M207" s="27">
        <f>MIN(0.16,MAX(0.05,NORMINV(RAND(),$C$8,$D$8)))</f>
        <v/>
      </c>
      <c r="N207" s="34">
        <f>MIN(24,MAX(5,NORMINV(RAND(),$C$9,$D$9)))</f>
        <v/>
      </c>
      <c r="O207" s="41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7">
        <f>MAX(-0.05,NORMINV(RAND(),$C$6,$D$6))</f>
        <v/>
      </c>
      <c r="L208" s="27">
        <f>MAX(0.02,NORMINV(RAND(),$C$7,$D$7))</f>
        <v/>
      </c>
      <c r="M208" s="27">
        <f>MIN(0.16,MAX(0.05,NORMINV(RAND(),$C$8,$D$8)))</f>
        <v/>
      </c>
      <c r="N208" s="34">
        <f>MIN(24,MAX(5,NORMINV(RAND(),$C$9,$D$9)))</f>
        <v/>
      </c>
      <c r="O208" s="41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7">
        <f>MAX(-0.05,NORMINV(RAND(),$C$6,$D$6))</f>
        <v/>
      </c>
      <c r="L209" s="27">
        <f>MAX(0.02,NORMINV(RAND(),$C$7,$D$7))</f>
        <v/>
      </c>
      <c r="M209" s="27">
        <f>MIN(0.16,MAX(0.05,NORMINV(RAND(),$C$8,$D$8)))</f>
        <v/>
      </c>
      <c r="N209" s="34">
        <f>MIN(24,MAX(5,NORMINV(RAND(),$C$9,$D$9)))</f>
        <v/>
      </c>
      <c r="O209" s="41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7">
        <f>MAX(-0.05,NORMINV(RAND(),$C$6,$D$6))</f>
        <v/>
      </c>
      <c r="L210" s="27">
        <f>MAX(0.02,NORMINV(RAND(),$C$7,$D$7))</f>
        <v/>
      </c>
      <c r="M210" s="27">
        <f>MIN(0.16,MAX(0.05,NORMINV(RAND(),$C$8,$D$8)))</f>
        <v/>
      </c>
      <c r="N210" s="34">
        <f>MIN(24,MAX(5,NORMINV(RAND(),$C$9,$D$9)))</f>
        <v/>
      </c>
      <c r="O210" s="41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7">
        <f>MAX(-0.05,NORMINV(RAND(),$C$6,$D$6))</f>
        <v/>
      </c>
      <c r="L211" s="27">
        <f>MAX(0.02,NORMINV(RAND(),$C$7,$D$7))</f>
        <v/>
      </c>
      <c r="M211" s="27">
        <f>MIN(0.16,MAX(0.05,NORMINV(RAND(),$C$8,$D$8)))</f>
        <v/>
      </c>
      <c r="N211" s="34">
        <f>MIN(24,MAX(5,NORMINV(RAND(),$C$9,$D$9)))</f>
        <v/>
      </c>
      <c r="O211" s="41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7">
        <f>MAX(-0.05,NORMINV(RAND(),$C$6,$D$6))</f>
        <v/>
      </c>
      <c r="L212" s="27">
        <f>MAX(0.02,NORMINV(RAND(),$C$7,$D$7))</f>
        <v/>
      </c>
      <c r="M212" s="27">
        <f>MIN(0.16,MAX(0.05,NORMINV(RAND(),$C$8,$D$8)))</f>
        <v/>
      </c>
      <c r="N212" s="34">
        <f>MIN(24,MAX(5,NORMINV(RAND(),$C$9,$D$9)))</f>
        <v/>
      </c>
      <c r="O212" s="41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7">
        <f>MAX(-0.05,NORMINV(RAND(),$C$6,$D$6))</f>
        <v/>
      </c>
      <c r="L213" s="27">
        <f>MAX(0.02,NORMINV(RAND(),$C$7,$D$7))</f>
        <v/>
      </c>
      <c r="M213" s="27">
        <f>MIN(0.16,MAX(0.05,NORMINV(RAND(),$C$8,$D$8)))</f>
        <v/>
      </c>
      <c r="N213" s="34">
        <f>MIN(24,MAX(5,NORMINV(RAND(),$C$9,$D$9)))</f>
        <v/>
      </c>
      <c r="O213" s="41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7">
        <f>MAX(-0.05,NORMINV(RAND(),$C$6,$D$6))</f>
        <v/>
      </c>
      <c r="L214" s="27">
        <f>MAX(0.02,NORMINV(RAND(),$C$7,$D$7))</f>
        <v/>
      </c>
      <c r="M214" s="27">
        <f>MIN(0.16,MAX(0.05,NORMINV(RAND(),$C$8,$D$8)))</f>
        <v/>
      </c>
      <c r="N214" s="34">
        <f>MIN(24,MAX(5,NORMINV(RAND(),$C$9,$D$9)))</f>
        <v/>
      </c>
      <c r="O214" s="41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7">
        <f>MAX(-0.05,NORMINV(RAND(),$C$6,$D$6))</f>
        <v/>
      </c>
      <c r="L215" s="27">
        <f>MAX(0.02,NORMINV(RAND(),$C$7,$D$7))</f>
        <v/>
      </c>
      <c r="M215" s="27">
        <f>MIN(0.16,MAX(0.05,NORMINV(RAND(),$C$8,$D$8)))</f>
        <v/>
      </c>
      <c r="N215" s="34">
        <f>MIN(24,MAX(5,NORMINV(RAND(),$C$9,$D$9)))</f>
        <v/>
      </c>
      <c r="O215" s="41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7">
        <f>MAX(-0.05,NORMINV(RAND(),$C$6,$D$6))</f>
        <v/>
      </c>
      <c r="L216" s="27">
        <f>MAX(0.02,NORMINV(RAND(),$C$7,$D$7))</f>
        <v/>
      </c>
      <c r="M216" s="27">
        <f>MIN(0.16,MAX(0.05,NORMINV(RAND(),$C$8,$D$8)))</f>
        <v/>
      </c>
      <c r="N216" s="34">
        <f>MIN(24,MAX(5,NORMINV(RAND(),$C$9,$D$9)))</f>
        <v/>
      </c>
      <c r="O216" s="41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7">
        <f>MAX(-0.05,NORMINV(RAND(),$C$6,$D$6))</f>
        <v/>
      </c>
      <c r="L217" s="27">
        <f>MAX(0.02,NORMINV(RAND(),$C$7,$D$7))</f>
        <v/>
      </c>
      <c r="M217" s="27">
        <f>MIN(0.16,MAX(0.05,NORMINV(RAND(),$C$8,$D$8)))</f>
        <v/>
      </c>
      <c r="N217" s="34">
        <f>MIN(24,MAX(5,NORMINV(RAND(),$C$9,$D$9)))</f>
        <v/>
      </c>
      <c r="O217" s="41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7">
        <f>MAX(-0.05,NORMINV(RAND(),$C$6,$D$6))</f>
        <v/>
      </c>
      <c r="L218" s="27">
        <f>MAX(0.02,NORMINV(RAND(),$C$7,$D$7))</f>
        <v/>
      </c>
      <c r="M218" s="27">
        <f>MIN(0.16,MAX(0.05,NORMINV(RAND(),$C$8,$D$8)))</f>
        <v/>
      </c>
      <c r="N218" s="34">
        <f>MIN(24,MAX(5,NORMINV(RAND(),$C$9,$D$9)))</f>
        <v/>
      </c>
      <c r="O218" s="41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7">
        <f>MAX(-0.05,NORMINV(RAND(),$C$6,$D$6))</f>
        <v/>
      </c>
      <c r="L219" s="27">
        <f>MAX(0.02,NORMINV(RAND(),$C$7,$D$7))</f>
        <v/>
      </c>
      <c r="M219" s="27">
        <f>MIN(0.16,MAX(0.05,NORMINV(RAND(),$C$8,$D$8)))</f>
        <v/>
      </c>
      <c r="N219" s="34">
        <f>MIN(24,MAX(5,NORMINV(RAND(),$C$9,$D$9)))</f>
        <v/>
      </c>
      <c r="O219" s="41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7">
        <f>MAX(-0.05,NORMINV(RAND(),$C$6,$D$6))</f>
        <v/>
      </c>
      <c r="L220" s="27">
        <f>MAX(0.02,NORMINV(RAND(),$C$7,$D$7))</f>
        <v/>
      </c>
      <c r="M220" s="27">
        <f>MIN(0.16,MAX(0.05,NORMINV(RAND(),$C$8,$D$8)))</f>
        <v/>
      </c>
      <c r="N220" s="34">
        <f>MIN(24,MAX(5,NORMINV(RAND(),$C$9,$D$9)))</f>
        <v/>
      </c>
      <c r="O220" s="41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7">
        <f>MAX(-0.05,NORMINV(RAND(),$C$6,$D$6))</f>
        <v/>
      </c>
      <c r="L221" s="27">
        <f>MAX(0.02,NORMINV(RAND(),$C$7,$D$7))</f>
        <v/>
      </c>
      <c r="M221" s="27">
        <f>MIN(0.16,MAX(0.05,NORMINV(RAND(),$C$8,$D$8)))</f>
        <v/>
      </c>
      <c r="N221" s="34">
        <f>MIN(24,MAX(5,NORMINV(RAND(),$C$9,$D$9)))</f>
        <v/>
      </c>
      <c r="O221" s="41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7">
        <f>MAX(-0.05,NORMINV(RAND(),$C$6,$D$6))</f>
        <v/>
      </c>
      <c r="L222" s="27">
        <f>MAX(0.02,NORMINV(RAND(),$C$7,$D$7))</f>
        <v/>
      </c>
      <c r="M222" s="27">
        <f>MIN(0.16,MAX(0.05,NORMINV(RAND(),$C$8,$D$8)))</f>
        <v/>
      </c>
      <c r="N222" s="34">
        <f>MIN(24,MAX(5,NORMINV(RAND(),$C$9,$D$9)))</f>
        <v/>
      </c>
      <c r="O222" s="41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7">
        <f>MAX(-0.05,NORMINV(RAND(),$C$6,$D$6))</f>
        <v/>
      </c>
      <c r="L223" s="27">
        <f>MAX(0.02,NORMINV(RAND(),$C$7,$D$7))</f>
        <v/>
      </c>
      <c r="M223" s="27">
        <f>MIN(0.16,MAX(0.05,NORMINV(RAND(),$C$8,$D$8)))</f>
        <v/>
      </c>
      <c r="N223" s="34">
        <f>MIN(24,MAX(5,NORMINV(RAND(),$C$9,$D$9)))</f>
        <v/>
      </c>
      <c r="O223" s="41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7">
        <f>MAX(-0.05,NORMINV(RAND(),$C$6,$D$6))</f>
        <v/>
      </c>
      <c r="L224" s="27">
        <f>MAX(0.02,NORMINV(RAND(),$C$7,$D$7))</f>
        <v/>
      </c>
      <c r="M224" s="27">
        <f>MIN(0.16,MAX(0.05,NORMINV(RAND(),$C$8,$D$8)))</f>
        <v/>
      </c>
      <c r="N224" s="34">
        <f>MIN(24,MAX(5,NORMINV(RAND(),$C$9,$D$9)))</f>
        <v/>
      </c>
      <c r="O224" s="41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7">
        <f>MAX(-0.05,NORMINV(RAND(),$C$6,$D$6))</f>
        <v/>
      </c>
      <c r="L225" s="27">
        <f>MAX(0.02,NORMINV(RAND(),$C$7,$D$7))</f>
        <v/>
      </c>
      <c r="M225" s="27">
        <f>MIN(0.16,MAX(0.05,NORMINV(RAND(),$C$8,$D$8)))</f>
        <v/>
      </c>
      <c r="N225" s="34">
        <f>MIN(24,MAX(5,NORMINV(RAND(),$C$9,$D$9)))</f>
        <v/>
      </c>
      <c r="O225" s="41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7">
        <f>MAX(-0.05,NORMINV(RAND(),$C$6,$D$6))</f>
        <v/>
      </c>
      <c r="L226" s="27">
        <f>MAX(0.02,NORMINV(RAND(),$C$7,$D$7))</f>
        <v/>
      </c>
      <c r="M226" s="27">
        <f>MIN(0.16,MAX(0.05,NORMINV(RAND(),$C$8,$D$8)))</f>
        <v/>
      </c>
      <c r="N226" s="34">
        <f>MIN(24,MAX(5,NORMINV(RAND(),$C$9,$D$9)))</f>
        <v/>
      </c>
      <c r="O226" s="41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7">
        <f>MAX(-0.05,NORMINV(RAND(),$C$6,$D$6))</f>
        <v/>
      </c>
      <c r="L227" s="27">
        <f>MAX(0.02,NORMINV(RAND(),$C$7,$D$7))</f>
        <v/>
      </c>
      <c r="M227" s="27">
        <f>MIN(0.16,MAX(0.05,NORMINV(RAND(),$C$8,$D$8)))</f>
        <v/>
      </c>
      <c r="N227" s="34">
        <f>MIN(24,MAX(5,NORMINV(RAND(),$C$9,$D$9)))</f>
        <v/>
      </c>
      <c r="O227" s="41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7">
        <f>MAX(-0.05,NORMINV(RAND(),$C$6,$D$6))</f>
        <v/>
      </c>
      <c r="L228" s="27">
        <f>MAX(0.02,NORMINV(RAND(),$C$7,$D$7))</f>
        <v/>
      </c>
      <c r="M228" s="27">
        <f>MIN(0.16,MAX(0.05,NORMINV(RAND(),$C$8,$D$8)))</f>
        <v/>
      </c>
      <c r="N228" s="34">
        <f>MIN(24,MAX(5,NORMINV(RAND(),$C$9,$D$9)))</f>
        <v/>
      </c>
      <c r="O228" s="41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7">
        <f>MAX(-0.05,NORMINV(RAND(),$C$6,$D$6))</f>
        <v/>
      </c>
      <c r="L229" s="27">
        <f>MAX(0.02,NORMINV(RAND(),$C$7,$D$7))</f>
        <v/>
      </c>
      <c r="M229" s="27">
        <f>MIN(0.16,MAX(0.05,NORMINV(RAND(),$C$8,$D$8)))</f>
        <v/>
      </c>
      <c r="N229" s="34">
        <f>MIN(24,MAX(5,NORMINV(RAND(),$C$9,$D$9)))</f>
        <v/>
      </c>
      <c r="O229" s="41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7">
        <f>MAX(-0.05,NORMINV(RAND(),$C$6,$D$6))</f>
        <v/>
      </c>
      <c r="L230" s="27">
        <f>MAX(0.02,NORMINV(RAND(),$C$7,$D$7))</f>
        <v/>
      </c>
      <c r="M230" s="27">
        <f>MIN(0.16,MAX(0.05,NORMINV(RAND(),$C$8,$D$8)))</f>
        <v/>
      </c>
      <c r="N230" s="34">
        <f>MIN(24,MAX(5,NORMINV(RAND(),$C$9,$D$9)))</f>
        <v/>
      </c>
      <c r="O230" s="41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7">
        <f>MAX(-0.05,NORMINV(RAND(),$C$6,$D$6))</f>
        <v/>
      </c>
      <c r="L231" s="27">
        <f>MAX(0.02,NORMINV(RAND(),$C$7,$D$7))</f>
        <v/>
      </c>
      <c r="M231" s="27">
        <f>MIN(0.16,MAX(0.05,NORMINV(RAND(),$C$8,$D$8)))</f>
        <v/>
      </c>
      <c r="N231" s="34">
        <f>MIN(24,MAX(5,NORMINV(RAND(),$C$9,$D$9)))</f>
        <v/>
      </c>
      <c r="O231" s="41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7">
        <f>MAX(-0.05,NORMINV(RAND(),$C$6,$D$6))</f>
        <v/>
      </c>
      <c r="L232" s="27">
        <f>MAX(0.02,NORMINV(RAND(),$C$7,$D$7))</f>
        <v/>
      </c>
      <c r="M232" s="27">
        <f>MIN(0.16,MAX(0.05,NORMINV(RAND(),$C$8,$D$8)))</f>
        <v/>
      </c>
      <c r="N232" s="34">
        <f>MIN(24,MAX(5,NORMINV(RAND(),$C$9,$D$9)))</f>
        <v/>
      </c>
      <c r="O232" s="41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7">
        <f>MAX(-0.05,NORMINV(RAND(),$C$6,$D$6))</f>
        <v/>
      </c>
      <c r="L233" s="27">
        <f>MAX(0.02,NORMINV(RAND(),$C$7,$D$7))</f>
        <v/>
      </c>
      <c r="M233" s="27">
        <f>MIN(0.16,MAX(0.05,NORMINV(RAND(),$C$8,$D$8)))</f>
        <v/>
      </c>
      <c r="N233" s="34">
        <f>MIN(24,MAX(5,NORMINV(RAND(),$C$9,$D$9)))</f>
        <v/>
      </c>
      <c r="O233" s="41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7">
        <f>MAX(-0.05,NORMINV(RAND(),$C$6,$D$6))</f>
        <v/>
      </c>
      <c r="L234" s="27">
        <f>MAX(0.02,NORMINV(RAND(),$C$7,$D$7))</f>
        <v/>
      </c>
      <c r="M234" s="27">
        <f>MIN(0.16,MAX(0.05,NORMINV(RAND(),$C$8,$D$8)))</f>
        <v/>
      </c>
      <c r="N234" s="34">
        <f>MIN(24,MAX(5,NORMINV(RAND(),$C$9,$D$9)))</f>
        <v/>
      </c>
      <c r="O234" s="41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7">
        <f>MAX(-0.05,NORMINV(RAND(),$C$6,$D$6))</f>
        <v/>
      </c>
      <c r="L235" s="27">
        <f>MAX(0.02,NORMINV(RAND(),$C$7,$D$7))</f>
        <v/>
      </c>
      <c r="M235" s="27">
        <f>MIN(0.16,MAX(0.05,NORMINV(RAND(),$C$8,$D$8)))</f>
        <v/>
      </c>
      <c r="N235" s="34">
        <f>MIN(24,MAX(5,NORMINV(RAND(),$C$9,$D$9)))</f>
        <v/>
      </c>
      <c r="O235" s="41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7">
        <f>MAX(-0.05,NORMINV(RAND(),$C$6,$D$6))</f>
        <v/>
      </c>
      <c r="L236" s="27">
        <f>MAX(0.02,NORMINV(RAND(),$C$7,$D$7))</f>
        <v/>
      </c>
      <c r="M236" s="27">
        <f>MIN(0.16,MAX(0.05,NORMINV(RAND(),$C$8,$D$8)))</f>
        <v/>
      </c>
      <c r="N236" s="34">
        <f>MIN(24,MAX(5,NORMINV(RAND(),$C$9,$D$9)))</f>
        <v/>
      </c>
      <c r="O236" s="41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7">
        <f>MAX(-0.05,NORMINV(RAND(),$C$6,$D$6))</f>
        <v/>
      </c>
      <c r="L237" s="27">
        <f>MAX(0.02,NORMINV(RAND(),$C$7,$D$7))</f>
        <v/>
      </c>
      <c r="M237" s="27">
        <f>MIN(0.16,MAX(0.05,NORMINV(RAND(),$C$8,$D$8)))</f>
        <v/>
      </c>
      <c r="N237" s="34">
        <f>MIN(24,MAX(5,NORMINV(RAND(),$C$9,$D$9)))</f>
        <v/>
      </c>
      <c r="O237" s="41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7">
        <f>MAX(-0.05,NORMINV(RAND(),$C$6,$D$6))</f>
        <v/>
      </c>
      <c r="L238" s="27">
        <f>MAX(0.02,NORMINV(RAND(),$C$7,$D$7))</f>
        <v/>
      </c>
      <c r="M238" s="27">
        <f>MIN(0.16,MAX(0.05,NORMINV(RAND(),$C$8,$D$8)))</f>
        <v/>
      </c>
      <c r="N238" s="34">
        <f>MIN(24,MAX(5,NORMINV(RAND(),$C$9,$D$9)))</f>
        <v/>
      </c>
      <c r="O238" s="41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7">
        <f>MAX(-0.05,NORMINV(RAND(),$C$6,$D$6))</f>
        <v/>
      </c>
      <c r="L239" s="27">
        <f>MAX(0.02,NORMINV(RAND(),$C$7,$D$7))</f>
        <v/>
      </c>
      <c r="M239" s="27">
        <f>MIN(0.16,MAX(0.05,NORMINV(RAND(),$C$8,$D$8)))</f>
        <v/>
      </c>
      <c r="N239" s="34">
        <f>MIN(24,MAX(5,NORMINV(RAND(),$C$9,$D$9)))</f>
        <v/>
      </c>
      <c r="O239" s="41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7">
        <f>MAX(-0.05,NORMINV(RAND(),$C$6,$D$6))</f>
        <v/>
      </c>
      <c r="L240" s="27">
        <f>MAX(0.02,NORMINV(RAND(),$C$7,$D$7))</f>
        <v/>
      </c>
      <c r="M240" s="27">
        <f>MIN(0.16,MAX(0.05,NORMINV(RAND(),$C$8,$D$8)))</f>
        <v/>
      </c>
      <c r="N240" s="34">
        <f>MIN(24,MAX(5,NORMINV(RAND(),$C$9,$D$9)))</f>
        <v/>
      </c>
      <c r="O240" s="41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7">
        <f>MAX(-0.05,NORMINV(RAND(),$C$6,$D$6))</f>
        <v/>
      </c>
      <c r="L241" s="27">
        <f>MAX(0.02,NORMINV(RAND(),$C$7,$D$7))</f>
        <v/>
      </c>
      <c r="M241" s="27">
        <f>MIN(0.16,MAX(0.05,NORMINV(RAND(),$C$8,$D$8)))</f>
        <v/>
      </c>
      <c r="N241" s="34">
        <f>MIN(24,MAX(5,NORMINV(RAND(),$C$9,$D$9)))</f>
        <v/>
      </c>
      <c r="O241" s="41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7">
        <f>MAX(-0.05,NORMINV(RAND(),$C$6,$D$6))</f>
        <v/>
      </c>
      <c r="L242" s="27">
        <f>MAX(0.02,NORMINV(RAND(),$C$7,$D$7))</f>
        <v/>
      </c>
      <c r="M242" s="27">
        <f>MIN(0.16,MAX(0.05,NORMINV(RAND(),$C$8,$D$8)))</f>
        <v/>
      </c>
      <c r="N242" s="34">
        <f>MIN(24,MAX(5,NORMINV(RAND(),$C$9,$D$9)))</f>
        <v/>
      </c>
      <c r="O242" s="41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7">
        <f>MAX(-0.05,NORMINV(RAND(),$C$6,$D$6))</f>
        <v/>
      </c>
      <c r="L243" s="27">
        <f>MAX(0.02,NORMINV(RAND(),$C$7,$D$7))</f>
        <v/>
      </c>
      <c r="M243" s="27">
        <f>MIN(0.16,MAX(0.05,NORMINV(RAND(),$C$8,$D$8)))</f>
        <v/>
      </c>
      <c r="N243" s="34">
        <f>MIN(24,MAX(5,NORMINV(RAND(),$C$9,$D$9)))</f>
        <v/>
      </c>
      <c r="O243" s="41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7">
        <f>MAX(-0.05,NORMINV(RAND(),$C$6,$D$6))</f>
        <v/>
      </c>
      <c r="L244" s="27">
        <f>MAX(0.02,NORMINV(RAND(),$C$7,$D$7))</f>
        <v/>
      </c>
      <c r="M244" s="27">
        <f>MIN(0.16,MAX(0.05,NORMINV(RAND(),$C$8,$D$8)))</f>
        <v/>
      </c>
      <c r="N244" s="34">
        <f>MIN(24,MAX(5,NORMINV(RAND(),$C$9,$D$9)))</f>
        <v/>
      </c>
      <c r="O244" s="41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7">
        <f>MAX(-0.05,NORMINV(RAND(),$C$6,$D$6))</f>
        <v/>
      </c>
      <c r="L245" s="27">
        <f>MAX(0.02,NORMINV(RAND(),$C$7,$D$7))</f>
        <v/>
      </c>
      <c r="M245" s="27">
        <f>MIN(0.16,MAX(0.05,NORMINV(RAND(),$C$8,$D$8)))</f>
        <v/>
      </c>
      <c r="N245" s="34">
        <f>MIN(24,MAX(5,NORMINV(RAND(),$C$9,$D$9)))</f>
        <v/>
      </c>
      <c r="O245" s="41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7">
        <f>MAX(-0.05,NORMINV(RAND(),$C$6,$D$6))</f>
        <v/>
      </c>
      <c r="L246" s="27">
        <f>MAX(0.02,NORMINV(RAND(),$C$7,$D$7))</f>
        <v/>
      </c>
      <c r="M246" s="27">
        <f>MIN(0.16,MAX(0.05,NORMINV(RAND(),$C$8,$D$8)))</f>
        <v/>
      </c>
      <c r="N246" s="34">
        <f>MIN(24,MAX(5,NORMINV(RAND(),$C$9,$D$9)))</f>
        <v/>
      </c>
      <c r="O246" s="41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7">
        <f>MAX(-0.05,NORMINV(RAND(),$C$6,$D$6))</f>
        <v/>
      </c>
      <c r="L247" s="27">
        <f>MAX(0.02,NORMINV(RAND(),$C$7,$D$7))</f>
        <v/>
      </c>
      <c r="M247" s="27">
        <f>MIN(0.16,MAX(0.05,NORMINV(RAND(),$C$8,$D$8)))</f>
        <v/>
      </c>
      <c r="N247" s="34">
        <f>MIN(24,MAX(5,NORMINV(RAND(),$C$9,$D$9)))</f>
        <v/>
      </c>
      <c r="O247" s="41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7">
        <f>MAX(-0.05,NORMINV(RAND(),$C$6,$D$6))</f>
        <v/>
      </c>
      <c r="L248" s="27">
        <f>MAX(0.02,NORMINV(RAND(),$C$7,$D$7))</f>
        <v/>
      </c>
      <c r="M248" s="27">
        <f>MIN(0.16,MAX(0.05,NORMINV(RAND(),$C$8,$D$8)))</f>
        <v/>
      </c>
      <c r="N248" s="34">
        <f>MIN(24,MAX(5,NORMINV(RAND(),$C$9,$D$9)))</f>
        <v/>
      </c>
      <c r="O248" s="41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7">
        <f>MAX(-0.05,NORMINV(RAND(),$C$6,$D$6))</f>
        <v/>
      </c>
      <c r="L249" s="27">
        <f>MAX(0.02,NORMINV(RAND(),$C$7,$D$7))</f>
        <v/>
      </c>
      <c r="M249" s="27">
        <f>MIN(0.16,MAX(0.05,NORMINV(RAND(),$C$8,$D$8)))</f>
        <v/>
      </c>
      <c r="N249" s="34">
        <f>MIN(24,MAX(5,NORMINV(RAND(),$C$9,$D$9)))</f>
        <v/>
      </c>
      <c r="O249" s="41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7">
        <f>MAX(-0.05,NORMINV(RAND(),$C$6,$D$6))</f>
        <v/>
      </c>
      <c r="L250" s="27">
        <f>MAX(0.02,NORMINV(RAND(),$C$7,$D$7))</f>
        <v/>
      </c>
      <c r="M250" s="27">
        <f>MIN(0.16,MAX(0.05,NORMINV(RAND(),$C$8,$D$8)))</f>
        <v/>
      </c>
      <c r="N250" s="34">
        <f>MIN(24,MAX(5,NORMINV(RAND(),$C$9,$D$9)))</f>
        <v/>
      </c>
      <c r="O250" s="41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7">
        <f>MAX(-0.05,NORMINV(RAND(),$C$6,$D$6))</f>
        <v/>
      </c>
      <c r="L251" s="27">
        <f>MAX(0.02,NORMINV(RAND(),$C$7,$D$7))</f>
        <v/>
      </c>
      <c r="M251" s="27">
        <f>MIN(0.16,MAX(0.05,NORMINV(RAND(),$C$8,$D$8)))</f>
        <v/>
      </c>
      <c r="N251" s="34">
        <f>MIN(24,MAX(5,NORMINV(RAND(),$C$9,$D$9)))</f>
        <v/>
      </c>
      <c r="O251" s="41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7">
        <f>MAX(-0.05,NORMINV(RAND(),$C$6,$D$6))</f>
        <v/>
      </c>
      <c r="L252" s="27">
        <f>MAX(0.02,NORMINV(RAND(),$C$7,$D$7))</f>
        <v/>
      </c>
      <c r="M252" s="27">
        <f>MIN(0.16,MAX(0.05,NORMINV(RAND(),$C$8,$D$8)))</f>
        <v/>
      </c>
      <c r="N252" s="34">
        <f>MIN(24,MAX(5,NORMINV(RAND(),$C$9,$D$9)))</f>
        <v/>
      </c>
      <c r="O252" s="41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7">
        <f>MAX(-0.05,NORMINV(RAND(),$C$6,$D$6))</f>
        <v/>
      </c>
      <c r="L253" s="27">
        <f>MAX(0.02,NORMINV(RAND(),$C$7,$D$7))</f>
        <v/>
      </c>
      <c r="M253" s="27">
        <f>MIN(0.16,MAX(0.05,NORMINV(RAND(),$C$8,$D$8)))</f>
        <v/>
      </c>
      <c r="N253" s="34">
        <f>MIN(24,MAX(5,NORMINV(RAND(),$C$9,$D$9)))</f>
        <v/>
      </c>
      <c r="O253" s="41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7">
        <f>MAX(-0.05,NORMINV(RAND(),$C$6,$D$6))</f>
        <v/>
      </c>
      <c r="L254" s="27">
        <f>MAX(0.02,NORMINV(RAND(),$C$7,$D$7))</f>
        <v/>
      </c>
      <c r="M254" s="27">
        <f>MIN(0.16,MAX(0.05,NORMINV(RAND(),$C$8,$D$8)))</f>
        <v/>
      </c>
      <c r="N254" s="34">
        <f>MIN(24,MAX(5,NORMINV(RAND(),$C$9,$D$9)))</f>
        <v/>
      </c>
      <c r="O254" s="41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7">
        <f>MAX(-0.05,NORMINV(RAND(),$C$6,$D$6))</f>
        <v/>
      </c>
      <c r="L255" s="27">
        <f>MAX(0.02,NORMINV(RAND(),$C$7,$D$7))</f>
        <v/>
      </c>
      <c r="M255" s="27">
        <f>MIN(0.16,MAX(0.05,NORMINV(RAND(),$C$8,$D$8)))</f>
        <v/>
      </c>
      <c r="N255" s="34">
        <f>MIN(24,MAX(5,NORMINV(RAND(),$C$9,$D$9)))</f>
        <v/>
      </c>
      <c r="O255" s="41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7">
        <f>MAX(-0.05,NORMINV(RAND(),$C$6,$D$6))</f>
        <v/>
      </c>
      <c r="L256" s="27">
        <f>MAX(0.02,NORMINV(RAND(),$C$7,$D$7))</f>
        <v/>
      </c>
      <c r="M256" s="27">
        <f>MIN(0.16,MAX(0.05,NORMINV(RAND(),$C$8,$D$8)))</f>
        <v/>
      </c>
      <c r="N256" s="34">
        <f>MIN(24,MAX(5,NORMINV(RAND(),$C$9,$D$9)))</f>
        <v/>
      </c>
      <c r="O256" s="41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7">
        <f>MAX(-0.05,NORMINV(RAND(),$C$6,$D$6))</f>
        <v/>
      </c>
      <c r="L257" s="27">
        <f>MAX(0.02,NORMINV(RAND(),$C$7,$D$7))</f>
        <v/>
      </c>
      <c r="M257" s="27">
        <f>MIN(0.16,MAX(0.05,NORMINV(RAND(),$C$8,$D$8)))</f>
        <v/>
      </c>
      <c r="N257" s="34">
        <f>MIN(24,MAX(5,NORMINV(RAND(),$C$9,$D$9)))</f>
        <v/>
      </c>
      <c r="O257" s="41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7">
        <f>MAX(-0.05,NORMINV(RAND(),$C$6,$D$6))</f>
        <v/>
      </c>
      <c r="L258" s="27">
        <f>MAX(0.02,NORMINV(RAND(),$C$7,$D$7))</f>
        <v/>
      </c>
      <c r="M258" s="27">
        <f>MIN(0.16,MAX(0.05,NORMINV(RAND(),$C$8,$D$8)))</f>
        <v/>
      </c>
      <c r="N258" s="34">
        <f>MIN(24,MAX(5,NORMINV(RAND(),$C$9,$D$9)))</f>
        <v/>
      </c>
      <c r="O258" s="41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7">
        <f>MAX(-0.05,NORMINV(RAND(),$C$6,$D$6))</f>
        <v/>
      </c>
      <c r="L259" s="27">
        <f>MAX(0.02,NORMINV(RAND(),$C$7,$D$7))</f>
        <v/>
      </c>
      <c r="M259" s="27">
        <f>MIN(0.16,MAX(0.05,NORMINV(RAND(),$C$8,$D$8)))</f>
        <v/>
      </c>
      <c r="N259" s="34">
        <f>MIN(24,MAX(5,NORMINV(RAND(),$C$9,$D$9)))</f>
        <v/>
      </c>
      <c r="O259" s="41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7">
        <f>MAX(-0.05,NORMINV(RAND(),$C$6,$D$6))</f>
        <v/>
      </c>
      <c r="L260" s="27">
        <f>MAX(0.02,NORMINV(RAND(),$C$7,$D$7))</f>
        <v/>
      </c>
      <c r="M260" s="27">
        <f>MIN(0.16,MAX(0.05,NORMINV(RAND(),$C$8,$D$8)))</f>
        <v/>
      </c>
      <c r="N260" s="34">
        <f>MIN(24,MAX(5,NORMINV(RAND(),$C$9,$D$9)))</f>
        <v/>
      </c>
      <c r="O260" s="41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7">
        <f>MAX(-0.05,NORMINV(RAND(),$C$6,$D$6))</f>
        <v/>
      </c>
      <c r="L261" s="27">
        <f>MAX(0.02,NORMINV(RAND(),$C$7,$D$7))</f>
        <v/>
      </c>
      <c r="M261" s="27">
        <f>MIN(0.16,MAX(0.05,NORMINV(RAND(),$C$8,$D$8)))</f>
        <v/>
      </c>
      <c r="N261" s="34">
        <f>MIN(24,MAX(5,NORMINV(RAND(),$C$9,$D$9)))</f>
        <v/>
      </c>
      <c r="O261" s="41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7">
        <f>MAX(-0.05,NORMINV(RAND(),$C$6,$D$6))</f>
        <v/>
      </c>
      <c r="L262" s="27">
        <f>MAX(0.02,NORMINV(RAND(),$C$7,$D$7))</f>
        <v/>
      </c>
      <c r="M262" s="27">
        <f>MIN(0.16,MAX(0.05,NORMINV(RAND(),$C$8,$D$8)))</f>
        <v/>
      </c>
      <c r="N262" s="34">
        <f>MIN(24,MAX(5,NORMINV(RAND(),$C$9,$D$9)))</f>
        <v/>
      </c>
      <c r="O262" s="41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7">
        <f>MAX(-0.05,NORMINV(RAND(),$C$6,$D$6))</f>
        <v/>
      </c>
      <c r="L263" s="27">
        <f>MAX(0.02,NORMINV(RAND(),$C$7,$D$7))</f>
        <v/>
      </c>
      <c r="M263" s="27">
        <f>MIN(0.16,MAX(0.05,NORMINV(RAND(),$C$8,$D$8)))</f>
        <v/>
      </c>
      <c r="N263" s="34">
        <f>MIN(24,MAX(5,NORMINV(RAND(),$C$9,$D$9)))</f>
        <v/>
      </c>
      <c r="O263" s="41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7">
        <f>MAX(-0.05,NORMINV(RAND(),$C$6,$D$6))</f>
        <v/>
      </c>
      <c r="L264" s="27">
        <f>MAX(0.02,NORMINV(RAND(),$C$7,$D$7))</f>
        <v/>
      </c>
      <c r="M264" s="27">
        <f>MIN(0.16,MAX(0.05,NORMINV(RAND(),$C$8,$D$8)))</f>
        <v/>
      </c>
      <c r="N264" s="34">
        <f>MIN(24,MAX(5,NORMINV(RAND(),$C$9,$D$9)))</f>
        <v/>
      </c>
      <c r="O264" s="41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7">
        <f>MAX(-0.05,NORMINV(RAND(),$C$6,$D$6))</f>
        <v/>
      </c>
      <c r="L265" s="27">
        <f>MAX(0.02,NORMINV(RAND(),$C$7,$D$7))</f>
        <v/>
      </c>
      <c r="M265" s="27">
        <f>MIN(0.16,MAX(0.05,NORMINV(RAND(),$C$8,$D$8)))</f>
        <v/>
      </c>
      <c r="N265" s="34">
        <f>MIN(24,MAX(5,NORMINV(RAND(),$C$9,$D$9)))</f>
        <v/>
      </c>
      <c r="O265" s="41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7">
        <f>MAX(-0.05,NORMINV(RAND(),$C$6,$D$6))</f>
        <v/>
      </c>
      <c r="L266" s="27">
        <f>MAX(0.02,NORMINV(RAND(),$C$7,$D$7))</f>
        <v/>
      </c>
      <c r="M266" s="27">
        <f>MIN(0.16,MAX(0.05,NORMINV(RAND(),$C$8,$D$8)))</f>
        <v/>
      </c>
      <c r="N266" s="34">
        <f>MIN(24,MAX(5,NORMINV(RAND(),$C$9,$D$9)))</f>
        <v/>
      </c>
      <c r="O266" s="41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7">
        <f>MAX(-0.05,NORMINV(RAND(),$C$6,$D$6))</f>
        <v/>
      </c>
      <c r="L267" s="27">
        <f>MAX(0.02,NORMINV(RAND(),$C$7,$D$7))</f>
        <v/>
      </c>
      <c r="M267" s="27">
        <f>MIN(0.16,MAX(0.05,NORMINV(RAND(),$C$8,$D$8)))</f>
        <v/>
      </c>
      <c r="N267" s="34">
        <f>MIN(24,MAX(5,NORMINV(RAND(),$C$9,$D$9)))</f>
        <v/>
      </c>
      <c r="O267" s="41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7">
        <f>MAX(-0.05,NORMINV(RAND(),$C$6,$D$6))</f>
        <v/>
      </c>
      <c r="L268" s="27">
        <f>MAX(0.02,NORMINV(RAND(),$C$7,$D$7))</f>
        <v/>
      </c>
      <c r="M268" s="27">
        <f>MIN(0.16,MAX(0.05,NORMINV(RAND(),$C$8,$D$8)))</f>
        <v/>
      </c>
      <c r="N268" s="34">
        <f>MIN(24,MAX(5,NORMINV(RAND(),$C$9,$D$9)))</f>
        <v/>
      </c>
      <c r="O268" s="41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7">
        <f>MAX(-0.05,NORMINV(RAND(),$C$6,$D$6))</f>
        <v/>
      </c>
      <c r="L269" s="27">
        <f>MAX(0.02,NORMINV(RAND(),$C$7,$D$7))</f>
        <v/>
      </c>
      <c r="M269" s="27">
        <f>MIN(0.16,MAX(0.05,NORMINV(RAND(),$C$8,$D$8)))</f>
        <v/>
      </c>
      <c r="N269" s="34">
        <f>MIN(24,MAX(5,NORMINV(RAND(),$C$9,$D$9)))</f>
        <v/>
      </c>
      <c r="O269" s="41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7">
        <f>MAX(-0.05,NORMINV(RAND(),$C$6,$D$6))</f>
        <v/>
      </c>
      <c r="L270" s="27">
        <f>MAX(0.02,NORMINV(RAND(),$C$7,$D$7))</f>
        <v/>
      </c>
      <c r="M270" s="27">
        <f>MIN(0.16,MAX(0.05,NORMINV(RAND(),$C$8,$D$8)))</f>
        <v/>
      </c>
      <c r="N270" s="34">
        <f>MIN(24,MAX(5,NORMINV(RAND(),$C$9,$D$9)))</f>
        <v/>
      </c>
      <c r="O270" s="41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7">
        <f>MAX(-0.05,NORMINV(RAND(),$C$6,$D$6))</f>
        <v/>
      </c>
      <c r="L271" s="27">
        <f>MAX(0.02,NORMINV(RAND(),$C$7,$D$7))</f>
        <v/>
      </c>
      <c r="M271" s="27">
        <f>MIN(0.16,MAX(0.05,NORMINV(RAND(),$C$8,$D$8)))</f>
        <v/>
      </c>
      <c r="N271" s="34">
        <f>MIN(24,MAX(5,NORMINV(RAND(),$C$9,$D$9)))</f>
        <v/>
      </c>
      <c r="O271" s="41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7">
        <f>MAX(-0.05,NORMINV(RAND(),$C$6,$D$6))</f>
        <v/>
      </c>
      <c r="L272" s="27">
        <f>MAX(0.02,NORMINV(RAND(),$C$7,$D$7))</f>
        <v/>
      </c>
      <c r="M272" s="27">
        <f>MIN(0.16,MAX(0.05,NORMINV(RAND(),$C$8,$D$8)))</f>
        <v/>
      </c>
      <c r="N272" s="34">
        <f>MIN(24,MAX(5,NORMINV(RAND(),$C$9,$D$9)))</f>
        <v/>
      </c>
      <c r="O272" s="41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7">
        <f>MAX(-0.05,NORMINV(RAND(),$C$6,$D$6))</f>
        <v/>
      </c>
      <c r="L273" s="27">
        <f>MAX(0.02,NORMINV(RAND(),$C$7,$D$7))</f>
        <v/>
      </c>
      <c r="M273" s="27">
        <f>MIN(0.16,MAX(0.05,NORMINV(RAND(),$C$8,$D$8)))</f>
        <v/>
      </c>
      <c r="N273" s="34">
        <f>MIN(24,MAX(5,NORMINV(RAND(),$C$9,$D$9)))</f>
        <v/>
      </c>
      <c r="O273" s="41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7">
        <f>MAX(-0.05,NORMINV(RAND(),$C$6,$D$6))</f>
        <v/>
      </c>
      <c r="L274" s="27">
        <f>MAX(0.02,NORMINV(RAND(),$C$7,$D$7))</f>
        <v/>
      </c>
      <c r="M274" s="27">
        <f>MIN(0.16,MAX(0.05,NORMINV(RAND(),$C$8,$D$8)))</f>
        <v/>
      </c>
      <c r="N274" s="34">
        <f>MIN(24,MAX(5,NORMINV(RAND(),$C$9,$D$9)))</f>
        <v/>
      </c>
      <c r="O274" s="41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7">
        <f>MAX(-0.05,NORMINV(RAND(),$C$6,$D$6))</f>
        <v/>
      </c>
      <c r="L275" s="27">
        <f>MAX(0.02,NORMINV(RAND(),$C$7,$D$7))</f>
        <v/>
      </c>
      <c r="M275" s="27">
        <f>MIN(0.16,MAX(0.05,NORMINV(RAND(),$C$8,$D$8)))</f>
        <v/>
      </c>
      <c r="N275" s="34">
        <f>MIN(24,MAX(5,NORMINV(RAND(),$C$9,$D$9)))</f>
        <v/>
      </c>
      <c r="O275" s="41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7">
        <f>MAX(-0.05,NORMINV(RAND(),$C$6,$D$6))</f>
        <v/>
      </c>
      <c r="L276" s="27">
        <f>MAX(0.02,NORMINV(RAND(),$C$7,$D$7))</f>
        <v/>
      </c>
      <c r="M276" s="27">
        <f>MIN(0.16,MAX(0.05,NORMINV(RAND(),$C$8,$D$8)))</f>
        <v/>
      </c>
      <c r="N276" s="34">
        <f>MIN(24,MAX(5,NORMINV(RAND(),$C$9,$D$9)))</f>
        <v/>
      </c>
      <c r="O276" s="41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7">
        <f>MAX(-0.05,NORMINV(RAND(),$C$6,$D$6))</f>
        <v/>
      </c>
      <c r="L277" s="27">
        <f>MAX(0.02,NORMINV(RAND(),$C$7,$D$7))</f>
        <v/>
      </c>
      <c r="M277" s="27">
        <f>MIN(0.16,MAX(0.05,NORMINV(RAND(),$C$8,$D$8)))</f>
        <v/>
      </c>
      <c r="N277" s="34">
        <f>MIN(24,MAX(5,NORMINV(RAND(),$C$9,$D$9)))</f>
        <v/>
      </c>
      <c r="O277" s="41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7">
        <f>MAX(-0.05,NORMINV(RAND(),$C$6,$D$6))</f>
        <v/>
      </c>
      <c r="L278" s="27">
        <f>MAX(0.02,NORMINV(RAND(),$C$7,$D$7))</f>
        <v/>
      </c>
      <c r="M278" s="27">
        <f>MIN(0.16,MAX(0.05,NORMINV(RAND(),$C$8,$D$8)))</f>
        <v/>
      </c>
      <c r="N278" s="34">
        <f>MIN(24,MAX(5,NORMINV(RAND(),$C$9,$D$9)))</f>
        <v/>
      </c>
      <c r="O278" s="41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7">
        <f>MAX(-0.05,NORMINV(RAND(),$C$6,$D$6))</f>
        <v/>
      </c>
      <c r="L279" s="27">
        <f>MAX(0.02,NORMINV(RAND(),$C$7,$D$7))</f>
        <v/>
      </c>
      <c r="M279" s="27">
        <f>MIN(0.16,MAX(0.05,NORMINV(RAND(),$C$8,$D$8)))</f>
        <v/>
      </c>
      <c r="N279" s="34">
        <f>MIN(24,MAX(5,NORMINV(RAND(),$C$9,$D$9)))</f>
        <v/>
      </c>
      <c r="O279" s="41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7">
        <f>MAX(-0.05,NORMINV(RAND(),$C$6,$D$6))</f>
        <v/>
      </c>
      <c r="L280" s="27">
        <f>MAX(0.02,NORMINV(RAND(),$C$7,$D$7))</f>
        <v/>
      </c>
      <c r="M280" s="27">
        <f>MIN(0.16,MAX(0.05,NORMINV(RAND(),$C$8,$D$8)))</f>
        <v/>
      </c>
      <c r="N280" s="34">
        <f>MIN(24,MAX(5,NORMINV(RAND(),$C$9,$D$9)))</f>
        <v/>
      </c>
      <c r="O280" s="41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7">
        <f>MAX(-0.05,NORMINV(RAND(),$C$6,$D$6))</f>
        <v/>
      </c>
      <c r="L281" s="27">
        <f>MAX(0.02,NORMINV(RAND(),$C$7,$D$7))</f>
        <v/>
      </c>
      <c r="M281" s="27">
        <f>MIN(0.16,MAX(0.05,NORMINV(RAND(),$C$8,$D$8)))</f>
        <v/>
      </c>
      <c r="N281" s="34">
        <f>MIN(24,MAX(5,NORMINV(RAND(),$C$9,$D$9)))</f>
        <v/>
      </c>
      <c r="O281" s="41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7">
        <f>MAX(-0.05,NORMINV(RAND(),$C$6,$D$6))</f>
        <v/>
      </c>
      <c r="L282" s="27">
        <f>MAX(0.02,NORMINV(RAND(),$C$7,$D$7))</f>
        <v/>
      </c>
      <c r="M282" s="27">
        <f>MIN(0.16,MAX(0.05,NORMINV(RAND(),$C$8,$D$8)))</f>
        <v/>
      </c>
      <c r="N282" s="34">
        <f>MIN(24,MAX(5,NORMINV(RAND(),$C$9,$D$9)))</f>
        <v/>
      </c>
      <c r="O282" s="41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7">
        <f>MAX(-0.05,NORMINV(RAND(),$C$6,$D$6))</f>
        <v/>
      </c>
      <c r="L283" s="27">
        <f>MAX(0.02,NORMINV(RAND(),$C$7,$D$7))</f>
        <v/>
      </c>
      <c r="M283" s="27">
        <f>MIN(0.16,MAX(0.05,NORMINV(RAND(),$C$8,$D$8)))</f>
        <v/>
      </c>
      <c r="N283" s="34">
        <f>MIN(24,MAX(5,NORMINV(RAND(),$C$9,$D$9)))</f>
        <v/>
      </c>
      <c r="O283" s="41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7">
        <f>MAX(-0.05,NORMINV(RAND(),$C$6,$D$6))</f>
        <v/>
      </c>
      <c r="L284" s="27">
        <f>MAX(0.02,NORMINV(RAND(),$C$7,$D$7))</f>
        <v/>
      </c>
      <c r="M284" s="27">
        <f>MIN(0.16,MAX(0.05,NORMINV(RAND(),$C$8,$D$8)))</f>
        <v/>
      </c>
      <c r="N284" s="34">
        <f>MIN(24,MAX(5,NORMINV(RAND(),$C$9,$D$9)))</f>
        <v/>
      </c>
      <c r="O284" s="41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7">
        <f>MAX(-0.05,NORMINV(RAND(),$C$6,$D$6))</f>
        <v/>
      </c>
      <c r="L285" s="27">
        <f>MAX(0.02,NORMINV(RAND(),$C$7,$D$7))</f>
        <v/>
      </c>
      <c r="M285" s="27">
        <f>MIN(0.16,MAX(0.05,NORMINV(RAND(),$C$8,$D$8)))</f>
        <v/>
      </c>
      <c r="N285" s="34">
        <f>MIN(24,MAX(5,NORMINV(RAND(),$C$9,$D$9)))</f>
        <v/>
      </c>
      <c r="O285" s="41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7">
        <f>MAX(-0.05,NORMINV(RAND(),$C$6,$D$6))</f>
        <v/>
      </c>
      <c r="L286" s="27">
        <f>MAX(0.02,NORMINV(RAND(),$C$7,$D$7))</f>
        <v/>
      </c>
      <c r="M286" s="27">
        <f>MIN(0.16,MAX(0.05,NORMINV(RAND(),$C$8,$D$8)))</f>
        <v/>
      </c>
      <c r="N286" s="34">
        <f>MIN(24,MAX(5,NORMINV(RAND(),$C$9,$D$9)))</f>
        <v/>
      </c>
      <c r="O286" s="41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7">
        <f>MAX(-0.05,NORMINV(RAND(),$C$6,$D$6))</f>
        <v/>
      </c>
      <c r="L287" s="27">
        <f>MAX(0.02,NORMINV(RAND(),$C$7,$D$7))</f>
        <v/>
      </c>
      <c r="M287" s="27">
        <f>MIN(0.16,MAX(0.05,NORMINV(RAND(),$C$8,$D$8)))</f>
        <v/>
      </c>
      <c r="N287" s="34">
        <f>MIN(24,MAX(5,NORMINV(RAND(),$C$9,$D$9)))</f>
        <v/>
      </c>
      <c r="O287" s="41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7">
        <f>MAX(-0.05,NORMINV(RAND(),$C$6,$D$6))</f>
        <v/>
      </c>
      <c r="L288" s="27">
        <f>MAX(0.02,NORMINV(RAND(),$C$7,$D$7))</f>
        <v/>
      </c>
      <c r="M288" s="27">
        <f>MIN(0.16,MAX(0.05,NORMINV(RAND(),$C$8,$D$8)))</f>
        <v/>
      </c>
      <c r="N288" s="34">
        <f>MIN(24,MAX(5,NORMINV(RAND(),$C$9,$D$9)))</f>
        <v/>
      </c>
      <c r="O288" s="41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7">
        <f>MAX(-0.05,NORMINV(RAND(),$C$6,$D$6))</f>
        <v/>
      </c>
      <c r="L289" s="27">
        <f>MAX(0.02,NORMINV(RAND(),$C$7,$D$7))</f>
        <v/>
      </c>
      <c r="M289" s="27">
        <f>MIN(0.16,MAX(0.05,NORMINV(RAND(),$C$8,$D$8)))</f>
        <v/>
      </c>
      <c r="N289" s="34">
        <f>MIN(24,MAX(5,NORMINV(RAND(),$C$9,$D$9)))</f>
        <v/>
      </c>
      <c r="O289" s="41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7">
        <f>MAX(-0.05,NORMINV(RAND(),$C$6,$D$6))</f>
        <v/>
      </c>
      <c r="L290" s="27">
        <f>MAX(0.02,NORMINV(RAND(),$C$7,$D$7))</f>
        <v/>
      </c>
      <c r="M290" s="27">
        <f>MIN(0.16,MAX(0.05,NORMINV(RAND(),$C$8,$D$8)))</f>
        <v/>
      </c>
      <c r="N290" s="34">
        <f>MIN(24,MAX(5,NORMINV(RAND(),$C$9,$D$9)))</f>
        <v/>
      </c>
      <c r="O290" s="41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7">
        <f>MAX(-0.05,NORMINV(RAND(),$C$6,$D$6))</f>
        <v/>
      </c>
      <c r="L291" s="27">
        <f>MAX(0.02,NORMINV(RAND(),$C$7,$D$7))</f>
        <v/>
      </c>
      <c r="M291" s="27">
        <f>MIN(0.16,MAX(0.05,NORMINV(RAND(),$C$8,$D$8)))</f>
        <v/>
      </c>
      <c r="N291" s="34">
        <f>MIN(24,MAX(5,NORMINV(RAND(),$C$9,$D$9)))</f>
        <v/>
      </c>
      <c r="O291" s="41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7">
        <f>MAX(-0.05,NORMINV(RAND(),$C$6,$D$6))</f>
        <v/>
      </c>
      <c r="L292" s="27">
        <f>MAX(0.02,NORMINV(RAND(),$C$7,$D$7))</f>
        <v/>
      </c>
      <c r="M292" s="27">
        <f>MIN(0.16,MAX(0.05,NORMINV(RAND(),$C$8,$D$8)))</f>
        <v/>
      </c>
      <c r="N292" s="34">
        <f>MIN(24,MAX(5,NORMINV(RAND(),$C$9,$D$9)))</f>
        <v/>
      </c>
      <c r="O292" s="41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7">
        <f>MAX(-0.05,NORMINV(RAND(),$C$6,$D$6))</f>
        <v/>
      </c>
      <c r="L293" s="27">
        <f>MAX(0.02,NORMINV(RAND(),$C$7,$D$7))</f>
        <v/>
      </c>
      <c r="M293" s="27">
        <f>MIN(0.16,MAX(0.05,NORMINV(RAND(),$C$8,$D$8)))</f>
        <v/>
      </c>
      <c r="N293" s="34">
        <f>MIN(24,MAX(5,NORMINV(RAND(),$C$9,$D$9)))</f>
        <v/>
      </c>
      <c r="O293" s="41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7">
        <f>MAX(-0.05,NORMINV(RAND(),$C$6,$D$6))</f>
        <v/>
      </c>
      <c r="L294" s="27">
        <f>MAX(0.02,NORMINV(RAND(),$C$7,$D$7))</f>
        <v/>
      </c>
      <c r="M294" s="27">
        <f>MIN(0.16,MAX(0.05,NORMINV(RAND(),$C$8,$D$8)))</f>
        <v/>
      </c>
      <c r="N294" s="34">
        <f>MIN(24,MAX(5,NORMINV(RAND(),$C$9,$D$9)))</f>
        <v/>
      </c>
      <c r="O294" s="41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7">
        <f>MAX(-0.05,NORMINV(RAND(),$C$6,$D$6))</f>
        <v/>
      </c>
      <c r="L295" s="27">
        <f>MAX(0.02,NORMINV(RAND(),$C$7,$D$7))</f>
        <v/>
      </c>
      <c r="M295" s="27">
        <f>MIN(0.16,MAX(0.05,NORMINV(RAND(),$C$8,$D$8)))</f>
        <v/>
      </c>
      <c r="N295" s="34">
        <f>MIN(24,MAX(5,NORMINV(RAND(),$C$9,$D$9)))</f>
        <v/>
      </c>
      <c r="O295" s="41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7">
        <f>MAX(-0.05,NORMINV(RAND(),$C$6,$D$6))</f>
        <v/>
      </c>
      <c r="L296" s="27">
        <f>MAX(0.02,NORMINV(RAND(),$C$7,$D$7))</f>
        <v/>
      </c>
      <c r="M296" s="27">
        <f>MIN(0.16,MAX(0.05,NORMINV(RAND(),$C$8,$D$8)))</f>
        <v/>
      </c>
      <c r="N296" s="34">
        <f>MIN(24,MAX(5,NORMINV(RAND(),$C$9,$D$9)))</f>
        <v/>
      </c>
      <c r="O296" s="41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7">
        <f>MAX(-0.05,NORMINV(RAND(),$C$6,$D$6))</f>
        <v/>
      </c>
      <c r="L297" s="27">
        <f>MAX(0.02,NORMINV(RAND(),$C$7,$D$7))</f>
        <v/>
      </c>
      <c r="M297" s="27">
        <f>MIN(0.16,MAX(0.05,NORMINV(RAND(),$C$8,$D$8)))</f>
        <v/>
      </c>
      <c r="N297" s="34">
        <f>MIN(24,MAX(5,NORMINV(RAND(),$C$9,$D$9)))</f>
        <v/>
      </c>
      <c r="O297" s="41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7">
        <f>MAX(-0.05,NORMINV(RAND(),$C$6,$D$6))</f>
        <v/>
      </c>
      <c r="L298" s="27">
        <f>MAX(0.02,NORMINV(RAND(),$C$7,$D$7))</f>
        <v/>
      </c>
      <c r="M298" s="27">
        <f>MIN(0.16,MAX(0.05,NORMINV(RAND(),$C$8,$D$8)))</f>
        <v/>
      </c>
      <c r="N298" s="34">
        <f>MIN(24,MAX(5,NORMINV(RAND(),$C$9,$D$9)))</f>
        <v/>
      </c>
      <c r="O298" s="41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7">
        <f>MAX(-0.05,NORMINV(RAND(),$C$6,$D$6))</f>
        <v/>
      </c>
      <c r="L299" s="27">
        <f>MAX(0.02,NORMINV(RAND(),$C$7,$D$7))</f>
        <v/>
      </c>
      <c r="M299" s="27">
        <f>MIN(0.16,MAX(0.05,NORMINV(RAND(),$C$8,$D$8)))</f>
        <v/>
      </c>
      <c r="N299" s="34">
        <f>MIN(24,MAX(5,NORMINV(RAND(),$C$9,$D$9)))</f>
        <v/>
      </c>
      <c r="O299" s="41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7">
        <f>MAX(-0.05,NORMINV(RAND(),$C$6,$D$6))</f>
        <v/>
      </c>
      <c r="L300" s="27">
        <f>MAX(0.02,NORMINV(RAND(),$C$7,$D$7))</f>
        <v/>
      </c>
      <c r="M300" s="27">
        <f>MIN(0.16,MAX(0.05,NORMINV(RAND(),$C$8,$D$8)))</f>
        <v/>
      </c>
      <c r="N300" s="34">
        <f>MIN(24,MAX(5,NORMINV(RAND(),$C$9,$D$9)))</f>
        <v/>
      </c>
      <c r="O300" s="41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7">
        <f>MAX(-0.05,NORMINV(RAND(),$C$6,$D$6))</f>
        <v/>
      </c>
      <c r="L301" s="27">
        <f>MAX(0.02,NORMINV(RAND(),$C$7,$D$7))</f>
        <v/>
      </c>
      <c r="M301" s="27">
        <f>MIN(0.16,MAX(0.05,NORMINV(RAND(),$C$8,$D$8)))</f>
        <v/>
      </c>
      <c r="N301" s="34">
        <f>MIN(24,MAX(5,NORMINV(RAND(),$C$9,$D$9)))</f>
        <v/>
      </c>
      <c r="O301" s="41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7">
        <f>MAX(-0.05,NORMINV(RAND(),$C$6,$D$6))</f>
        <v/>
      </c>
      <c r="L302" s="27">
        <f>MAX(0.02,NORMINV(RAND(),$C$7,$D$7))</f>
        <v/>
      </c>
      <c r="M302" s="27">
        <f>MIN(0.16,MAX(0.05,NORMINV(RAND(),$C$8,$D$8)))</f>
        <v/>
      </c>
      <c r="N302" s="34">
        <f>MIN(24,MAX(5,NORMINV(RAND(),$C$9,$D$9)))</f>
        <v/>
      </c>
      <c r="O302" s="41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7">
        <f>MAX(-0.05,NORMINV(RAND(),$C$6,$D$6))</f>
        <v/>
      </c>
      <c r="L303" s="27">
        <f>MAX(0.02,NORMINV(RAND(),$C$7,$D$7))</f>
        <v/>
      </c>
      <c r="M303" s="27">
        <f>MIN(0.16,MAX(0.05,NORMINV(RAND(),$C$8,$D$8)))</f>
        <v/>
      </c>
      <c r="N303" s="34">
        <f>MIN(24,MAX(5,NORMINV(RAND(),$C$9,$D$9)))</f>
        <v/>
      </c>
      <c r="O303" s="41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7">
        <f>MAX(-0.05,NORMINV(RAND(),$C$6,$D$6))</f>
        <v/>
      </c>
      <c r="L304" s="27">
        <f>MAX(0.02,NORMINV(RAND(),$C$7,$D$7))</f>
        <v/>
      </c>
      <c r="M304" s="27">
        <f>MIN(0.16,MAX(0.05,NORMINV(RAND(),$C$8,$D$8)))</f>
        <v/>
      </c>
      <c r="N304" s="34">
        <f>MIN(24,MAX(5,NORMINV(RAND(),$C$9,$D$9)))</f>
        <v/>
      </c>
      <c r="O304" s="41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7">
        <f>MAX(-0.05,NORMINV(RAND(),$C$6,$D$6))</f>
        <v/>
      </c>
      <c r="L305" s="27">
        <f>MAX(0.02,NORMINV(RAND(),$C$7,$D$7))</f>
        <v/>
      </c>
      <c r="M305" s="27">
        <f>MIN(0.16,MAX(0.05,NORMINV(RAND(),$C$8,$D$8)))</f>
        <v/>
      </c>
      <c r="N305" s="34">
        <f>MIN(24,MAX(5,NORMINV(RAND(),$C$9,$D$9)))</f>
        <v/>
      </c>
      <c r="O305" s="41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7">
        <f>MAX(-0.05,NORMINV(RAND(),$C$6,$D$6))</f>
        <v/>
      </c>
      <c r="L306" s="27">
        <f>MAX(0.02,NORMINV(RAND(),$C$7,$D$7))</f>
        <v/>
      </c>
      <c r="M306" s="27">
        <f>MIN(0.16,MAX(0.05,NORMINV(RAND(),$C$8,$D$8)))</f>
        <v/>
      </c>
      <c r="N306" s="34">
        <f>MIN(24,MAX(5,NORMINV(RAND(),$C$9,$D$9)))</f>
        <v/>
      </c>
      <c r="O306" s="41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7">
        <f>MAX(-0.05,NORMINV(RAND(),$C$6,$D$6))</f>
        <v/>
      </c>
      <c r="L307" s="27">
        <f>MAX(0.02,NORMINV(RAND(),$C$7,$D$7))</f>
        <v/>
      </c>
      <c r="M307" s="27">
        <f>MIN(0.16,MAX(0.05,NORMINV(RAND(),$C$8,$D$8)))</f>
        <v/>
      </c>
      <c r="N307" s="34">
        <f>MIN(24,MAX(5,NORMINV(RAND(),$C$9,$D$9)))</f>
        <v/>
      </c>
      <c r="O307" s="41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7">
        <f>MAX(-0.05,NORMINV(RAND(),$C$6,$D$6))</f>
        <v/>
      </c>
      <c r="L308" s="27">
        <f>MAX(0.02,NORMINV(RAND(),$C$7,$D$7))</f>
        <v/>
      </c>
      <c r="M308" s="27">
        <f>MIN(0.16,MAX(0.05,NORMINV(RAND(),$C$8,$D$8)))</f>
        <v/>
      </c>
      <c r="N308" s="34">
        <f>MIN(24,MAX(5,NORMINV(RAND(),$C$9,$D$9)))</f>
        <v/>
      </c>
      <c r="O308" s="41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7">
        <f>MAX(-0.05,NORMINV(RAND(),$C$6,$D$6))</f>
        <v/>
      </c>
      <c r="L309" s="27">
        <f>MAX(0.02,NORMINV(RAND(),$C$7,$D$7))</f>
        <v/>
      </c>
      <c r="M309" s="27">
        <f>MIN(0.16,MAX(0.05,NORMINV(RAND(),$C$8,$D$8)))</f>
        <v/>
      </c>
      <c r="N309" s="34">
        <f>MIN(24,MAX(5,NORMINV(RAND(),$C$9,$D$9)))</f>
        <v/>
      </c>
      <c r="O309" s="41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7">
        <f>MAX(-0.05,NORMINV(RAND(),$C$6,$D$6))</f>
        <v/>
      </c>
      <c r="L310" s="27">
        <f>MAX(0.02,NORMINV(RAND(),$C$7,$D$7))</f>
        <v/>
      </c>
      <c r="M310" s="27">
        <f>MIN(0.16,MAX(0.05,NORMINV(RAND(),$C$8,$D$8)))</f>
        <v/>
      </c>
      <c r="N310" s="34">
        <f>MIN(24,MAX(5,NORMINV(RAND(),$C$9,$D$9)))</f>
        <v/>
      </c>
      <c r="O310" s="41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7">
        <f>MAX(-0.05,NORMINV(RAND(),$C$6,$D$6))</f>
        <v/>
      </c>
      <c r="L311" s="27">
        <f>MAX(0.02,NORMINV(RAND(),$C$7,$D$7))</f>
        <v/>
      </c>
      <c r="M311" s="27">
        <f>MIN(0.16,MAX(0.05,NORMINV(RAND(),$C$8,$D$8)))</f>
        <v/>
      </c>
      <c r="N311" s="34">
        <f>MIN(24,MAX(5,NORMINV(RAND(),$C$9,$D$9)))</f>
        <v/>
      </c>
      <c r="O311" s="41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7">
        <f>MAX(-0.05,NORMINV(RAND(),$C$6,$D$6))</f>
        <v/>
      </c>
      <c r="L312" s="27">
        <f>MAX(0.02,NORMINV(RAND(),$C$7,$D$7))</f>
        <v/>
      </c>
      <c r="M312" s="27">
        <f>MIN(0.16,MAX(0.05,NORMINV(RAND(),$C$8,$D$8)))</f>
        <v/>
      </c>
      <c r="N312" s="34">
        <f>MIN(24,MAX(5,NORMINV(RAND(),$C$9,$D$9)))</f>
        <v/>
      </c>
      <c r="O312" s="41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7">
        <f>MAX(-0.05,NORMINV(RAND(),$C$6,$D$6))</f>
        <v/>
      </c>
      <c r="L313" s="27">
        <f>MAX(0.02,NORMINV(RAND(),$C$7,$D$7))</f>
        <v/>
      </c>
      <c r="M313" s="27">
        <f>MIN(0.16,MAX(0.05,NORMINV(RAND(),$C$8,$D$8)))</f>
        <v/>
      </c>
      <c r="N313" s="34">
        <f>MIN(24,MAX(5,NORMINV(RAND(),$C$9,$D$9)))</f>
        <v/>
      </c>
      <c r="O313" s="41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7">
        <f>MAX(-0.05,NORMINV(RAND(),$C$6,$D$6))</f>
        <v/>
      </c>
      <c r="L314" s="27">
        <f>MAX(0.02,NORMINV(RAND(),$C$7,$D$7))</f>
        <v/>
      </c>
      <c r="M314" s="27">
        <f>MIN(0.16,MAX(0.05,NORMINV(RAND(),$C$8,$D$8)))</f>
        <v/>
      </c>
      <c r="N314" s="34">
        <f>MIN(24,MAX(5,NORMINV(RAND(),$C$9,$D$9)))</f>
        <v/>
      </c>
      <c r="O314" s="41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7">
        <f>MAX(-0.05,NORMINV(RAND(),$C$6,$D$6))</f>
        <v/>
      </c>
      <c r="L315" s="27">
        <f>MAX(0.02,NORMINV(RAND(),$C$7,$D$7))</f>
        <v/>
      </c>
      <c r="M315" s="27">
        <f>MIN(0.16,MAX(0.05,NORMINV(RAND(),$C$8,$D$8)))</f>
        <v/>
      </c>
      <c r="N315" s="34">
        <f>MIN(24,MAX(5,NORMINV(RAND(),$C$9,$D$9)))</f>
        <v/>
      </c>
      <c r="O315" s="41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7">
        <f>MAX(-0.05,NORMINV(RAND(),$C$6,$D$6))</f>
        <v/>
      </c>
      <c r="L316" s="27">
        <f>MAX(0.02,NORMINV(RAND(),$C$7,$D$7))</f>
        <v/>
      </c>
      <c r="M316" s="27">
        <f>MIN(0.16,MAX(0.05,NORMINV(RAND(),$C$8,$D$8)))</f>
        <v/>
      </c>
      <c r="N316" s="34">
        <f>MIN(24,MAX(5,NORMINV(RAND(),$C$9,$D$9)))</f>
        <v/>
      </c>
      <c r="O316" s="41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7">
        <f>MAX(-0.05,NORMINV(RAND(),$C$6,$D$6))</f>
        <v/>
      </c>
      <c r="L317" s="27">
        <f>MAX(0.02,NORMINV(RAND(),$C$7,$D$7))</f>
        <v/>
      </c>
      <c r="M317" s="27">
        <f>MIN(0.16,MAX(0.05,NORMINV(RAND(),$C$8,$D$8)))</f>
        <v/>
      </c>
      <c r="N317" s="34">
        <f>MIN(24,MAX(5,NORMINV(RAND(),$C$9,$D$9)))</f>
        <v/>
      </c>
      <c r="O317" s="41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7">
        <f>MAX(-0.05,NORMINV(RAND(),$C$6,$D$6))</f>
        <v/>
      </c>
      <c r="L318" s="27">
        <f>MAX(0.02,NORMINV(RAND(),$C$7,$D$7))</f>
        <v/>
      </c>
      <c r="M318" s="27">
        <f>MIN(0.16,MAX(0.05,NORMINV(RAND(),$C$8,$D$8)))</f>
        <v/>
      </c>
      <c r="N318" s="34">
        <f>MIN(24,MAX(5,NORMINV(RAND(),$C$9,$D$9)))</f>
        <v/>
      </c>
      <c r="O318" s="41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7">
        <f>MAX(-0.05,NORMINV(RAND(),$C$6,$D$6))</f>
        <v/>
      </c>
      <c r="L319" s="27">
        <f>MAX(0.02,NORMINV(RAND(),$C$7,$D$7))</f>
        <v/>
      </c>
      <c r="M319" s="27">
        <f>MIN(0.16,MAX(0.05,NORMINV(RAND(),$C$8,$D$8)))</f>
        <v/>
      </c>
      <c r="N319" s="34">
        <f>MIN(24,MAX(5,NORMINV(RAND(),$C$9,$D$9)))</f>
        <v/>
      </c>
      <c r="O319" s="41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7">
        <f>MAX(-0.05,NORMINV(RAND(),$C$6,$D$6))</f>
        <v/>
      </c>
      <c r="L320" s="27">
        <f>MAX(0.02,NORMINV(RAND(),$C$7,$D$7))</f>
        <v/>
      </c>
      <c r="M320" s="27">
        <f>MIN(0.16,MAX(0.05,NORMINV(RAND(),$C$8,$D$8)))</f>
        <v/>
      </c>
      <c r="N320" s="34">
        <f>MIN(24,MAX(5,NORMINV(RAND(),$C$9,$D$9)))</f>
        <v/>
      </c>
      <c r="O320" s="41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7">
        <f>MAX(-0.05,NORMINV(RAND(),$C$6,$D$6))</f>
        <v/>
      </c>
      <c r="L321" s="27">
        <f>MAX(0.02,NORMINV(RAND(),$C$7,$D$7))</f>
        <v/>
      </c>
      <c r="M321" s="27">
        <f>MIN(0.16,MAX(0.05,NORMINV(RAND(),$C$8,$D$8)))</f>
        <v/>
      </c>
      <c r="N321" s="34">
        <f>MIN(24,MAX(5,NORMINV(RAND(),$C$9,$D$9)))</f>
        <v/>
      </c>
      <c r="O321" s="41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7">
        <f>MAX(-0.05,NORMINV(RAND(),$C$6,$D$6))</f>
        <v/>
      </c>
      <c r="L322" s="27">
        <f>MAX(0.02,NORMINV(RAND(),$C$7,$D$7))</f>
        <v/>
      </c>
      <c r="M322" s="27">
        <f>MIN(0.16,MAX(0.05,NORMINV(RAND(),$C$8,$D$8)))</f>
        <v/>
      </c>
      <c r="N322" s="34">
        <f>MIN(24,MAX(5,NORMINV(RAND(),$C$9,$D$9)))</f>
        <v/>
      </c>
      <c r="O322" s="41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7">
        <f>MAX(-0.05,NORMINV(RAND(),$C$6,$D$6))</f>
        <v/>
      </c>
      <c r="L323" s="27">
        <f>MAX(0.02,NORMINV(RAND(),$C$7,$D$7))</f>
        <v/>
      </c>
      <c r="M323" s="27">
        <f>MIN(0.16,MAX(0.05,NORMINV(RAND(),$C$8,$D$8)))</f>
        <v/>
      </c>
      <c r="N323" s="34">
        <f>MIN(24,MAX(5,NORMINV(RAND(),$C$9,$D$9)))</f>
        <v/>
      </c>
      <c r="O323" s="41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7">
        <f>MAX(-0.05,NORMINV(RAND(),$C$6,$D$6))</f>
        <v/>
      </c>
      <c r="L324" s="27">
        <f>MAX(0.02,NORMINV(RAND(),$C$7,$D$7))</f>
        <v/>
      </c>
      <c r="M324" s="27">
        <f>MIN(0.16,MAX(0.05,NORMINV(RAND(),$C$8,$D$8)))</f>
        <v/>
      </c>
      <c r="N324" s="34">
        <f>MIN(24,MAX(5,NORMINV(RAND(),$C$9,$D$9)))</f>
        <v/>
      </c>
      <c r="O324" s="41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7">
        <f>MAX(-0.05,NORMINV(RAND(),$C$6,$D$6))</f>
        <v/>
      </c>
      <c r="L325" s="27">
        <f>MAX(0.02,NORMINV(RAND(),$C$7,$D$7))</f>
        <v/>
      </c>
      <c r="M325" s="27">
        <f>MIN(0.16,MAX(0.05,NORMINV(RAND(),$C$8,$D$8)))</f>
        <v/>
      </c>
      <c r="N325" s="34">
        <f>MIN(24,MAX(5,NORMINV(RAND(),$C$9,$D$9)))</f>
        <v/>
      </c>
      <c r="O325" s="41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7">
        <f>MAX(-0.05,NORMINV(RAND(),$C$6,$D$6))</f>
        <v/>
      </c>
      <c r="L326" s="27">
        <f>MAX(0.02,NORMINV(RAND(),$C$7,$D$7))</f>
        <v/>
      </c>
      <c r="M326" s="27">
        <f>MIN(0.16,MAX(0.05,NORMINV(RAND(),$C$8,$D$8)))</f>
        <v/>
      </c>
      <c r="N326" s="34">
        <f>MIN(24,MAX(5,NORMINV(RAND(),$C$9,$D$9)))</f>
        <v/>
      </c>
      <c r="O326" s="41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7">
        <f>MAX(-0.05,NORMINV(RAND(),$C$6,$D$6))</f>
        <v/>
      </c>
      <c r="L327" s="27">
        <f>MAX(0.02,NORMINV(RAND(),$C$7,$D$7))</f>
        <v/>
      </c>
      <c r="M327" s="27">
        <f>MIN(0.16,MAX(0.05,NORMINV(RAND(),$C$8,$D$8)))</f>
        <v/>
      </c>
      <c r="N327" s="34">
        <f>MIN(24,MAX(5,NORMINV(RAND(),$C$9,$D$9)))</f>
        <v/>
      </c>
      <c r="O327" s="41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7">
        <f>MAX(-0.05,NORMINV(RAND(),$C$6,$D$6))</f>
        <v/>
      </c>
      <c r="L328" s="27">
        <f>MAX(0.02,NORMINV(RAND(),$C$7,$D$7))</f>
        <v/>
      </c>
      <c r="M328" s="27">
        <f>MIN(0.16,MAX(0.05,NORMINV(RAND(),$C$8,$D$8)))</f>
        <v/>
      </c>
      <c r="N328" s="34">
        <f>MIN(24,MAX(5,NORMINV(RAND(),$C$9,$D$9)))</f>
        <v/>
      </c>
      <c r="O328" s="41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7">
        <f>MAX(-0.05,NORMINV(RAND(),$C$6,$D$6))</f>
        <v/>
      </c>
      <c r="L329" s="27">
        <f>MAX(0.02,NORMINV(RAND(),$C$7,$D$7))</f>
        <v/>
      </c>
      <c r="M329" s="27">
        <f>MIN(0.16,MAX(0.05,NORMINV(RAND(),$C$8,$D$8)))</f>
        <v/>
      </c>
      <c r="N329" s="34">
        <f>MIN(24,MAX(5,NORMINV(RAND(),$C$9,$D$9)))</f>
        <v/>
      </c>
      <c r="O329" s="41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7">
        <f>MAX(-0.05,NORMINV(RAND(),$C$6,$D$6))</f>
        <v/>
      </c>
      <c r="L330" s="27">
        <f>MAX(0.02,NORMINV(RAND(),$C$7,$D$7))</f>
        <v/>
      </c>
      <c r="M330" s="27">
        <f>MIN(0.16,MAX(0.05,NORMINV(RAND(),$C$8,$D$8)))</f>
        <v/>
      </c>
      <c r="N330" s="34">
        <f>MIN(24,MAX(5,NORMINV(RAND(),$C$9,$D$9)))</f>
        <v/>
      </c>
      <c r="O330" s="41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7">
        <f>MAX(-0.05,NORMINV(RAND(),$C$6,$D$6))</f>
        <v/>
      </c>
      <c r="L331" s="27">
        <f>MAX(0.02,NORMINV(RAND(),$C$7,$D$7))</f>
        <v/>
      </c>
      <c r="M331" s="27">
        <f>MIN(0.16,MAX(0.05,NORMINV(RAND(),$C$8,$D$8)))</f>
        <v/>
      </c>
      <c r="N331" s="34">
        <f>MIN(24,MAX(5,NORMINV(RAND(),$C$9,$D$9)))</f>
        <v/>
      </c>
      <c r="O331" s="41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7">
        <f>MAX(-0.05,NORMINV(RAND(),$C$6,$D$6))</f>
        <v/>
      </c>
      <c r="L332" s="27">
        <f>MAX(0.02,NORMINV(RAND(),$C$7,$D$7))</f>
        <v/>
      </c>
      <c r="M332" s="27">
        <f>MIN(0.16,MAX(0.05,NORMINV(RAND(),$C$8,$D$8)))</f>
        <v/>
      </c>
      <c r="N332" s="34">
        <f>MIN(24,MAX(5,NORMINV(RAND(),$C$9,$D$9)))</f>
        <v/>
      </c>
      <c r="O332" s="41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7">
        <f>MAX(-0.05,NORMINV(RAND(),$C$6,$D$6))</f>
        <v/>
      </c>
      <c r="L333" s="27">
        <f>MAX(0.02,NORMINV(RAND(),$C$7,$D$7))</f>
        <v/>
      </c>
      <c r="M333" s="27">
        <f>MIN(0.16,MAX(0.05,NORMINV(RAND(),$C$8,$D$8)))</f>
        <v/>
      </c>
      <c r="N333" s="34">
        <f>MIN(24,MAX(5,NORMINV(RAND(),$C$9,$D$9)))</f>
        <v/>
      </c>
      <c r="O333" s="41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7">
        <f>MAX(-0.05,NORMINV(RAND(),$C$6,$D$6))</f>
        <v/>
      </c>
      <c r="L334" s="27">
        <f>MAX(0.02,NORMINV(RAND(),$C$7,$D$7))</f>
        <v/>
      </c>
      <c r="M334" s="27">
        <f>MIN(0.16,MAX(0.05,NORMINV(RAND(),$C$8,$D$8)))</f>
        <v/>
      </c>
      <c r="N334" s="34">
        <f>MIN(24,MAX(5,NORMINV(RAND(),$C$9,$D$9)))</f>
        <v/>
      </c>
      <c r="O334" s="41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7">
        <f>MAX(-0.05,NORMINV(RAND(),$C$6,$D$6))</f>
        <v/>
      </c>
      <c r="L335" s="27">
        <f>MAX(0.02,NORMINV(RAND(),$C$7,$D$7))</f>
        <v/>
      </c>
      <c r="M335" s="27">
        <f>MIN(0.16,MAX(0.05,NORMINV(RAND(),$C$8,$D$8)))</f>
        <v/>
      </c>
      <c r="N335" s="34">
        <f>MIN(24,MAX(5,NORMINV(RAND(),$C$9,$D$9)))</f>
        <v/>
      </c>
      <c r="O335" s="41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7">
        <f>MAX(-0.05,NORMINV(RAND(),$C$6,$D$6))</f>
        <v/>
      </c>
      <c r="L336" s="27">
        <f>MAX(0.02,NORMINV(RAND(),$C$7,$D$7))</f>
        <v/>
      </c>
      <c r="M336" s="27">
        <f>MIN(0.16,MAX(0.05,NORMINV(RAND(),$C$8,$D$8)))</f>
        <v/>
      </c>
      <c r="N336" s="34">
        <f>MIN(24,MAX(5,NORMINV(RAND(),$C$9,$D$9)))</f>
        <v/>
      </c>
      <c r="O336" s="41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7">
        <f>MAX(-0.05,NORMINV(RAND(),$C$6,$D$6))</f>
        <v/>
      </c>
      <c r="L337" s="27">
        <f>MAX(0.02,NORMINV(RAND(),$C$7,$D$7))</f>
        <v/>
      </c>
      <c r="M337" s="27">
        <f>MIN(0.16,MAX(0.05,NORMINV(RAND(),$C$8,$D$8)))</f>
        <v/>
      </c>
      <c r="N337" s="34">
        <f>MIN(24,MAX(5,NORMINV(RAND(),$C$9,$D$9)))</f>
        <v/>
      </c>
      <c r="O337" s="41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7">
        <f>MAX(-0.05,NORMINV(RAND(),$C$6,$D$6))</f>
        <v/>
      </c>
      <c r="L338" s="27">
        <f>MAX(0.02,NORMINV(RAND(),$C$7,$D$7))</f>
        <v/>
      </c>
      <c r="M338" s="27">
        <f>MIN(0.16,MAX(0.05,NORMINV(RAND(),$C$8,$D$8)))</f>
        <v/>
      </c>
      <c r="N338" s="34">
        <f>MIN(24,MAX(5,NORMINV(RAND(),$C$9,$D$9)))</f>
        <v/>
      </c>
      <c r="O338" s="41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7">
        <f>MAX(-0.05,NORMINV(RAND(),$C$6,$D$6))</f>
        <v/>
      </c>
      <c r="L339" s="27">
        <f>MAX(0.02,NORMINV(RAND(),$C$7,$D$7))</f>
        <v/>
      </c>
      <c r="M339" s="27">
        <f>MIN(0.16,MAX(0.05,NORMINV(RAND(),$C$8,$D$8)))</f>
        <v/>
      </c>
      <c r="N339" s="34">
        <f>MIN(24,MAX(5,NORMINV(RAND(),$C$9,$D$9)))</f>
        <v/>
      </c>
      <c r="O339" s="41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7">
        <f>MAX(-0.05,NORMINV(RAND(),$C$6,$D$6))</f>
        <v/>
      </c>
      <c r="L340" s="27">
        <f>MAX(0.02,NORMINV(RAND(),$C$7,$D$7))</f>
        <v/>
      </c>
      <c r="M340" s="27">
        <f>MIN(0.16,MAX(0.05,NORMINV(RAND(),$C$8,$D$8)))</f>
        <v/>
      </c>
      <c r="N340" s="34">
        <f>MIN(24,MAX(5,NORMINV(RAND(),$C$9,$D$9)))</f>
        <v/>
      </c>
      <c r="O340" s="41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7">
        <f>MAX(-0.05,NORMINV(RAND(),$C$6,$D$6))</f>
        <v/>
      </c>
      <c r="L341" s="27">
        <f>MAX(0.02,NORMINV(RAND(),$C$7,$D$7))</f>
        <v/>
      </c>
      <c r="M341" s="27">
        <f>MIN(0.16,MAX(0.05,NORMINV(RAND(),$C$8,$D$8)))</f>
        <v/>
      </c>
      <c r="N341" s="34">
        <f>MIN(24,MAX(5,NORMINV(RAND(),$C$9,$D$9)))</f>
        <v/>
      </c>
      <c r="O341" s="41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7">
        <f>MAX(-0.05,NORMINV(RAND(),$C$6,$D$6))</f>
        <v/>
      </c>
      <c r="L342" s="27">
        <f>MAX(0.02,NORMINV(RAND(),$C$7,$D$7))</f>
        <v/>
      </c>
      <c r="M342" s="27">
        <f>MIN(0.16,MAX(0.05,NORMINV(RAND(),$C$8,$D$8)))</f>
        <v/>
      </c>
      <c r="N342" s="34">
        <f>MIN(24,MAX(5,NORMINV(RAND(),$C$9,$D$9)))</f>
        <v/>
      </c>
      <c r="O342" s="41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7">
        <f>MAX(-0.05,NORMINV(RAND(),$C$6,$D$6))</f>
        <v/>
      </c>
      <c r="L343" s="27">
        <f>MAX(0.02,NORMINV(RAND(),$C$7,$D$7))</f>
        <v/>
      </c>
      <c r="M343" s="27">
        <f>MIN(0.16,MAX(0.05,NORMINV(RAND(),$C$8,$D$8)))</f>
        <v/>
      </c>
      <c r="N343" s="34">
        <f>MIN(24,MAX(5,NORMINV(RAND(),$C$9,$D$9)))</f>
        <v/>
      </c>
      <c r="O343" s="41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7">
        <f>MAX(-0.05,NORMINV(RAND(),$C$6,$D$6))</f>
        <v/>
      </c>
      <c r="L344" s="27">
        <f>MAX(0.02,NORMINV(RAND(),$C$7,$D$7))</f>
        <v/>
      </c>
      <c r="M344" s="27">
        <f>MIN(0.16,MAX(0.05,NORMINV(RAND(),$C$8,$D$8)))</f>
        <v/>
      </c>
      <c r="N344" s="34">
        <f>MIN(24,MAX(5,NORMINV(RAND(),$C$9,$D$9)))</f>
        <v/>
      </c>
      <c r="O344" s="41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7">
        <f>MAX(-0.05,NORMINV(RAND(),$C$6,$D$6))</f>
        <v/>
      </c>
      <c r="L345" s="27">
        <f>MAX(0.02,NORMINV(RAND(),$C$7,$D$7))</f>
        <v/>
      </c>
      <c r="M345" s="27">
        <f>MIN(0.16,MAX(0.05,NORMINV(RAND(),$C$8,$D$8)))</f>
        <v/>
      </c>
      <c r="N345" s="34">
        <f>MIN(24,MAX(5,NORMINV(RAND(),$C$9,$D$9)))</f>
        <v/>
      </c>
      <c r="O345" s="41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7">
        <f>MAX(-0.05,NORMINV(RAND(),$C$6,$D$6))</f>
        <v/>
      </c>
      <c r="L346" s="27">
        <f>MAX(0.02,NORMINV(RAND(),$C$7,$D$7))</f>
        <v/>
      </c>
      <c r="M346" s="27">
        <f>MIN(0.16,MAX(0.05,NORMINV(RAND(),$C$8,$D$8)))</f>
        <v/>
      </c>
      <c r="N346" s="34">
        <f>MIN(24,MAX(5,NORMINV(RAND(),$C$9,$D$9)))</f>
        <v/>
      </c>
      <c r="O346" s="41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7">
        <f>MAX(-0.05,NORMINV(RAND(),$C$6,$D$6))</f>
        <v/>
      </c>
      <c r="L347" s="27">
        <f>MAX(0.02,NORMINV(RAND(),$C$7,$D$7))</f>
        <v/>
      </c>
      <c r="M347" s="27">
        <f>MIN(0.16,MAX(0.05,NORMINV(RAND(),$C$8,$D$8)))</f>
        <v/>
      </c>
      <c r="N347" s="34">
        <f>MIN(24,MAX(5,NORMINV(RAND(),$C$9,$D$9)))</f>
        <v/>
      </c>
      <c r="O347" s="41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7">
        <f>MAX(-0.05,NORMINV(RAND(),$C$6,$D$6))</f>
        <v/>
      </c>
      <c r="L348" s="27">
        <f>MAX(0.02,NORMINV(RAND(),$C$7,$D$7))</f>
        <v/>
      </c>
      <c r="M348" s="27">
        <f>MIN(0.16,MAX(0.05,NORMINV(RAND(),$C$8,$D$8)))</f>
        <v/>
      </c>
      <c r="N348" s="34">
        <f>MIN(24,MAX(5,NORMINV(RAND(),$C$9,$D$9)))</f>
        <v/>
      </c>
      <c r="O348" s="41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7">
        <f>MAX(-0.05,NORMINV(RAND(),$C$6,$D$6))</f>
        <v/>
      </c>
      <c r="L349" s="27">
        <f>MAX(0.02,NORMINV(RAND(),$C$7,$D$7))</f>
        <v/>
      </c>
      <c r="M349" s="27">
        <f>MIN(0.16,MAX(0.05,NORMINV(RAND(),$C$8,$D$8)))</f>
        <v/>
      </c>
      <c r="N349" s="34">
        <f>MIN(24,MAX(5,NORMINV(RAND(),$C$9,$D$9)))</f>
        <v/>
      </c>
      <c r="O349" s="41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7">
        <f>MAX(-0.05,NORMINV(RAND(),$C$6,$D$6))</f>
        <v/>
      </c>
      <c r="L350" s="27">
        <f>MAX(0.02,NORMINV(RAND(),$C$7,$D$7))</f>
        <v/>
      </c>
      <c r="M350" s="27">
        <f>MIN(0.16,MAX(0.05,NORMINV(RAND(),$C$8,$D$8)))</f>
        <v/>
      </c>
      <c r="N350" s="34">
        <f>MIN(24,MAX(5,NORMINV(RAND(),$C$9,$D$9)))</f>
        <v/>
      </c>
      <c r="O350" s="41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7">
        <f>MAX(-0.05,NORMINV(RAND(),$C$6,$D$6))</f>
        <v/>
      </c>
      <c r="L351" s="27">
        <f>MAX(0.02,NORMINV(RAND(),$C$7,$D$7))</f>
        <v/>
      </c>
      <c r="M351" s="27">
        <f>MIN(0.16,MAX(0.05,NORMINV(RAND(),$C$8,$D$8)))</f>
        <v/>
      </c>
      <c r="N351" s="34">
        <f>MIN(24,MAX(5,NORMINV(RAND(),$C$9,$D$9)))</f>
        <v/>
      </c>
      <c r="O351" s="41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7">
        <f>MAX(-0.05,NORMINV(RAND(),$C$6,$D$6))</f>
        <v/>
      </c>
      <c r="L352" s="27">
        <f>MAX(0.02,NORMINV(RAND(),$C$7,$D$7))</f>
        <v/>
      </c>
      <c r="M352" s="27">
        <f>MIN(0.16,MAX(0.05,NORMINV(RAND(),$C$8,$D$8)))</f>
        <v/>
      </c>
      <c r="N352" s="34">
        <f>MIN(24,MAX(5,NORMINV(RAND(),$C$9,$D$9)))</f>
        <v/>
      </c>
      <c r="O352" s="41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7">
        <f>MAX(-0.05,NORMINV(RAND(),$C$6,$D$6))</f>
        <v/>
      </c>
      <c r="L353" s="27">
        <f>MAX(0.02,NORMINV(RAND(),$C$7,$D$7))</f>
        <v/>
      </c>
      <c r="M353" s="27">
        <f>MIN(0.16,MAX(0.05,NORMINV(RAND(),$C$8,$D$8)))</f>
        <v/>
      </c>
      <c r="N353" s="34">
        <f>MIN(24,MAX(5,NORMINV(RAND(),$C$9,$D$9)))</f>
        <v/>
      </c>
      <c r="O353" s="41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7">
        <f>MAX(-0.05,NORMINV(RAND(),$C$6,$D$6))</f>
        <v/>
      </c>
      <c r="L354" s="27">
        <f>MAX(0.02,NORMINV(RAND(),$C$7,$D$7))</f>
        <v/>
      </c>
      <c r="M354" s="27">
        <f>MIN(0.16,MAX(0.05,NORMINV(RAND(),$C$8,$D$8)))</f>
        <v/>
      </c>
      <c r="N354" s="34">
        <f>MIN(24,MAX(5,NORMINV(RAND(),$C$9,$D$9)))</f>
        <v/>
      </c>
      <c r="O354" s="41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7">
        <f>MAX(-0.05,NORMINV(RAND(),$C$6,$D$6))</f>
        <v/>
      </c>
      <c r="L355" s="27">
        <f>MAX(0.02,NORMINV(RAND(),$C$7,$D$7))</f>
        <v/>
      </c>
      <c r="M355" s="27">
        <f>MIN(0.16,MAX(0.05,NORMINV(RAND(),$C$8,$D$8)))</f>
        <v/>
      </c>
      <c r="N355" s="34">
        <f>MIN(24,MAX(5,NORMINV(RAND(),$C$9,$D$9)))</f>
        <v/>
      </c>
      <c r="O355" s="41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7">
        <f>MAX(-0.05,NORMINV(RAND(),$C$6,$D$6))</f>
        <v/>
      </c>
      <c r="L356" s="27">
        <f>MAX(0.02,NORMINV(RAND(),$C$7,$D$7))</f>
        <v/>
      </c>
      <c r="M356" s="27">
        <f>MIN(0.16,MAX(0.05,NORMINV(RAND(),$C$8,$D$8)))</f>
        <v/>
      </c>
      <c r="N356" s="34">
        <f>MIN(24,MAX(5,NORMINV(RAND(),$C$9,$D$9)))</f>
        <v/>
      </c>
      <c r="O356" s="41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7">
        <f>MAX(-0.05,NORMINV(RAND(),$C$6,$D$6))</f>
        <v/>
      </c>
      <c r="L357" s="27">
        <f>MAX(0.02,NORMINV(RAND(),$C$7,$D$7))</f>
        <v/>
      </c>
      <c r="M357" s="27">
        <f>MIN(0.16,MAX(0.05,NORMINV(RAND(),$C$8,$D$8)))</f>
        <v/>
      </c>
      <c r="N357" s="34">
        <f>MIN(24,MAX(5,NORMINV(RAND(),$C$9,$D$9)))</f>
        <v/>
      </c>
      <c r="O357" s="41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7">
        <f>MAX(-0.05,NORMINV(RAND(),$C$6,$D$6))</f>
        <v/>
      </c>
      <c r="L358" s="27">
        <f>MAX(0.02,NORMINV(RAND(),$C$7,$D$7))</f>
        <v/>
      </c>
      <c r="M358" s="27">
        <f>MIN(0.16,MAX(0.05,NORMINV(RAND(),$C$8,$D$8)))</f>
        <v/>
      </c>
      <c r="N358" s="34">
        <f>MIN(24,MAX(5,NORMINV(RAND(),$C$9,$D$9)))</f>
        <v/>
      </c>
      <c r="O358" s="41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7">
        <f>MAX(-0.05,NORMINV(RAND(),$C$6,$D$6))</f>
        <v/>
      </c>
      <c r="L359" s="27">
        <f>MAX(0.02,NORMINV(RAND(),$C$7,$D$7))</f>
        <v/>
      </c>
      <c r="M359" s="27">
        <f>MIN(0.16,MAX(0.05,NORMINV(RAND(),$C$8,$D$8)))</f>
        <v/>
      </c>
      <c r="N359" s="34">
        <f>MIN(24,MAX(5,NORMINV(RAND(),$C$9,$D$9)))</f>
        <v/>
      </c>
      <c r="O359" s="41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7">
        <f>MAX(-0.05,NORMINV(RAND(),$C$6,$D$6))</f>
        <v/>
      </c>
      <c r="L360" s="27">
        <f>MAX(0.02,NORMINV(RAND(),$C$7,$D$7))</f>
        <v/>
      </c>
      <c r="M360" s="27">
        <f>MIN(0.16,MAX(0.05,NORMINV(RAND(),$C$8,$D$8)))</f>
        <v/>
      </c>
      <c r="N360" s="34">
        <f>MIN(24,MAX(5,NORMINV(RAND(),$C$9,$D$9)))</f>
        <v/>
      </c>
      <c r="O360" s="41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7">
        <f>MAX(-0.05,NORMINV(RAND(),$C$6,$D$6))</f>
        <v/>
      </c>
      <c r="L361" s="27">
        <f>MAX(0.02,NORMINV(RAND(),$C$7,$D$7))</f>
        <v/>
      </c>
      <c r="M361" s="27">
        <f>MIN(0.16,MAX(0.05,NORMINV(RAND(),$C$8,$D$8)))</f>
        <v/>
      </c>
      <c r="N361" s="34">
        <f>MIN(24,MAX(5,NORMINV(RAND(),$C$9,$D$9)))</f>
        <v/>
      </c>
      <c r="O361" s="41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7">
        <f>MAX(-0.05,NORMINV(RAND(),$C$6,$D$6))</f>
        <v/>
      </c>
      <c r="L362" s="27">
        <f>MAX(0.02,NORMINV(RAND(),$C$7,$D$7))</f>
        <v/>
      </c>
      <c r="M362" s="27">
        <f>MIN(0.16,MAX(0.05,NORMINV(RAND(),$C$8,$D$8)))</f>
        <v/>
      </c>
      <c r="N362" s="34">
        <f>MIN(24,MAX(5,NORMINV(RAND(),$C$9,$D$9)))</f>
        <v/>
      </c>
      <c r="O362" s="41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7">
        <f>MAX(-0.05,NORMINV(RAND(),$C$6,$D$6))</f>
        <v/>
      </c>
      <c r="L363" s="27">
        <f>MAX(0.02,NORMINV(RAND(),$C$7,$D$7))</f>
        <v/>
      </c>
      <c r="M363" s="27">
        <f>MIN(0.16,MAX(0.05,NORMINV(RAND(),$C$8,$D$8)))</f>
        <v/>
      </c>
      <c r="N363" s="34">
        <f>MIN(24,MAX(5,NORMINV(RAND(),$C$9,$D$9)))</f>
        <v/>
      </c>
      <c r="O363" s="41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7">
        <f>MAX(-0.05,NORMINV(RAND(),$C$6,$D$6))</f>
        <v/>
      </c>
      <c r="L364" s="27">
        <f>MAX(0.02,NORMINV(RAND(),$C$7,$D$7))</f>
        <v/>
      </c>
      <c r="M364" s="27">
        <f>MIN(0.16,MAX(0.05,NORMINV(RAND(),$C$8,$D$8)))</f>
        <v/>
      </c>
      <c r="N364" s="34">
        <f>MIN(24,MAX(5,NORMINV(RAND(),$C$9,$D$9)))</f>
        <v/>
      </c>
      <c r="O364" s="41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7">
        <f>MAX(-0.05,NORMINV(RAND(),$C$6,$D$6))</f>
        <v/>
      </c>
      <c r="L365" s="27">
        <f>MAX(0.02,NORMINV(RAND(),$C$7,$D$7))</f>
        <v/>
      </c>
      <c r="M365" s="27">
        <f>MIN(0.16,MAX(0.05,NORMINV(RAND(),$C$8,$D$8)))</f>
        <v/>
      </c>
      <c r="N365" s="34">
        <f>MIN(24,MAX(5,NORMINV(RAND(),$C$9,$D$9)))</f>
        <v/>
      </c>
      <c r="O365" s="41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7">
        <f>MAX(-0.05,NORMINV(RAND(),$C$6,$D$6))</f>
        <v/>
      </c>
      <c r="L366" s="27">
        <f>MAX(0.02,NORMINV(RAND(),$C$7,$D$7))</f>
        <v/>
      </c>
      <c r="M366" s="27">
        <f>MIN(0.16,MAX(0.05,NORMINV(RAND(),$C$8,$D$8)))</f>
        <v/>
      </c>
      <c r="N366" s="34">
        <f>MIN(24,MAX(5,NORMINV(RAND(),$C$9,$D$9)))</f>
        <v/>
      </c>
      <c r="O366" s="41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7">
        <f>MAX(-0.05,NORMINV(RAND(),$C$6,$D$6))</f>
        <v/>
      </c>
      <c r="L367" s="27">
        <f>MAX(0.02,NORMINV(RAND(),$C$7,$D$7))</f>
        <v/>
      </c>
      <c r="M367" s="27">
        <f>MIN(0.16,MAX(0.05,NORMINV(RAND(),$C$8,$D$8)))</f>
        <v/>
      </c>
      <c r="N367" s="34">
        <f>MIN(24,MAX(5,NORMINV(RAND(),$C$9,$D$9)))</f>
        <v/>
      </c>
      <c r="O367" s="41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7">
        <f>MAX(-0.05,NORMINV(RAND(),$C$6,$D$6))</f>
        <v/>
      </c>
      <c r="L368" s="27">
        <f>MAX(0.02,NORMINV(RAND(),$C$7,$D$7))</f>
        <v/>
      </c>
      <c r="M368" s="27">
        <f>MIN(0.16,MAX(0.05,NORMINV(RAND(),$C$8,$D$8)))</f>
        <v/>
      </c>
      <c r="N368" s="34">
        <f>MIN(24,MAX(5,NORMINV(RAND(),$C$9,$D$9)))</f>
        <v/>
      </c>
      <c r="O368" s="41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7">
        <f>MAX(-0.05,NORMINV(RAND(),$C$6,$D$6))</f>
        <v/>
      </c>
      <c r="L369" s="27">
        <f>MAX(0.02,NORMINV(RAND(),$C$7,$D$7))</f>
        <v/>
      </c>
      <c r="M369" s="27">
        <f>MIN(0.16,MAX(0.05,NORMINV(RAND(),$C$8,$D$8)))</f>
        <v/>
      </c>
      <c r="N369" s="34">
        <f>MIN(24,MAX(5,NORMINV(RAND(),$C$9,$D$9)))</f>
        <v/>
      </c>
      <c r="O369" s="41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7">
        <f>MAX(-0.05,NORMINV(RAND(),$C$6,$D$6))</f>
        <v/>
      </c>
      <c r="L370" s="27">
        <f>MAX(0.02,NORMINV(RAND(),$C$7,$D$7))</f>
        <v/>
      </c>
      <c r="M370" s="27">
        <f>MIN(0.16,MAX(0.05,NORMINV(RAND(),$C$8,$D$8)))</f>
        <v/>
      </c>
      <c r="N370" s="34">
        <f>MIN(24,MAX(5,NORMINV(RAND(),$C$9,$D$9)))</f>
        <v/>
      </c>
      <c r="O370" s="41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7">
        <f>MAX(-0.05,NORMINV(RAND(),$C$6,$D$6))</f>
        <v/>
      </c>
      <c r="L371" s="27">
        <f>MAX(0.02,NORMINV(RAND(),$C$7,$D$7))</f>
        <v/>
      </c>
      <c r="M371" s="27">
        <f>MIN(0.16,MAX(0.05,NORMINV(RAND(),$C$8,$D$8)))</f>
        <v/>
      </c>
      <c r="N371" s="34">
        <f>MIN(24,MAX(5,NORMINV(RAND(),$C$9,$D$9)))</f>
        <v/>
      </c>
      <c r="O371" s="41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7">
        <f>MAX(-0.05,NORMINV(RAND(),$C$6,$D$6))</f>
        <v/>
      </c>
      <c r="L372" s="27">
        <f>MAX(0.02,NORMINV(RAND(),$C$7,$D$7))</f>
        <v/>
      </c>
      <c r="M372" s="27">
        <f>MIN(0.16,MAX(0.05,NORMINV(RAND(),$C$8,$D$8)))</f>
        <v/>
      </c>
      <c r="N372" s="34">
        <f>MIN(24,MAX(5,NORMINV(RAND(),$C$9,$D$9)))</f>
        <v/>
      </c>
      <c r="O372" s="41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7">
        <f>MAX(-0.05,NORMINV(RAND(),$C$6,$D$6))</f>
        <v/>
      </c>
      <c r="L373" s="27">
        <f>MAX(0.02,NORMINV(RAND(),$C$7,$D$7))</f>
        <v/>
      </c>
      <c r="M373" s="27">
        <f>MIN(0.16,MAX(0.05,NORMINV(RAND(),$C$8,$D$8)))</f>
        <v/>
      </c>
      <c r="N373" s="34">
        <f>MIN(24,MAX(5,NORMINV(RAND(),$C$9,$D$9)))</f>
        <v/>
      </c>
      <c r="O373" s="41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7">
        <f>MAX(-0.05,NORMINV(RAND(),$C$6,$D$6))</f>
        <v/>
      </c>
      <c r="L374" s="27">
        <f>MAX(0.02,NORMINV(RAND(),$C$7,$D$7))</f>
        <v/>
      </c>
      <c r="M374" s="27">
        <f>MIN(0.16,MAX(0.05,NORMINV(RAND(),$C$8,$D$8)))</f>
        <v/>
      </c>
      <c r="N374" s="34">
        <f>MIN(24,MAX(5,NORMINV(RAND(),$C$9,$D$9)))</f>
        <v/>
      </c>
      <c r="O374" s="41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7">
        <f>MAX(-0.05,NORMINV(RAND(),$C$6,$D$6))</f>
        <v/>
      </c>
      <c r="L375" s="27">
        <f>MAX(0.02,NORMINV(RAND(),$C$7,$D$7))</f>
        <v/>
      </c>
      <c r="M375" s="27">
        <f>MIN(0.16,MAX(0.05,NORMINV(RAND(),$C$8,$D$8)))</f>
        <v/>
      </c>
      <c r="N375" s="34">
        <f>MIN(24,MAX(5,NORMINV(RAND(),$C$9,$D$9)))</f>
        <v/>
      </c>
      <c r="O375" s="41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7">
        <f>MAX(-0.05,NORMINV(RAND(),$C$6,$D$6))</f>
        <v/>
      </c>
      <c r="L376" s="27">
        <f>MAX(0.02,NORMINV(RAND(),$C$7,$D$7))</f>
        <v/>
      </c>
      <c r="M376" s="27">
        <f>MIN(0.16,MAX(0.05,NORMINV(RAND(),$C$8,$D$8)))</f>
        <v/>
      </c>
      <c r="N376" s="34">
        <f>MIN(24,MAX(5,NORMINV(RAND(),$C$9,$D$9)))</f>
        <v/>
      </c>
      <c r="O376" s="41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7">
        <f>MAX(-0.05,NORMINV(RAND(),$C$6,$D$6))</f>
        <v/>
      </c>
      <c r="L377" s="27">
        <f>MAX(0.02,NORMINV(RAND(),$C$7,$D$7))</f>
        <v/>
      </c>
      <c r="M377" s="27">
        <f>MIN(0.16,MAX(0.05,NORMINV(RAND(),$C$8,$D$8)))</f>
        <v/>
      </c>
      <c r="N377" s="34">
        <f>MIN(24,MAX(5,NORMINV(RAND(),$C$9,$D$9)))</f>
        <v/>
      </c>
      <c r="O377" s="41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7">
        <f>MAX(-0.05,NORMINV(RAND(),$C$6,$D$6))</f>
        <v/>
      </c>
      <c r="L378" s="27">
        <f>MAX(0.02,NORMINV(RAND(),$C$7,$D$7))</f>
        <v/>
      </c>
      <c r="M378" s="27">
        <f>MIN(0.16,MAX(0.05,NORMINV(RAND(),$C$8,$D$8)))</f>
        <v/>
      </c>
      <c r="N378" s="34">
        <f>MIN(24,MAX(5,NORMINV(RAND(),$C$9,$D$9)))</f>
        <v/>
      </c>
      <c r="O378" s="41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7">
        <f>MAX(-0.05,NORMINV(RAND(),$C$6,$D$6))</f>
        <v/>
      </c>
      <c r="L379" s="27">
        <f>MAX(0.02,NORMINV(RAND(),$C$7,$D$7))</f>
        <v/>
      </c>
      <c r="M379" s="27">
        <f>MIN(0.16,MAX(0.05,NORMINV(RAND(),$C$8,$D$8)))</f>
        <v/>
      </c>
      <c r="N379" s="34">
        <f>MIN(24,MAX(5,NORMINV(RAND(),$C$9,$D$9)))</f>
        <v/>
      </c>
      <c r="O379" s="41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7">
        <f>MAX(-0.05,NORMINV(RAND(),$C$6,$D$6))</f>
        <v/>
      </c>
      <c r="L380" s="27">
        <f>MAX(0.02,NORMINV(RAND(),$C$7,$D$7))</f>
        <v/>
      </c>
      <c r="M380" s="27">
        <f>MIN(0.16,MAX(0.05,NORMINV(RAND(),$C$8,$D$8)))</f>
        <v/>
      </c>
      <c r="N380" s="34">
        <f>MIN(24,MAX(5,NORMINV(RAND(),$C$9,$D$9)))</f>
        <v/>
      </c>
      <c r="O380" s="41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7">
        <f>MAX(-0.05,NORMINV(RAND(),$C$6,$D$6))</f>
        <v/>
      </c>
      <c r="L381" s="27">
        <f>MAX(0.02,NORMINV(RAND(),$C$7,$D$7))</f>
        <v/>
      </c>
      <c r="M381" s="27">
        <f>MIN(0.16,MAX(0.05,NORMINV(RAND(),$C$8,$D$8)))</f>
        <v/>
      </c>
      <c r="N381" s="34">
        <f>MIN(24,MAX(5,NORMINV(RAND(),$C$9,$D$9)))</f>
        <v/>
      </c>
      <c r="O381" s="41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7">
        <f>MAX(-0.05,NORMINV(RAND(),$C$6,$D$6))</f>
        <v/>
      </c>
      <c r="L382" s="27">
        <f>MAX(0.02,NORMINV(RAND(),$C$7,$D$7))</f>
        <v/>
      </c>
      <c r="M382" s="27">
        <f>MIN(0.16,MAX(0.05,NORMINV(RAND(),$C$8,$D$8)))</f>
        <v/>
      </c>
      <c r="N382" s="34">
        <f>MIN(24,MAX(5,NORMINV(RAND(),$C$9,$D$9)))</f>
        <v/>
      </c>
      <c r="O382" s="41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7">
        <f>MAX(-0.05,NORMINV(RAND(),$C$6,$D$6))</f>
        <v/>
      </c>
      <c r="L383" s="27">
        <f>MAX(0.02,NORMINV(RAND(),$C$7,$D$7))</f>
        <v/>
      </c>
      <c r="M383" s="27">
        <f>MIN(0.16,MAX(0.05,NORMINV(RAND(),$C$8,$D$8)))</f>
        <v/>
      </c>
      <c r="N383" s="34">
        <f>MIN(24,MAX(5,NORMINV(RAND(),$C$9,$D$9)))</f>
        <v/>
      </c>
      <c r="O383" s="41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7">
        <f>MAX(-0.05,NORMINV(RAND(),$C$6,$D$6))</f>
        <v/>
      </c>
      <c r="L384" s="27">
        <f>MAX(0.02,NORMINV(RAND(),$C$7,$D$7))</f>
        <v/>
      </c>
      <c r="M384" s="27">
        <f>MIN(0.16,MAX(0.05,NORMINV(RAND(),$C$8,$D$8)))</f>
        <v/>
      </c>
      <c r="N384" s="34">
        <f>MIN(24,MAX(5,NORMINV(RAND(),$C$9,$D$9)))</f>
        <v/>
      </c>
      <c r="O384" s="41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7">
        <f>MAX(-0.05,NORMINV(RAND(),$C$6,$D$6))</f>
        <v/>
      </c>
      <c r="L385" s="27">
        <f>MAX(0.02,NORMINV(RAND(),$C$7,$D$7))</f>
        <v/>
      </c>
      <c r="M385" s="27">
        <f>MIN(0.16,MAX(0.05,NORMINV(RAND(),$C$8,$D$8)))</f>
        <v/>
      </c>
      <c r="N385" s="34">
        <f>MIN(24,MAX(5,NORMINV(RAND(),$C$9,$D$9)))</f>
        <v/>
      </c>
      <c r="O385" s="41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7">
        <f>MAX(-0.05,NORMINV(RAND(),$C$6,$D$6))</f>
        <v/>
      </c>
      <c r="L386" s="27">
        <f>MAX(0.02,NORMINV(RAND(),$C$7,$D$7))</f>
        <v/>
      </c>
      <c r="M386" s="27">
        <f>MIN(0.16,MAX(0.05,NORMINV(RAND(),$C$8,$D$8)))</f>
        <v/>
      </c>
      <c r="N386" s="34">
        <f>MIN(24,MAX(5,NORMINV(RAND(),$C$9,$D$9)))</f>
        <v/>
      </c>
      <c r="O386" s="41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7">
        <f>MAX(-0.05,NORMINV(RAND(),$C$6,$D$6))</f>
        <v/>
      </c>
      <c r="L387" s="27">
        <f>MAX(0.02,NORMINV(RAND(),$C$7,$D$7))</f>
        <v/>
      </c>
      <c r="M387" s="27">
        <f>MIN(0.16,MAX(0.05,NORMINV(RAND(),$C$8,$D$8)))</f>
        <v/>
      </c>
      <c r="N387" s="34">
        <f>MIN(24,MAX(5,NORMINV(RAND(),$C$9,$D$9)))</f>
        <v/>
      </c>
      <c r="O387" s="41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7">
        <f>MAX(-0.05,NORMINV(RAND(),$C$6,$D$6))</f>
        <v/>
      </c>
      <c r="L388" s="27">
        <f>MAX(0.02,NORMINV(RAND(),$C$7,$D$7))</f>
        <v/>
      </c>
      <c r="M388" s="27">
        <f>MIN(0.16,MAX(0.05,NORMINV(RAND(),$C$8,$D$8)))</f>
        <v/>
      </c>
      <c r="N388" s="34">
        <f>MIN(24,MAX(5,NORMINV(RAND(),$C$9,$D$9)))</f>
        <v/>
      </c>
      <c r="O388" s="41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7">
        <f>MAX(-0.05,NORMINV(RAND(),$C$6,$D$6))</f>
        <v/>
      </c>
      <c r="L389" s="27">
        <f>MAX(0.02,NORMINV(RAND(),$C$7,$D$7))</f>
        <v/>
      </c>
      <c r="M389" s="27">
        <f>MIN(0.16,MAX(0.05,NORMINV(RAND(),$C$8,$D$8)))</f>
        <v/>
      </c>
      <c r="N389" s="34">
        <f>MIN(24,MAX(5,NORMINV(RAND(),$C$9,$D$9)))</f>
        <v/>
      </c>
      <c r="O389" s="41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7">
        <f>MAX(-0.05,NORMINV(RAND(),$C$6,$D$6))</f>
        <v/>
      </c>
      <c r="L390" s="27">
        <f>MAX(0.02,NORMINV(RAND(),$C$7,$D$7))</f>
        <v/>
      </c>
      <c r="M390" s="27">
        <f>MIN(0.16,MAX(0.05,NORMINV(RAND(),$C$8,$D$8)))</f>
        <v/>
      </c>
      <c r="N390" s="34">
        <f>MIN(24,MAX(5,NORMINV(RAND(),$C$9,$D$9)))</f>
        <v/>
      </c>
      <c r="O390" s="41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7">
        <f>MAX(-0.05,NORMINV(RAND(),$C$6,$D$6))</f>
        <v/>
      </c>
      <c r="L391" s="27">
        <f>MAX(0.02,NORMINV(RAND(),$C$7,$D$7))</f>
        <v/>
      </c>
      <c r="M391" s="27">
        <f>MIN(0.16,MAX(0.05,NORMINV(RAND(),$C$8,$D$8)))</f>
        <v/>
      </c>
      <c r="N391" s="34">
        <f>MIN(24,MAX(5,NORMINV(RAND(),$C$9,$D$9)))</f>
        <v/>
      </c>
      <c r="O391" s="41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7">
        <f>MAX(-0.05,NORMINV(RAND(),$C$6,$D$6))</f>
        <v/>
      </c>
      <c r="L392" s="27">
        <f>MAX(0.02,NORMINV(RAND(),$C$7,$D$7))</f>
        <v/>
      </c>
      <c r="M392" s="27">
        <f>MIN(0.16,MAX(0.05,NORMINV(RAND(),$C$8,$D$8)))</f>
        <v/>
      </c>
      <c r="N392" s="34">
        <f>MIN(24,MAX(5,NORMINV(RAND(),$C$9,$D$9)))</f>
        <v/>
      </c>
      <c r="O392" s="41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7">
        <f>MAX(-0.05,NORMINV(RAND(),$C$6,$D$6))</f>
        <v/>
      </c>
      <c r="L393" s="27">
        <f>MAX(0.02,NORMINV(RAND(),$C$7,$D$7))</f>
        <v/>
      </c>
      <c r="M393" s="27">
        <f>MIN(0.16,MAX(0.05,NORMINV(RAND(),$C$8,$D$8)))</f>
        <v/>
      </c>
      <c r="N393" s="34">
        <f>MIN(24,MAX(5,NORMINV(RAND(),$C$9,$D$9)))</f>
        <v/>
      </c>
      <c r="O393" s="41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7">
        <f>MAX(-0.05,NORMINV(RAND(),$C$6,$D$6))</f>
        <v/>
      </c>
      <c r="L394" s="27">
        <f>MAX(0.02,NORMINV(RAND(),$C$7,$D$7))</f>
        <v/>
      </c>
      <c r="M394" s="27">
        <f>MIN(0.16,MAX(0.05,NORMINV(RAND(),$C$8,$D$8)))</f>
        <v/>
      </c>
      <c r="N394" s="34">
        <f>MIN(24,MAX(5,NORMINV(RAND(),$C$9,$D$9)))</f>
        <v/>
      </c>
      <c r="O394" s="41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7">
        <f>MAX(-0.05,NORMINV(RAND(),$C$6,$D$6))</f>
        <v/>
      </c>
      <c r="L395" s="27">
        <f>MAX(0.02,NORMINV(RAND(),$C$7,$D$7))</f>
        <v/>
      </c>
      <c r="M395" s="27">
        <f>MIN(0.16,MAX(0.05,NORMINV(RAND(),$C$8,$D$8)))</f>
        <v/>
      </c>
      <c r="N395" s="34">
        <f>MIN(24,MAX(5,NORMINV(RAND(),$C$9,$D$9)))</f>
        <v/>
      </c>
      <c r="O395" s="41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7">
        <f>MAX(-0.05,NORMINV(RAND(),$C$6,$D$6))</f>
        <v/>
      </c>
      <c r="L396" s="27">
        <f>MAX(0.02,NORMINV(RAND(),$C$7,$D$7))</f>
        <v/>
      </c>
      <c r="M396" s="27">
        <f>MIN(0.16,MAX(0.05,NORMINV(RAND(),$C$8,$D$8)))</f>
        <v/>
      </c>
      <c r="N396" s="34">
        <f>MIN(24,MAX(5,NORMINV(RAND(),$C$9,$D$9)))</f>
        <v/>
      </c>
      <c r="O396" s="41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7">
        <f>MAX(-0.05,NORMINV(RAND(),$C$6,$D$6))</f>
        <v/>
      </c>
      <c r="L397" s="27">
        <f>MAX(0.02,NORMINV(RAND(),$C$7,$D$7))</f>
        <v/>
      </c>
      <c r="M397" s="27">
        <f>MIN(0.16,MAX(0.05,NORMINV(RAND(),$C$8,$D$8)))</f>
        <v/>
      </c>
      <c r="N397" s="34">
        <f>MIN(24,MAX(5,NORMINV(RAND(),$C$9,$D$9)))</f>
        <v/>
      </c>
      <c r="O397" s="41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7">
        <f>MAX(-0.05,NORMINV(RAND(),$C$6,$D$6))</f>
        <v/>
      </c>
      <c r="L398" s="27">
        <f>MAX(0.02,NORMINV(RAND(),$C$7,$D$7))</f>
        <v/>
      </c>
      <c r="M398" s="27">
        <f>MIN(0.16,MAX(0.05,NORMINV(RAND(),$C$8,$D$8)))</f>
        <v/>
      </c>
      <c r="N398" s="34">
        <f>MIN(24,MAX(5,NORMINV(RAND(),$C$9,$D$9)))</f>
        <v/>
      </c>
      <c r="O398" s="41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7">
        <f>MAX(-0.05,NORMINV(RAND(),$C$6,$D$6))</f>
        <v/>
      </c>
      <c r="L399" s="27">
        <f>MAX(0.02,NORMINV(RAND(),$C$7,$D$7))</f>
        <v/>
      </c>
      <c r="M399" s="27">
        <f>MIN(0.16,MAX(0.05,NORMINV(RAND(),$C$8,$D$8)))</f>
        <v/>
      </c>
      <c r="N399" s="34">
        <f>MIN(24,MAX(5,NORMINV(RAND(),$C$9,$D$9)))</f>
        <v/>
      </c>
      <c r="O399" s="41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7">
        <f>MAX(-0.05,NORMINV(RAND(),$C$6,$D$6))</f>
        <v/>
      </c>
      <c r="L400" s="27">
        <f>MAX(0.02,NORMINV(RAND(),$C$7,$D$7))</f>
        <v/>
      </c>
      <c r="M400" s="27">
        <f>MIN(0.16,MAX(0.05,NORMINV(RAND(),$C$8,$D$8)))</f>
        <v/>
      </c>
      <c r="N400" s="34">
        <f>MIN(24,MAX(5,NORMINV(RAND(),$C$9,$D$9)))</f>
        <v/>
      </c>
      <c r="O400" s="41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7">
        <f>MAX(-0.05,NORMINV(RAND(),$C$6,$D$6))</f>
        <v/>
      </c>
      <c r="L401" s="27">
        <f>MAX(0.02,NORMINV(RAND(),$C$7,$D$7))</f>
        <v/>
      </c>
      <c r="M401" s="27">
        <f>MIN(0.16,MAX(0.05,NORMINV(RAND(),$C$8,$D$8)))</f>
        <v/>
      </c>
      <c r="N401" s="34">
        <f>MIN(24,MAX(5,NORMINV(RAND(),$C$9,$D$9)))</f>
        <v/>
      </c>
      <c r="O401" s="41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7">
        <f>MAX(-0.05,NORMINV(RAND(),$C$6,$D$6))</f>
        <v/>
      </c>
      <c r="L402" s="27">
        <f>MAX(0.02,NORMINV(RAND(),$C$7,$D$7))</f>
        <v/>
      </c>
      <c r="M402" s="27">
        <f>MIN(0.16,MAX(0.05,NORMINV(RAND(),$C$8,$D$8)))</f>
        <v/>
      </c>
      <c r="N402" s="34">
        <f>MIN(24,MAX(5,NORMINV(RAND(),$C$9,$D$9)))</f>
        <v/>
      </c>
      <c r="O402" s="41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7">
        <f>MAX(-0.05,NORMINV(RAND(),$C$6,$D$6))</f>
        <v/>
      </c>
      <c r="L403" s="27">
        <f>MAX(0.02,NORMINV(RAND(),$C$7,$D$7))</f>
        <v/>
      </c>
      <c r="M403" s="27">
        <f>MIN(0.16,MAX(0.05,NORMINV(RAND(),$C$8,$D$8)))</f>
        <v/>
      </c>
      <c r="N403" s="34">
        <f>MIN(24,MAX(5,NORMINV(RAND(),$C$9,$D$9)))</f>
        <v/>
      </c>
      <c r="O403" s="41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7">
        <f>MAX(-0.05,NORMINV(RAND(),$C$6,$D$6))</f>
        <v/>
      </c>
      <c r="L404" s="27">
        <f>MAX(0.02,NORMINV(RAND(),$C$7,$D$7))</f>
        <v/>
      </c>
      <c r="M404" s="27">
        <f>MIN(0.16,MAX(0.05,NORMINV(RAND(),$C$8,$D$8)))</f>
        <v/>
      </c>
      <c r="N404" s="34">
        <f>MIN(24,MAX(5,NORMINV(RAND(),$C$9,$D$9)))</f>
        <v/>
      </c>
      <c r="O404" s="41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7">
        <f>MAX(-0.05,NORMINV(RAND(),$C$6,$D$6))</f>
        <v/>
      </c>
      <c r="L405" s="27">
        <f>MAX(0.02,NORMINV(RAND(),$C$7,$D$7))</f>
        <v/>
      </c>
      <c r="M405" s="27">
        <f>MIN(0.16,MAX(0.05,NORMINV(RAND(),$C$8,$D$8)))</f>
        <v/>
      </c>
      <c r="N405" s="34">
        <f>MIN(24,MAX(5,NORMINV(RAND(),$C$9,$D$9)))</f>
        <v/>
      </c>
      <c r="O405" s="41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7">
        <f>MAX(-0.05,NORMINV(RAND(),$C$6,$D$6))</f>
        <v/>
      </c>
      <c r="L406" s="27">
        <f>MAX(0.02,NORMINV(RAND(),$C$7,$D$7))</f>
        <v/>
      </c>
      <c r="M406" s="27">
        <f>MIN(0.16,MAX(0.05,NORMINV(RAND(),$C$8,$D$8)))</f>
        <v/>
      </c>
      <c r="N406" s="34">
        <f>MIN(24,MAX(5,NORMINV(RAND(),$C$9,$D$9)))</f>
        <v/>
      </c>
      <c r="O406" s="41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7">
        <f>MAX(-0.05,NORMINV(RAND(),$C$6,$D$6))</f>
        <v/>
      </c>
      <c r="L407" s="27">
        <f>MAX(0.02,NORMINV(RAND(),$C$7,$D$7))</f>
        <v/>
      </c>
      <c r="M407" s="27">
        <f>MIN(0.16,MAX(0.05,NORMINV(RAND(),$C$8,$D$8)))</f>
        <v/>
      </c>
      <c r="N407" s="34">
        <f>MIN(24,MAX(5,NORMINV(RAND(),$C$9,$D$9)))</f>
        <v/>
      </c>
      <c r="O407" s="41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7">
        <f>MAX(-0.05,NORMINV(RAND(),$C$6,$D$6))</f>
        <v/>
      </c>
      <c r="L408" s="27">
        <f>MAX(0.02,NORMINV(RAND(),$C$7,$D$7))</f>
        <v/>
      </c>
      <c r="M408" s="27">
        <f>MIN(0.16,MAX(0.05,NORMINV(RAND(),$C$8,$D$8)))</f>
        <v/>
      </c>
      <c r="N408" s="34">
        <f>MIN(24,MAX(5,NORMINV(RAND(),$C$9,$D$9)))</f>
        <v/>
      </c>
      <c r="O408" s="41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7">
        <f>MAX(-0.05,NORMINV(RAND(),$C$6,$D$6))</f>
        <v/>
      </c>
      <c r="L409" s="27">
        <f>MAX(0.02,NORMINV(RAND(),$C$7,$D$7))</f>
        <v/>
      </c>
      <c r="M409" s="27">
        <f>MIN(0.16,MAX(0.05,NORMINV(RAND(),$C$8,$D$8)))</f>
        <v/>
      </c>
      <c r="N409" s="34">
        <f>MIN(24,MAX(5,NORMINV(RAND(),$C$9,$D$9)))</f>
        <v/>
      </c>
      <c r="O409" s="41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7">
        <f>MAX(-0.05,NORMINV(RAND(),$C$6,$D$6))</f>
        <v/>
      </c>
      <c r="L410" s="27">
        <f>MAX(0.02,NORMINV(RAND(),$C$7,$D$7))</f>
        <v/>
      </c>
      <c r="M410" s="27">
        <f>MIN(0.16,MAX(0.05,NORMINV(RAND(),$C$8,$D$8)))</f>
        <v/>
      </c>
      <c r="N410" s="34">
        <f>MIN(24,MAX(5,NORMINV(RAND(),$C$9,$D$9)))</f>
        <v/>
      </c>
      <c r="O410" s="41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7">
        <f>MAX(-0.05,NORMINV(RAND(),$C$6,$D$6))</f>
        <v/>
      </c>
      <c r="L411" s="27">
        <f>MAX(0.02,NORMINV(RAND(),$C$7,$D$7))</f>
        <v/>
      </c>
      <c r="M411" s="27">
        <f>MIN(0.16,MAX(0.05,NORMINV(RAND(),$C$8,$D$8)))</f>
        <v/>
      </c>
      <c r="N411" s="34">
        <f>MIN(24,MAX(5,NORMINV(RAND(),$C$9,$D$9)))</f>
        <v/>
      </c>
      <c r="O411" s="41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7">
        <f>MAX(-0.05,NORMINV(RAND(),$C$6,$D$6))</f>
        <v/>
      </c>
      <c r="L412" s="27">
        <f>MAX(0.02,NORMINV(RAND(),$C$7,$D$7))</f>
        <v/>
      </c>
      <c r="M412" s="27">
        <f>MIN(0.16,MAX(0.05,NORMINV(RAND(),$C$8,$D$8)))</f>
        <v/>
      </c>
      <c r="N412" s="34">
        <f>MIN(24,MAX(5,NORMINV(RAND(),$C$9,$D$9)))</f>
        <v/>
      </c>
      <c r="O412" s="41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7">
        <f>MAX(-0.05,NORMINV(RAND(),$C$6,$D$6))</f>
        <v/>
      </c>
      <c r="L413" s="27">
        <f>MAX(0.02,NORMINV(RAND(),$C$7,$D$7))</f>
        <v/>
      </c>
      <c r="M413" s="27">
        <f>MIN(0.16,MAX(0.05,NORMINV(RAND(),$C$8,$D$8)))</f>
        <v/>
      </c>
      <c r="N413" s="34">
        <f>MIN(24,MAX(5,NORMINV(RAND(),$C$9,$D$9)))</f>
        <v/>
      </c>
      <c r="O413" s="41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7">
        <f>MAX(-0.05,NORMINV(RAND(),$C$6,$D$6))</f>
        <v/>
      </c>
      <c r="L414" s="27">
        <f>MAX(0.02,NORMINV(RAND(),$C$7,$D$7))</f>
        <v/>
      </c>
      <c r="M414" s="27">
        <f>MIN(0.16,MAX(0.05,NORMINV(RAND(),$C$8,$D$8)))</f>
        <v/>
      </c>
      <c r="N414" s="34">
        <f>MIN(24,MAX(5,NORMINV(RAND(),$C$9,$D$9)))</f>
        <v/>
      </c>
      <c r="O414" s="41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7">
        <f>MAX(-0.05,NORMINV(RAND(),$C$6,$D$6))</f>
        <v/>
      </c>
      <c r="L415" s="27">
        <f>MAX(0.02,NORMINV(RAND(),$C$7,$D$7))</f>
        <v/>
      </c>
      <c r="M415" s="27">
        <f>MIN(0.16,MAX(0.05,NORMINV(RAND(),$C$8,$D$8)))</f>
        <v/>
      </c>
      <c r="N415" s="34">
        <f>MIN(24,MAX(5,NORMINV(RAND(),$C$9,$D$9)))</f>
        <v/>
      </c>
      <c r="O415" s="41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7">
        <f>MAX(-0.05,NORMINV(RAND(),$C$6,$D$6))</f>
        <v/>
      </c>
      <c r="L416" s="27">
        <f>MAX(0.02,NORMINV(RAND(),$C$7,$D$7))</f>
        <v/>
      </c>
      <c r="M416" s="27">
        <f>MIN(0.16,MAX(0.05,NORMINV(RAND(),$C$8,$D$8)))</f>
        <v/>
      </c>
      <c r="N416" s="34">
        <f>MIN(24,MAX(5,NORMINV(RAND(),$C$9,$D$9)))</f>
        <v/>
      </c>
      <c r="O416" s="41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7">
        <f>MAX(-0.05,NORMINV(RAND(),$C$6,$D$6))</f>
        <v/>
      </c>
      <c r="L417" s="27">
        <f>MAX(0.02,NORMINV(RAND(),$C$7,$D$7))</f>
        <v/>
      </c>
      <c r="M417" s="27">
        <f>MIN(0.16,MAX(0.05,NORMINV(RAND(),$C$8,$D$8)))</f>
        <v/>
      </c>
      <c r="N417" s="34">
        <f>MIN(24,MAX(5,NORMINV(RAND(),$C$9,$D$9)))</f>
        <v/>
      </c>
      <c r="O417" s="41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7">
        <f>MAX(-0.05,NORMINV(RAND(),$C$6,$D$6))</f>
        <v/>
      </c>
      <c r="L418" s="27">
        <f>MAX(0.02,NORMINV(RAND(),$C$7,$D$7))</f>
        <v/>
      </c>
      <c r="M418" s="27">
        <f>MIN(0.16,MAX(0.05,NORMINV(RAND(),$C$8,$D$8)))</f>
        <v/>
      </c>
      <c r="N418" s="34">
        <f>MIN(24,MAX(5,NORMINV(RAND(),$C$9,$D$9)))</f>
        <v/>
      </c>
      <c r="O418" s="41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7">
        <f>MAX(-0.05,NORMINV(RAND(),$C$6,$D$6))</f>
        <v/>
      </c>
      <c r="L419" s="27">
        <f>MAX(0.02,NORMINV(RAND(),$C$7,$D$7))</f>
        <v/>
      </c>
      <c r="M419" s="27">
        <f>MIN(0.16,MAX(0.05,NORMINV(RAND(),$C$8,$D$8)))</f>
        <v/>
      </c>
      <c r="N419" s="34">
        <f>MIN(24,MAX(5,NORMINV(RAND(),$C$9,$D$9)))</f>
        <v/>
      </c>
      <c r="O419" s="41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7">
        <f>MAX(-0.05,NORMINV(RAND(),$C$6,$D$6))</f>
        <v/>
      </c>
      <c r="L420" s="27">
        <f>MAX(0.02,NORMINV(RAND(),$C$7,$D$7))</f>
        <v/>
      </c>
      <c r="M420" s="27">
        <f>MIN(0.16,MAX(0.05,NORMINV(RAND(),$C$8,$D$8)))</f>
        <v/>
      </c>
      <c r="N420" s="34">
        <f>MIN(24,MAX(5,NORMINV(RAND(),$C$9,$D$9)))</f>
        <v/>
      </c>
      <c r="O420" s="41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7">
        <f>MAX(-0.05,NORMINV(RAND(),$C$6,$D$6))</f>
        <v/>
      </c>
      <c r="L421" s="27">
        <f>MAX(0.02,NORMINV(RAND(),$C$7,$D$7))</f>
        <v/>
      </c>
      <c r="M421" s="27">
        <f>MIN(0.16,MAX(0.05,NORMINV(RAND(),$C$8,$D$8)))</f>
        <v/>
      </c>
      <c r="N421" s="34">
        <f>MIN(24,MAX(5,NORMINV(RAND(),$C$9,$D$9)))</f>
        <v/>
      </c>
      <c r="O421" s="41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7">
        <f>MAX(-0.05,NORMINV(RAND(),$C$6,$D$6))</f>
        <v/>
      </c>
      <c r="L422" s="27">
        <f>MAX(0.02,NORMINV(RAND(),$C$7,$D$7))</f>
        <v/>
      </c>
      <c r="M422" s="27">
        <f>MIN(0.16,MAX(0.05,NORMINV(RAND(),$C$8,$D$8)))</f>
        <v/>
      </c>
      <c r="N422" s="34">
        <f>MIN(24,MAX(5,NORMINV(RAND(),$C$9,$D$9)))</f>
        <v/>
      </c>
      <c r="O422" s="41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7">
        <f>MAX(-0.05,NORMINV(RAND(),$C$6,$D$6))</f>
        <v/>
      </c>
      <c r="L423" s="27">
        <f>MAX(0.02,NORMINV(RAND(),$C$7,$D$7))</f>
        <v/>
      </c>
      <c r="M423" s="27">
        <f>MIN(0.16,MAX(0.05,NORMINV(RAND(),$C$8,$D$8)))</f>
        <v/>
      </c>
      <c r="N423" s="34">
        <f>MIN(24,MAX(5,NORMINV(RAND(),$C$9,$D$9)))</f>
        <v/>
      </c>
      <c r="O423" s="41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7">
        <f>MAX(-0.05,NORMINV(RAND(),$C$6,$D$6))</f>
        <v/>
      </c>
      <c r="L424" s="27">
        <f>MAX(0.02,NORMINV(RAND(),$C$7,$D$7))</f>
        <v/>
      </c>
      <c r="M424" s="27">
        <f>MIN(0.16,MAX(0.05,NORMINV(RAND(),$C$8,$D$8)))</f>
        <v/>
      </c>
      <c r="N424" s="34">
        <f>MIN(24,MAX(5,NORMINV(RAND(),$C$9,$D$9)))</f>
        <v/>
      </c>
      <c r="O424" s="41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7">
        <f>MAX(-0.05,NORMINV(RAND(),$C$6,$D$6))</f>
        <v/>
      </c>
      <c r="L425" s="27">
        <f>MAX(0.02,NORMINV(RAND(),$C$7,$D$7))</f>
        <v/>
      </c>
      <c r="M425" s="27">
        <f>MIN(0.16,MAX(0.05,NORMINV(RAND(),$C$8,$D$8)))</f>
        <v/>
      </c>
      <c r="N425" s="34">
        <f>MIN(24,MAX(5,NORMINV(RAND(),$C$9,$D$9)))</f>
        <v/>
      </c>
      <c r="O425" s="41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7">
        <f>MAX(-0.05,NORMINV(RAND(),$C$6,$D$6))</f>
        <v/>
      </c>
      <c r="L426" s="27">
        <f>MAX(0.02,NORMINV(RAND(),$C$7,$D$7))</f>
        <v/>
      </c>
      <c r="M426" s="27">
        <f>MIN(0.16,MAX(0.05,NORMINV(RAND(),$C$8,$D$8)))</f>
        <v/>
      </c>
      <c r="N426" s="34">
        <f>MIN(24,MAX(5,NORMINV(RAND(),$C$9,$D$9)))</f>
        <v/>
      </c>
      <c r="O426" s="41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7">
        <f>MAX(-0.05,NORMINV(RAND(),$C$6,$D$6))</f>
        <v/>
      </c>
      <c r="L427" s="27">
        <f>MAX(0.02,NORMINV(RAND(),$C$7,$D$7))</f>
        <v/>
      </c>
      <c r="M427" s="27">
        <f>MIN(0.16,MAX(0.05,NORMINV(RAND(),$C$8,$D$8)))</f>
        <v/>
      </c>
      <c r="N427" s="34">
        <f>MIN(24,MAX(5,NORMINV(RAND(),$C$9,$D$9)))</f>
        <v/>
      </c>
      <c r="O427" s="41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7">
        <f>MAX(-0.05,NORMINV(RAND(),$C$6,$D$6))</f>
        <v/>
      </c>
      <c r="L428" s="27">
        <f>MAX(0.02,NORMINV(RAND(),$C$7,$D$7))</f>
        <v/>
      </c>
      <c r="M428" s="27">
        <f>MIN(0.16,MAX(0.05,NORMINV(RAND(),$C$8,$D$8)))</f>
        <v/>
      </c>
      <c r="N428" s="34">
        <f>MIN(24,MAX(5,NORMINV(RAND(),$C$9,$D$9)))</f>
        <v/>
      </c>
      <c r="O428" s="41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7">
        <f>MAX(-0.05,NORMINV(RAND(),$C$6,$D$6))</f>
        <v/>
      </c>
      <c r="L429" s="27">
        <f>MAX(0.02,NORMINV(RAND(),$C$7,$D$7))</f>
        <v/>
      </c>
      <c r="M429" s="27">
        <f>MIN(0.16,MAX(0.05,NORMINV(RAND(),$C$8,$D$8)))</f>
        <v/>
      </c>
      <c r="N429" s="34">
        <f>MIN(24,MAX(5,NORMINV(RAND(),$C$9,$D$9)))</f>
        <v/>
      </c>
      <c r="O429" s="41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7">
        <f>MAX(-0.05,NORMINV(RAND(),$C$6,$D$6))</f>
        <v/>
      </c>
      <c r="L430" s="27">
        <f>MAX(0.02,NORMINV(RAND(),$C$7,$D$7))</f>
        <v/>
      </c>
      <c r="M430" s="27">
        <f>MIN(0.16,MAX(0.05,NORMINV(RAND(),$C$8,$D$8)))</f>
        <v/>
      </c>
      <c r="N430" s="34">
        <f>MIN(24,MAX(5,NORMINV(RAND(),$C$9,$D$9)))</f>
        <v/>
      </c>
      <c r="O430" s="41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7">
        <f>MAX(-0.05,NORMINV(RAND(),$C$6,$D$6))</f>
        <v/>
      </c>
      <c r="L431" s="27">
        <f>MAX(0.02,NORMINV(RAND(),$C$7,$D$7))</f>
        <v/>
      </c>
      <c r="M431" s="27">
        <f>MIN(0.16,MAX(0.05,NORMINV(RAND(),$C$8,$D$8)))</f>
        <v/>
      </c>
      <c r="N431" s="34">
        <f>MIN(24,MAX(5,NORMINV(RAND(),$C$9,$D$9)))</f>
        <v/>
      </c>
      <c r="O431" s="41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7">
        <f>MAX(-0.05,NORMINV(RAND(),$C$6,$D$6))</f>
        <v/>
      </c>
      <c r="L432" s="27">
        <f>MAX(0.02,NORMINV(RAND(),$C$7,$D$7))</f>
        <v/>
      </c>
      <c r="M432" s="27">
        <f>MIN(0.16,MAX(0.05,NORMINV(RAND(),$C$8,$D$8)))</f>
        <v/>
      </c>
      <c r="N432" s="34">
        <f>MIN(24,MAX(5,NORMINV(RAND(),$C$9,$D$9)))</f>
        <v/>
      </c>
      <c r="O432" s="41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7">
        <f>MAX(-0.05,NORMINV(RAND(),$C$6,$D$6))</f>
        <v/>
      </c>
      <c r="L433" s="27">
        <f>MAX(0.02,NORMINV(RAND(),$C$7,$D$7))</f>
        <v/>
      </c>
      <c r="M433" s="27">
        <f>MIN(0.16,MAX(0.05,NORMINV(RAND(),$C$8,$D$8)))</f>
        <v/>
      </c>
      <c r="N433" s="34">
        <f>MIN(24,MAX(5,NORMINV(RAND(),$C$9,$D$9)))</f>
        <v/>
      </c>
      <c r="O433" s="41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7">
        <f>MAX(-0.05,NORMINV(RAND(),$C$6,$D$6))</f>
        <v/>
      </c>
      <c r="L434" s="27">
        <f>MAX(0.02,NORMINV(RAND(),$C$7,$D$7))</f>
        <v/>
      </c>
      <c r="M434" s="27">
        <f>MIN(0.16,MAX(0.05,NORMINV(RAND(),$C$8,$D$8)))</f>
        <v/>
      </c>
      <c r="N434" s="34">
        <f>MIN(24,MAX(5,NORMINV(RAND(),$C$9,$D$9)))</f>
        <v/>
      </c>
      <c r="O434" s="41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7">
        <f>MAX(-0.05,NORMINV(RAND(),$C$6,$D$6))</f>
        <v/>
      </c>
      <c r="L435" s="27">
        <f>MAX(0.02,NORMINV(RAND(),$C$7,$D$7))</f>
        <v/>
      </c>
      <c r="M435" s="27">
        <f>MIN(0.16,MAX(0.05,NORMINV(RAND(),$C$8,$D$8)))</f>
        <v/>
      </c>
      <c r="N435" s="34">
        <f>MIN(24,MAX(5,NORMINV(RAND(),$C$9,$D$9)))</f>
        <v/>
      </c>
      <c r="O435" s="41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7">
        <f>MAX(-0.05,NORMINV(RAND(),$C$6,$D$6))</f>
        <v/>
      </c>
      <c r="L436" s="27">
        <f>MAX(0.02,NORMINV(RAND(),$C$7,$D$7))</f>
        <v/>
      </c>
      <c r="M436" s="27">
        <f>MIN(0.16,MAX(0.05,NORMINV(RAND(),$C$8,$D$8)))</f>
        <v/>
      </c>
      <c r="N436" s="34">
        <f>MIN(24,MAX(5,NORMINV(RAND(),$C$9,$D$9)))</f>
        <v/>
      </c>
      <c r="O436" s="41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7">
        <f>MAX(-0.05,NORMINV(RAND(),$C$6,$D$6))</f>
        <v/>
      </c>
      <c r="L437" s="27">
        <f>MAX(0.02,NORMINV(RAND(),$C$7,$D$7))</f>
        <v/>
      </c>
      <c r="M437" s="27">
        <f>MIN(0.16,MAX(0.05,NORMINV(RAND(),$C$8,$D$8)))</f>
        <v/>
      </c>
      <c r="N437" s="34">
        <f>MIN(24,MAX(5,NORMINV(RAND(),$C$9,$D$9)))</f>
        <v/>
      </c>
      <c r="O437" s="41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7">
        <f>MAX(-0.05,NORMINV(RAND(),$C$6,$D$6))</f>
        <v/>
      </c>
      <c r="L438" s="27">
        <f>MAX(0.02,NORMINV(RAND(),$C$7,$D$7))</f>
        <v/>
      </c>
      <c r="M438" s="27">
        <f>MIN(0.16,MAX(0.05,NORMINV(RAND(),$C$8,$D$8)))</f>
        <v/>
      </c>
      <c r="N438" s="34">
        <f>MIN(24,MAX(5,NORMINV(RAND(),$C$9,$D$9)))</f>
        <v/>
      </c>
      <c r="O438" s="41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7">
        <f>MAX(-0.05,NORMINV(RAND(),$C$6,$D$6))</f>
        <v/>
      </c>
      <c r="L439" s="27">
        <f>MAX(0.02,NORMINV(RAND(),$C$7,$D$7))</f>
        <v/>
      </c>
      <c r="M439" s="27">
        <f>MIN(0.16,MAX(0.05,NORMINV(RAND(),$C$8,$D$8)))</f>
        <v/>
      </c>
      <c r="N439" s="34">
        <f>MIN(24,MAX(5,NORMINV(RAND(),$C$9,$D$9)))</f>
        <v/>
      </c>
      <c r="O439" s="41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7">
        <f>MAX(-0.05,NORMINV(RAND(),$C$6,$D$6))</f>
        <v/>
      </c>
      <c r="L440" s="27">
        <f>MAX(0.02,NORMINV(RAND(),$C$7,$D$7))</f>
        <v/>
      </c>
      <c r="M440" s="27">
        <f>MIN(0.16,MAX(0.05,NORMINV(RAND(),$C$8,$D$8)))</f>
        <v/>
      </c>
      <c r="N440" s="34">
        <f>MIN(24,MAX(5,NORMINV(RAND(),$C$9,$D$9)))</f>
        <v/>
      </c>
      <c r="O440" s="41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7">
        <f>MAX(-0.05,NORMINV(RAND(),$C$6,$D$6))</f>
        <v/>
      </c>
      <c r="L441" s="27">
        <f>MAX(0.02,NORMINV(RAND(),$C$7,$D$7))</f>
        <v/>
      </c>
      <c r="M441" s="27">
        <f>MIN(0.16,MAX(0.05,NORMINV(RAND(),$C$8,$D$8)))</f>
        <v/>
      </c>
      <c r="N441" s="34">
        <f>MIN(24,MAX(5,NORMINV(RAND(),$C$9,$D$9)))</f>
        <v/>
      </c>
      <c r="O441" s="41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7">
        <f>MAX(-0.05,NORMINV(RAND(),$C$6,$D$6))</f>
        <v/>
      </c>
      <c r="L442" s="27">
        <f>MAX(0.02,NORMINV(RAND(),$C$7,$D$7))</f>
        <v/>
      </c>
      <c r="M442" s="27">
        <f>MIN(0.16,MAX(0.05,NORMINV(RAND(),$C$8,$D$8)))</f>
        <v/>
      </c>
      <c r="N442" s="34">
        <f>MIN(24,MAX(5,NORMINV(RAND(),$C$9,$D$9)))</f>
        <v/>
      </c>
      <c r="O442" s="41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7">
        <f>MAX(-0.05,NORMINV(RAND(),$C$6,$D$6))</f>
        <v/>
      </c>
      <c r="L443" s="27">
        <f>MAX(0.02,NORMINV(RAND(),$C$7,$D$7))</f>
        <v/>
      </c>
      <c r="M443" s="27">
        <f>MIN(0.16,MAX(0.05,NORMINV(RAND(),$C$8,$D$8)))</f>
        <v/>
      </c>
      <c r="N443" s="34">
        <f>MIN(24,MAX(5,NORMINV(RAND(),$C$9,$D$9)))</f>
        <v/>
      </c>
      <c r="O443" s="41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7">
        <f>MAX(-0.05,NORMINV(RAND(),$C$6,$D$6))</f>
        <v/>
      </c>
      <c r="L444" s="27">
        <f>MAX(0.02,NORMINV(RAND(),$C$7,$D$7))</f>
        <v/>
      </c>
      <c r="M444" s="27">
        <f>MIN(0.16,MAX(0.05,NORMINV(RAND(),$C$8,$D$8)))</f>
        <v/>
      </c>
      <c r="N444" s="34">
        <f>MIN(24,MAX(5,NORMINV(RAND(),$C$9,$D$9)))</f>
        <v/>
      </c>
      <c r="O444" s="41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7">
        <f>MAX(-0.05,NORMINV(RAND(),$C$6,$D$6))</f>
        <v/>
      </c>
      <c r="L445" s="27">
        <f>MAX(0.02,NORMINV(RAND(),$C$7,$D$7))</f>
        <v/>
      </c>
      <c r="M445" s="27">
        <f>MIN(0.16,MAX(0.05,NORMINV(RAND(),$C$8,$D$8)))</f>
        <v/>
      </c>
      <c r="N445" s="34">
        <f>MIN(24,MAX(5,NORMINV(RAND(),$C$9,$D$9)))</f>
        <v/>
      </c>
      <c r="O445" s="41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7">
        <f>MAX(-0.05,NORMINV(RAND(),$C$6,$D$6))</f>
        <v/>
      </c>
      <c r="L446" s="27">
        <f>MAX(0.02,NORMINV(RAND(),$C$7,$D$7))</f>
        <v/>
      </c>
      <c r="M446" s="27">
        <f>MIN(0.16,MAX(0.05,NORMINV(RAND(),$C$8,$D$8)))</f>
        <v/>
      </c>
      <c r="N446" s="34">
        <f>MIN(24,MAX(5,NORMINV(RAND(),$C$9,$D$9)))</f>
        <v/>
      </c>
      <c r="O446" s="41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7">
        <f>MAX(-0.05,NORMINV(RAND(),$C$6,$D$6))</f>
        <v/>
      </c>
      <c r="L447" s="27">
        <f>MAX(0.02,NORMINV(RAND(),$C$7,$D$7))</f>
        <v/>
      </c>
      <c r="M447" s="27">
        <f>MIN(0.16,MAX(0.05,NORMINV(RAND(),$C$8,$D$8)))</f>
        <v/>
      </c>
      <c r="N447" s="34">
        <f>MIN(24,MAX(5,NORMINV(RAND(),$C$9,$D$9)))</f>
        <v/>
      </c>
      <c r="O447" s="41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7">
        <f>MAX(-0.05,NORMINV(RAND(),$C$6,$D$6))</f>
        <v/>
      </c>
      <c r="L448" s="27">
        <f>MAX(0.02,NORMINV(RAND(),$C$7,$D$7))</f>
        <v/>
      </c>
      <c r="M448" s="27">
        <f>MIN(0.16,MAX(0.05,NORMINV(RAND(),$C$8,$D$8)))</f>
        <v/>
      </c>
      <c r="N448" s="34">
        <f>MIN(24,MAX(5,NORMINV(RAND(),$C$9,$D$9)))</f>
        <v/>
      </c>
      <c r="O448" s="41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7">
        <f>MAX(-0.05,NORMINV(RAND(),$C$6,$D$6))</f>
        <v/>
      </c>
      <c r="L449" s="27">
        <f>MAX(0.02,NORMINV(RAND(),$C$7,$D$7))</f>
        <v/>
      </c>
      <c r="M449" s="27">
        <f>MIN(0.16,MAX(0.05,NORMINV(RAND(),$C$8,$D$8)))</f>
        <v/>
      </c>
      <c r="N449" s="34">
        <f>MIN(24,MAX(5,NORMINV(RAND(),$C$9,$D$9)))</f>
        <v/>
      </c>
      <c r="O449" s="41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7">
        <f>MAX(-0.05,NORMINV(RAND(),$C$6,$D$6))</f>
        <v/>
      </c>
      <c r="L450" s="27">
        <f>MAX(0.02,NORMINV(RAND(),$C$7,$D$7))</f>
        <v/>
      </c>
      <c r="M450" s="27">
        <f>MIN(0.16,MAX(0.05,NORMINV(RAND(),$C$8,$D$8)))</f>
        <v/>
      </c>
      <c r="N450" s="34">
        <f>MIN(24,MAX(5,NORMINV(RAND(),$C$9,$D$9)))</f>
        <v/>
      </c>
      <c r="O450" s="41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7">
        <f>MAX(-0.05,NORMINV(RAND(),$C$6,$D$6))</f>
        <v/>
      </c>
      <c r="L451" s="27">
        <f>MAX(0.02,NORMINV(RAND(),$C$7,$D$7))</f>
        <v/>
      </c>
      <c r="M451" s="27">
        <f>MIN(0.16,MAX(0.05,NORMINV(RAND(),$C$8,$D$8)))</f>
        <v/>
      </c>
      <c r="N451" s="34">
        <f>MIN(24,MAX(5,NORMINV(RAND(),$C$9,$D$9)))</f>
        <v/>
      </c>
      <c r="O451" s="41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7">
        <f>MAX(-0.05,NORMINV(RAND(),$C$6,$D$6))</f>
        <v/>
      </c>
      <c r="L452" s="27">
        <f>MAX(0.02,NORMINV(RAND(),$C$7,$D$7))</f>
        <v/>
      </c>
      <c r="M452" s="27">
        <f>MIN(0.16,MAX(0.05,NORMINV(RAND(),$C$8,$D$8)))</f>
        <v/>
      </c>
      <c r="N452" s="34">
        <f>MIN(24,MAX(5,NORMINV(RAND(),$C$9,$D$9)))</f>
        <v/>
      </c>
      <c r="O452" s="41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7">
        <f>MAX(-0.05,NORMINV(RAND(),$C$6,$D$6))</f>
        <v/>
      </c>
      <c r="L453" s="27">
        <f>MAX(0.02,NORMINV(RAND(),$C$7,$D$7))</f>
        <v/>
      </c>
      <c r="M453" s="27">
        <f>MIN(0.16,MAX(0.05,NORMINV(RAND(),$C$8,$D$8)))</f>
        <v/>
      </c>
      <c r="N453" s="34">
        <f>MIN(24,MAX(5,NORMINV(RAND(),$C$9,$D$9)))</f>
        <v/>
      </c>
      <c r="O453" s="41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7">
        <f>MAX(-0.05,NORMINV(RAND(),$C$6,$D$6))</f>
        <v/>
      </c>
      <c r="L454" s="27">
        <f>MAX(0.02,NORMINV(RAND(),$C$7,$D$7))</f>
        <v/>
      </c>
      <c r="M454" s="27">
        <f>MIN(0.16,MAX(0.05,NORMINV(RAND(),$C$8,$D$8)))</f>
        <v/>
      </c>
      <c r="N454" s="34">
        <f>MIN(24,MAX(5,NORMINV(RAND(),$C$9,$D$9)))</f>
        <v/>
      </c>
      <c r="O454" s="41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7">
        <f>MAX(-0.05,NORMINV(RAND(),$C$6,$D$6))</f>
        <v/>
      </c>
      <c r="L455" s="27">
        <f>MAX(0.02,NORMINV(RAND(),$C$7,$D$7))</f>
        <v/>
      </c>
      <c r="M455" s="27">
        <f>MIN(0.16,MAX(0.05,NORMINV(RAND(),$C$8,$D$8)))</f>
        <v/>
      </c>
      <c r="N455" s="34">
        <f>MIN(24,MAX(5,NORMINV(RAND(),$C$9,$D$9)))</f>
        <v/>
      </c>
      <c r="O455" s="41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7">
        <f>MAX(-0.05,NORMINV(RAND(),$C$6,$D$6))</f>
        <v/>
      </c>
      <c r="L456" s="27">
        <f>MAX(0.02,NORMINV(RAND(),$C$7,$D$7))</f>
        <v/>
      </c>
      <c r="M456" s="27">
        <f>MIN(0.16,MAX(0.05,NORMINV(RAND(),$C$8,$D$8)))</f>
        <v/>
      </c>
      <c r="N456" s="34">
        <f>MIN(24,MAX(5,NORMINV(RAND(),$C$9,$D$9)))</f>
        <v/>
      </c>
      <c r="O456" s="41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7">
        <f>MAX(-0.05,NORMINV(RAND(),$C$6,$D$6))</f>
        <v/>
      </c>
      <c r="L457" s="27">
        <f>MAX(0.02,NORMINV(RAND(),$C$7,$D$7))</f>
        <v/>
      </c>
      <c r="M457" s="27">
        <f>MIN(0.16,MAX(0.05,NORMINV(RAND(),$C$8,$D$8)))</f>
        <v/>
      </c>
      <c r="N457" s="34">
        <f>MIN(24,MAX(5,NORMINV(RAND(),$C$9,$D$9)))</f>
        <v/>
      </c>
      <c r="O457" s="41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7">
        <f>MAX(-0.05,NORMINV(RAND(),$C$6,$D$6))</f>
        <v/>
      </c>
      <c r="L458" s="27">
        <f>MAX(0.02,NORMINV(RAND(),$C$7,$D$7))</f>
        <v/>
      </c>
      <c r="M458" s="27">
        <f>MIN(0.16,MAX(0.05,NORMINV(RAND(),$C$8,$D$8)))</f>
        <v/>
      </c>
      <c r="N458" s="34">
        <f>MIN(24,MAX(5,NORMINV(RAND(),$C$9,$D$9)))</f>
        <v/>
      </c>
      <c r="O458" s="41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7">
        <f>MAX(-0.05,NORMINV(RAND(),$C$6,$D$6))</f>
        <v/>
      </c>
      <c r="L459" s="27">
        <f>MAX(0.02,NORMINV(RAND(),$C$7,$D$7))</f>
        <v/>
      </c>
      <c r="M459" s="27">
        <f>MIN(0.16,MAX(0.05,NORMINV(RAND(),$C$8,$D$8)))</f>
        <v/>
      </c>
      <c r="N459" s="34">
        <f>MIN(24,MAX(5,NORMINV(RAND(),$C$9,$D$9)))</f>
        <v/>
      </c>
      <c r="O459" s="41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7">
        <f>MAX(-0.05,NORMINV(RAND(),$C$6,$D$6))</f>
        <v/>
      </c>
      <c r="L460" s="27">
        <f>MAX(0.02,NORMINV(RAND(),$C$7,$D$7))</f>
        <v/>
      </c>
      <c r="M460" s="27">
        <f>MIN(0.16,MAX(0.05,NORMINV(RAND(),$C$8,$D$8)))</f>
        <v/>
      </c>
      <c r="N460" s="34">
        <f>MIN(24,MAX(5,NORMINV(RAND(),$C$9,$D$9)))</f>
        <v/>
      </c>
      <c r="O460" s="41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7">
        <f>MAX(-0.05,NORMINV(RAND(),$C$6,$D$6))</f>
        <v/>
      </c>
      <c r="L461" s="27">
        <f>MAX(0.02,NORMINV(RAND(),$C$7,$D$7))</f>
        <v/>
      </c>
      <c r="M461" s="27">
        <f>MIN(0.16,MAX(0.05,NORMINV(RAND(),$C$8,$D$8)))</f>
        <v/>
      </c>
      <c r="N461" s="34">
        <f>MIN(24,MAX(5,NORMINV(RAND(),$C$9,$D$9)))</f>
        <v/>
      </c>
      <c r="O461" s="41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7">
        <f>MAX(-0.05,NORMINV(RAND(),$C$6,$D$6))</f>
        <v/>
      </c>
      <c r="L462" s="27">
        <f>MAX(0.02,NORMINV(RAND(),$C$7,$D$7))</f>
        <v/>
      </c>
      <c r="M462" s="27">
        <f>MIN(0.16,MAX(0.05,NORMINV(RAND(),$C$8,$D$8)))</f>
        <v/>
      </c>
      <c r="N462" s="34">
        <f>MIN(24,MAX(5,NORMINV(RAND(),$C$9,$D$9)))</f>
        <v/>
      </c>
      <c r="O462" s="41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7">
        <f>MAX(-0.05,NORMINV(RAND(),$C$6,$D$6))</f>
        <v/>
      </c>
      <c r="L463" s="27">
        <f>MAX(0.02,NORMINV(RAND(),$C$7,$D$7))</f>
        <v/>
      </c>
      <c r="M463" s="27">
        <f>MIN(0.16,MAX(0.05,NORMINV(RAND(),$C$8,$D$8)))</f>
        <v/>
      </c>
      <c r="N463" s="34">
        <f>MIN(24,MAX(5,NORMINV(RAND(),$C$9,$D$9)))</f>
        <v/>
      </c>
      <c r="O463" s="41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7">
        <f>MAX(-0.05,NORMINV(RAND(),$C$6,$D$6))</f>
        <v/>
      </c>
      <c r="L464" s="27">
        <f>MAX(0.02,NORMINV(RAND(),$C$7,$D$7))</f>
        <v/>
      </c>
      <c r="M464" s="27">
        <f>MIN(0.16,MAX(0.05,NORMINV(RAND(),$C$8,$D$8)))</f>
        <v/>
      </c>
      <c r="N464" s="34">
        <f>MIN(24,MAX(5,NORMINV(RAND(),$C$9,$D$9)))</f>
        <v/>
      </c>
      <c r="O464" s="41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7">
        <f>MAX(-0.05,NORMINV(RAND(),$C$6,$D$6))</f>
        <v/>
      </c>
      <c r="L465" s="27">
        <f>MAX(0.02,NORMINV(RAND(),$C$7,$D$7))</f>
        <v/>
      </c>
      <c r="M465" s="27">
        <f>MIN(0.16,MAX(0.05,NORMINV(RAND(),$C$8,$D$8)))</f>
        <v/>
      </c>
      <c r="N465" s="34">
        <f>MIN(24,MAX(5,NORMINV(RAND(),$C$9,$D$9)))</f>
        <v/>
      </c>
      <c r="O465" s="41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7">
        <f>MAX(-0.05,NORMINV(RAND(),$C$6,$D$6))</f>
        <v/>
      </c>
      <c r="L466" s="27">
        <f>MAX(0.02,NORMINV(RAND(),$C$7,$D$7))</f>
        <v/>
      </c>
      <c r="M466" s="27">
        <f>MIN(0.16,MAX(0.05,NORMINV(RAND(),$C$8,$D$8)))</f>
        <v/>
      </c>
      <c r="N466" s="34">
        <f>MIN(24,MAX(5,NORMINV(RAND(),$C$9,$D$9)))</f>
        <v/>
      </c>
      <c r="O466" s="41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7">
        <f>MAX(-0.05,NORMINV(RAND(),$C$6,$D$6))</f>
        <v/>
      </c>
      <c r="L467" s="27">
        <f>MAX(0.02,NORMINV(RAND(),$C$7,$D$7))</f>
        <v/>
      </c>
      <c r="M467" s="27">
        <f>MIN(0.16,MAX(0.05,NORMINV(RAND(),$C$8,$D$8)))</f>
        <v/>
      </c>
      <c r="N467" s="34">
        <f>MIN(24,MAX(5,NORMINV(RAND(),$C$9,$D$9)))</f>
        <v/>
      </c>
      <c r="O467" s="41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7">
        <f>MAX(-0.05,NORMINV(RAND(),$C$6,$D$6))</f>
        <v/>
      </c>
      <c r="L468" s="27">
        <f>MAX(0.02,NORMINV(RAND(),$C$7,$D$7))</f>
        <v/>
      </c>
      <c r="M468" s="27">
        <f>MIN(0.16,MAX(0.05,NORMINV(RAND(),$C$8,$D$8)))</f>
        <v/>
      </c>
      <c r="N468" s="34">
        <f>MIN(24,MAX(5,NORMINV(RAND(),$C$9,$D$9)))</f>
        <v/>
      </c>
      <c r="O468" s="41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7">
        <f>MAX(-0.05,NORMINV(RAND(),$C$6,$D$6))</f>
        <v/>
      </c>
      <c r="L469" s="27">
        <f>MAX(0.02,NORMINV(RAND(),$C$7,$D$7))</f>
        <v/>
      </c>
      <c r="M469" s="27">
        <f>MIN(0.16,MAX(0.05,NORMINV(RAND(),$C$8,$D$8)))</f>
        <v/>
      </c>
      <c r="N469" s="34">
        <f>MIN(24,MAX(5,NORMINV(RAND(),$C$9,$D$9)))</f>
        <v/>
      </c>
      <c r="O469" s="41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7">
        <f>MAX(-0.05,NORMINV(RAND(),$C$6,$D$6))</f>
        <v/>
      </c>
      <c r="L470" s="27">
        <f>MAX(0.02,NORMINV(RAND(),$C$7,$D$7))</f>
        <v/>
      </c>
      <c r="M470" s="27">
        <f>MIN(0.16,MAX(0.05,NORMINV(RAND(),$C$8,$D$8)))</f>
        <v/>
      </c>
      <c r="N470" s="34">
        <f>MIN(24,MAX(5,NORMINV(RAND(),$C$9,$D$9)))</f>
        <v/>
      </c>
      <c r="O470" s="41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7">
        <f>MAX(-0.05,NORMINV(RAND(),$C$6,$D$6))</f>
        <v/>
      </c>
      <c r="L471" s="27">
        <f>MAX(0.02,NORMINV(RAND(),$C$7,$D$7))</f>
        <v/>
      </c>
      <c r="M471" s="27">
        <f>MIN(0.16,MAX(0.05,NORMINV(RAND(),$C$8,$D$8)))</f>
        <v/>
      </c>
      <c r="N471" s="34">
        <f>MIN(24,MAX(5,NORMINV(RAND(),$C$9,$D$9)))</f>
        <v/>
      </c>
      <c r="O471" s="41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7">
        <f>MAX(-0.05,NORMINV(RAND(),$C$6,$D$6))</f>
        <v/>
      </c>
      <c r="L472" s="27">
        <f>MAX(0.02,NORMINV(RAND(),$C$7,$D$7))</f>
        <v/>
      </c>
      <c r="M472" s="27">
        <f>MIN(0.16,MAX(0.05,NORMINV(RAND(),$C$8,$D$8)))</f>
        <v/>
      </c>
      <c r="N472" s="34">
        <f>MIN(24,MAX(5,NORMINV(RAND(),$C$9,$D$9)))</f>
        <v/>
      </c>
      <c r="O472" s="41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7">
        <f>MAX(-0.05,NORMINV(RAND(),$C$6,$D$6))</f>
        <v/>
      </c>
      <c r="L473" s="27">
        <f>MAX(0.02,NORMINV(RAND(),$C$7,$D$7))</f>
        <v/>
      </c>
      <c r="M473" s="27">
        <f>MIN(0.16,MAX(0.05,NORMINV(RAND(),$C$8,$D$8)))</f>
        <v/>
      </c>
      <c r="N473" s="34">
        <f>MIN(24,MAX(5,NORMINV(RAND(),$C$9,$D$9)))</f>
        <v/>
      </c>
      <c r="O473" s="41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7">
        <f>MAX(-0.05,NORMINV(RAND(),$C$6,$D$6))</f>
        <v/>
      </c>
      <c r="L474" s="27">
        <f>MAX(0.02,NORMINV(RAND(),$C$7,$D$7))</f>
        <v/>
      </c>
      <c r="M474" s="27">
        <f>MIN(0.16,MAX(0.05,NORMINV(RAND(),$C$8,$D$8)))</f>
        <v/>
      </c>
      <c r="N474" s="34">
        <f>MIN(24,MAX(5,NORMINV(RAND(),$C$9,$D$9)))</f>
        <v/>
      </c>
      <c r="O474" s="41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7">
        <f>MAX(-0.05,NORMINV(RAND(),$C$6,$D$6))</f>
        <v/>
      </c>
      <c r="L475" s="27">
        <f>MAX(0.02,NORMINV(RAND(),$C$7,$D$7))</f>
        <v/>
      </c>
      <c r="M475" s="27">
        <f>MIN(0.16,MAX(0.05,NORMINV(RAND(),$C$8,$D$8)))</f>
        <v/>
      </c>
      <c r="N475" s="34">
        <f>MIN(24,MAX(5,NORMINV(RAND(),$C$9,$D$9)))</f>
        <v/>
      </c>
      <c r="O475" s="41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7">
        <f>MAX(-0.05,NORMINV(RAND(),$C$6,$D$6))</f>
        <v/>
      </c>
      <c r="L476" s="27">
        <f>MAX(0.02,NORMINV(RAND(),$C$7,$D$7))</f>
        <v/>
      </c>
      <c r="M476" s="27">
        <f>MIN(0.16,MAX(0.05,NORMINV(RAND(),$C$8,$D$8)))</f>
        <v/>
      </c>
      <c r="N476" s="34">
        <f>MIN(24,MAX(5,NORMINV(RAND(),$C$9,$D$9)))</f>
        <v/>
      </c>
      <c r="O476" s="41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7">
        <f>MAX(-0.05,NORMINV(RAND(),$C$6,$D$6))</f>
        <v/>
      </c>
      <c r="L477" s="27">
        <f>MAX(0.02,NORMINV(RAND(),$C$7,$D$7))</f>
        <v/>
      </c>
      <c r="M477" s="27">
        <f>MIN(0.16,MAX(0.05,NORMINV(RAND(),$C$8,$D$8)))</f>
        <v/>
      </c>
      <c r="N477" s="34">
        <f>MIN(24,MAX(5,NORMINV(RAND(),$C$9,$D$9)))</f>
        <v/>
      </c>
      <c r="O477" s="41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7">
        <f>MAX(-0.05,NORMINV(RAND(),$C$6,$D$6))</f>
        <v/>
      </c>
      <c r="L478" s="27">
        <f>MAX(0.02,NORMINV(RAND(),$C$7,$D$7))</f>
        <v/>
      </c>
      <c r="M478" s="27">
        <f>MIN(0.16,MAX(0.05,NORMINV(RAND(),$C$8,$D$8)))</f>
        <v/>
      </c>
      <c r="N478" s="34">
        <f>MIN(24,MAX(5,NORMINV(RAND(),$C$9,$D$9)))</f>
        <v/>
      </c>
      <c r="O478" s="41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7">
        <f>MAX(-0.05,NORMINV(RAND(),$C$6,$D$6))</f>
        <v/>
      </c>
      <c r="L479" s="27">
        <f>MAX(0.02,NORMINV(RAND(),$C$7,$D$7))</f>
        <v/>
      </c>
      <c r="M479" s="27">
        <f>MIN(0.16,MAX(0.05,NORMINV(RAND(),$C$8,$D$8)))</f>
        <v/>
      </c>
      <c r="N479" s="34">
        <f>MIN(24,MAX(5,NORMINV(RAND(),$C$9,$D$9)))</f>
        <v/>
      </c>
      <c r="O479" s="41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7">
        <f>MAX(-0.05,NORMINV(RAND(),$C$6,$D$6))</f>
        <v/>
      </c>
      <c r="L480" s="27">
        <f>MAX(0.02,NORMINV(RAND(),$C$7,$D$7))</f>
        <v/>
      </c>
      <c r="M480" s="27">
        <f>MIN(0.16,MAX(0.05,NORMINV(RAND(),$C$8,$D$8)))</f>
        <v/>
      </c>
      <c r="N480" s="34">
        <f>MIN(24,MAX(5,NORMINV(RAND(),$C$9,$D$9)))</f>
        <v/>
      </c>
      <c r="O480" s="41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7">
        <f>MAX(-0.05,NORMINV(RAND(),$C$6,$D$6))</f>
        <v/>
      </c>
      <c r="L481" s="27">
        <f>MAX(0.02,NORMINV(RAND(),$C$7,$D$7))</f>
        <v/>
      </c>
      <c r="M481" s="27">
        <f>MIN(0.16,MAX(0.05,NORMINV(RAND(),$C$8,$D$8)))</f>
        <v/>
      </c>
      <c r="N481" s="34">
        <f>MIN(24,MAX(5,NORMINV(RAND(),$C$9,$D$9)))</f>
        <v/>
      </c>
      <c r="O481" s="41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7">
        <f>MAX(-0.05,NORMINV(RAND(),$C$6,$D$6))</f>
        <v/>
      </c>
      <c r="L482" s="27">
        <f>MAX(0.02,NORMINV(RAND(),$C$7,$D$7))</f>
        <v/>
      </c>
      <c r="M482" s="27">
        <f>MIN(0.16,MAX(0.05,NORMINV(RAND(),$C$8,$D$8)))</f>
        <v/>
      </c>
      <c r="N482" s="34">
        <f>MIN(24,MAX(5,NORMINV(RAND(),$C$9,$D$9)))</f>
        <v/>
      </c>
      <c r="O482" s="41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7">
        <f>MAX(-0.05,NORMINV(RAND(),$C$6,$D$6))</f>
        <v/>
      </c>
      <c r="L483" s="27">
        <f>MAX(0.02,NORMINV(RAND(),$C$7,$D$7))</f>
        <v/>
      </c>
      <c r="M483" s="27">
        <f>MIN(0.16,MAX(0.05,NORMINV(RAND(),$C$8,$D$8)))</f>
        <v/>
      </c>
      <c r="N483" s="34">
        <f>MIN(24,MAX(5,NORMINV(RAND(),$C$9,$D$9)))</f>
        <v/>
      </c>
      <c r="O483" s="41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7">
        <f>MAX(-0.05,NORMINV(RAND(),$C$6,$D$6))</f>
        <v/>
      </c>
      <c r="L484" s="27">
        <f>MAX(0.02,NORMINV(RAND(),$C$7,$D$7))</f>
        <v/>
      </c>
      <c r="M484" s="27">
        <f>MIN(0.16,MAX(0.05,NORMINV(RAND(),$C$8,$D$8)))</f>
        <v/>
      </c>
      <c r="N484" s="34">
        <f>MIN(24,MAX(5,NORMINV(RAND(),$C$9,$D$9)))</f>
        <v/>
      </c>
      <c r="O484" s="41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7">
        <f>MAX(-0.05,NORMINV(RAND(),$C$6,$D$6))</f>
        <v/>
      </c>
      <c r="L485" s="27">
        <f>MAX(0.02,NORMINV(RAND(),$C$7,$D$7))</f>
        <v/>
      </c>
      <c r="M485" s="27">
        <f>MIN(0.16,MAX(0.05,NORMINV(RAND(),$C$8,$D$8)))</f>
        <v/>
      </c>
      <c r="N485" s="34">
        <f>MIN(24,MAX(5,NORMINV(RAND(),$C$9,$D$9)))</f>
        <v/>
      </c>
      <c r="O485" s="41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7">
        <f>MAX(-0.05,NORMINV(RAND(),$C$6,$D$6))</f>
        <v/>
      </c>
      <c r="L486" s="27">
        <f>MAX(0.02,NORMINV(RAND(),$C$7,$D$7))</f>
        <v/>
      </c>
      <c r="M486" s="27">
        <f>MIN(0.16,MAX(0.05,NORMINV(RAND(),$C$8,$D$8)))</f>
        <v/>
      </c>
      <c r="N486" s="34">
        <f>MIN(24,MAX(5,NORMINV(RAND(),$C$9,$D$9)))</f>
        <v/>
      </c>
      <c r="O486" s="41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7">
        <f>MAX(-0.05,NORMINV(RAND(),$C$6,$D$6))</f>
        <v/>
      </c>
      <c r="L487" s="27">
        <f>MAX(0.02,NORMINV(RAND(),$C$7,$D$7))</f>
        <v/>
      </c>
      <c r="M487" s="27">
        <f>MIN(0.16,MAX(0.05,NORMINV(RAND(),$C$8,$D$8)))</f>
        <v/>
      </c>
      <c r="N487" s="34">
        <f>MIN(24,MAX(5,NORMINV(RAND(),$C$9,$D$9)))</f>
        <v/>
      </c>
      <c r="O487" s="41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7">
        <f>MAX(-0.05,NORMINV(RAND(),$C$6,$D$6))</f>
        <v/>
      </c>
      <c r="L488" s="27">
        <f>MAX(0.02,NORMINV(RAND(),$C$7,$D$7))</f>
        <v/>
      </c>
      <c r="M488" s="27">
        <f>MIN(0.16,MAX(0.05,NORMINV(RAND(),$C$8,$D$8)))</f>
        <v/>
      </c>
      <c r="N488" s="34">
        <f>MIN(24,MAX(5,NORMINV(RAND(),$C$9,$D$9)))</f>
        <v/>
      </c>
      <c r="O488" s="41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7">
        <f>MAX(-0.05,NORMINV(RAND(),$C$6,$D$6))</f>
        <v/>
      </c>
      <c r="L489" s="27">
        <f>MAX(0.02,NORMINV(RAND(),$C$7,$D$7))</f>
        <v/>
      </c>
      <c r="M489" s="27">
        <f>MIN(0.16,MAX(0.05,NORMINV(RAND(),$C$8,$D$8)))</f>
        <v/>
      </c>
      <c r="N489" s="34">
        <f>MIN(24,MAX(5,NORMINV(RAND(),$C$9,$D$9)))</f>
        <v/>
      </c>
      <c r="O489" s="41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7">
        <f>MAX(-0.05,NORMINV(RAND(),$C$6,$D$6))</f>
        <v/>
      </c>
      <c r="L490" s="27">
        <f>MAX(0.02,NORMINV(RAND(),$C$7,$D$7))</f>
        <v/>
      </c>
      <c r="M490" s="27">
        <f>MIN(0.16,MAX(0.05,NORMINV(RAND(),$C$8,$D$8)))</f>
        <v/>
      </c>
      <c r="N490" s="34">
        <f>MIN(24,MAX(5,NORMINV(RAND(),$C$9,$D$9)))</f>
        <v/>
      </c>
      <c r="O490" s="41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7">
        <f>MAX(-0.05,NORMINV(RAND(),$C$6,$D$6))</f>
        <v/>
      </c>
      <c r="L491" s="27">
        <f>MAX(0.02,NORMINV(RAND(),$C$7,$D$7))</f>
        <v/>
      </c>
      <c r="M491" s="27">
        <f>MIN(0.16,MAX(0.05,NORMINV(RAND(),$C$8,$D$8)))</f>
        <v/>
      </c>
      <c r="N491" s="34">
        <f>MIN(24,MAX(5,NORMINV(RAND(),$C$9,$D$9)))</f>
        <v/>
      </c>
      <c r="O491" s="41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7">
        <f>MAX(-0.05,NORMINV(RAND(),$C$6,$D$6))</f>
        <v/>
      </c>
      <c r="L492" s="27">
        <f>MAX(0.02,NORMINV(RAND(),$C$7,$D$7))</f>
        <v/>
      </c>
      <c r="M492" s="27">
        <f>MIN(0.16,MAX(0.05,NORMINV(RAND(),$C$8,$D$8)))</f>
        <v/>
      </c>
      <c r="N492" s="34">
        <f>MIN(24,MAX(5,NORMINV(RAND(),$C$9,$D$9)))</f>
        <v/>
      </c>
      <c r="O492" s="41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7">
        <f>MAX(-0.05,NORMINV(RAND(),$C$6,$D$6))</f>
        <v/>
      </c>
      <c r="L493" s="27">
        <f>MAX(0.02,NORMINV(RAND(),$C$7,$D$7))</f>
        <v/>
      </c>
      <c r="M493" s="27">
        <f>MIN(0.16,MAX(0.05,NORMINV(RAND(),$C$8,$D$8)))</f>
        <v/>
      </c>
      <c r="N493" s="34">
        <f>MIN(24,MAX(5,NORMINV(RAND(),$C$9,$D$9)))</f>
        <v/>
      </c>
      <c r="O493" s="41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7">
        <f>MAX(-0.05,NORMINV(RAND(),$C$6,$D$6))</f>
        <v/>
      </c>
      <c r="L494" s="27">
        <f>MAX(0.02,NORMINV(RAND(),$C$7,$D$7))</f>
        <v/>
      </c>
      <c r="M494" s="27">
        <f>MIN(0.16,MAX(0.05,NORMINV(RAND(),$C$8,$D$8)))</f>
        <v/>
      </c>
      <c r="N494" s="34">
        <f>MIN(24,MAX(5,NORMINV(RAND(),$C$9,$D$9)))</f>
        <v/>
      </c>
      <c r="O494" s="41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7">
        <f>MAX(-0.05,NORMINV(RAND(),$C$6,$D$6))</f>
        <v/>
      </c>
      <c r="L495" s="27">
        <f>MAX(0.02,NORMINV(RAND(),$C$7,$D$7))</f>
        <v/>
      </c>
      <c r="M495" s="27">
        <f>MIN(0.16,MAX(0.05,NORMINV(RAND(),$C$8,$D$8)))</f>
        <v/>
      </c>
      <c r="N495" s="34">
        <f>MIN(24,MAX(5,NORMINV(RAND(),$C$9,$D$9)))</f>
        <v/>
      </c>
      <c r="O495" s="41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7">
        <f>MAX(-0.05,NORMINV(RAND(),$C$6,$D$6))</f>
        <v/>
      </c>
      <c r="L496" s="27">
        <f>MAX(0.02,NORMINV(RAND(),$C$7,$D$7))</f>
        <v/>
      </c>
      <c r="M496" s="27">
        <f>MIN(0.16,MAX(0.05,NORMINV(RAND(),$C$8,$D$8)))</f>
        <v/>
      </c>
      <c r="N496" s="34">
        <f>MIN(24,MAX(5,NORMINV(RAND(),$C$9,$D$9)))</f>
        <v/>
      </c>
      <c r="O496" s="41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7">
        <f>MAX(-0.05,NORMINV(RAND(),$C$6,$D$6))</f>
        <v/>
      </c>
      <c r="L497" s="27">
        <f>MAX(0.02,NORMINV(RAND(),$C$7,$D$7))</f>
        <v/>
      </c>
      <c r="M497" s="27">
        <f>MIN(0.16,MAX(0.05,NORMINV(RAND(),$C$8,$D$8)))</f>
        <v/>
      </c>
      <c r="N497" s="34">
        <f>MIN(24,MAX(5,NORMINV(RAND(),$C$9,$D$9)))</f>
        <v/>
      </c>
      <c r="O497" s="41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7">
        <f>MAX(-0.05,NORMINV(RAND(),$C$6,$D$6))</f>
        <v/>
      </c>
      <c r="L498" s="27">
        <f>MAX(0.02,NORMINV(RAND(),$C$7,$D$7))</f>
        <v/>
      </c>
      <c r="M498" s="27">
        <f>MIN(0.16,MAX(0.05,NORMINV(RAND(),$C$8,$D$8)))</f>
        <v/>
      </c>
      <c r="N498" s="34">
        <f>MIN(24,MAX(5,NORMINV(RAND(),$C$9,$D$9)))</f>
        <v/>
      </c>
      <c r="O498" s="41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7">
        <f>MAX(-0.05,NORMINV(RAND(),$C$6,$D$6))</f>
        <v/>
      </c>
      <c r="L499" s="27">
        <f>MAX(0.02,NORMINV(RAND(),$C$7,$D$7))</f>
        <v/>
      </c>
      <c r="M499" s="27">
        <f>MIN(0.16,MAX(0.05,NORMINV(RAND(),$C$8,$D$8)))</f>
        <v/>
      </c>
      <c r="N499" s="34">
        <f>MIN(24,MAX(5,NORMINV(RAND(),$C$9,$D$9)))</f>
        <v/>
      </c>
      <c r="O499" s="41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7">
        <f>MAX(-0.05,NORMINV(RAND(),$C$6,$D$6))</f>
        <v/>
      </c>
      <c r="L500" s="27">
        <f>MAX(0.02,NORMINV(RAND(),$C$7,$D$7))</f>
        <v/>
      </c>
      <c r="M500" s="27">
        <f>MIN(0.16,MAX(0.05,NORMINV(RAND(),$C$8,$D$8)))</f>
        <v/>
      </c>
      <c r="N500" s="34">
        <f>MIN(24,MAX(5,NORMINV(RAND(),$C$9,$D$9)))</f>
        <v/>
      </c>
      <c r="O500" s="41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7">
        <f>MAX(-0.05,NORMINV(RAND(),$C$6,$D$6))</f>
        <v/>
      </c>
      <c r="L501" s="27">
        <f>MAX(0.02,NORMINV(RAND(),$C$7,$D$7))</f>
        <v/>
      </c>
      <c r="M501" s="27">
        <f>MIN(0.16,MAX(0.05,NORMINV(RAND(),$C$8,$D$8)))</f>
        <v/>
      </c>
      <c r="N501" s="34">
        <f>MIN(24,MAX(5,NORMINV(RAND(),$C$9,$D$9)))</f>
        <v/>
      </c>
      <c r="O501" s="41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7">
        <f>MAX(-0.05,NORMINV(RAND(),$C$6,$D$6))</f>
        <v/>
      </c>
      <c r="L502" s="27">
        <f>MAX(0.02,NORMINV(RAND(),$C$7,$D$7))</f>
        <v/>
      </c>
      <c r="M502" s="27">
        <f>MIN(0.16,MAX(0.05,NORMINV(RAND(),$C$8,$D$8)))</f>
        <v/>
      </c>
      <c r="N502" s="34">
        <f>MIN(24,MAX(5,NORMINV(RAND(),$C$9,$D$9)))</f>
        <v/>
      </c>
      <c r="O502" s="41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7">
        <f>MAX(-0.05,NORMINV(RAND(),$C$6,$D$6))</f>
        <v/>
      </c>
      <c r="L503" s="27">
        <f>MAX(0.02,NORMINV(RAND(),$C$7,$D$7))</f>
        <v/>
      </c>
      <c r="M503" s="27">
        <f>MIN(0.16,MAX(0.05,NORMINV(RAND(),$C$8,$D$8)))</f>
        <v/>
      </c>
      <c r="N503" s="34">
        <f>MIN(24,MAX(5,NORMINV(RAND(),$C$9,$D$9)))</f>
        <v/>
      </c>
      <c r="O503" s="41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7">
        <f>MAX(-0.05,NORMINV(RAND(),$C$6,$D$6))</f>
        <v/>
      </c>
      <c r="L504" s="27">
        <f>MAX(0.02,NORMINV(RAND(),$C$7,$D$7))</f>
        <v/>
      </c>
      <c r="M504" s="27">
        <f>MIN(0.16,MAX(0.05,NORMINV(RAND(),$C$8,$D$8)))</f>
        <v/>
      </c>
      <c r="N504" s="34">
        <f>MIN(24,MAX(5,NORMINV(RAND(),$C$9,$D$9)))</f>
        <v/>
      </c>
      <c r="O504" s="41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7">
        <f>MAX(-0.05,NORMINV(RAND(),$C$6,$D$6))</f>
        <v/>
      </c>
      <c r="L505" s="27">
        <f>MAX(0.02,NORMINV(RAND(),$C$7,$D$7))</f>
        <v/>
      </c>
      <c r="M505" s="27">
        <f>MIN(0.16,MAX(0.05,NORMINV(RAND(),$C$8,$D$8)))</f>
        <v/>
      </c>
      <c r="N505" s="34">
        <f>MIN(24,MAX(5,NORMINV(RAND(),$C$9,$D$9)))</f>
        <v/>
      </c>
      <c r="O505" s="41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7">
        <f>MAX(-0.05,NORMINV(RAND(),$C$6,$D$6))</f>
        <v/>
      </c>
      <c r="L506" s="27">
        <f>MAX(0.02,NORMINV(RAND(),$C$7,$D$7))</f>
        <v/>
      </c>
      <c r="M506" s="27">
        <f>MIN(0.16,MAX(0.05,NORMINV(RAND(),$C$8,$D$8)))</f>
        <v/>
      </c>
      <c r="N506" s="34">
        <f>MIN(24,MAX(5,NORMINV(RAND(),$C$9,$D$9)))</f>
        <v/>
      </c>
      <c r="O506" s="41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7">
        <f>MAX(-0.05,NORMINV(RAND(),$C$6,$D$6))</f>
        <v/>
      </c>
      <c r="L507" s="27">
        <f>MAX(0.02,NORMINV(RAND(),$C$7,$D$7))</f>
        <v/>
      </c>
      <c r="M507" s="27">
        <f>MIN(0.16,MAX(0.05,NORMINV(RAND(),$C$8,$D$8)))</f>
        <v/>
      </c>
      <c r="N507" s="34">
        <f>MIN(24,MAX(5,NORMINV(RAND(),$C$9,$D$9)))</f>
        <v/>
      </c>
      <c r="O507" s="41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7">
        <f>MAX(-0.05,NORMINV(RAND(),$C$6,$D$6))</f>
        <v/>
      </c>
      <c r="L508" s="27">
        <f>MAX(0.02,NORMINV(RAND(),$C$7,$D$7))</f>
        <v/>
      </c>
      <c r="M508" s="27">
        <f>MIN(0.16,MAX(0.05,NORMINV(RAND(),$C$8,$D$8)))</f>
        <v/>
      </c>
      <c r="N508" s="34">
        <f>MIN(24,MAX(5,NORMINV(RAND(),$C$9,$D$9)))</f>
        <v/>
      </c>
      <c r="O508" s="41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7">
        <f>MAX(-0.05,NORMINV(RAND(),$C$6,$D$6))</f>
        <v/>
      </c>
      <c r="L509" s="27">
        <f>MAX(0.02,NORMINV(RAND(),$C$7,$D$7))</f>
        <v/>
      </c>
      <c r="M509" s="27">
        <f>MIN(0.16,MAX(0.05,NORMINV(RAND(),$C$8,$D$8)))</f>
        <v/>
      </c>
      <c r="N509" s="34">
        <f>MIN(24,MAX(5,NORMINV(RAND(),$C$9,$D$9)))</f>
        <v/>
      </c>
      <c r="O509" s="41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7">
        <f>MAX(-0.05,NORMINV(RAND(),$C$6,$D$6))</f>
        <v/>
      </c>
      <c r="L510" s="27">
        <f>MAX(0.02,NORMINV(RAND(),$C$7,$D$7))</f>
        <v/>
      </c>
      <c r="M510" s="27">
        <f>MIN(0.16,MAX(0.05,NORMINV(RAND(),$C$8,$D$8)))</f>
        <v/>
      </c>
      <c r="N510" s="34">
        <f>MIN(24,MAX(5,NORMINV(RAND(),$C$9,$D$9)))</f>
        <v/>
      </c>
      <c r="O510" s="41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7">
        <f>MAX(-0.05,NORMINV(RAND(),$C$6,$D$6))</f>
        <v/>
      </c>
      <c r="L511" s="27">
        <f>MAX(0.02,NORMINV(RAND(),$C$7,$D$7))</f>
        <v/>
      </c>
      <c r="M511" s="27">
        <f>MIN(0.16,MAX(0.05,NORMINV(RAND(),$C$8,$D$8)))</f>
        <v/>
      </c>
      <c r="N511" s="34">
        <f>MIN(24,MAX(5,NORMINV(RAND(),$C$9,$D$9)))</f>
        <v/>
      </c>
      <c r="O511" s="41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7">
        <f>MAX(-0.05,NORMINV(RAND(),$C$6,$D$6))</f>
        <v/>
      </c>
      <c r="L512" s="27">
        <f>MAX(0.02,NORMINV(RAND(),$C$7,$D$7))</f>
        <v/>
      </c>
      <c r="M512" s="27">
        <f>MIN(0.16,MAX(0.05,NORMINV(RAND(),$C$8,$D$8)))</f>
        <v/>
      </c>
      <c r="N512" s="34">
        <f>MIN(24,MAX(5,NORMINV(RAND(),$C$9,$D$9)))</f>
        <v/>
      </c>
      <c r="O512" s="41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7">
        <f>MAX(-0.05,NORMINV(RAND(),$C$6,$D$6))</f>
        <v/>
      </c>
      <c r="L513" s="27">
        <f>MAX(0.02,NORMINV(RAND(),$C$7,$D$7))</f>
        <v/>
      </c>
      <c r="M513" s="27">
        <f>MIN(0.16,MAX(0.05,NORMINV(RAND(),$C$8,$D$8)))</f>
        <v/>
      </c>
      <c r="N513" s="34">
        <f>MIN(24,MAX(5,NORMINV(RAND(),$C$9,$D$9)))</f>
        <v/>
      </c>
      <c r="O513" s="41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7">
        <f>MAX(-0.05,NORMINV(RAND(),$C$6,$D$6))</f>
        <v/>
      </c>
      <c r="L514" s="27">
        <f>MAX(0.02,NORMINV(RAND(),$C$7,$D$7))</f>
        <v/>
      </c>
      <c r="M514" s="27">
        <f>MIN(0.16,MAX(0.05,NORMINV(RAND(),$C$8,$D$8)))</f>
        <v/>
      </c>
      <c r="N514" s="34">
        <f>MIN(24,MAX(5,NORMINV(RAND(),$C$9,$D$9)))</f>
        <v/>
      </c>
      <c r="O514" s="41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7">
        <f>MAX(-0.05,NORMINV(RAND(),$C$6,$D$6))</f>
        <v/>
      </c>
      <c r="L515" s="27">
        <f>MAX(0.02,NORMINV(RAND(),$C$7,$D$7))</f>
        <v/>
      </c>
      <c r="M515" s="27">
        <f>MIN(0.16,MAX(0.05,NORMINV(RAND(),$C$8,$D$8)))</f>
        <v/>
      </c>
      <c r="N515" s="34">
        <f>MIN(24,MAX(5,NORMINV(RAND(),$C$9,$D$9)))</f>
        <v/>
      </c>
      <c r="O515" s="41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7">
        <f>MAX(-0.05,NORMINV(RAND(),$C$6,$D$6))</f>
        <v/>
      </c>
      <c r="L516" s="27">
        <f>MAX(0.02,NORMINV(RAND(),$C$7,$D$7))</f>
        <v/>
      </c>
      <c r="M516" s="27">
        <f>MIN(0.16,MAX(0.05,NORMINV(RAND(),$C$8,$D$8)))</f>
        <v/>
      </c>
      <c r="N516" s="34">
        <f>MIN(24,MAX(5,NORMINV(RAND(),$C$9,$D$9)))</f>
        <v/>
      </c>
      <c r="O516" s="41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7">
        <f>MAX(-0.05,NORMINV(RAND(),$C$6,$D$6))</f>
        <v/>
      </c>
      <c r="L517" s="27">
        <f>MAX(0.02,NORMINV(RAND(),$C$7,$D$7))</f>
        <v/>
      </c>
      <c r="M517" s="27">
        <f>MIN(0.16,MAX(0.05,NORMINV(RAND(),$C$8,$D$8)))</f>
        <v/>
      </c>
      <c r="N517" s="34">
        <f>MIN(24,MAX(5,NORMINV(RAND(),$C$9,$D$9)))</f>
        <v/>
      </c>
      <c r="O517" s="41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7">
        <f>MAX(-0.05,NORMINV(RAND(),$C$6,$D$6))</f>
        <v/>
      </c>
      <c r="L518" s="27">
        <f>MAX(0.02,NORMINV(RAND(),$C$7,$D$7))</f>
        <v/>
      </c>
      <c r="M518" s="27">
        <f>MIN(0.16,MAX(0.05,NORMINV(RAND(),$C$8,$D$8)))</f>
        <v/>
      </c>
      <c r="N518" s="34">
        <f>MIN(24,MAX(5,NORMINV(RAND(),$C$9,$D$9)))</f>
        <v/>
      </c>
      <c r="O518" s="41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7">
        <f>MAX(-0.05,NORMINV(RAND(),$C$6,$D$6))</f>
        <v/>
      </c>
      <c r="L519" s="27">
        <f>MAX(0.02,NORMINV(RAND(),$C$7,$D$7))</f>
        <v/>
      </c>
      <c r="M519" s="27">
        <f>MIN(0.16,MAX(0.05,NORMINV(RAND(),$C$8,$D$8)))</f>
        <v/>
      </c>
      <c r="N519" s="34">
        <f>MIN(24,MAX(5,NORMINV(RAND(),$C$9,$D$9)))</f>
        <v/>
      </c>
      <c r="O519" s="41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7">
        <f>MAX(-0.05,NORMINV(RAND(),$C$6,$D$6))</f>
        <v/>
      </c>
      <c r="L520" s="27">
        <f>MAX(0.02,NORMINV(RAND(),$C$7,$D$7))</f>
        <v/>
      </c>
      <c r="M520" s="27">
        <f>MIN(0.16,MAX(0.05,NORMINV(RAND(),$C$8,$D$8)))</f>
        <v/>
      </c>
      <c r="N520" s="34">
        <f>MIN(24,MAX(5,NORMINV(RAND(),$C$9,$D$9)))</f>
        <v/>
      </c>
      <c r="O520" s="41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7">
        <f>MAX(-0.05,NORMINV(RAND(),$C$6,$D$6))</f>
        <v/>
      </c>
      <c r="L521" s="27">
        <f>MAX(0.02,NORMINV(RAND(),$C$7,$D$7))</f>
        <v/>
      </c>
      <c r="M521" s="27">
        <f>MIN(0.16,MAX(0.05,NORMINV(RAND(),$C$8,$D$8)))</f>
        <v/>
      </c>
      <c r="N521" s="34">
        <f>MIN(24,MAX(5,NORMINV(RAND(),$C$9,$D$9)))</f>
        <v/>
      </c>
      <c r="O521" s="41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7">
        <f>MAX(-0.05,NORMINV(RAND(),$C$6,$D$6))</f>
        <v/>
      </c>
      <c r="L522" s="27">
        <f>MAX(0.02,NORMINV(RAND(),$C$7,$D$7))</f>
        <v/>
      </c>
      <c r="M522" s="27">
        <f>MIN(0.16,MAX(0.05,NORMINV(RAND(),$C$8,$D$8)))</f>
        <v/>
      </c>
      <c r="N522" s="34">
        <f>MIN(24,MAX(5,NORMINV(RAND(),$C$9,$D$9)))</f>
        <v/>
      </c>
      <c r="O522" s="41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7">
        <f>MAX(-0.05,NORMINV(RAND(),$C$6,$D$6))</f>
        <v/>
      </c>
      <c r="L523" s="27">
        <f>MAX(0.02,NORMINV(RAND(),$C$7,$D$7))</f>
        <v/>
      </c>
      <c r="M523" s="27">
        <f>MIN(0.16,MAX(0.05,NORMINV(RAND(),$C$8,$D$8)))</f>
        <v/>
      </c>
      <c r="N523" s="34">
        <f>MIN(24,MAX(5,NORMINV(RAND(),$C$9,$D$9)))</f>
        <v/>
      </c>
      <c r="O523" s="41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7">
        <f>MAX(-0.05,NORMINV(RAND(),$C$6,$D$6))</f>
        <v/>
      </c>
      <c r="L524" s="27">
        <f>MAX(0.02,NORMINV(RAND(),$C$7,$D$7))</f>
        <v/>
      </c>
      <c r="M524" s="27">
        <f>MIN(0.16,MAX(0.05,NORMINV(RAND(),$C$8,$D$8)))</f>
        <v/>
      </c>
      <c r="N524" s="34">
        <f>MIN(24,MAX(5,NORMINV(RAND(),$C$9,$D$9)))</f>
        <v/>
      </c>
      <c r="O524" s="41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7">
        <f>MAX(-0.05,NORMINV(RAND(),$C$6,$D$6))</f>
        <v/>
      </c>
      <c r="L525" s="27">
        <f>MAX(0.02,NORMINV(RAND(),$C$7,$D$7))</f>
        <v/>
      </c>
      <c r="M525" s="27">
        <f>MIN(0.16,MAX(0.05,NORMINV(RAND(),$C$8,$D$8)))</f>
        <v/>
      </c>
      <c r="N525" s="34">
        <f>MIN(24,MAX(5,NORMINV(RAND(),$C$9,$D$9)))</f>
        <v/>
      </c>
      <c r="O525" s="41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7">
        <f>MAX(-0.05,NORMINV(RAND(),$C$6,$D$6))</f>
        <v/>
      </c>
      <c r="L526" s="27">
        <f>MAX(0.02,NORMINV(RAND(),$C$7,$D$7))</f>
        <v/>
      </c>
      <c r="M526" s="27">
        <f>MIN(0.16,MAX(0.05,NORMINV(RAND(),$C$8,$D$8)))</f>
        <v/>
      </c>
      <c r="N526" s="34">
        <f>MIN(24,MAX(5,NORMINV(RAND(),$C$9,$D$9)))</f>
        <v/>
      </c>
      <c r="O526" s="41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7">
        <f>MAX(-0.05,NORMINV(RAND(),$C$6,$D$6))</f>
        <v/>
      </c>
      <c r="L527" s="27">
        <f>MAX(0.02,NORMINV(RAND(),$C$7,$D$7))</f>
        <v/>
      </c>
      <c r="M527" s="27">
        <f>MIN(0.16,MAX(0.05,NORMINV(RAND(),$C$8,$D$8)))</f>
        <v/>
      </c>
      <c r="N527" s="34">
        <f>MIN(24,MAX(5,NORMINV(RAND(),$C$9,$D$9)))</f>
        <v/>
      </c>
      <c r="O527" s="41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7">
        <f>MAX(-0.05,NORMINV(RAND(),$C$6,$D$6))</f>
        <v/>
      </c>
      <c r="L528" s="27">
        <f>MAX(0.02,NORMINV(RAND(),$C$7,$D$7))</f>
        <v/>
      </c>
      <c r="M528" s="27">
        <f>MIN(0.16,MAX(0.05,NORMINV(RAND(),$C$8,$D$8)))</f>
        <v/>
      </c>
      <c r="N528" s="34">
        <f>MIN(24,MAX(5,NORMINV(RAND(),$C$9,$D$9)))</f>
        <v/>
      </c>
      <c r="O528" s="41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7">
        <f>MAX(-0.05,NORMINV(RAND(),$C$6,$D$6))</f>
        <v/>
      </c>
      <c r="L529" s="27">
        <f>MAX(0.02,NORMINV(RAND(),$C$7,$D$7))</f>
        <v/>
      </c>
      <c r="M529" s="27">
        <f>MIN(0.16,MAX(0.05,NORMINV(RAND(),$C$8,$D$8)))</f>
        <v/>
      </c>
      <c r="N529" s="34">
        <f>MIN(24,MAX(5,NORMINV(RAND(),$C$9,$D$9)))</f>
        <v/>
      </c>
      <c r="O529" s="41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7">
        <f>MAX(-0.05,NORMINV(RAND(),$C$6,$D$6))</f>
        <v/>
      </c>
      <c r="L530" s="27">
        <f>MAX(0.02,NORMINV(RAND(),$C$7,$D$7))</f>
        <v/>
      </c>
      <c r="M530" s="27">
        <f>MIN(0.16,MAX(0.05,NORMINV(RAND(),$C$8,$D$8)))</f>
        <v/>
      </c>
      <c r="N530" s="34">
        <f>MIN(24,MAX(5,NORMINV(RAND(),$C$9,$D$9)))</f>
        <v/>
      </c>
      <c r="O530" s="41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7">
        <f>MAX(-0.05,NORMINV(RAND(),$C$6,$D$6))</f>
        <v/>
      </c>
      <c r="L531" s="27">
        <f>MAX(0.02,NORMINV(RAND(),$C$7,$D$7))</f>
        <v/>
      </c>
      <c r="M531" s="27">
        <f>MIN(0.16,MAX(0.05,NORMINV(RAND(),$C$8,$D$8)))</f>
        <v/>
      </c>
      <c r="N531" s="34">
        <f>MIN(24,MAX(5,NORMINV(RAND(),$C$9,$D$9)))</f>
        <v/>
      </c>
      <c r="O531" s="41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7">
        <f>MAX(-0.05,NORMINV(RAND(),$C$6,$D$6))</f>
        <v/>
      </c>
      <c r="L532" s="27">
        <f>MAX(0.02,NORMINV(RAND(),$C$7,$D$7))</f>
        <v/>
      </c>
      <c r="M532" s="27">
        <f>MIN(0.16,MAX(0.05,NORMINV(RAND(),$C$8,$D$8)))</f>
        <v/>
      </c>
      <c r="N532" s="34">
        <f>MIN(24,MAX(5,NORMINV(RAND(),$C$9,$D$9)))</f>
        <v/>
      </c>
      <c r="O532" s="41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7">
        <f>MAX(-0.05,NORMINV(RAND(),$C$6,$D$6))</f>
        <v/>
      </c>
      <c r="L533" s="27">
        <f>MAX(0.02,NORMINV(RAND(),$C$7,$D$7))</f>
        <v/>
      </c>
      <c r="M533" s="27">
        <f>MIN(0.16,MAX(0.05,NORMINV(RAND(),$C$8,$D$8)))</f>
        <v/>
      </c>
      <c r="N533" s="34">
        <f>MIN(24,MAX(5,NORMINV(RAND(),$C$9,$D$9)))</f>
        <v/>
      </c>
      <c r="O533" s="41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7">
        <f>MAX(-0.05,NORMINV(RAND(),$C$6,$D$6))</f>
        <v/>
      </c>
      <c r="L534" s="27">
        <f>MAX(0.02,NORMINV(RAND(),$C$7,$D$7))</f>
        <v/>
      </c>
      <c r="M534" s="27">
        <f>MIN(0.16,MAX(0.05,NORMINV(RAND(),$C$8,$D$8)))</f>
        <v/>
      </c>
      <c r="N534" s="34">
        <f>MIN(24,MAX(5,NORMINV(RAND(),$C$9,$D$9)))</f>
        <v/>
      </c>
      <c r="O534" s="41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7">
        <f>MAX(-0.05,NORMINV(RAND(),$C$6,$D$6))</f>
        <v/>
      </c>
      <c r="L535" s="27">
        <f>MAX(0.02,NORMINV(RAND(),$C$7,$D$7))</f>
        <v/>
      </c>
      <c r="M535" s="27">
        <f>MIN(0.16,MAX(0.05,NORMINV(RAND(),$C$8,$D$8)))</f>
        <v/>
      </c>
      <c r="N535" s="34">
        <f>MIN(24,MAX(5,NORMINV(RAND(),$C$9,$D$9)))</f>
        <v/>
      </c>
      <c r="O535" s="41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7">
        <f>MAX(-0.05,NORMINV(RAND(),$C$6,$D$6))</f>
        <v/>
      </c>
      <c r="L536" s="27">
        <f>MAX(0.02,NORMINV(RAND(),$C$7,$D$7))</f>
        <v/>
      </c>
      <c r="M536" s="27">
        <f>MIN(0.16,MAX(0.05,NORMINV(RAND(),$C$8,$D$8)))</f>
        <v/>
      </c>
      <c r="N536" s="34">
        <f>MIN(24,MAX(5,NORMINV(RAND(),$C$9,$D$9)))</f>
        <v/>
      </c>
      <c r="O536" s="41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7">
        <f>MAX(-0.05,NORMINV(RAND(),$C$6,$D$6))</f>
        <v/>
      </c>
      <c r="L537" s="27">
        <f>MAX(0.02,NORMINV(RAND(),$C$7,$D$7))</f>
        <v/>
      </c>
      <c r="M537" s="27">
        <f>MIN(0.16,MAX(0.05,NORMINV(RAND(),$C$8,$D$8)))</f>
        <v/>
      </c>
      <c r="N537" s="34">
        <f>MIN(24,MAX(5,NORMINV(RAND(),$C$9,$D$9)))</f>
        <v/>
      </c>
      <c r="O537" s="41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7">
        <f>MAX(-0.05,NORMINV(RAND(),$C$6,$D$6))</f>
        <v/>
      </c>
      <c r="L538" s="27">
        <f>MAX(0.02,NORMINV(RAND(),$C$7,$D$7))</f>
        <v/>
      </c>
      <c r="M538" s="27">
        <f>MIN(0.16,MAX(0.05,NORMINV(RAND(),$C$8,$D$8)))</f>
        <v/>
      </c>
      <c r="N538" s="34">
        <f>MIN(24,MAX(5,NORMINV(RAND(),$C$9,$D$9)))</f>
        <v/>
      </c>
      <c r="O538" s="41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7">
        <f>MAX(-0.05,NORMINV(RAND(),$C$6,$D$6))</f>
        <v/>
      </c>
      <c r="L539" s="27">
        <f>MAX(0.02,NORMINV(RAND(),$C$7,$D$7))</f>
        <v/>
      </c>
      <c r="M539" s="27">
        <f>MIN(0.16,MAX(0.05,NORMINV(RAND(),$C$8,$D$8)))</f>
        <v/>
      </c>
      <c r="N539" s="34">
        <f>MIN(24,MAX(5,NORMINV(RAND(),$C$9,$D$9)))</f>
        <v/>
      </c>
      <c r="O539" s="41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7">
        <f>MAX(-0.05,NORMINV(RAND(),$C$6,$D$6))</f>
        <v/>
      </c>
      <c r="L540" s="27">
        <f>MAX(0.02,NORMINV(RAND(),$C$7,$D$7))</f>
        <v/>
      </c>
      <c r="M540" s="27">
        <f>MIN(0.16,MAX(0.05,NORMINV(RAND(),$C$8,$D$8)))</f>
        <v/>
      </c>
      <c r="N540" s="34">
        <f>MIN(24,MAX(5,NORMINV(RAND(),$C$9,$D$9)))</f>
        <v/>
      </c>
      <c r="O540" s="41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7">
        <f>MAX(-0.05,NORMINV(RAND(),$C$6,$D$6))</f>
        <v/>
      </c>
      <c r="L541" s="27">
        <f>MAX(0.02,NORMINV(RAND(),$C$7,$D$7))</f>
        <v/>
      </c>
      <c r="M541" s="27">
        <f>MIN(0.16,MAX(0.05,NORMINV(RAND(),$C$8,$D$8)))</f>
        <v/>
      </c>
      <c r="N541" s="34">
        <f>MIN(24,MAX(5,NORMINV(RAND(),$C$9,$D$9)))</f>
        <v/>
      </c>
      <c r="O541" s="41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7">
        <f>MAX(-0.05,NORMINV(RAND(),$C$6,$D$6))</f>
        <v/>
      </c>
      <c r="L542" s="27">
        <f>MAX(0.02,NORMINV(RAND(),$C$7,$D$7))</f>
        <v/>
      </c>
      <c r="M542" s="27">
        <f>MIN(0.16,MAX(0.05,NORMINV(RAND(),$C$8,$D$8)))</f>
        <v/>
      </c>
      <c r="N542" s="34">
        <f>MIN(24,MAX(5,NORMINV(RAND(),$C$9,$D$9)))</f>
        <v/>
      </c>
      <c r="O542" s="41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7">
        <f>MAX(-0.05,NORMINV(RAND(),$C$6,$D$6))</f>
        <v/>
      </c>
      <c r="L543" s="27">
        <f>MAX(0.02,NORMINV(RAND(),$C$7,$D$7))</f>
        <v/>
      </c>
      <c r="M543" s="27">
        <f>MIN(0.16,MAX(0.05,NORMINV(RAND(),$C$8,$D$8)))</f>
        <v/>
      </c>
      <c r="N543" s="34">
        <f>MIN(24,MAX(5,NORMINV(RAND(),$C$9,$D$9)))</f>
        <v/>
      </c>
      <c r="O543" s="41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7">
        <f>MAX(-0.05,NORMINV(RAND(),$C$6,$D$6))</f>
        <v/>
      </c>
      <c r="L544" s="27">
        <f>MAX(0.02,NORMINV(RAND(),$C$7,$D$7))</f>
        <v/>
      </c>
      <c r="M544" s="27">
        <f>MIN(0.16,MAX(0.05,NORMINV(RAND(),$C$8,$D$8)))</f>
        <v/>
      </c>
      <c r="N544" s="34">
        <f>MIN(24,MAX(5,NORMINV(RAND(),$C$9,$D$9)))</f>
        <v/>
      </c>
      <c r="O544" s="41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7">
        <f>MAX(-0.05,NORMINV(RAND(),$C$6,$D$6))</f>
        <v/>
      </c>
      <c r="L545" s="27">
        <f>MAX(0.02,NORMINV(RAND(),$C$7,$D$7))</f>
        <v/>
      </c>
      <c r="M545" s="27">
        <f>MIN(0.16,MAX(0.05,NORMINV(RAND(),$C$8,$D$8)))</f>
        <v/>
      </c>
      <c r="N545" s="34">
        <f>MIN(24,MAX(5,NORMINV(RAND(),$C$9,$D$9)))</f>
        <v/>
      </c>
      <c r="O545" s="41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7">
        <f>MAX(-0.05,NORMINV(RAND(),$C$6,$D$6))</f>
        <v/>
      </c>
      <c r="L546" s="27">
        <f>MAX(0.02,NORMINV(RAND(),$C$7,$D$7))</f>
        <v/>
      </c>
      <c r="M546" s="27">
        <f>MIN(0.16,MAX(0.05,NORMINV(RAND(),$C$8,$D$8)))</f>
        <v/>
      </c>
      <c r="N546" s="34">
        <f>MIN(24,MAX(5,NORMINV(RAND(),$C$9,$D$9)))</f>
        <v/>
      </c>
      <c r="O546" s="41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7">
        <f>MAX(-0.05,NORMINV(RAND(),$C$6,$D$6))</f>
        <v/>
      </c>
      <c r="L547" s="27">
        <f>MAX(0.02,NORMINV(RAND(),$C$7,$D$7))</f>
        <v/>
      </c>
      <c r="M547" s="27">
        <f>MIN(0.16,MAX(0.05,NORMINV(RAND(),$C$8,$D$8)))</f>
        <v/>
      </c>
      <c r="N547" s="34">
        <f>MIN(24,MAX(5,NORMINV(RAND(),$C$9,$D$9)))</f>
        <v/>
      </c>
      <c r="O547" s="41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7">
        <f>MAX(-0.05,NORMINV(RAND(),$C$6,$D$6))</f>
        <v/>
      </c>
      <c r="L548" s="27">
        <f>MAX(0.02,NORMINV(RAND(),$C$7,$D$7))</f>
        <v/>
      </c>
      <c r="M548" s="27">
        <f>MIN(0.16,MAX(0.05,NORMINV(RAND(),$C$8,$D$8)))</f>
        <v/>
      </c>
      <c r="N548" s="34">
        <f>MIN(24,MAX(5,NORMINV(RAND(),$C$9,$D$9)))</f>
        <v/>
      </c>
      <c r="O548" s="41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7">
        <f>MAX(-0.05,NORMINV(RAND(),$C$6,$D$6))</f>
        <v/>
      </c>
      <c r="L549" s="27">
        <f>MAX(0.02,NORMINV(RAND(),$C$7,$D$7))</f>
        <v/>
      </c>
      <c r="M549" s="27">
        <f>MIN(0.16,MAX(0.05,NORMINV(RAND(),$C$8,$D$8)))</f>
        <v/>
      </c>
      <c r="N549" s="34">
        <f>MIN(24,MAX(5,NORMINV(RAND(),$C$9,$D$9)))</f>
        <v/>
      </c>
      <c r="O549" s="41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7">
        <f>MAX(-0.05,NORMINV(RAND(),$C$6,$D$6))</f>
        <v/>
      </c>
      <c r="L550" s="27">
        <f>MAX(0.02,NORMINV(RAND(),$C$7,$D$7))</f>
        <v/>
      </c>
      <c r="M550" s="27">
        <f>MIN(0.16,MAX(0.05,NORMINV(RAND(),$C$8,$D$8)))</f>
        <v/>
      </c>
      <c r="N550" s="34">
        <f>MIN(24,MAX(5,NORMINV(RAND(),$C$9,$D$9)))</f>
        <v/>
      </c>
      <c r="O550" s="41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7">
        <f>MAX(-0.05,NORMINV(RAND(),$C$6,$D$6))</f>
        <v/>
      </c>
      <c r="L551" s="27">
        <f>MAX(0.02,NORMINV(RAND(),$C$7,$D$7))</f>
        <v/>
      </c>
      <c r="M551" s="27">
        <f>MIN(0.16,MAX(0.05,NORMINV(RAND(),$C$8,$D$8)))</f>
        <v/>
      </c>
      <c r="N551" s="34">
        <f>MIN(24,MAX(5,NORMINV(RAND(),$C$9,$D$9)))</f>
        <v/>
      </c>
      <c r="O551" s="41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7">
        <f>MAX(-0.05,NORMINV(RAND(),$C$6,$D$6))</f>
        <v/>
      </c>
      <c r="L552" s="27">
        <f>MAX(0.02,NORMINV(RAND(),$C$7,$D$7))</f>
        <v/>
      </c>
      <c r="M552" s="27">
        <f>MIN(0.16,MAX(0.05,NORMINV(RAND(),$C$8,$D$8)))</f>
        <v/>
      </c>
      <c r="N552" s="34">
        <f>MIN(24,MAX(5,NORMINV(RAND(),$C$9,$D$9)))</f>
        <v/>
      </c>
      <c r="O552" s="41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7">
        <f>MAX(-0.05,NORMINV(RAND(),$C$6,$D$6))</f>
        <v/>
      </c>
      <c r="L553" s="27">
        <f>MAX(0.02,NORMINV(RAND(),$C$7,$D$7))</f>
        <v/>
      </c>
      <c r="M553" s="27">
        <f>MIN(0.16,MAX(0.05,NORMINV(RAND(),$C$8,$D$8)))</f>
        <v/>
      </c>
      <c r="N553" s="34">
        <f>MIN(24,MAX(5,NORMINV(RAND(),$C$9,$D$9)))</f>
        <v/>
      </c>
      <c r="O553" s="41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7">
        <f>MAX(-0.05,NORMINV(RAND(),$C$6,$D$6))</f>
        <v/>
      </c>
      <c r="L554" s="27">
        <f>MAX(0.02,NORMINV(RAND(),$C$7,$D$7))</f>
        <v/>
      </c>
      <c r="M554" s="27">
        <f>MIN(0.16,MAX(0.05,NORMINV(RAND(),$C$8,$D$8)))</f>
        <v/>
      </c>
      <c r="N554" s="34">
        <f>MIN(24,MAX(5,NORMINV(RAND(),$C$9,$D$9)))</f>
        <v/>
      </c>
      <c r="O554" s="41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7">
        <f>MAX(-0.05,NORMINV(RAND(),$C$6,$D$6))</f>
        <v/>
      </c>
      <c r="L555" s="27">
        <f>MAX(0.02,NORMINV(RAND(),$C$7,$D$7))</f>
        <v/>
      </c>
      <c r="M555" s="27">
        <f>MIN(0.16,MAX(0.05,NORMINV(RAND(),$C$8,$D$8)))</f>
        <v/>
      </c>
      <c r="N555" s="34">
        <f>MIN(24,MAX(5,NORMINV(RAND(),$C$9,$D$9)))</f>
        <v/>
      </c>
      <c r="O555" s="41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7">
        <f>MAX(-0.05,NORMINV(RAND(),$C$6,$D$6))</f>
        <v/>
      </c>
      <c r="L556" s="27">
        <f>MAX(0.02,NORMINV(RAND(),$C$7,$D$7))</f>
        <v/>
      </c>
      <c r="M556" s="27">
        <f>MIN(0.16,MAX(0.05,NORMINV(RAND(),$C$8,$D$8)))</f>
        <v/>
      </c>
      <c r="N556" s="34">
        <f>MIN(24,MAX(5,NORMINV(RAND(),$C$9,$D$9)))</f>
        <v/>
      </c>
      <c r="O556" s="41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7">
        <f>MAX(-0.05,NORMINV(RAND(),$C$6,$D$6))</f>
        <v/>
      </c>
      <c r="L557" s="27">
        <f>MAX(0.02,NORMINV(RAND(),$C$7,$D$7))</f>
        <v/>
      </c>
      <c r="M557" s="27">
        <f>MIN(0.16,MAX(0.05,NORMINV(RAND(),$C$8,$D$8)))</f>
        <v/>
      </c>
      <c r="N557" s="34">
        <f>MIN(24,MAX(5,NORMINV(RAND(),$C$9,$D$9)))</f>
        <v/>
      </c>
      <c r="O557" s="41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7">
        <f>MAX(-0.05,NORMINV(RAND(),$C$6,$D$6))</f>
        <v/>
      </c>
      <c r="L558" s="27">
        <f>MAX(0.02,NORMINV(RAND(),$C$7,$D$7))</f>
        <v/>
      </c>
      <c r="M558" s="27">
        <f>MIN(0.16,MAX(0.05,NORMINV(RAND(),$C$8,$D$8)))</f>
        <v/>
      </c>
      <c r="N558" s="34">
        <f>MIN(24,MAX(5,NORMINV(RAND(),$C$9,$D$9)))</f>
        <v/>
      </c>
      <c r="O558" s="41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7">
        <f>MAX(-0.05,NORMINV(RAND(),$C$6,$D$6))</f>
        <v/>
      </c>
      <c r="L559" s="27">
        <f>MAX(0.02,NORMINV(RAND(),$C$7,$D$7))</f>
        <v/>
      </c>
      <c r="M559" s="27">
        <f>MIN(0.16,MAX(0.05,NORMINV(RAND(),$C$8,$D$8)))</f>
        <v/>
      </c>
      <c r="N559" s="34">
        <f>MIN(24,MAX(5,NORMINV(RAND(),$C$9,$D$9)))</f>
        <v/>
      </c>
      <c r="O559" s="41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7">
        <f>MAX(-0.05,NORMINV(RAND(),$C$6,$D$6))</f>
        <v/>
      </c>
      <c r="L560" s="27">
        <f>MAX(0.02,NORMINV(RAND(),$C$7,$D$7))</f>
        <v/>
      </c>
      <c r="M560" s="27">
        <f>MIN(0.16,MAX(0.05,NORMINV(RAND(),$C$8,$D$8)))</f>
        <v/>
      </c>
      <c r="N560" s="34">
        <f>MIN(24,MAX(5,NORMINV(RAND(),$C$9,$D$9)))</f>
        <v/>
      </c>
      <c r="O560" s="41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7">
        <f>MAX(-0.05,NORMINV(RAND(),$C$6,$D$6))</f>
        <v/>
      </c>
      <c r="L561" s="27">
        <f>MAX(0.02,NORMINV(RAND(),$C$7,$D$7))</f>
        <v/>
      </c>
      <c r="M561" s="27">
        <f>MIN(0.16,MAX(0.05,NORMINV(RAND(),$C$8,$D$8)))</f>
        <v/>
      </c>
      <c r="N561" s="34">
        <f>MIN(24,MAX(5,NORMINV(RAND(),$C$9,$D$9)))</f>
        <v/>
      </c>
      <c r="O561" s="41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7">
        <f>MAX(-0.05,NORMINV(RAND(),$C$6,$D$6))</f>
        <v/>
      </c>
      <c r="L562" s="27">
        <f>MAX(0.02,NORMINV(RAND(),$C$7,$D$7))</f>
        <v/>
      </c>
      <c r="M562" s="27">
        <f>MIN(0.16,MAX(0.05,NORMINV(RAND(),$C$8,$D$8)))</f>
        <v/>
      </c>
      <c r="N562" s="34">
        <f>MIN(24,MAX(5,NORMINV(RAND(),$C$9,$D$9)))</f>
        <v/>
      </c>
      <c r="O562" s="41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7">
        <f>MAX(-0.05,NORMINV(RAND(),$C$6,$D$6))</f>
        <v/>
      </c>
      <c r="L563" s="27">
        <f>MAX(0.02,NORMINV(RAND(),$C$7,$D$7))</f>
        <v/>
      </c>
      <c r="M563" s="27">
        <f>MIN(0.16,MAX(0.05,NORMINV(RAND(),$C$8,$D$8)))</f>
        <v/>
      </c>
      <c r="N563" s="34">
        <f>MIN(24,MAX(5,NORMINV(RAND(),$C$9,$D$9)))</f>
        <v/>
      </c>
      <c r="O563" s="41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7">
        <f>MAX(-0.05,NORMINV(RAND(),$C$6,$D$6))</f>
        <v/>
      </c>
      <c r="L564" s="27">
        <f>MAX(0.02,NORMINV(RAND(),$C$7,$D$7))</f>
        <v/>
      </c>
      <c r="M564" s="27">
        <f>MIN(0.16,MAX(0.05,NORMINV(RAND(),$C$8,$D$8)))</f>
        <v/>
      </c>
      <c r="N564" s="34">
        <f>MIN(24,MAX(5,NORMINV(RAND(),$C$9,$D$9)))</f>
        <v/>
      </c>
      <c r="O564" s="41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7">
        <f>MAX(-0.05,NORMINV(RAND(),$C$6,$D$6))</f>
        <v/>
      </c>
      <c r="L565" s="27">
        <f>MAX(0.02,NORMINV(RAND(),$C$7,$D$7))</f>
        <v/>
      </c>
      <c r="M565" s="27">
        <f>MIN(0.16,MAX(0.05,NORMINV(RAND(),$C$8,$D$8)))</f>
        <v/>
      </c>
      <c r="N565" s="34">
        <f>MIN(24,MAX(5,NORMINV(RAND(),$C$9,$D$9)))</f>
        <v/>
      </c>
      <c r="O565" s="41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7">
        <f>MAX(-0.05,NORMINV(RAND(),$C$6,$D$6))</f>
        <v/>
      </c>
      <c r="L566" s="27">
        <f>MAX(0.02,NORMINV(RAND(),$C$7,$D$7))</f>
        <v/>
      </c>
      <c r="M566" s="27">
        <f>MIN(0.16,MAX(0.05,NORMINV(RAND(),$C$8,$D$8)))</f>
        <v/>
      </c>
      <c r="N566" s="34">
        <f>MIN(24,MAX(5,NORMINV(RAND(),$C$9,$D$9)))</f>
        <v/>
      </c>
      <c r="O566" s="41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7">
        <f>MAX(-0.05,NORMINV(RAND(),$C$6,$D$6))</f>
        <v/>
      </c>
      <c r="L567" s="27">
        <f>MAX(0.02,NORMINV(RAND(),$C$7,$D$7))</f>
        <v/>
      </c>
      <c r="M567" s="27">
        <f>MIN(0.16,MAX(0.05,NORMINV(RAND(),$C$8,$D$8)))</f>
        <v/>
      </c>
      <c r="N567" s="34">
        <f>MIN(24,MAX(5,NORMINV(RAND(),$C$9,$D$9)))</f>
        <v/>
      </c>
      <c r="O567" s="41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7">
        <f>MAX(-0.05,NORMINV(RAND(),$C$6,$D$6))</f>
        <v/>
      </c>
      <c r="L568" s="27">
        <f>MAX(0.02,NORMINV(RAND(),$C$7,$D$7))</f>
        <v/>
      </c>
      <c r="M568" s="27">
        <f>MIN(0.16,MAX(0.05,NORMINV(RAND(),$C$8,$D$8)))</f>
        <v/>
      </c>
      <c r="N568" s="34">
        <f>MIN(24,MAX(5,NORMINV(RAND(),$C$9,$D$9)))</f>
        <v/>
      </c>
      <c r="O568" s="41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7">
        <f>MAX(-0.05,NORMINV(RAND(),$C$6,$D$6))</f>
        <v/>
      </c>
      <c r="L569" s="27">
        <f>MAX(0.02,NORMINV(RAND(),$C$7,$D$7))</f>
        <v/>
      </c>
      <c r="M569" s="27">
        <f>MIN(0.16,MAX(0.05,NORMINV(RAND(),$C$8,$D$8)))</f>
        <v/>
      </c>
      <c r="N569" s="34">
        <f>MIN(24,MAX(5,NORMINV(RAND(),$C$9,$D$9)))</f>
        <v/>
      </c>
      <c r="O569" s="41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7">
        <f>MAX(-0.05,NORMINV(RAND(),$C$6,$D$6))</f>
        <v/>
      </c>
      <c r="L570" s="27">
        <f>MAX(0.02,NORMINV(RAND(),$C$7,$D$7))</f>
        <v/>
      </c>
      <c r="M570" s="27">
        <f>MIN(0.16,MAX(0.05,NORMINV(RAND(),$C$8,$D$8)))</f>
        <v/>
      </c>
      <c r="N570" s="34">
        <f>MIN(24,MAX(5,NORMINV(RAND(),$C$9,$D$9)))</f>
        <v/>
      </c>
      <c r="O570" s="41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7">
        <f>MAX(-0.05,NORMINV(RAND(),$C$6,$D$6))</f>
        <v/>
      </c>
      <c r="L571" s="27">
        <f>MAX(0.02,NORMINV(RAND(),$C$7,$D$7))</f>
        <v/>
      </c>
      <c r="M571" s="27">
        <f>MIN(0.16,MAX(0.05,NORMINV(RAND(),$C$8,$D$8)))</f>
        <v/>
      </c>
      <c r="N571" s="34">
        <f>MIN(24,MAX(5,NORMINV(RAND(),$C$9,$D$9)))</f>
        <v/>
      </c>
      <c r="O571" s="41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7">
        <f>MAX(-0.05,NORMINV(RAND(),$C$6,$D$6))</f>
        <v/>
      </c>
      <c r="L572" s="27">
        <f>MAX(0.02,NORMINV(RAND(),$C$7,$D$7))</f>
        <v/>
      </c>
      <c r="M572" s="27">
        <f>MIN(0.16,MAX(0.05,NORMINV(RAND(),$C$8,$D$8)))</f>
        <v/>
      </c>
      <c r="N572" s="34">
        <f>MIN(24,MAX(5,NORMINV(RAND(),$C$9,$D$9)))</f>
        <v/>
      </c>
      <c r="O572" s="41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7">
        <f>MAX(-0.05,NORMINV(RAND(),$C$6,$D$6))</f>
        <v/>
      </c>
      <c r="L573" s="27">
        <f>MAX(0.02,NORMINV(RAND(),$C$7,$D$7))</f>
        <v/>
      </c>
      <c r="M573" s="27">
        <f>MIN(0.16,MAX(0.05,NORMINV(RAND(),$C$8,$D$8)))</f>
        <v/>
      </c>
      <c r="N573" s="34">
        <f>MIN(24,MAX(5,NORMINV(RAND(),$C$9,$D$9)))</f>
        <v/>
      </c>
      <c r="O573" s="41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7">
        <f>MAX(-0.05,NORMINV(RAND(),$C$6,$D$6))</f>
        <v/>
      </c>
      <c r="L574" s="27">
        <f>MAX(0.02,NORMINV(RAND(),$C$7,$D$7))</f>
        <v/>
      </c>
      <c r="M574" s="27">
        <f>MIN(0.16,MAX(0.05,NORMINV(RAND(),$C$8,$D$8)))</f>
        <v/>
      </c>
      <c r="N574" s="34">
        <f>MIN(24,MAX(5,NORMINV(RAND(),$C$9,$D$9)))</f>
        <v/>
      </c>
      <c r="O574" s="41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7">
        <f>MAX(-0.05,NORMINV(RAND(),$C$6,$D$6))</f>
        <v/>
      </c>
      <c r="L575" s="27">
        <f>MAX(0.02,NORMINV(RAND(),$C$7,$D$7))</f>
        <v/>
      </c>
      <c r="M575" s="27">
        <f>MIN(0.16,MAX(0.05,NORMINV(RAND(),$C$8,$D$8)))</f>
        <v/>
      </c>
      <c r="N575" s="34">
        <f>MIN(24,MAX(5,NORMINV(RAND(),$C$9,$D$9)))</f>
        <v/>
      </c>
      <c r="O575" s="41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7">
        <f>MAX(-0.05,NORMINV(RAND(),$C$6,$D$6))</f>
        <v/>
      </c>
      <c r="L576" s="27">
        <f>MAX(0.02,NORMINV(RAND(),$C$7,$D$7))</f>
        <v/>
      </c>
      <c r="M576" s="27">
        <f>MIN(0.16,MAX(0.05,NORMINV(RAND(),$C$8,$D$8)))</f>
        <v/>
      </c>
      <c r="N576" s="34">
        <f>MIN(24,MAX(5,NORMINV(RAND(),$C$9,$D$9)))</f>
        <v/>
      </c>
      <c r="O576" s="41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7">
        <f>MAX(-0.05,NORMINV(RAND(),$C$6,$D$6))</f>
        <v/>
      </c>
      <c r="L577" s="27">
        <f>MAX(0.02,NORMINV(RAND(),$C$7,$D$7))</f>
        <v/>
      </c>
      <c r="M577" s="27">
        <f>MIN(0.16,MAX(0.05,NORMINV(RAND(),$C$8,$D$8)))</f>
        <v/>
      </c>
      <c r="N577" s="34">
        <f>MIN(24,MAX(5,NORMINV(RAND(),$C$9,$D$9)))</f>
        <v/>
      </c>
      <c r="O577" s="41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7">
        <f>MAX(-0.05,NORMINV(RAND(),$C$6,$D$6))</f>
        <v/>
      </c>
      <c r="L578" s="27">
        <f>MAX(0.02,NORMINV(RAND(),$C$7,$D$7))</f>
        <v/>
      </c>
      <c r="M578" s="27">
        <f>MIN(0.16,MAX(0.05,NORMINV(RAND(),$C$8,$D$8)))</f>
        <v/>
      </c>
      <c r="N578" s="34">
        <f>MIN(24,MAX(5,NORMINV(RAND(),$C$9,$D$9)))</f>
        <v/>
      </c>
      <c r="O578" s="41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7">
        <f>MAX(-0.05,NORMINV(RAND(),$C$6,$D$6))</f>
        <v/>
      </c>
      <c r="L579" s="27">
        <f>MAX(0.02,NORMINV(RAND(),$C$7,$D$7))</f>
        <v/>
      </c>
      <c r="M579" s="27">
        <f>MIN(0.16,MAX(0.05,NORMINV(RAND(),$C$8,$D$8)))</f>
        <v/>
      </c>
      <c r="N579" s="34">
        <f>MIN(24,MAX(5,NORMINV(RAND(),$C$9,$D$9)))</f>
        <v/>
      </c>
      <c r="O579" s="41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7">
        <f>MAX(-0.05,NORMINV(RAND(),$C$6,$D$6))</f>
        <v/>
      </c>
      <c r="L580" s="27">
        <f>MAX(0.02,NORMINV(RAND(),$C$7,$D$7))</f>
        <v/>
      </c>
      <c r="M580" s="27">
        <f>MIN(0.16,MAX(0.05,NORMINV(RAND(),$C$8,$D$8)))</f>
        <v/>
      </c>
      <c r="N580" s="34">
        <f>MIN(24,MAX(5,NORMINV(RAND(),$C$9,$D$9)))</f>
        <v/>
      </c>
      <c r="O580" s="41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7">
        <f>MAX(-0.05,NORMINV(RAND(),$C$6,$D$6))</f>
        <v/>
      </c>
      <c r="L581" s="27">
        <f>MAX(0.02,NORMINV(RAND(),$C$7,$D$7))</f>
        <v/>
      </c>
      <c r="M581" s="27">
        <f>MIN(0.16,MAX(0.05,NORMINV(RAND(),$C$8,$D$8)))</f>
        <v/>
      </c>
      <c r="N581" s="34">
        <f>MIN(24,MAX(5,NORMINV(RAND(),$C$9,$D$9)))</f>
        <v/>
      </c>
      <c r="O581" s="41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7">
        <f>MAX(-0.05,NORMINV(RAND(),$C$6,$D$6))</f>
        <v/>
      </c>
      <c r="L582" s="27">
        <f>MAX(0.02,NORMINV(RAND(),$C$7,$D$7))</f>
        <v/>
      </c>
      <c r="M582" s="27">
        <f>MIN(0.16,MAX(0.05,NORMINV(RAND(),$C$8,$D$8)))</f>
        <v/>
      </c>
      <c r="N582" s="34">
        <f>MIN(24,MAX(5,NORMINV(RAND(),$C$9,$D$9)))</f>
        <v/>
      </c>
      <c r="O582" s="41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7">
        <f>MAX(-0.05,NORMINV(RAND(),$C$6,$D$6))</f>
        <v/>
      </c>
      <c r="L583" s="27">
        <f>MAX(0.02,NORMINV(RAND(),$C$7,$D$7))</f>
        <v/>
      </c>
      <c r="M583" s="27">
        <f>MIN(0.16,MAX(0.05,NORMINV(RAND(),$C$8,$D$8)))</f>
        <v/>
      </c>
      <c r="N583" s="34">
        <f>MIN(24,MAX(5,NORMINV(RAND(),$C$9,$D$9)))</f>
        <v/>
      </c>
      <c r="O583" s="41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7">
        <f>MAX(-0.05,NORMINV(RAND(),$C$6,$D$6))</f>
        <v/>
      </c>
      <c r="L584" s="27">
        <f>MAX(0.02,NORMINV(RAND(),$C$7,$D$7))</f>
        <v/>
      </c>
      <c r="M584" s="27">
        <f>MIN(0.16,MAX(0.05,NORMINV(RAND(),$C$8,$D$8)))</f>
        <v/>
      </c>
      <c r="N584" s="34">
        <f>MIN(24,MAX(5,NORMINV(RAND(),$C$9,$D$9)))</f>
        <v/>
      </c>
      <c r="O584" s="41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7">
        <f>MAX(-0.05,NORMINV(RAND(),$C$6,$D$6))</f>
        <v/>
      </c>
      <c r="L585" s="27">
        <f>MAX(0.02,NORMINV(RAND(),$C$7,$D$7))</f>
        <v/>
      </c>
      <c r="M585" s="27">
        <f>MIN(0.16,MAX(0.05,NORMINV(RAND(),$C$8,$D$8)))</f>
        <v/>
      </c>
      <c r="N585" s="34">
        <f>MIN(24,MAX(5,NORMINV(RAND(),$C$9,$D$9)))</f>
        <v/>
      </c>
      <c r="O585" s="41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7">
        <f>MAX(-0.05,NORMINV(RAND(),$C$6,$D$6))</f>
        <v/>
      </c>
      <c r="L586" s="27">
        <f>MAX(0.02,NORMINV(RAND(),$C$7,$D$7))</f>
        <v/>
      </c>
      <c r="M586" s="27">
        <f>MIN(0.16,MAX(0.05,NORMINV(RAND(),$C$8,$D$8)))</f>
        <v/>
      </c>
      <c r="N586" s="34">
        <f>MIN(24,MAX(5,NORMINV(RAND(),$C$9,$D$9)))</f>
        <v/>
      </c>
      <c r="O586" s="41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7">
        <f>MAX(-0.05,NORMINV(RAND(),$C$6,$D$6))</f>
        <v/>
      </c>
      <c r="L587" s="27">
        <f>MAX(0.02,NORMINV(RAND(),$C$7,$D$7))</f>
        <v/>
      </c>
      <c r="M587" s="27">
        <f>MIN(0.16,MAX(0.05,NORMINV(RAND(),$C$8,$D$8)))</f>
        <v/>
      </c>
      <c r="N587" s="34">
        <f>MIN(24,MAX(5,NORMINV(RAND(),$C$9,$D$9)))</f>
        <v/>
      </c>
      <c r="O587" s="41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7">
        <f>MAX(-0.05,NORMINV(RAND(),$C$6,$D$6))</f>
        <v/>
      </c>
      <c r="L588" s="27">
        <f>MAX(0.02,NORMINV(RAND(),$C$7,$D$7))</f>
        <v/>
      </c>
      <c r="M588" s="27">
        <f>MIN(0.16,MAX(0.05,NORMINV(RAND(),$C$8,$D$8)))</f>
        <v/>
      </c>
      <c r="N588" s="34">
        <f>MIN(24,MAX(5,NORMINV(RAND(),$C$9,$D$9)))</f>
        <v/>
      </c>
      <c r="O588" s="41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7">
        <f>MAX(-0.05,NORMINV(RAND(),$C$6,$D$6))</f>
        <v/>
      </c>
      <c r="L589" s="27">
        <f>MAX(0.02,NORMINV(RAND(),$C$7,$D$7))</f>
        <v/>
      </c>
      <c r="M589" s="27">
        <f>MIN(0.16,MAX(0.05,NORMINV(RAND(),$C$8,$D$8)))</f>
        <v/>
      </c>
      <c r="N589" s="34">
        <f>MIN(24,MAX(5,NORMINV(RAND(),$C$9,$D$9)))</f>
        <v/>
      </c>
      <c r="O589" s="41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7">
        <f>MAX(-0.05,NORMINV(RAND(),$C$6,$D$6))</f>
        <v/>
      </c>
      <c r="L590" s="27">
        <f>MAX(0.02,NORMINV(RAND(),$C$7,$D$7))</f>
        <v/>
      </c>
      <c r="M590" s="27">
        <f>MIN(0.16,MAX(0.05,NORMINV(RAND(),$C$8,$D$8)))</f>
        <v/>
      </c>
      <c r="N590" s="34">
        <f>MIN(24,MAX(5,NORMINV(RAND(),$C$9,$D$9)))</f>
        <v/>
      </c>
      <c r="O590" s="41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7">
        <f>MAX(-0.05,NORMINV(RAND(),$C$6,$D$6))</f>
        <v/>
      </c>
      <c r="L591" s="27">
        <f>MAX(0.02,NORMINV(RAND(),$C$7,$D$7))</f>
        <v/>
      </c>
      <c r="M591" s="27">
        <f>MIN(0.16,MAX(0.05,NORMINV(RAND(),$C$8,$D$8)))</f>
        <v/>
      </c>
      <c r="N591" s="34">
        <f>MIN(24,MAX(5,NORMINV(RAND(),$C$9,$D$9)))</f>
        <v/>
      </c>
      <c r="O591" s="41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7">
        <f>MAX(-0.05,NORMINV(RAND(),$C$6,$D$6))</f>
        <v/>
      </c>
      <c r="L592" s="27">
        <f>MAX(0.02,NORMINV(RAND(),$C$7,$D$7))</f>
        <v/>
      </c>
      <c r="M592" s="27">
        <f>MIN(0.16,MAX(0.05,NORMINV(RAND(),$C$8,$D$8)))</f>
        <v/>
      </c>
      <c r="N592" s="34">
        <f>MIN(24,MAX(5,NORMINV(RAND(),$C$9,$D$9)))</f>
        <v/>
      </c>
      <c r="O592" s="41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7">
        <f>MAX(-0.05,NORMINV(RAND(),$C$6,$D$6))</f>
        <v/>
      </c>
      <c r="L593" s="27">
        <f>MAX(0.02,NORMINV(RAND(),$C$7,$D$7))</f>
        <v/>
      </c>
      <c r="M593" s="27">
        <f>MIN(0.16,MAX(0.05,NORMINV(RAND(),$C$8,$D$8)))</f>
        <v/>
      </c>
      <c r="N593" s="34">
        <f>MIN(24,MAX(5,NORMINV(RAND(),$C$9,$D$9)))</f>
        <v/>
      </c>
      <c r="O593" s="41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7">
        <f>MAX(-0.05,NORMINV(RAND(),$C$6,$D$6))</f>
        <v/>
      </c>
      <c r="L594" s="27">
        <f>MAX(0.02,NORMINV(RAND(),$C$7,$D$7))</f>
        <v/>
      </c>
      <c r="M594" s="27">
        <f>MIN(0.16,MAX(0.05,NORMINV(RAND(),$C$8,$D$8)))</f>
        <v/>
      </c>
      <c r="N594" s="34">
        <f>MIN(24,MAX(5,NORMINV(RAND(),$C$9,$D$9)))</f>
        <v/>
      </c>
      <c r="O594" s="41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7">
        <f>MAX(-0.05,NORMINV(RAND(),$C$6,$D$6))</f>
        <v/>
      </c>
      <c r="L595" s="27">
        <f>MAX(0.02,NORMINV(RAND(),$C$7,$D$7))</f>
        <v/>
      </c>
      <c r="M595" s="27">
        <f>MIN(0.16,MAX(0.05,NORMINV(RAND(),$C$8,$D$8)))</f>
        <v/>
      </c>
      <c r="N595" s="34">
        <f>MIN(24,MAX(5,NORMINV(RAND(),$C$9,$D$9)))</f>
        <v/>
      </c>
      <c r="O595" s="41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7">
        <f>MAX(-0.05,NORMINV(RAND(),$C$6,$D$6))</f>
        <v/>
      </c>
      <c r="L596" s="27">
        <f>MAX(0.02,NORMINV(RAND(),$C$7,$D$7))</f>
        <v/>
      </c>
      <c r="M596" s="27">
        <f>MIN(0.16,MAX(0.05,NORMINV(RAND(),$C$8,$D$8)))</f>
        <v/>
      </c>
      <c r="N596" s="34">
        <f>MIN(24,MAX(5,NORMINV(RAND(),$C$9,$D$9)))</f>
        <v/>
      </c>
      <c r="O596" s="41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7">
        <f>MAX(-0.05,NORMINV(RAND(),$C$6,$D$6))</f>
        <v/>
      </c>
      <c r="L597" s="27">
        <f>MAX(0.02,NORMINV(RAND(),$C$7,$D$7))</f>
        <v/>
      </c>
      <c r="M597" s="27">
        <f>MIN(0.16,MAX(0.05,NORMINV(RAND(),$C$8,$D$8)))</f>
        <v/>
      </c>
      <c r="N597" s="34">
        <f>MIN(24,MAX(5,NORMINV(RAND(),$C$9,$D$9)))</f>
        <v/>
      </c>
      <c r="O597" s="41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7">
        <f>MAX(-0.05,NORMINV(RAND(),$C$6,$D$6))</f>
        <v/>
      </c>
      <c r="L598" s="27">
        <f>MAX(0.02,NORMINV(RAND(),$C$7,$D$7))</f>
        <v/>
      </c>
      <c r="M598" s="27">
        <f>MIN(0.16,MAX(0.05,NORMINV(RAND(),$C$8,$D$8)))</f>
        <v/>
      </c>
      <c r="N598" s="34">
        <f>MIN(24,MAX(5,NORMINV(RAND(),$C$9,$D$9)))</f>
        <v/>
      </c>
      <c r="O598" s="41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7">
        <f>MAX(-0.05,NORMINV(RAND(),$C$6,$D$6))</f>
        <v/>
      </c>
      <c r="L599" s="27">
        <f>MAX(0.02,NORMINV(RAND(),$C$7,$D$7))</f>
        <v/>
      </c>
      <c r="M599" s="27">
        <f>MIN(0.16,MAX(0.05,NORMINV(RAND(),$C$8,$D$8)))</f>
        <v/>
      </c>
      <c r="N599" s="34">
        <f>MIN(24,MAX(5,NORMINV(RAND(),$C$9,$D$9)))</f>
        <v/>
      </c>
      <c r="O599" s="41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7">
        <f>MAX(-0.05,NORMINV(RAND(),$C$6,$D$6))</f>
        <v/>
      </c>
      <c r="L600" s="27">
        <f>MAX(0.02,NORMINV(RAND(),$C$7,$D$7))</f>
        <v/>
      </c>
      <c r="M600" s="27">
        <f>MIN(0.16,MAX(0.05,NORMINV(RAND(),$C$8,$D$8)))</f>
        <v/>
      </c>
      <c r="N600" s="34">
        <f>MIN(24,MAX(5,NORMINV(RAND(),$C$9,$D$9)))</f>
        <v/>
      </c>
      <c r="O600" s="41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7">
        <f>MAX(-0.05,NORMINV(RAND(),$C$6,$D$6))</f>
        <v/>
      </c>
      <c r="L601" s="27">
        <f>MAX(0.02,NORMINV(RAND(),$C$7,$D$7))</f>
        <v/>
      </c>
      <c r="M601" s="27">
        <f>MIN(0.16,MAX(0.05,NORMINV(RAND(),$C$8,$D$8)))</f>
        <v/>
      </c>
      <c r="N601" s="34">
        <f>MIN(24,MAX(5,NORMINV(RAND(),$C$9,$D$9)))</f>
        <v/>
      </c>
      <c r="O601" s="41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7">
        <f>MAX(-0.05,NORMINV(RAND(),$C$6,$D$6))</f>
        <v/>
      </c>
      <c r="L602" s="27">
        <f>MAX(0.02,NORMINV(RAND(),$C$7,$D$7))</f>
        <v/>
      </c>
      <c r="M602" s="27">
        <f>MIN(0.16,MAX(0.05,NORMINV(RAND(),$C$8,$D$8)))</f>
        <v/>
      </c>
      <c r="N602" s="34">
        <f>MIN(24,MAX(5,NORMINV(RAND(),$C$9,$D$9)))</f>
        <v/>
      </c>
      <c r="O602" s="41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7">
        <f>MAX(-0.05,NORMINV(RAND(),$C$6,$D$6))</f>
        <v/>
      </c>
      <c r="L603" s="27">
        <f>MAX(0.02,NORMINV(RAND(),$C$7,$D$7))</f>
        <v/>
      </c>
      <c r="M603" s="27">
        <f>MIN(0.16,MAX(0.05,NORMINV(RAND(),$C$8,$D$8)))</f>
        <v/>
      </c>
      <c r="N603" s="34">
        <f>MIN(24,MAX(5,NORMINV(RAND(),$C$9,$D$9)))</f>
        <v/>
      </c>
      <c r="O603" s="41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7">
        <f>MAX(-0.05,NORMINV(RAND(),$C$6,$D$6))</f>
        <v/>
      </c>
      <c r="L604" s="27">
        <f>MAX(0.02,NORMINV(RAND(),$C$7,$D$7))</f>
        <v/>
      </c>
      <c r="M604" s="27">
        <f>MIN(0.16,MAX(0.05,NORMINV(RAND(),$C$8,$D$8)))</f>
        <v/>
      </c>
      <c r="N604" s="34">
        <f>MIN(24,MAX(5,NORMINV(RAND(),$C$9,$D$9)))</f>
        <v/>
      </c>
      <c r="O604" s="41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7">
        <f>MAX(-0.05,NORMINV(RAND(),$C$6,$D$6))</f>
        <v/>
      </c>
      <c r="L605" s="27">
        <f>MAX(0.02,NORMINV(RAND(),$C$7,$D$7))</f>
        <v/>
      </c>
      <c r="M605" s="27">
        <f>MIN(0.16,MAX(0.05,NORMINV(RAND(),$C$8,$D$8)))</f>
        <v/>
      </c>
      <c r="N605" s="34">
        <f>MIN(24,MAX(5,NORMINV(RAND(),$C$9,$D$9)))</f>
        <v/>
      </c>
      <c r="O605" s="41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7">
        <f>MAX(-0.05,NORMINV(RAND(),$C$6,$D$6))</f>
        <v/>
      </c>
      <c r="L606" s="27">
        <f>MAX(0.02,NORMINV(RAND(),$C$7,$D$7))</f>
        <v/>
      </c>
      <c r="M606" s="27">
        <f>MIN(0.16,MAX(0.05,NORMINV(RAND(),$C$8,$D$8)))</f>
        <v/>
      </c>
      <c r="N606" s="34">
        <f>MIN(24,MAX(5,NORMINV(RAND(),$C$9,$D$9)))</f>
        <v/>
      </c>
      <c r="O606" s="41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7">
        <f>MAX(-0.05,NORMINV(RAND(),$C$6,$D$6))</f>
        <v/>
      </c>
      <c r="L607" s="27">
        <f>MAX(0.02,NORMINV(RAND(),$C$7,$D$7))</f>
        <v/>
      </c>
      <c r="M607" s="27">
        <f>MIN(0.16,MAX(0.05,NORMINV(RAND(),$C$8,$D$8)))</f>
        <v/>
      </c>
      <c r="N607" s="34">
        <f>MIN(24,MAX(5,NORMINV(RAND(),$C$9,$D$9)))</f>
        <v/>
      </c>
      <c r="O607" s="41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7">
        <f>MAX(-0.05,NORMINV(RAND(),$C$6,$D$6))</f>
        <v/>
      </c>
      <c r="L608" s="27">
        <f>MAX(0.02,NORMINV(RAND(),$C$7,$D$7))</f>
        <v/>
      </c>
      <c r="M608" s="27">
        <f>MIN(0.16,MAX(0.05,NORMINV(RAND(),$C$8,$D$8)))</f>
        <v/>
      </c>
      <c r="N608" s="34">
        <f>MIN(24,MAX(5,NORMINV(RAND(),$C$9,$D$9)))</f>
        <v/>
      </c>
      <c r="O608" s="41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7">
        <f>MAX(-0.05,NORMINV(RAND(),$C$6,$D$6))</f>
        <v/>
      </c>
      <c r="L609" s="27">
        <f>MAX(0.02,NORMINV(RAND(),$C$7,$D$7))</f>
        <v/>
      </c>
      <c r="M609" s="27">
        <f>MIN(0.16,MAX(0.05,NORMINV(RAND(),$C$8,$D$8)))</f>
        <v/>
      </c>
      <c r="N609" s="34">
        <f>MIN(24,MAX(5,NORMINV(RAND(),$C$9,$D$9)))</f>
        <v/>
      </c>
      <c r="O609" s="41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7">
        <f>MAX(-0.05,NORMINV(RAND(),$C$6,$D$6))</f>
        <v/>
      </c>
      <c r="L610" s="27">
        <f>MAX(0.02,NORMINV(RAND(),$C$7,$D$7))</f>
        <v/>
      </c>
      <c r="M610" s="27">
        <f>MIN(0.16,MAX(0.05,NORMINV(RAND(),$C$8,$D$8)))</f>
        <v/>
      </c>
      <c r="N610" s="34">
        <f>MIN(24,MAX(5,NORMINV(RAND(),$C$9,$D$9)))</f>
        <v/>
      </c>
      <c r="O610" s="41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7">
        <f>MAX(-0.05,NORMINV(RAND(),$C$6,$D$6))</f>
        <v/>
      </c>
      <c r="L611" s="27">
        <f>MAX(0.02,NORMINV(RAND(),$C$7,$D$7))</f>
        <v/>
      </c>
      <c r="M611" s="27">
        <f>MIN(0.16,MAX(0.05,NORMINV(RAND(),$C$8,$D$8)))</f>
        <v/>
      </c>
      <c r="N611" s="34">
        <f>MIN(24,MAX(5,NORMINV(RAND(),$C$9,$D$9)))</f>
        <v/>
      </c>
      <c r="O611" s="41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7">
        <f>MAX(-0.05,NORMINV(RAND(),$C$6,$D$6))</f>
        <v/>
      </c>
      <c r="L612" s="27">
        <f>MAX(0.02,NORMINV(RAND(),$C$7,$D$7))</f>
        <v/>
      </c>
      <c r="M612" s="27">
        <f>MIN(0.16,MAX(0.05,NORMINV(RAND(),$C$8,$D$8)))</f>
        <v/>
      </c>
      <c r="N612" s="34">
        <f>MIN(24,MAX(5,NORMINV(RAND(),$C$9,$D$9)))</f>
        <v/>
      </c>
      <c r="O612" s="41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7">
        <f>MAX(-0.05,NORMINV(RAND(),$C$6,$D$6))</f>
        <v/>
      </c>
      <c r="L613" s="27">
        <f>MAX(0.02,NORMINV(RAND(),$C$7,$D$7))</f>
        <v/>
      </c>
      <c r="M613" s="27">
        <f>MIN(0.16,MAX(0.05,NORMINV(RAND(),$C$8,$D$8)))</f>
        <v/>
      </c>
      <c r="N613" s="34">
        <f>MIN(24,MAX(5,NORMINV(RAND(),$C$9,$D$9)))</f>
        <v/>
      </c>
      <c r="O613" s="41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7">
        <f>MAX(-0.05,NORMINV(RAND(),$C$6,$D$6))</f>
        <v/>
      </c>
      <c r="L614" s="27">
        <f>MAX(0.02,NORMINV(RAND(),$C$7,$D$7))</f>
        <v/>
      </c>
      <c r="M614" s="27">
        <f>MIN(0.16,MAX(0.05,NORMINV(RAND(),$C$8,$D$8)))</f>
        <v/>
      </c>
      <c r="N614" s="34">
        <f>MIN(24,MAX(5,NORMINV(RAND(),$C$9,$D$9)))</f>
        <v/>
      </c>
      <c r="O614" s="41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7">
        <f>MAX(-0.05,NORMINV(RAND(),$C$6,$D$6))</f>
        <v/>
      </c>
      <c r="L615" s="27">
        <f>MAX(0.02,NORMINV(RAND(),$C$7,$D$7))</f>
        <v/>
      </c>
      <c r="M615" s="27">
        <f>MIN(0.16,MAX(0.05,NORMINV(RAND(),$C$8,$D$8)))</f>
        <v/>
      </c>
      <c r="N615" s="34">
        <f>MIN(24,MAX(5,NORMINV(RAND(),$C$9,$D$9)))</f>
        <v/>
      </c>
      <c r="O615" s="41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7">
        <f>MAX(-0.05,NORMINV(RAND(),$C$6,$D$6))</f>
        <v/>
      </c>
      <c r="L616" s="27">
        <f>MAX(0.02,NORMINV(RAND(),$C$7,$D$7))</f>
        <v/>
      </c>
      <c r="M616" s="27">
        <f>MIN(0.16,MAX(0.05,NORMINV(RAND(),$C$8,$D$8)))</f>
        <v/>
      </c>
      <c r="N616" s="34">
        <f>MIN(24,MAX(5,NORMINV(RAND(),$C$9,$D$9)))</f>
        <v/>
      </c>
      <c r="O616" s="41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7">
        <f>MAX(-0.05,NORMINV(RAND(),$C$6,$D$6))</f>
        <v/>
      </c>
      <c r="L617" s="27">
        <f>MAX(0.02,NORMINV(RAND(),$C$7,$D$7))</f>
        <v/>
      </c>
      <c r="M617" s="27">
        <f>MIN(0.16,MAX(0.05,NORMINV(RAND(),$C$8,$D$8)))</f>
        <v/>
      </c>
      <c r="N617" s="34">
        <f>MIN(24,MAX(5,NORMINV(RAND(),$C$9,$D$9)))</f>
        <v/>
      </c>
      <c r="O617" s="41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7">
        <f>MAX(-0.05,NORMINV(RAND(),$C$6,$D$6))</f>
        <v/>
      </c>
      <c r="L618" s="27">
        <f>MAX(0.02,NORMINV(RAND(),$C$7,$D$7))</f>
        <v/>
      </c>
      <c r="M618" s="27">
        <f>MIN(0.16,MAX(0.05,NORMINV(RAND(),$C$8,$D$8)))</f>
        <v/>
      </c>
      <c r="N618" s="34">
        <f>MIN(24,MAX(5,NORMINV(RAND(),$C$9,$D$9)))</f>
        <v/>
      </c>
      <c r="O618" s="41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7">
        <f>MAX(-0.05,NORMINV(RAND(),$C$6,$D$6))</f>
        <v/>
      </c>
      <c r="L619" s="27">
        <f>MAX(0.02,NORMINV(RAND(),$C$7,$D$7))</f>
        <v/>
      </c>
      <c r="M619" s="27">
        <f>MIN(0.16,MAX(0.05,NORMINV(RAND(),$C$8,$D$8)))</f>
        <v/>
      </c>
      <c r="N619" s="34">
        <f>MIN(24,MAX(5,NORMINV(RAND(),$C$9,$D$9)))</f>
        <v/>
      </c>
      <c r="O619" s="41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7">
        <f>MAX(-0.05,NORMINV(RAND(),$C$6,$D$6))</f>
        <v/>
      </c>
      <c r="L620" s="27">
        <f>MAX(0.02,NORMINV(RAND(),$C$7,$D$7))</f>
        <v/>
      </c>
      <c r="M620" s="27">
        <f>MIN(0.16,MAX(0.05,NORMINV(RAND(),$C$8,$D$8)))</f>
        <v/>
      </c>
      <c r="N620" s="34">
        <f>MIN(24,MAX(5,NORMINV(RAND(),$C$9,$D$9)))</f>
        <v/>
      </c>
      <c r="O620" s="41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7">
        <f>MAX(-0.05,NORMINV(RAND(),$C$6,$D$6))</f>
        <v/>
      </c>
      <c r="L621" s="27">
        <f>MAX(0.02,NORMINV(RAND(),$C$7,$D$7))</f>
        <v/>
      </c>
      <c r="M621" s="27">
        <f>MIN(0.16,MAX(0.05,NORMINV(RAND(),$C$8,$D$8)))</f>
        <v/>
      </c>
      <c r="N621" s="34">
        <f>MIN(24,MAX(5,NORMINV(RAND(),$C$9,$D$9)))</f>
        <v/>
      </c>
      <c r="O621" s="41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7">
        <f>MAX(-0.05,NORMINV(RAND(),$C$6,$D$6))</f>
        <v/>
      </c>
      <c r="L622" s="27">
        <f>MAX(0.02,NORMINV(RAND(),$C$7,$D$7))</f>
        <v/>
      </c>
      <c r="M622" s="27">
        <f>MIN(0.16,MAX(0.05,NORMINV(RAND(),$C$8,$D$8)))</f>
        <v/>
      </c>
      <c r="N622" s="34">
        <f>MIN(24,MAX(5,NORMINV(RAND(),$C$9,$D$9)))</f>
        <v/>
      </c>
      <c r="O622" s="41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7">
        <f>MAX(-0.05,NORMINV(RAND(),$C$6,$D$6))</f>
        <v/>
      </c>
      <c r="L623" s="27">
        <f>MAX(0.02,NORMINV(RAND(),$C$7,$D$7))</f>
        <v/>
      </c>
      <c r="M623" s="27">
        <f>MIN(0.16,MAX(0.05,NORMINV(RAND(),$C$8,$D$8)))</f>
        <v/>
      </c>
      <c r="N623" s="34">
        <f>MIN(24,MAX(5,NORMINV(RAND(),$C$9,$D$9)))</f>
        <v/>
      </c>
      <c r="O623" s="41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7">
        <f>MAX(-0.05,NORMINV(RAND(),$C$6,$D$6))</f>
        <v/>
      </c>
      <c r="L624" s="27">
        <f>MAX(0.02,NORMINV(RAND(),$C$7,$D$7))</f>
        <v/>
      </c>
      <c r="M624" s="27">
        <f>MIN(0.16,MAX(0.05,NORMINV(RAND(),$C$8,$D$8)))</f>
        <v/>
      </c>
      <c r="N624" s="34">
        <f>MIN(24,MAX(5,NORMINV(RAND(),$C$9,$D$9)))</f>
        <v/>
      </c>
      <c r="O624" s="41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7">
        <f>MAX(-0.05,NORMINV(RAND(),$C$6,$D$6))</f>
        <v/>
      </c>
      <c r="L625" s="27">
        <f>MAX(0.02,NORMINV(RAND(),$C$7,$D$7))</f>
        <v/>
      </c>
      <c r="M625" s="27">
        <f>MIN(0.16,MAX(0.05,NORMINV(RAND(),$C$8,$D$8)))</f>
        <v/>
      </c>
      <c r="N625" s="34">
        <f>MIN(24,MAX(5,NORMINV(RAND(),$C$9,$D$9)))</f>
        <v/>
      </c>
      <c r="O625" s="41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7">
        <f>MAX(-0.05,NORMINV(RAND(),$C$6,$D$6))</f>
        <v/>
      </c>
      <c r="L626" s="27">
        <f>MAX(0.02,NORMINV(RAND(),$C$7,$D$7))</f>
        <v/>
      </c>
      <c r="M626" s="27">
        <f>MIN(0.16,MAX(0.05,NORMINV(RAND(),$C$8,$D$8)))</f>
        <v/>
      </c>
      <c r="N626" s="34">
        <f>MIN(24,MAX(5,NORMINV(RAND(),$C$9,$D$9)))</f>
        <v/>
      </c>
      <c r="O626" s="41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7">
        <f>MAX(-0.05,NORMINV(RAND(),$C$6,$D$6))</f>
        <v/>
      </c>
      <c r="L627" s="27">
        <f>MAX(0.02,NORMINV(RAND(),$C$7,$D$7))</f>
        <v/>
      </c>
      <c r="M627" s="27">
        <f>MIN(0.16,MAX(0.05,NORMINV(RAND(),$C$8,$D$8)))</f>
        <v/>
      </c>
      <c r="N627" s="34">
        <f>MIN(24,MAX(5,NORMINV(RAND(),$C$9,$D$9)))</f>
        <v/>
      </c>
      <c r="O627" s="41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7">
        <f>MAX(-0.05,NORMINV(RAND(),$C$6,$D$6))</f>
        <v/>
      </c>
      <c r="L628" s="27">
        <f>MAX(0.02,NORMINV(RAND(),$C$7,$D$7))</f>
        <v/>
      </c>
      <c r="M628" s="27">
        <f>MIN(0.16,MAX(0.05,NORMINV(RAND(),$C$8,$D$8)))</f>
        <v/>
      </c>
      <c r="N628" s="34">
        <f>MIN(24,MAX(5,NORMINV(RAND(),$C$9,$D$9)))</f>
        <v/>
      </c>
      <c r="O628" s="41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7">
        <f>MAX(-0.05,NORMINV(RAND(),$C$6,$D$6))</f>
        <v/>
      </c>
      <c r="L629" s="27">
        <f>MAX(0.02,NORMINV(RAND(),$C$7,$D$7))</f>
        <v/>
      </c>
      <c r="M629" s="27">
        <f>MIN(0.16,MAX(0.05,NORMINV(RAND(),$C$8,$D$8)))</f>
        <v/>
      </c>
      <c r="N629" s="34">
        <f>MIN(24,MAX(5,NORMINV(RAND(),$C$9,$D$9)))</f>
        <v/>
      </c>
      <c r="O629" s="41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7">
        <f>MAX(-0.05,NORMINV(RAND(),$C$6,$D$6))</f>
        <v/>
      </c>
      <c r="L630" s="27">
        <f>MAX(0.02,NORMINV(RAND(),$C$7,$D$7))</f>
        <v/>
      </c>
      <c r="M630" s="27">
        <f>MIN(0.16,MAX(0.05,NORMINV(RAND(),$C$8,$D$8)))</f>
        <v/>
      </c>
      <c r="N630" s="34">
        <f>MIN(24,MAX(5,NORMINV(RAND(),$C$9,$D$9)))</f>
        <v/>
      </c>
      <c r="O630" s="41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7">
        <f>MAX(-0.05,NORMINV(RAND(),$C$6,$D$6))</f>
        <v/>
      </c>
      <c r="L631" s="27">
        <f>MAX(0.02,NORMINV(RAND(),$C$7,$D$7))</f>
        <v/>
      </c>
      <c r="M631" s="27">
        <f>MIN(0.16,MAX(0.05,NORMINV(RAND(),$C$8,$D$8)))</f>
        <v/>
      </c>
      <c r="N631" s="34">
        <f>MIN(24,MAX(5,NORMINV(RAND(),$C$9,$D$9)))</f>
        <v/>
      </c>
      <c r="O631" s="41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7">
        <f>MAX(-0.05,NORMINV(RAND(),$C$6,$D$6))</f>
        <v/>
      </c>
      <c r="L632" s="27">
        <f>MAX(0.02,NORMINV(RAND(),$C$7,$D$7))</f>
        <v/>
      </c>
      <c r="M632" s="27">
        <f>MIN(0.16,MAX(0.05,NORMINV(RAND(),$C$8,$D$8)))</f>
        <v/>
      </c>
      <c r="N632" s="34">
        <f>MIN(24,MAX(5,NORMINV(RAND(),$C$9,$D$9)))</f>
        <v/>
      </c>
      <c r="O632" s="41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7">
        <f>MAX(-0.05,NORMINV(RAND(),$C$6,$D$6))</f>
        <v/>
      </c>
      <c r="L633" s="27">
        <f>MAX(0.02,NORMINV(RAND(),$C$7,$D$7))</f>
        <v/>
      </c>
      <c r="M633" s="27">
        <f>MIN(0.16,MAX(0.05,NORMINV(RAND(),$C$8,$D$8)))</f>
        <v/>
      </c>
      <c r="N633" s="34">
        <f>MIN(24,MAX(5,NORMINV(RAND(),$C$9,$D$9)))</f>
        <v/>
      </c>
      <c r="O633" s="41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7">
        <f>MAX(-0.05,NORMINV(RAND(),$C$6,$D$6))</f>
        <v/>
      </c>
      <c r="L634" s="27">
        <f>MAX(0.02,NORMINV(RAND(),$C$7,$D$7))</f>
        <v/>
      </c>
      <c r="M634" s="27">
        <f>MIN(0.16,MAX(0.05,NORMINV(RAND(),$C$8,$D$8)))</f>
        <v/>
      </c>
      <c r="N634" s="34">
        <f>MIN(24,MAX(5,NORMINV(RAND(),$C$9,$D$9)))</f>
        <v/>
      </c>
      <c r="O634" s="41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7">
        <f>MAX(-0.05,NORMINV(RAND(),$C$6,$D$6))</f>
        <v/>
      </c>
      <c r="L635" s="27">
        <f>MAX(0.02,NORMINV(RAND(),$C$7,$D$7))</f>
        <v/>
      </c>
      <c r="M635" s="27">
        <f>MIN(0.16,MAX(0.05,NORMINV(RAND(),$C$8,$D$8)))</f>
        <v/>
      </c>
      <c r="N635" s="34">
        <f>MIN(24,MAX(5,NORMINV(RAND(),$C$9,$D$9)))</f>
        <v/>
      </c>
      <c r="O635" s="41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7">
        <f>MAX(-0.05,NORMINV(RAND(),$C$6,$D$6))</f>
        <v/>
      </c>
      <c r="L636" s="27">
        <f>MAX(0.02,NORMINV(RAND(),$C$7,$D$7))</f>
        <v/>
      </c>
      <c r="M636" s="27">
        <f>MIN(0.16,MAX(0.05,NORMINV(RAND(),$C$8,$D$8)))</f>
        <v/>
      </c>
      <c r="N636" s="34">
        <f>MIN(24,MAX(5,NORMINV(RAND(),$C$9,$D$9)))</f>
        <v/>
      </c>
      <c r="O636" s="41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7">
        <f>MAX(-0.05,NORMINV(RAND(),$C$6,$D$6))</f>
        <v/>
      </c>
      <c r="L637" s="27">
        <f>MAX(0.02,NORMINV(RAND(),$C$7,$D$7))</f>
        <v/>
      </c>
      <c r="M637" s="27">
        <f>MIN(0.16,MAX(0.05,NORMINV(RAND(),$C$8,$D$8)))</f>
        <v/>
      </c>
      <c r="N637" s="34">
        <f>MIN(24,MAX(5,NORMINV(RAND(),$C$9,$D$9)))</f>
        <v/>
      </c>
      <c r="O637" s="41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7">
        <f>MAX(-0.05,NORMINV(RAND(),$C$6,$D$6))</f>
        <v/>
      </c>
      <c r="L638" s="27">
        <f>MAX(0.02,NORMINV(RAND(),$C$7,$D$7))</f>
        <v/>
      </c>
      <c r="M638" s="27">
        <f>MIN(0.16,MAX(0.05,NORMINV(RAND(),$C$8,$D$8)))</f>
        <v/>
      </c>
      <c r="N638" s="34">
        <f>MIN(24,MAX(5,NORMINV(RAND(),$C$9,$D$9)))</f>
        <v/>
      </c>
      <c r="O638" s="41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7">
        <f>MAX(-0.05,NORMINV(RAND(),$C$6,$D$6))</f>
        <v/>
      </c>
      <c r="L639" s="27">
        <f>MAX(0.02,NORMINV(RAND(),$C$7,$D$7))</f>
        <v/>
      </c>
      <c r="M639" s="27">
        <f>MIN(0.16,MAX(0.05,NORMINV(RAND(),$C$8,$D$8)))</f>
        <v/>
      </c>
      <c r="N639" s="34">
        <f>MIN(24,MAX(5,NORMINV(RAND(),$C$9,$D$9)))</f>
        <v/>
      </c>
      <c r="O639" s="41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7">
        <f>MAX(-0.05,NORMINV(RAND(),$C$6,$D$6))</f>
        <v/>
      </c>
      <c r="L640" s="27">
        <f>MAX(0.02,NORMINV(RAND(),$C$7,$D$7))</f>
        <v/>
      </c>
      <c r="M640" s="27">
        <f>MIN(0.16,MAX(0.05,NORMINV(RAND(),$C$8,$D$8)))</f>
        <v/>
      </c>
      <c r="N640" s="34">
        <f>MIN(24,MAX(5,NORMINV(RAND(),$C$9,$D$9)))</f>
        <v/>
      </c>
      <c r="O640" s="41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7">
        <f>MAX(-0.05,NORMINV(RAND(),$C$6,$D$6))</f>
        <v/>
      </c>
      <c r="L641" s="27">
        <f>MAX(0.02,NORMINV(RAND(),$C$7,$D$7))</f>
        <v/>
      </c>
      <c r="M641" s="27">
        <f>MIN(0.16,MAX(0.05,NORMINV(RAND(),$C$8,$D$8)))</f>
        <v/>
      </c>
      <c r="N641" s="34">
        <f>MIN(24,MAX(5,NORMINV(RAND(),$C$9,$D$9)))</f>
        <v/>
      </c>
      <c r="O641" s="41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7">
        <f>MAX(-0.05,NORMINV(RAND(),$C$6,$D$6))</f>
        <v/>
      </c>
      <c r="L642" s="27">
        <f>MAX(0.02,NORMINV(RAND(),$C$7,$D$7))</f>
        <v/>
      </c>
      <c r="M642" s="27">
        <f>MIN(0.16,MAX(0.05,NORMINV(RAND(),$C$8,$D$8)))</f>
        <v/>
      </c>
      <c r="N642" s="34">
        <f>MIN(24,MAX(5,NORMINV(RAND(),$C$9,$D$9)))</f>
        <v/>
      </c>
      <c r="O642" s="41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7">
        <f>MAX(-0.05,NORMINV(RAND(),$C$6,$D$6))</f>
        <v/>
      </c>
      <c r="L643" s="27">
        <f>MAX(0.02,NORMINV(RAND(),$C$7,$D$7))</f>
        <v/>
      </c>
      <c r="M643" s="27">
        <f>MIN(0.16,MAX(0.05,NORMINV(RAND(),$C$8,$D$8)))</f>
        <v/>
      </c>
      <c r="N643" s="34">
        <f>MIN(24,MAX(5,NORMINV(RAND(),$C$9,$D$9)))</f>
        <v/>
      </c>
      <c r="O643" s="41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7">
        <f>MAX(-0.05,NORMINV(RAND(),$C$6,$D$6))</f>
        <v/>
      </c>
      <c r="L644" s="27">
        <f>MAX(0.02,NORMINV(RAND(),$C$7,$D$7))</f>
        <v/>
      </c>
      <c r="M644" s="27">
        <f>MIN(0.16,MAX(0.05,NORMINV(RAND(),$C$8,$D$8)))</f>
        <v/>
      </c>
      <c r="N644" s="34">
        <f>MIN(24,MAX(5,NORMINV(RAND(),$C$9,$D$9)))</f>
        <v/>
      </c>
      <c r="O644" s="41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7">
        <f>MAX(-0.05,NORMINV(RAND(),$C$6,$D$6))</f>
        <v/>
      </c>
      <c r="L645" s="27">
        <f>MAX(0.02,NORMINV(RAND(),$C$7,$D$7))</f>
        <v/>
      </c>
      <c r="M645" s="27">
        <f>MIN(0.16,MAX(0.05,NORMINV(RAND(),$C$8,$D$8)))</f>
        <v/>
      </c>
      <c r="N645" s="34">
        <f>MIN(24,MAX(5,NORMINV(RAND(),$C$9,$D$9)))</f>
        <v/>
      </c>
      <c r="O645" s="41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7">
        <f>MAX(-0.05,NORMINV(RAND(),$C$6,$D$6))</f>
        <v/>
      </c>
      <c r="L646" s="27">
        <f>MAX(0.02,NORMINV(RAND(),$C$7,$D$7))</f>
        <v/>
      </c>
      <c r="M646" s="27">
        <f>MIN(0.16,MAX(0.05,NORMINV(RAND(),$C$8,$D$8)))</f>
        <v/>
      </c>
      <c r="N646" s="34">
        <f>MIN(24,MAX(5,NORMINV(RAND(),$C$9,$D$9)))</f>
        <v/>
      </c>
      <c r="O646" s="41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7">
        <f>MAX(-0.05,NORMINV(RAND(),$C$6,$D$6))</f>
        <v/>
      </c>
      <c r="L647" s="27">
        <f>MAX(0.02,NORMINV(RAND(),$C$7,$D$7))</f>
        <v/>
      </c>
      <c r="M647" s="27">
        <f>MIN(0.16,MAX(0.05,NORMINV(RAND(),$C$8,$D$8)))</f>
        <v/>
      </c>
      <c r="N647" s="34">
        <f>MIN(24,MAX(5,NORMINV(RAND(),$C$9,$D$9)))</f>
        <v/>
      </c>
      <c r="O647" s="41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7">
        <f>MAX(-0.05,NORMINV(RAND(),$C$6,$D$6))</f>
        <v/>
      </c>
      <c r="L648" s="27">
        <f>MAX(0.02,NORMINV(RAND(),$C$7,$D$7))</f>
        <v/>
      </c>
      <c r="M648" s="27">
        <f>MIN(0.16,MAX(0.05,NORMINV(RAND(),$C$8,$D$8)))</f>
        <v/>
      </c>
      <c r="N648" s="34">
        <f>MIN(24,MAX(5,NORMINV(RAND(),$C$9,$D$9)))</f>
        <v/>
      </c>
      <c r="O648" s="41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7">
        <f>MAX(-0.05,NORMINV(RAND(),$C$6,$D$6))</f>
        <v/>
      </c>
      <c r="L649" s="27">
        <f>MAX(0.02,NORMINV(RAND(),$C$7,$D$7))</f>
        <v/>
      </c>
      <c r="M649" s="27">
        <f>MIN(0.16,MAX(0.05,NORMINV(RAND(),$C$8,$D$8)))</f>
        <v/>
      </c>
      <c r="N649" s="34">
        <f>MIN(24,MAX(5,NORMINV(RAND(),$C$9,$D$9)))</f>
        <v/>
      </c>
      <c r="O649" s="41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7">
        <f>MAX(-0.05,NORMINV(RAND(),$C$6,$D$6))</f>
        <v/>
      </c>
      <c r="L650" s="27">
        <f>MAX(0.02,NORMINV(RAND(),$C$7,$D$7))</f>
        <v/>
      </c>
      <c r="M650" s="27">
        <f>MIN(0.16,MAX(0.05,NORMINV(RAND(),$C$8,$D$8)))</f>
        <v/>
      </c>
      <c r="N650" s="34">
        <f>MIN(24,MAX(5,NORMINV(RAND(),$C$9,$D$9)))</f>
        <v/>
      </c>
      <c r="O650" s="41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7">
        <f>MAX(-0.05,NORMINV(RAND(),$C$6,$D$6))</f>
        <v/>
      </c>
      <c r="L651" s="27">
        <f>MAX(0.02,NORMINV(RAND(),$C$7,$D$7))</f>
        <v/>
      </c>
      <c r="M651" s="27">
        <f>MIN(0.16,MAX(0.05,NORMINV(RAND(),$C$8,$D$8)))</f>
        <v/>
      </c>
      <c r="N651" s="34">
        <f>MIN(24,MAX(5,NORMINV(RAND(),$C$9,$D$9)))</f>
        <v/>
      </c>
      <c r="O651" s="41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7">
        <f>MAX(-0.05,NORMINV(RAND(),$C$6,$D$6))</f>
        <v/>
      </c>
      <c r="L652" s="27">
        <f>MAX(0.02,NORMINV(RAND(),$C$7,$D$7))</f>
        <v/>
      </c>
      <c r="M652" s="27">
        <f>MIN(0.16,MAX(0.05,NORMINV(RAND(),$C$8,$D$8)))</f>
        <v/>
      </c>
      <c r="N652" s="34">
        <f>MIN(24,MAX(5,NORMINV(RAND(),$C$9,$D$9)))</f>
        <v/>
      </c>
      <c r="O652" s="41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7">
        <f>MAX(-0.05,NORMINV(RAND(),$C$6,$D$6))</f>
        <v/>
      </c>
      <c r="L653" s="27">
        <f>MAX(0.02,NORMINV(RAND(),$C$7,$D$7))</f>
        <v/>
      </c>
      <c r="M653" s="27">
        <f>MIN(0.16,MAX(0.05,NORMINV(RAND(),$C$8,$D$8)))</f>
        <v/>
      </c>
      <c r="N653" s="34">
        <f>MIN(24,MAX(5,NORMINV(RAND(),$C$9,$D$9)))</f>
        <v/>
      </c>
      <c r="O653" s="41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7">
        <f>MAX(-0.05,NORMINV(RAND(),$C$6,$D$6))</f>
        <v/>
      </c>
      <c r="L654" s="27">
        <f>MAX(0.02,NORMINV(RAND(),$C$7,$D$7))</f>
        <v/>
      </c>
      <c r="M654" s="27">
        <f>MIN(0.16,MAX(0.05,NORMINV(RAND(),$C$8,$D$8)))</f>
        <v/>
      </c>
      <c r="N654" s="34">
        <f>MIN(24,MAX(5,NORMINV(RAND(),$C$9,$D$9)))</f>
        <v/>
      </c>
      <c r="O654" s="41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7">
        <f>MAX(-0.05,NORMINV(RAND(),$C$6,$D$6))</f>
        <v/>
      </c>
      <c r="L655" s="27">
        <f>MAX(0.02,NORMINV(RAND(),$C$7,$D$7))</f>
        <v/>
      </c>
      <c r="M655" s="27">
        <f>MIN(0.16,MAX(0.05,NORMINV(RAND(),$C$8,$D$8)))</f>
        <v/>
      </c>
      <c r="N655" s="34">
        <f>MIN(24,MAX(5,NORMINV(RAND(),$C$9,$D$9)))</f>
        <v/>
      </c>
      <c r="O655" s="41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7">
        <f>MAX(-0.05,NORMINV(RAND(),$C$6,$D$6))</f>
        <v/>
      </c>
      <c r="L656" s="27">
        <f>MAX(0.02,NORMINV(RAND(),$C$7,$D$7))</f>
        <v/>
      </c>
      <c r="M656" s="27">
        <f>MIN(0.16,MAX(0.05,NORMINV(RAND(),$C$8,$D$8)))</f>
        <v/>
      </c>
      <c r="N656" s="34">
        <f>MIN(24,MAX(5,NORMINV(RAND(),$C$9,$D$9)))</f>
        <v/>
      </c>
      <c r="O656" s="41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7">
        <f>MAX(-0.05,NORMINV(RAND(),$C$6,$D$6))</f>
        <v/>
      </c>
      <c r="L657" s="27">
        <f>MAX(0.02,NORMINV(RAND(),$C$7,$D$7))</f>
        <v/>
      </c>
      <c r="M657" s="27">
        <f>MIN(0.16,MAX(0.05,NORMINV(RAND(),$C$8,$D$8)))</f>
        <v/>
      </c>
      <c r="N657" s="34">
        <f>MIN(24,MAX(5,NORMINV(RAND(),$C$9,$D$9)))</f>
        <v/>
      </c>
      <c r="O657" s="41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7">
        <f>MAX(-0.05,NORMINV(RAND(),$C$6,$D$6))</f>
        <v/>
      </c>
      <c r="L658" s="27">
        <f>MAX(0.02,NORMINV(RAND(),$C$7,$D$7))</f>
        <v/>
      </c>
      <c r="M658" s="27">
        <f>MIN(0.16,MAX(0.05,NORMINV(RAND(),$C$8,$D$8)))</f>
        <v/>
      </c>
      <c r="N658" s="34">
        <f>MIN(24,MAX(5,NORMINV(RAND(),$C$9,$D$9)))</f>
        <v/>
      </c>
      <c r="O658" s="41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7">
        <f>MAX(-0.05,NORMINV(RAND(),$C$6,$D$6))</f>
        <v/>
      </c>
      <c r="L659" s="27">
        <f>MAX(0.02,NORMINV(RAND(),$C$7,$D$7))</f>
        <v/>
      </c>
      <c r="M659" s="27">
        <f>MIN(0.16,MAX(0.05,NORMINV(RAND(),$C$8,$D$8)))</f>
        <v/>
      </c>
      <c r="N659" s="34">
        <f>MIN(24,MAX(5,NORMINV(RAND(),$C$9,$D$9)))</f>
        <v/>
      </c>
      <c r="O659" s="41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7">
        <f>MAX(-0.05,NORMINV(RAND(),$C$6,$D$6))</f>
        <v/>
      </c>
      <c r="L660" s="27">
        <f>MAX(0.02,NORMINV(RAND(),$C$7,$D$7))</f>
        <v/>
      </c>
      <c r="M660" s="27">
        <f>MIN(0.16,MAX(0.05,NORMINV(RAND(),$C$8,$D$8)))</f>
        <v/>
      </c>
      <c r="N660" s="34">
        <f>MIN(24,MAX(5,NORMINV(RAND(),$C$9,$D$9)))</f>
        <v/>
      </c>
      <c r="O660" s="41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7">
        <f>MAX(-0.05,NORMINV(RAND(),$C$6,$D$6))</f>
        <v/>
      </c>
      <c r="L661" s="27">
        <f>MAX(0.02,NORMINV(RAND(),$C$7,$D$7))</f>
        <v/>
      </c>
      <c r="M661" s="27">
        <f>MIN(0.16,MAX(0.05,NORMINV(RAND(),$C$8,$D$8)))</f>
        <v/>
      </c>
      <c r="N661" s="34">
        <f>MIN(24,MAX(5,NORMINV(RAND(),$C$9,$D$9)))</f>
        <v/>
      </c>
      <c r="O661" s="41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7">
        <f>MAX(-0.05,NORMINV(RAND(),$C$6,$D$6))</f>
        <v/>
      </c>
      <c r="L662" s="27">
        <f>MAX(0.02,NORMINV(RAND(),$C$7,$D$7))</f>
        <v/>
      </c>
      <c r="M662" s="27">
        <f>MIN(0.16,MAX(0.05,NORMINV(RAND(),$C$8,$D$8)))</f>
        <v/>
      </c>
      <c r="N662" s="34">
        <f>MIN(24,MAX(5,NORMINV(RAND(),$C$9,$D$9)))</f>
        <v/>
      </c>
      <c r="O662" s="41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7">
        <f>MAX(-0.05,NORMINV(RAND(),$C$6,$D$6))</f>
        <v/>
      </c>
      <c r="L663" s="27">
        <f>MAX(0.02,NORMINV(RAND(),$C$7,$D$7))</f>
        <v/>
      </c>
      <c r="M663" s="27">
        <f>MIN(0.16,MAX(0.05,NORMINV(RAND(),$C$8,$D$8)))</f>
        <v/>
      </c>
      <c r="N663" s="34">
        <f>MIN(24,MAX(5,NORMINV(RAND(),$C$9,$D$9)))</f>
        <v/>
      </c>
      <c r="O663" s="41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7">
        <f>MAX(-0.05,NORMINV(RAND(),$C$6,$D$6))</f>
        <v/>
      </c>
      <c r="L664" s="27">
        <f>MAX(0.02,NORMINV(RAND(),$C$7,$D$7))</f>
        <v/>
      </c>
      <c r="M664" s="27">
        <f>MIN(0.16,MAX(0.05,NORMINV(RAND(),$C$8,$D$8)))</f>
        <v/>
      </c>
      <c r="N664" s="34">
        <f>MIN(24,MAX(5,NORMINV(RAND(),$C$9,$D$9)))</f>
        <v/>
      </c>
      <c r="O664" s="41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7">
        <f>MAX(-0.05,NORMINV(RAND(),$C$6,$D$6))</f>
        <v/>
      </c>
      <c r="L665" s="27">
        <f>MAX(0.02,NORMINV(RAND(),$C$7,$D$7))</f>
        <v/>
      </c>
      <c r="M665" s="27">
        <f>MIN(0.16,MAX(0.05,NORMINV(RAND(),$C$8,$D$8)))</f>
        <v/>
      </c>
      <c r="N665" s="34">
        <f>MIN(24,MAX(5,NORMINV(RAND(),$C$9,$D$9)))</f>
        <v/>
      </c>
      <c r="O665" s="41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7">
        <f>MAX(-0.05,NORMINV(RAND(),$C$6,$D$6))</f>
        <v/>
      </c>
      <c r="L666" s="27">
        <f>MAX(0.02,NORMINV(RAND(),$C$7,$D$7))</f>
        <v/>
      </c>
      <c r="M666" s="27">
        <f>MIN(0.16,MAX(0.05,NORMINV(RAND(),$C$8,$D$8)))</f>
        <v/>
      </c>
      <c r="N666" s="34">
        <f>MIN(24,MAX(5,NORMINV(RAND(),$C$9,$D$9)))</f>
        <v/>
      </c>
      <c r="O666" s="41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7">
        <f>MAX(-0.05,NORMINV(RAND(),$C$6,$D$6))</f>
        <v/>
      </c>
      <c r="L667" s="27">
        <f>MAX(0.02,NORMINV(RAND(),$C$7,$D$7))</f>
        <v/>
      </c>
      <c r="M667" s="27">
        <f>MIN(0.16,MAX(0.05,NORMINV(RAND(),$C$8,$D$8)))</f>
        <v/>
      </c>
      <c r="N667" s="34">
        <f>MIN(24,MAX(5,NORMINV(RAND(),$C$9,$D$9)))</f>
        <v/>
      </c>
      <c r="O667" s="41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7">
        <f>MAX(-0.05,NORMINV(RAND(),$C$6,$D$6))</f>
        <v/>
      </c>
      <c r="L668" s="27">
        <f>MAX(0.02,NORMINV(RAND(),$C$7,$D$7))</f>
        <v/>
      </c>
      <c r="M668" s="27">
        <f>MIN(0.16,MAX(0.05,NORMINV(RAND(),$C$8,$D$8)))</f>
        <v/>
      </c>
      <c r="N668" s="34">
        <f>MIN(24,MAX(5,NORMINV(RAND(),$C$9,$D$9)))</f>
        <v/>
      </c>
      <c r="O668" s="41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7">
        <f>MAX(-0.05,NORMINV(RAND(),$C$6,$D$6))</f>
        <v/>
      </c>
      <c r="L669" s="27">
        <f>MAX(0.02,NORMINV(RAND(),$C$7,$D$7))</f>
        <v/>
      </c>
      <c r="M669" s="27">
        <f>MIN(0.16,MAX(0.05,NORMINV(RAND(),$C$8,$D$8)))</f>
        <v/>
      </c>
      <c r="N669" s="34">
        <f>MIN(24,MAX(5,NORMINV(RAND(),$C$9,$D$9)))</f>
        <v/>
      </c>
      <c r="O669" s="41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7">
        <f>MAX(-0.05,NORMINV(RAND(),$C$6,$D$6))</f>
        <v/>
      </c>
      <c r="L670" s="27">
        <f>MAX(0.02,NORMINV(RAND(),$C$7,$D$7))</f>
        <v/>
      </c>
      <c r="M670" s="27">
        <f>MIN(0.16,MAX(0.05,NORMINV(RAND(),$C$8,$D$8)))</f>
        <v/>
      </c>
      <c r="N670" s="34">
        <f>MIN(24,MAX(5,NORMINV(RAND(),$C$9,$D$9)))</f>
        <v/>
      </c>
      <c r="O670" s="41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7">
        <f>MAX(-0.05,NORMINV(RAND(),$C$6,$D$6))</f>
        <v/>
      </c>
      <c r="L671" s="27">
        <f>MAX(0.02,NORMINV(RAND(),$C$7,$D$7))</f>
        <v/>
      </c>
      <c r="M671" s="27">
        <f>MIN(0.16,MAX(0.05,NORMINV(RAND(),$C$8,$D$8)))</f>
        <v/>
      </c>
      <c r="N671" s="34">
        <f>MIN(24,MAX(5,NORMINV(RAND(),$C$9,$D$9)))</f>
        <v/>
      </c>
      <c r="O671" s="41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7">
        <f>MAX(-0.05,NORMINV(RAND(),$C$6,$D$6))</f>
        <v/>
      </c>
      <c r="L672" s="27">
        <f>MAX(0.02,NORMINV(RAND(),$C$7,$D$7))</f>
        <v/>
      </c>
      <c r="M672" s="27">
        <f>MIN(0.16,MAX(0.05,NORMINV(RAND(),$C$8,$D$8)))</f>
        <v/>
      </c>
      <c r="N672" s="34">
        <f>MIN(24,MAX(5,NORMINV(RAND(),$C$9,$D$9)))</f>
        <v/>
      </c>
      <c r="O672" s="41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7">
        <f>MAX(-0.05,NORMINV(RAND(),$C$6,$D$6))</f>
        <v/>
      </c>
      <c r="L673" s="27">
        <f>MAX(0.02,NORMINV(RAND(),$C$7,$D$7))</f>
        <v/>
      </c>
      <c r="M673" s="27">
        <f>MIN(0.16,MAX(0.05,NORMINV(RAND(),$C$8,$D$8)))</f>
        <v/>
      </c>
      <c r="N673" s="34">
        <f>MIN(24,MAX(5,NORMINV(RAND(),$C$9,$D$9)))</f>
        <v/>
      </c>
      <c r="O673" s="41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7">
        <f>MAX(-0.05,NORMINV(RAND(),$C$6,$D$6))</f>
        <v/>
      </c>
      <c r="L674" s="27">
        <f>MAX(0.02,NORMINV(RAND(),$C$7,$D$7))</f>
        <v/>
      </c>
      <c r="M674" s="27">
        <f>MIN(0.16,MAX(0.05,NORMINV(RAND(),$C$8,$D$8)))</f>
        <v/>
      </c>
      <c r="N674" s="34">
        <f>MIN(24,MAX(5,NORMINV(RAND(),$C$9,$D$9)))</f>
        <v/>
      </c>
      <c r="O674" s="41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7">
        <f>MAX(-0.05,NORMINV(RAND(),$C$6,$D$6))</f>
        <v/>
      </c>
      <c r="L675" s="27">
        <f>MAX(0.02,NORMINV(RAND(),$C$7,$D$7))</f>
        <v/>
      </c>
      <c r="M675" s="27">
        <f>MIN(0.16,MAX(0.05,NORMINV(RAND(),$C$8,$D$8)))</f>
        <v/>
      </c>
      <c r="N675" s="34">
        <f>MIN(24,MAX(5,NORMINV(RAND(),$C$9,$D$9)))</f>
        <v/>
      </c>
      <c r="O675" s="41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7">
        <f>MAX(-0.05,NORMINV(RAND(),$C$6,$D$6))</f>
        <v/>
      </c>
      <c r="L676" s="27">
        <f>MAX(0.02,NORMINV(RAND(),$C$7,$D$7))</f>
        <v/>
      </c>
      <c r="M676" s="27">
        <f>MIN(0.16,MAX(0.05,NORMINV(RAND(),$C$8,$D$8)))</f>
        <v/>
      </c>
      <c r="N676" s="34">
        <f>MIN(24,MAX(5,NORMINV(RAND(),$C$9,$D$9)))</f>
        <v/>
      </c>
      <c r="O676" s="41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7">
        <f>MAX(-0.05,NORMINV(RAND(),$C$6,$D$6))</f>
        <v/>
      </c>
      <c r="L677" s="27">
        <f>MAX(0.02,NORMINV(RAND(),$C$7,$D$7))</f>
        <v/>
      </c>
      <c r="M677" s="27">
        <f>MIN(0.16,MAX(0.05,NORMINV(RAND(),$C$8,$D$8)))</f>
        <v/>
      </c>
      <c r="N677" s="34">
        <f>MIN(24,MAX(5,NORMINV(RAND(),$C$9,$D$9)))</f>
        <v/>
      </c>
      <c r="O677" s="41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7">
        <f>MAX(-0.05,NORMINV(RAND(),$C$6,$D$6))</f>
        <v/>
      </c>
      <c r="L678" s="27">
        <f>MAX(0.02,NORMINV(RAND(),$C$7,$D$7))</f>
        <v/>
      </c>
      <c r="M678" s="27">
        <f>MIN(0.16,MAX(0.05,NORMINV(RAND(),$C$8,$D$8)))</f>
        <v/>
      </c>
      <c r="N678" s="34">
        <f>MIN(24,MAX(5,NORMINV(RAND(),$C$9,$D$9)))</f>
        <v/>
      </c>
      <c r="O678" s="41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7">
        <f>MAX(-0.05,NORMINV(RAND(),$C$6,$D$6))</f>
        <v/>
      </c>
      <c r="L679" s="27">
        <f>MAX(0.02,NORMINV(RAND(),$C$7,$D$7))</f>
        <v/>
      </c>
      <c r="M679" s="27">
        <f>MIN(0.16,MAX(0.05,NORMINV(RAND(),$C$8,$D$8)))</f>
        <v/>
      </c>
      <c r="N679" s="34">
        <f>MIN(24,MAX(5,NORMINV(RAND(),$C$9,$D$9)))</f>
        <v/>
      </c>
      <c r="O679" s="41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7">
        <f>MAX(-0.05,NORMINV(RAND(),$C$6,$D$6))</f>
        <v/>
      </c>
      <c r="L680" s="27">
        <f>MAX(0.02,NORMINV(RAND(),$C$7,$D$7))</f>
        <v/>
      </c>
      <c r="M680" s="27">
        <f>MIN(0.16,MAX(0.05,NORMINV(RAND(),$C$8,$D$8)))</f>
        <v/>
      </c>
      <c r="N680" s="34">
        <f>MIN(24,MAX(5,NORMINV(RAND(),$C$9,$D$9)))</f>
        <v/>
      </c>
      <c r="O680" s="41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7">
        <f>MAX(-0.05,NORMINV(RAND(),$C$6,$D$6))</f>
        <v/>
      </c>
      <c r="L681" s="27">
        <f>MAX(0.02,NORMINV(RAND(),$C$7,$D$7))</f>
        <v/>
      </c>
      <c r="M681" s="27">
        <f>MIN(0.16,MAX(0.05,NORMINV(RAND(),$C$8,$D$8)))</f>
        <v/>
      </c>
      <c r="N681" s="34">
        <f>MIN(24,MAX(5,NORMINV(RAND(),$C$9,$D$9)))</f>
        <v/>
      </c>
      <c r="O681" s="41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7">
        <f>MAX(-0.05,NORMINV(RAND(),$C$6,$D$6))</f>
        <v/>
      </c>
      <c r="L682" s="27">
        <f>MAX(0.02,NORMINV(RAND(),$C$7,$D$7))</f>
        <v/>
      </c>
      <c r="M682" s="27">
        <f>MIN(0.16,MAX(0.05,NORMINV(RAND(),$C$8,$D$8)))</f>
        <v/>
      </c>
      <c r="N682" s="34">
        <f>MIN(24,MAX(5,NORMINV(RAND(),$C$9,$D$9)))</f>
        <v/>
      </c>
      <c r="O682" s="41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7">
        <f>MAX(-0.05,NORMINV(RAND(),$C$6,$D$6))</f>
        <v/>
      </c>
      <c r="L683" s="27">
        <f>MAX(0.02,NORMINV(RAND(),$C$7,$D$7))</f>
        <v/>
      </c>
      <c r="M683" s="27">
        <f>MIN(0.16,MAX(0.05,NORMINV(RAND(),$C$8,$D$8)))</f>
        <v/>
      </c>
      <c r="N683" s="34">
        <f>MIN(24,MAX(5,NORMINV(RAND(),$C$9,$D$9)))</f>
        <v/>
      </c>
      <c r="O683" s="41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7">
        <f>MAX(-0.05,NORMINV(RAND(),$C$6,$D$6))</f>
        <v/>
      </c>
      <c r="L684" s="27">
        <f>MAX(0.02,NORMINV(RAND(),$C$7,$D$7))</f>
        <v/>
      </c>
      <c r="M684" s="27">
        <f>MIN(0.16,MAX(0.05,NORMINV(RAND(),$C$8,$D$8)))</f>
        <v/>
      </c>
      <c r="N684" s="34">
        <f>MIN(24,MAX(5,NORMINV(RAND(),$C$9,$D$9)))</f>
        <v/>
      </c>
      <c r="O684" s="41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7">
        <f>MAX(-0.05,NORMINV(RAND(),$C$6,$D$6))</f>
        <v/>
      </c>
      <c r="L685" s="27">
        <f>MAX(0.02,NORMINV(RAND(),$C$7,$D$7))</f>
        <v/>
      </c>
      <c r="M685" s="27">
        <f>MIN(0.16,MAX(0.05,NORMINV(RAND(),$C$8,$D$8)))</f>
        <v/>
      </c>
      <c r="N685" s="34">
        <f>MIN(24,MAX(5,NORMINV(RAND(),$C$9,$D$9)))</f>
        <v/>
      </c>
      <c r="O685" s="41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7">
        <f>MAX(-0.05,NORMINV(RAND(),$C$6,$D$6))</f>
        <v/>
      </c>
      <c r="L686" s="27">
        <f>MAX(0.02,NORMINV(RAND(),$C$7,$D$7))</f>
        <v/>
      </c>
      <c r="M686" s="27">
        <f>MIN(0.16,MAX(0.05,NORMINV(RAND(),$C$8,$D$8)))</f>
        <v/>
      </c>
      <c r="N686" s="34">
        <f>MIN(24,MAX(5,NORMINV(RAND(),$C$9,$D$9)))</f>
        <v/>
      </c>
      <c r="O686" s="41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7">
        <f>MAX(-0.05,NORMINV(RAND(),$C$6,$D$6))</f>
        <v/>
      </c>
      <c r="L687" s="27">
        <f>MAX(0.02,NORMINV(RAND(),$C$7,$D$7))</f>
        <v/>
      </c>
      <c r="M687" s="27">
        <f>MIN(0.16,MAX(0.05,NORMINV(RAND(),$C$8,$D$8)))</f>
        <v/>
      </c>
      <c r="N687" s="34">
        <f>MIN(24,MAX(5,NORMINV(RAND(),$C$9,$D$9)))</f>
        <v/>
      </c>
      <c r="O687" s="41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7">
        <f>MAX(-0.05,NORMINV(RAND(),$C$6,$D$6))</f>
        <v/>
      </c>
      <c r="L688" s="27">
        <f>MAX(0.02,NORMINV(RAND(),$C$7,$D$7))</f>
        <v/>
      </c>
      <c r="M688" s="27">
        <f>MIN(0.16,MAX(0.05,NORMINV(RAND(),$C$8,$D$8)))</f>
        <v/>
      </c>
      <c r="N688" s="34">
        <f>MIN(24,MAX(5,NORMINV(RAND(),$C$9,$D$9)))</f>
        <v/>
      </c>
      <c r="O688" s="41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7">
        <f>MAX(-0.05,NORMINV(RAND(),$C$6,$D$6))</f>
        <v/>
      </c>
      <c r="L689" s="27">
        <f>MAX(0.02,NORMINV(RAND(),$C$7,$D$7))</f>
        <v/>
      </c>
      <c r="M689" s="27">
        <f>MIN(0.16,MAX(0.05,NORMINV(RAND(),$C$8,$D$8)))</f>
        <v/>
      </c>
      <c r="N689" s="34">
        <f>MIN(24,MAX(5,NORMINV(RAND(),$C$9,$D$9)))</f>
        <v/>
      </c>
      <c r="O689" s="41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7">
        <f>MAX(-0.05,NORMINV(RAND(),$C$6,$D$6))</f>
        <v/>
      </c>
      <c r="L690" s="27">
        <f>MAX(0.02,NORMINV(RAND(),$C$7,$D$7))</f>
        <v/>
      </c>
      <c r="M690" s="27">
        <f>MIN(0.16,MAX(0.05,NORMINV(RAND(),$C$8,$D$8)))</f>
        <v/>
      </c>
      <c r="N690" s="34">
        <f>MIN(24,MAX(5,NORMINV(RAND(),$C$9,$D$9)))</f>
        <v/>
      </c>
      <c r="O690" s="41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7">
        <f>MAX(-0.05,NORMINV(RAND(),$C$6,$D$6))</f>
        <v/>
      </c>
      <c r="L691" s="27">
        <f>MAX(0.02,NORMINV(RAND(),$C$7,$D$7))</f>
        <v/>
      </c>
      <c r="M691" s="27">
        <f>MIN(0.16,MAX(0.05,NORMINV(RAND(),$C$8,$D$8)))</f>
        <v/>
      </c>
      <c r="N691" s="34">
        <f>MIN(24,MAX(5,NORMINV(RAND(),$C$9,$D$9)))</f>
        <v/>
      </c>
      <c r="O691" s="41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7">
        <f>MAX(-0.05,NORMINV(RAND(),$C$6,$D$6))</f>
        <v/>
      </c>
      <c r="L692" s="27">
        <f>MAX(0.02,NORMINV(RAND(),$C$7,$D$7))</f>
        <v/>
      </c>
      <c r="M692" s="27">
        <f>MIN(0.16,MAX(0.05,NORMINV(RAND(),$C$8,$D$8)))</f>
        <v/>
      </c>
      <c r="N692" s="34">
        <f>MIN(24,MAX(5,NORMINV(RAND(),$C$9,$D$9)))</f>
        <v/>
      </c>
      <c r="O692" s="41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7">
        <f>MAX(-0.05,NORMINV(RAND(),$C$6,$D$6))</f>
        <v/>
      </c>
      <c r="L693" s="27">
        <f>MAX(0.02,NORMINV(RAND(),$C$7,$D$7))</f>
        <v/>
      </c>
      <c r="M693" s="27">
        <f>MIN(0.16,MAX(0.05,NORMINV(RAND(),$C$8,$D$8)))</f>
        <v/>
      </c>
      <c r="N693" s="34">
        <f>MIN(24,MAX(5,NORMINV(RAND(),$C$9,$D$9)))</f>
        <v/>
      </c>
      <c r="O693" s="41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7">
        <f>MAX(-0.05,NORMINV(RAND(),$C$6,$D$6))</f>
        <v/>
      </c>
      <c r="L694" s="27">
        <f>MAX(0.02,NORMINV(RAND(),$C$7,$D$7))</f>
        <v/>
      </c>
      <c r="M694" s="27">
        <f>MIN(0.16,MAX(0.05,NORMINV(RAND(),$C$8,$D$8)))</f>
        <v/>
      </c>
      <c r="N694" s="34">
        <f>MIN(24,MAX(5,NORMINV(RAND(),$C$9,$D$9)))</f>
        <v/>
      </c>
      <c r="O694" s="41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7">
        <f>MAX(-0.05,NORMINV(RAND(),$C$6,$D$6))</f>
        <v/>
      </c>
      <c r="L695" s="27">
        <f>MAX(0.02,NORMINV(RAND(),$C$7,$D$7))</f>
        <v/>
      </c>
      <c r="M695" s="27">
        <f>MIN(0.16,MAX(0.05,NORMINV(RAND(),$C$8,$D$8)))</f>
        <v/>
      </c>
      <c r="N695" s="34">
        <f>MIN(24,MAX(5,NORMINV(RAND(),$C$9,$D$9)))</f>
        <v/>
      </c>
      <c r="O695" s="41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7">
        <f>MAX(-0.05,NORMINV(RAND(),$C$6,$D$6))</f>
        <v/>
      </c>
      <c r="L696" s="27">
        <f>MAX(0.02,NORMINV(RAND(),$C$7,$D$7))</f>
        <v/>
      </c>
      <c r="M696" s="27">
        <f>MIN(0.16,MAX(0.05,NORMINV(RAND(),$C$8,$D$8)))</f>
        <v/>
      </c>
      <c r="N696" s="34">
        <f>MIN(24,MAX(5,NORMINV(RAND(),$C$9,$D$9)))</f>
        <v/>
      </c>
      <c r="O696" s="41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7">
        <f>MAX(-0.05,NORMINV(RAND(),$C$6,$D$6))</f>
        <v/>
      </c>
      <c r="L697" s="27">
        <f>MAX(0.02,NORMINV(RAND(),$C$7,$D$7))</f>
        <v/>
      </c>
      <c r="M697" s="27">
        <f>MIN(0.16,MAX(0.05,NORMINV(RAND(),$C$8,$D$8)))</f>
        <v/>
      </c>
      <c r="N697" s="34">
        <f>MIN(24,MAX(5,NORMINV(RAND(),$C$9,$D$9)))</f>
        <v/>
      </c>
      <c r="O697" s="41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7">
        <f>MAX(-0.05,NORMINV(RAND(),$C$6,$D$6))</f>
        <v/>
      </c>
      <c r="L698" s="27">
        <f>MAX(0.02,NORMINV(RAND(),$C$7,$D$7))</f>
        <v/>
      </c>
      <c r="M698" s="27">
        <f>MIN(0.16,MAX(0.05,NORMINV(RAND(),$C$8,$D$8)))</f>
        <v/>
      </c>
      <c r="N698" s="34">
        <f>MIN(24,MAX(5,NORMINV(RAND(),$C$9,$D$9)))</f>
        <v/>
      </c>
      <c r="O698" s="41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7">
        <f>MAX(-0.05,NORMINV(RAND(),$C$6,$D$6))</f>
        <v/>
      </c>
      <c r="L699" s="27">
        <f>MAX(0.02,NORMINV(RAND(),$C$7,$D$7))</f>
        <v/>
      </c>
      <c r="M699" s="27">
        <f>MIN(0.16,MAX(0.05,NORMINV(RAND(),$C$8,$D$8)))</f>
        <v/>
      </c>
      <c r="N699" s="34">
        <f>MIN(24,MAX(5,NORMINV(RAND(),$C$9,$D$9)))</f>
        <v/>
      </c>
      <c r="O699" s="41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7">
        <f>MAX(-0.05,NORMINV(RAND(),$C$6,$D$6))</f>
        <v/>
      </c>
      <c r="L700" s="27">
        <f>MAX(0.02,NORMINV(RAND(),$C$7,$D$7))</f>
        <v/>
      </c>
      <c r="M700" s="27">
        <f>MIN(0.16,MAX(0.05,NORMINV(RAND(),$C$8,$D$8)))</f>
        <v/>
      </c>
      <c r="N700" s="34">
        <f>MIN(24,MAX(5,NORMINV(RAND(),$C$9,$D$9)))</f>
        <v/>
      </c>
      <c r="O700" s="41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7">
        <f>MAX(-0.05,NORMINV(RAND(),$C$6,$D$6))</f>
        <v/>
      </c>
      <c r="L701" s="27">
        <f>MAX(0.02,NORMINV(RAND(),$C$7,$D$7))</f>
        <v/>
      </c>
      <c r="M701" s="27">
        <f>MIN(0.16,MAX(0.05,NORMINV(RAND(),$C$8,$D$8)))</f>
        <v/>
      </c>
      <c r="N701" s="34">
        <f>MIN(24,MAX(5,NORMINV(RAND(),$C$9,$D$9)))</f>
        <v/>
      </c>
      <c r="O701" s="41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7">
        <f>MAX(-0.05,NORMINV(RAND(),$C$6,$D$6))</f>
        <v/>
      </c>
      <c r="L702" s="27">
        <f>MAX(0.02,NORMINV(RAND(),$C$7,$D$7))</f>
        <v/>
      </c>
      <c r="M702" s="27">
        <f>MIN(0.16,MAX(0.05,NORMINV(RAND(),$C$8,$D$8)))</f>
        <v/>
      </c>
      <c r="N702" s="34">
        <f>MIN(24,MAX(5,NORMINV(RAND(),$C$9,$D$9)))</f>
        <v/>
      </c>
      <c r="O702" s="41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7">
        <f>MAX(-0.05,NORMINV(RAND(),$C$6,$D$6))</f>
        <v/>
      </c>
      <c r="L703" s="27">
        <f>MAX(0.02,NORMINV(RAND(),$C$7,$D$7))</f>
        <v/>
      </c>
      <c r="M703" s="27">
        <f>MIN(0.16,MAX(0.05,NORMINV(RAND(),$C$8,$D$8)))</f>
        <v/>
      </c>
      <c r="N703" s="34">
        <f>MIN(24,MAX(5,NORMINV(RAND(),$C$9,$D$9)))</f>
        <v/>
      </c>
      <c r="O703" s="41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7">
        <f>MAX(-0.05,NORMINV(RAND(),$C$6,$D$6))</f>
        <v/>
      </c>
      <c r="L704" s="27">
        <f>MAX(0.02,NORMINV(RAND(),$C$7,$D$7))</f>
        <v/>
      </c>
      <c r="M704" s="27">
        <f>MIN(0.16,MAX(0.05,NORMINV(RAND(),$C$8,$D$8)))</f>
        <v/>
      </c>
      <c r="N704" s="34">
        <f>MIN(24,MAX(5,NORMINV(RAND(),$C$9,$D$9)))</f>
        <v/>
      </c>
      <c r="O704" s="41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7">
        <f>MAX(-0.05,NORMINV(RAND(),$C$6,$D$6))</f>
        <v/>
      </c>
      <c r="L705" s="27">
        <f>MAX(0.02,NORMINV(RAND(),$C$7,$D$7))</f>
        <v/>
      </c>
      <c r="M705" s="27">
        <f>MIN(0.16,MAX(0.05,NORMINV(RAND(),$C$8,$D$8)))</f>
        <v/>
      </c>
      <c r="N705" s="34">
        <f>MIN(24,MAX(5,NORMINV(RAND(),$C$9,$D$9)))</f>
        <v/>
      </c>
      <c r="O705" s="41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7">
        <f>MAX(-0.05,NORMINV(RAND(),$C$6,$D$6))</f>
        <v/>
      </c>
      <c r="L706" s="27">
        <f>MAX(0.02,NORMINV(RAND(),$C$7,$D$7))</f>
        <v/>
      </c>
      <c r="M706" s="27">
        <f>MIN(0.16,MAX(0.05,NORMINV(RAND(),$C$8,$D$8)))</f>
        <v/>
      </c>
      <c r="N706" s="34">
        <f>MIN(24,MAX(5,NORMINV(RAND(),$C$9,$D$9)))</f>
        <v/>
      </c>
      <c r="O706" s="41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7">
        <f>MAX(-0.05,NORMINV(RAND(),$C$6,$D$6))</f>
        <v/>
      </c>
      <c r="L707" s="27">
        <f>MAX(0.02,NORMINV(RAND(),$C$7,$D$7))</f>
        <v/>
      </c>
      <c r="M707" s="27">
        <f>MIN(0.16,MAX(0.05,NORMINV(RAND(),$C$8,$D$8)))</f>
        <v/>
      </c>
      <c r="N707" s="34">
        <f>MIN(24,MAX(5,NORMINV(RAND(),$C$9,$D$9)))</f>
        <v/>
      </c>
      <c r="O707" s="41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7">
        <f>MAX(-0.05,NORMINV(RAND(),$C$6,$D$6))</f>
        <v/>
      </c>
      <c r="L708" s="27">
        <f>MAX(0.02,NORMINV(RAND(),$C$7,$D$7))</f>
        <v/>
      </c>
      <c r="M708" s="27">
        <f>MIN(0.16,MAX(0.05,NORMINV(RAND(),$C$8,$D$8)))</f>
        <v/>
      </c>
      <c r="N708" s="34">
        <f>MIN(24,MAX(5,NORMINV(RAND(),$C$9,$D$9)))</f>
        <v/>
      </c>
      <c r="O708" s="41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7">
        <f>MAX(-0.05,NORMINV(RAND(),$C$6,$D$6))</f>
        <v/>
      </c>
      <c r="L709" s="27">
        <f>MAX(0.02,NORMINV(RAND(),$C$7,$D$7))</f>
        <v/>
      </c>
      <c r="M709" s="27">
        <f>MIN(0.16,MAX(0.05,NORMINV(RAND(),$C$8,$D$8)))</f>
        <v/>
      </c>
      <c r="N709" s="34">
        <f>MIN(24,MAX(5,NORMINV(RAND(),$C$9,$D$9)))</f>
        <v/>
      </c>
      <c r="O709" s="41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7">
        <f>MAX(-0.05,NORMINV(RAND(),$C$6,$D$6))</f>
        <v/>
      </c>
      <c r="L710" s="27">
        <f>MAX(0.02,NORMINV(RAND(),$C$7,$D$7))</f>
        <v/>
      </c>
      <c r="M710" s="27">
        <f>MIN(0.16,MAX(0.05,NORMINV(RAND(),$C$8,$D$8)))</f>
        <v/>
      </c>
      <c r="N710" s="34">
        <f>MIN(24,MAX(5,NORMINV(RAND(),$C$9,$D$9)))</f>
        <v/>
      </c>
      <c r="O710" s="41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7">
        <f>MAX(-0.05,NORMINV(RAND(),$C$6,$D$6))</f>
        <v/>
      </c>
      <c r="L711" s="27">
        <f>MAX(0.02,NORMINV(RAND(),$C$7,$D$7))</f>
        <v/>
      </c>
      <c r="M711" s="27">
        <f>MIN(0.16,MAX(0.05,NORMINV(RAND(),$C$8,$D$8)))</f>
        <v/>
      </c>
      <c r="N711" s="34">
        <f>MIN(24,MAX(5,NORMINV(RAND(),$C$9,$D$9)))</f>
        <v/>
      </c>
      <c r="O711" s="41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7">
        <f>MAX(-0.05,NORMINV(RAND(),$C$6,$D$6))</f>
        <v/>
      </c>
      <c r="L712" s="27">
        <f>MAX(0.02,NORMINV(RAND(),$C$7,$D$7))</f>
        <v/>
      </c>
      <c r="M712" s="27">
        <f>MIN(0.16,MAX(0.05,NORMINV(RAND(),$C$8,$D$8)))</f>
        <v/>
      </c>
      <c r="N712" s="34">
        <f>MIN(24,MAX(5,NORMINV(RAND(),$C$9,$D$9)))</f>
        <v/>
      </c>
      <c r="O712" s="41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7">
        <f>MAX(-0.05,NORMINV(RAND(),$C$6,$D$6))</f>
        <v/>
      </c>
      <c r="L713" s="27">
        <f>MAX(0.02,NORMINV(RAND(),$C$7,$D$7))</f>
        <v/>
      </c>
      <c r="M713" s="27">
        <f>MIN(0.16,MAX(0.05,NORMINV(RAND(),$C$8,$D$8)))</f>
        <v/>
      </c>
      <c r="N713" s="34">
        <f>MIN(24,MAX(5,NORMINV(RAND(),$C$9,$D$9)))</f>
        <v/>
      </c>
      <c r="O713" s="41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7">
        <f>MAX(-0.05,NORMINV(RAND(),$C$6,$D$6))</f>
        <v/>
      </c>
      <c r="L714" s="27">
        <f>MAX(0.02,NORMINV(RAND(),$C$7,$D$7))</f>
        <v/>
      </c>
      <c r="M714" s="27">
        <f>MIN(0.16,MAX(0.05,NORMINV(RAND(),$C$8,$D$8)))</f>
        <v/>
      </c>
      <c r="N714" s="34">
        <f>MIN(24,MAX(5,NORMINV(RAND(),$C$9,$D$9)))</f>
        <v/>
      </c>
      <c r="O714" s="41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7">
        <f>MAX(-0.05,NORMINV(RAND(),$C$6,$D$6))</f>
        <v/>
      </c>
      <c r="L715" s="27">
        <f>MAX(0.02,NORMINV(RAND(),$C$7,$D$7))</f>
        <v/>
      </c>
      <c r="M715" s="27">
        <f>MIN(0.16,MAX(0.05,NORMINV(RAND(),$C$8,$D$8)))</f>
        <v/>
      </c>
      <c r="N715" s="34">
        <f>MIN(24,MAX(5,NORMINV(RAND(),$C$9,$D$9)))</f>
        <v/>
      </c>
      <c r="O715" s="41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7">
        <f>MAX(-0.05,NORMINV(RAND(),$C$6,$D$6))</f>
        <v/>
      </c>
      <c r="L716" s="27">
        <f>MAX(0.02,NORMINV(RAND(),$C$7,$D$7))</f>
        <v/>
      </c>
      <c r="M716" s="27">
        <f>MIN(0.16,MAX(0.05,NORMINV(RAND(),$C$8,$D$8)))</f>
        <v/>
      </c>
      <c r="N716" s="34">
        <f>MIN(24,MAX(5,NORMINV(RAND(),$C$9,$D$9)))</f>
        <v/>
      </c>
      <c r="O716" s="41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7">
        <f>MAX(-0.05,NORMINV(RAND(),$C$6,$D$6))</f>
        <v/>
      </c>
      <c r="L717" s="27">
        <f>MAX(0.02,NORMINV(RAND(),$C$7,$D$7))</f>
        <v/>
      </c>
      <c r="M717" s="27">
        <f>MIN(0.16,MAX(0.05,NORMINV(RAND(),$C$8,$D$8)))</f>
        <v/>
      </c>
      <c r="N717" s="34">
        <f>MIN(24,MAX(5,NORMINV(RAND(),$C$9,$D$9)))</f>
        <v/>
      </c>
      <c r="O717" s="41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7">
        <f>MAX(-0.05,NORMINV(RAND(),$C$6,$D$6))</f>
        <v/>
      </c>
      <c r="L718" s="27">
        <f>MAX(0.02,NORMINV(RAND(),$C$7,$D$7))</f>
        <v/>
      </c>
      <c r="M718" s="27">
        <f>MIN(0.16,MAX(0.05,NORMINV(RAND(),$C$8,$D$8)))</f>
        <v/>
      </c>
      <c r="N718" s="34">
        <f>MIN(24,MAX(5,NORMINV(RAND(),$C$9,$D$9)))</f>
        <v/>
      </c>
      <c r="O718" s="41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7">
        <f>MAX(-0.05,NORMINV(RAND(),$C$6,$D$6))</f>
        <v/>
      </c>
      <c r="L719" s="27">
        <f>MAX(0.02,NORMINV(RAND(),$C$7,$D$7))</f>
        <v/>
      </c>
      <c r="M719" s="27">
        <f>MIN(0.16,MAX(0.05,NORMINV(RAND(),$C$8,$D$8)))</f>
        <v/>
      </c>
      <c r="N719" s="34">
        <f>MIN(24,MAX(5,NORMINV(RAND(),$C$9,$D$9)))</f>
        <v/>
      </c>
      <c r="O719" s="41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7">
        <f>MAX(-0.05,NORMINV(RAND(),$C$6,$D$6))</f>
        <v/>
      </c>
      <c r="L720" s="27">
        <f>MAX(0.02,NORMINV(RAND(),$C$7,$D$7))</f>
        <v/>
      </c>
      <c r="M720" s="27">
        <f>MIN(0.16,MAX(0.05,NORMINV(RAND(),$C$8,$D$8)))</f>
        <v/>
      </c>
      <c r="N720" s="34">
        <f>MIN(24,MAX(5,NORMINV(RAND(),$C$9,$D$9)))</f>
        <v/>
      </c>
      <c r="O720" s="41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7">
        <f>MAX(-0.05,NORMINV(RAND(),$C$6,$D$6))</f>
        <v/>
      </c>
      <c r="L721" s="27">
        <f>MAX(0.02,NORMINV(RAND(),$C$7,$D$7))</f>
        <v/>
      </c>
      <c r="M721" s="27">
        <f>MIN(0.16,MAX(0.05,NORMINV(RAND(),$C$8,$D$8)))</f>
        <v/>
      </c>
      <c r="N721" s="34">
        <f>MIN(24,MAX(5,NORMINV(RAND(),$C$9,$D$9)))</f>
        <v/>
      </c>
      <c r="O721" s="41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7">
        <f>MAX(-0.05,NORMINV(RAND(),$C$6,$D$6))</f>
        <v/>
      </c>
      <c r="L722" s="27">
        <f>MAX(0.02,NORMINV(RAND(),$C$7,$D$7))</f>
        <v/>
      </c>
      <c r="M722" s="27">
        <f>MIN(0.16,MAX(0.05,NORMINV(RAND(),$C$8,$D$8)))</f>
        <v/>
      </c>
      <c r="N722" s="34">
        <f>MIN(24,MAX(5,NORMINV(RAND(),$C$9,$D$9)))</f>
        <v/>
      </c>
      <c r="O722" s="41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7">
        <f>MAX(-0.05,NORMINV(RAND(),$C$6,$D$6))</f>
        <v/>
      </c>
      <c r="L723" s="27">
        <f>MAX(0.02,NORMINV(RAND(),$C$7,$D$7))</f>
        <v/>
      </c>
      <c r="M723" s="27">
        <f>MIN(0.16,MAX(0.05,NORMINV(RAND(),$C$8,$D$8)))</f>
        <v/>
      </c>
      <c r="N723" s="34">
        <f>MIN(24,MAX(5,NORMINV(RAND(),$C$9,$D$9)))</f>
        <v/>
      </c>
      <c r="O723" s="41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7">
        <f>MAX(-0.05,NORMINV(RAND(),$C$6,$D$6))</f>
        <v/>
      </c>
      <c r="L724" s="27">
        <f>MAX(0.02,NORMINV(RAND(),$C$7,$D$7))</f>
        <v/>
      </c>
      <c r="M724" s="27">
        <f>MIN(0.16,MAX(0.05,NORMINV(RAND(),$C$8,$D$8)))</f>
        <v/>
      </c>
      <c r="N724" s="34">
        <f>MIN(24,MAX(5,NORMINV(RAND(),$C$9,$D$9)))</f>
        <v/>
      </c>
      <c r="O724" s="41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7">
        <f>MAX(-0.05,NORMINV(RAND(),$C$6,$D$6))</f>
        <v/>
      </c>
      <c r="L725" s="27">
        <f>MAX(0.02,NORMINV(RAND(),$C$7,$D$7))</f>
        <v/>
      </c>
      <c r="M725" s="27">
        <f>MIN(0.16,MAX(0.05,NORMINV(RAND(),$C$8,$D$8)))</f>
        <v/>
      </c>
      <c r="N725" s="34">
        <f>MIN(24,MAX(5,NORMINV(RAND(),$C$9,$D$9)))</f>
        <v/>
      </c>
      <c r="O725" s="41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7">
        <f>MAX(-0.05,NORMINV(RAND(),$C$6,$D$6))</f>
        <v/>
      </c>
      <c r="L726" s="27">
        <f>MAX(0.02,NORMINV(RAND(),$C$7,$D$7))</f>
        <v/>
      </c>
      <c r="M726" s="27">
        <f>MIN(0.16,MAX(0.05,NORMINV(RAND(),$C$8,$D$8)))</f>
        <v/>
      </c>
      <c r="N726" s="34">
        <f>MIN(24,MAX(5,NORMINV(RAND(),$C$9,$D$9)))</f>
        <v/>
      </c>
      <c r="O726" s="41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7">
        <f>MAX(-0.05,NORMINV(RAND(),$C$6,$D$6))</f>
        <v/>
      </c>
      <c r="L727" s="27">
        <f>MAX(0.02,NORMINV(RAND(),$C$7,$D$7))</f>
        <v/>
      </c>
      <c r="M727" s="27">
        <f>MIN(0.16,MAX(0.05,NORMINV(RAND(),$C$8,$D$8)))</f>
        <v/>
      </c>
      <c r="N727" s="34">
        <f>MIN(24,MAX(5,NORMINV(RAND(),$C$9,$D$9)))</f>
        <v/>
      </c>
      <c r="O727" s="41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7">
        <f>MAX(-0.05,NORMINV(RAND(),$C$6,$D$6))</f>
        <v/>
      </c>
      <c r="L728" s="27">
        <f>MAX(0.02,NORMINV(RAND(),$C$7,$D$7))</f>
        <v/>
      </c>
      <c r="M728" s="27">
        <f>MIN(0.16,MAX(0.05,NORMINV(RAND(),$C$8,$D$8)))</f>
        <v/>
      </c>
      <c r="N728" s="34">
        <f>MIN(24,MAX(5,NORMINV(RAND(),$C$9,$D$9)))</f>
        <v/>
      </c>
      <c r="O728" s="41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7">
        <f>MAX(-0.05,NORMINV(RAND(),$C$6,$D$6))</f>
        <v/>
      </c>
      <c r="L729" s="27">
        <f>MAX(0.02,NORMINV(RAND(),$C$7,$D$7))</f>
        <v/>
      </c>
      <c r="M729" s="27">
        <f>MIN(0.16,MAX(0.05,NORMINV(RAND(),$C$8,$D$8)))</f>
        <v/>
      </c>
      <c r="N729" s="34">
        <f>MIN(24,MAX(5,NORMINV(RAND(),$C$9,$D$9)))</f>
        <v/>
      </c>
      <c r="O729" s="41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7">
        <f>MAX(-0.05,NORMINV(RAND(),$C$6,$D$6))</f>
        <v/>
      </c>
      <c r="L730" s="27">
        <f>MAX(0.02,NORMINV(RAND(),$C$7,$D$7))</f>
        <v/>
      </c>
      <c r="M730" s="27">
        <f>MIN(0.16,MAX(0.05,NORMINV(RAND(),$C$8,$D$8)))</f>
        <v/>
      </c>
      <c r="N730" s="34">
        <f>MIN(24,MAX(5,NORMINV(RAND(),$C$9,$D$9)))</f>
        <v/>
      </c>
      <c r="O730" s="41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7">
        <f>MAX(-0.05,NORMINV(RAND(),$C$6,$D$6))</f>
        <v/>
      </c>
      <c r="L731" s="27">
        <f>MAX(0.02,NORMINV(RAND(),$C$7,$D$7))</f>
        <v/>
      </c>
      <c r="M731" s="27">
        <f>MIN(0.16,MAX(0.05,NORMINV(RAND(),$C$8,$D$8)))</f>
        <v/>
      </c>
      <c r="N731" s="34">
        <f>MIN(24,MAX(5,NORMINV(RAND(),$C$9,$D$9)))</f>
        <v/>
      </c>
      <c r="O731" s="41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7">
        <f>MAX(-0.05,NORMINV(RAND(),$C$6,$D$6))</f>
        <v/>
      </c>
      <c r="L732" s="27">
        <f>MAX(0.02,NORMINV(RAND(),$C$7,$D$7))</f>
        <v/>
      </c>
      <c r="M732" s="27">
        <f>MIN(0.16,MAX(0.05,NORMINV(RAND(),$C$8,$D$8)))</f>
        <v/>
      </c>
      <c r="N732" s="34">
        <f>MIN(24,MAX(5,NORMINV(RAND(),$C$9,$D$9)))</f>
        <v/>
      </c>
      <c r="O732" s="41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7">
        <f>MAX(-0.05,NORMINV(RAND(),$C$6,$D$6))</f>
        <v/>
      </c>
      <c r="L733" s="27">
        <f>MAX(0.02,NORMINV(RAND(),$C$7,$D$7))</f>
        <v/>
      </c>
      <c r="M733" s="27">
        <f>MIN(0.16,MAX(0.05,NORMINV(RAND(),$C$8,$D$8)))</f>
        <v/>
      </c>
      <c r="N733" s="34">
        <f>MIN(24,MAX(5,NORMINV(RAND(),$C$9,$D$9)))</f>
        <v/>
      </c>
      <c r="O733" s="41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7">
        <f>MAX(-0.05,NORMINV(RAND(),$C$6,$D$6))</f>
        <v/>
      </c>
      <c r="L734" s="27">
        <f>MAX(0.02,NORMINV(RAND(),$C$7,$D$7))</f>
        <v/>
      </c>
      <c r="M734" s="27">
        <f>MIN(0.16,MAX(0.05,NORMINV(RAND(),$C$8,$D$8)))</f>
        <v/>
      </c>
      <c r="N734" s="34">
        <f>MIN(24,MAX(5,NORMINV(RAND(),$C$9,$D$9)))</f>
        <v/>
      </c>
      <c r="O734" s="41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7">
        <f>MAX(-0.05,NORMINV(RAND(),$C$6,$D$6))</f>
        <v/>
      </c>
      <c r="L735" s="27">
        <f>MAX(0.02,NORMINV(RAND(),$C$7,$D$7))</f>
        <v/>
      </c>
      <c r="M735" s="27">
        <f>MIN(0.16,MAX(0.05,NORMINV(RAND(),$C$8,$D$8)))</f>
        <v/>
      </c>
      <c r="N735" s="34">
        <f>MIN(24,MAX(5,NORMINV(RAND(),$C$9,$D$9)))</f>
        <v/>
      </c>
      <c r="O735" s="41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7">
        <f>MAX(-0.05,NORMINV(RAND(),$C$6,$D$6))</f>
        <v/>
      </c>
      <c r="L736" s="27">
        <f>MAX(0.02,NORMINV(RAND(),$C$7,$D$7))</f>
        <v/>
      </c>
      <c r="M736" s="27">
        <f>MIN(0.16,MAX(0.05,NORMINV(RAND(),$C$8,$D$8)))</f>
        <v/>
      </c>
      <c r="N736" s="34">
        <f>MIN(24,MAX(5,NORMINV(RAND(),$C$9,$D$9)))</f>
        <v/>
      </c>
      <c r="O736" s="41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7">
        <f>MAX(-0.05,NORMINV(RAND(),$C$6,$D$6))</f>
        <v/>
      </c>
      <c r="L737" s="27">
        <f>MAX(0.02,NORMINV(RAND(),$C$7,$D$7))</f>
        <v/>
      </c>
      <c r="M737" s="27">
        <f>MIN(0.16,MAX(0.05,NORMINV(RAND(),$C$8,$D$8)))</f>
        <v/>
      </c>
      <c r="N737" s="34">
        <f>MIN(24,MAX(5,NORMINV(RAND(),$C$9,$D$9)))</f>
        <v/>
      </c>
      <c r="O737" s="41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7">
        <f>MAX(-0.05,NORMINV(RAND(),$C$6,$D$6))</f>
        <v/>
      </c>
      <c r="L738" s="27">
        <f>MAX(0.02,NORMINV(RAND(),$C$7,$D$7))</f>
        <v/>
      </c>
      <c r="M738" s="27">
        <f>MIN(0.16,MAX(0.05,NORMINV(RAND(),$C$8,$D$8)))</f>
        <v/>
      </c>
      <c r="N738" s="34">
        <f>MIN(24,MAX(5,NORMINV(RAND(),$C$9,$D$9)))</f>
        <v/>
      </c>
      <c r="O738" s="41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7">
        <f>MAX(-0.05,NORMINV(RAND(),$C$6,$D$6))</f>
        <v/>
      </c>
      <c r="L739" s="27">
        <f>MAX(0.02,NORMINV(RAND(),$C$7,$D$7))</f>
        <v/>
      </c>
      <c r="M739" s="27">
        <f>MIN(0.16,MAX(0.05,NORMINV(RAND(),$C$8,$D$8)))</f>
        <v/>
      </c>
      <c r="N739" s="34">
        <f>MIN(24,MAX(5,NORMINV(RAND(),$C$9,$D$9)))</f>
        <v/>
      </c>
      <c r="O739" s="41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7">
        <f>MAX(-0.05,NORMINV(RAND(),$C$6,$D$6))</f>
        <v/>
      </c>
      <c r="L740" s="27">
        <f>MAX(0.02,NORMINV(RAND(),$C$7,$D$7))</f>
        <v/>
      </c>
      <c r="M740" s="27">
        <f>MIN(0.16,MAX(0.05,NORMINV(RAND(),$C$8,$D$8)))</f>
        <v/>
      </c>
      <c r="N740" s="34">
        <f>MIN(24,MAX(5,NORMINV(RAND(),$C$9,$D$9)))</f>
        <v/>
      </c>
      <c r="O740" s="41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7">
        <f>MAX(-0.05,NORMINV(RAND(),$C$6,$D$6))</f>
        <v/>
      </c>
      <c r="L741" s="27">
        <f>MAX(0.02,NORMINV(RAND(),$C$7,$D$7))</f>
        <v/>
      </c>
      <c r="M741" s="27">
        <f>MIN(0.16,MAX(0.05,NORMINV(RAND(),$C$8,$D$8)))</f>
        <v/>
      </c>
      <c r="N741" s="34">
        <f>MIN(24,MAX(5,NORMINV(RAND(),$C$9,$D$9)))</f>
        <v/>
      </c>
      <c r="O741" s="41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7">
        <f>MAX(-0.05,NORMINV(RAND(),$C$6,$D$6))</f>
        <v/>
      </c>
      <c r="L742" s="27">
        <f>MAX(0.02,NORMINV(RAND(),$C$7,$D$7))</f>
        <v/>
      </c>
      <c r="M742" s="27">
        <f>MIN(0.16,MAX(0.05,NORMINV(RAND(),$C$8,$D$8)))</f>
        <v/>
      </c>
      <c r="N742" s="34">
        <f>MIN(24,MAX(5,NORMINV(RAND(),$C$9,$D$9)))</f>
        <v/>
      </c>
      <c r="O742" s="41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7">
        <f>MAX(-0.05,NORMINV(RAND(),$C$6,$D$6))</f>
        <v/>
      </c>
      <c r="L743" s="27">
        <f>MAX(0.02,NORMINV(RAND(),$C$7,$D$7))</f>
        <v/>
      </c>
      <c r="M743" s="27">
        <f>MIN(0.16,MAX(0.05,NORMINV(RAND(),$C$8,$D$8)))</f>
        <v/>
      </c>
      <c r="N743" s="34">
        <f>MIN(24,MAX(5,NORMINV(RAND(),$C$9,$D$9)))</f>
        <v/>
      </c>
      <c r="O743" s="41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7">
        <f>MAX(-0.05,NORMINV(RAND(),$C$6,$D$6))</f>
        <v/>
      </c>
      <c r="L744" s="27">
        <f>MAX(0.02,NORMINV(RAND(),$C$7,$D$7))</f>
        <v/>
      </c>
      <c r="M744" s="27">
        <f>MIN(0.16,MAX(0.05,NORMINV(RAND(),$C$8,$D$8)))</f>
        <v/>
      </c>
      <c r="N744" s="34">
        <f>MIN(24,MAX(5,NORMINV(RAND(),$C$9,$D$9)))</f>
        <v/>
      </c>
      <c r="O744" s="41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7">
        <f>MAX(-0.05,NORMINV(RAND(),$C$6,$D$6))</f>
        <v/>
      </c>
      <c r="L745" s="27">
        <f>MAX(0.02,NORMINV(RAND(),$C$7,$D$7))</f>
        <v/>
      </c>
      <c r="M745" s="27">
        <f>MIN(0.16,MAX(0.05,NORMINV(RAND(),$C$8,$D$8)))</f>
        <v/>
      </c>
      <c r="N745" s="34">
        <f>MIN(24,MAX(5,NORMINV(RAND(),$C$9,$D$9)))</f>
        <v/>
      </c>
      <c r="O745" s="41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7">
        <f>MAX(-0.05,NORMINV(RAND(),$C$6,$D$6))</f>
        <v/>
      </c>
      <c r="L746" s="27">
        <f>MAX(0.02,NORMINV(RAND(),$C$7,$D$7))</f>
        <v/>
      </c>
      <c r="M746" s="27">
        <f>MIN(0.16,MAX(0.05,NORMINV(RAND(),$C$8,$D$8)))</f>
        <v/>
      </c>
      <c r="N746" s="34">
        <f>MIN(24,MAX(5,NORMINV(RAND(),$C$9,$D$9)))</f>
        <v/>
      </c>
      <c r="O746" s="41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7">
        <f>MAX(-0.05,NORMINV(RAND(),$C$6,$D$6))</f>
        <v/>
      </c>
      <c r="L747" s="27">
        <f>MAX(0.02,NORMINV(RAND(),$C$7,$D$7))</f>
        <v/>
      </c>
      <c r="M747" s="27">
        <f>MIN(0.16,MAX(0.05,NORMINV(RAND(),$C$8,$D$8)))</f>
        <v/>
      </c>
      <c r="N747" s="34">
        <f>MIN(24,MAX(5,NORMINV(RAND(),$C$9,$D$9)))</f>
        <v/>
      </c>
      <c r="O747" s="41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7">
        <f>MAX(-0.05,NORMINV(RAND(),$C$6,$D$6))</f>
        <v/>
      </c>
      <c r="L748" s="27">
        <f>MAX(0.02,NORMINV(RAND(),$C$7,$D$7))</f>
        <v/>
      </c>
      <c r="M748" s="27">
        <f>MIN(0.16,MAX(0.05,NORMINV(RAND(),$C$8,$D$8)))</f>
        <v/>
      </c>
      <c r="N748" s="34">
        <f>MIN(24,MAX(5,NORMINV(RAND(),$C$9,$D$9)))</f>
        <v/>
      </c>
      <c r="O748" s="41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7">
        <f>MAX(-0.05,NORMINV(RAND(),$C$6,$D$6))</f>
        <v/>
      </c>
      <c r="L749" s="27">
        <f>MAX(0.02,NORMINV(RAND(),$C$7,$D$7))</f>
        <v/>
      </c>
      <c r="M749" s="27">
        <f>MIN(0.16,MAX(0.05,NORMINV(RAND(),$C$8,$D$8)))</f>
        <v/>
      </c>
      <c r="N749" s="34">
        <f>MIN(24,MAX(5,NORMINV(RAND(),$C$9,$D$9)))</f>
        <v/>
      </c>
      <c r="O749" s="41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7">
        <f>MAX(-0.05,NORMINV(RAND(),$C$6,$D$6))</f>
        <v/>
      </c>
      <c r="L750" s="27">
        <f>MAX(0.02,NORMINV(RAND(),$C$7,$D$7))</f>
        <v/>
      </c>
      <c r="M750" s="27">
        <f>MIN(0.16,MAX(0.05,NORMINV(RAND(),$C$8,$D$8)))</f>
        <v/>
      </c>
      <c r="N750" s="34">
        <f>MIN(24,MAX(5,NORMINV(RAND(),$C$9,$D$9)))</f>
        <v/>
      </c>
      <c r="O750" s="41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7">
        <f>MAX(-0.05,NORMINV(RAND(),$C$6,$D$6))</f>
        <v/>
      </c>
      <c r="L751" s="27">
        <f>MAX(0.02,NORMINV(RAND(),$C$7,$D$7))</f>
        <v/>
      </c>
      <c r="M751" s="27">
        <f>MIN(0.16,MAX(0.05,NORMINV(RAND(),$C$8,$D$8)))</f>
        <v/>
      </c>
      <c r="N751" s="34">
        <f>MIN(24,MAX(5,NORMINV(RAND(),$C$9,$D$9)))</f>
        <v/>
      </c>
      <c r="O751" s="41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7">
        <f>MAX(-0.05,NORMINV(RAND(),$C$6,$D$6))</f>
        <v/>
      </c>
      <c r="L752" s="27">
        <f>MAX(0.02,NORMINV(RAND(),$C$7,$D$7))</f>
        <v/>
      </c>
      <c r="M752" s="27">
        <f>MIN(0.16,MAX(0.05,NORMINV(RAND(),$C$8,$D$8)))</f>
        <v/>
      </c>
      <c r="N752" s="34">
        <f>MIN(24,MAX(5,NORMINV(RAND(),$C$9,$D$9)))</f>
        <v/>
      </c>
      <c r="O752" s="41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7">
        <f>MAX(-0.05,NORMINV(RAND(),$C$6,$D$6))</f>
        <v/>
      </c>
      <c r="L753" s="27">
        <f>MAX(0.02,NORMINV(RAND(),$C$7,$D$7))</f>
        <v/>
      </c>
      <c r="M753" s="27">
        <f>MIN(0.16,MAX(0.05,NORMINV(RAND(),$C$8,$D$8)))</f>
        <v/>
      </c>
      <c r="N753" s="34">
        <f>MIN(24,MAX(5,NORMINV(RAND(),$C$9,$D$9)))</f>
        <v/>
      </c>
      <c r="O753" s="41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7">
        <f>MAX(-0.05,NORMINV(RAND(),$C$6,$D$6))</f>
        <v/>
      </c>
      <c r="L754" s="27">
        <f>MAX(0.02,NORMINV(RAND(),$C$7,$D$7))</f>
        <v/>
      </c>
      <c r="M754" s="27">
        <f>MIN(0.16,MAX(0.05,NORMINV(RAND(),$C$8,$D$8)))</f>
        <v/>
      </c>
      <c r="N754" s="34">
        <f>MIN(24,MAX(5,NORMINV(RAND(),$C$9,$D$9)))</f>
        <v/>
      </c>
      <c r="O754" s="41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7">
        <f>MAX(-0.05,NORMINV(RAND(),$C$6,$D$6))</f>
        <v/>
      </c>
      <c r="L755" s="27">
        <f>MAX(0.02,NORMINV(RAND(),$C$7,$D$7))</f>
        <v/>
      </c>
      <c r="M755" s="27">
        <f>MIN(0.16,MAX(0.05,NORMINV(RAND(),$C$8,$D$8)))</f>
        <v/>
      </c>
      <c r="N755" s="34">
        <f>MIN(24,MAX(5,NORMINV(RAND(),$C$9,$D$9)))</f>
        <v/>
      </c>
      <c r="O755" s="41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7">
        <f>MAX(-0.05,NORMINV(RAND(),$C$6,$D$6))</f>
        <v/>
      </c>
      <c r="L756" s="27">
        <f>MAX(0.02,NORMINV(RAND(),$C$7,$D$7))</f>
        <v/>
      </c>
      <c r="M756" s="27">
        <f>MIN(0.16,MAX(0.05,NORMINV(RAND(),$C$8,$D$8)))</f>
        <v/>
      </c>
      <c r="N756" s="34">
        <f>MIN(24,MAX(5,NORMINV(RAND(),$C$9,$D$9)))</f>
        <v/>
      </c>
      <c r="O756" s="41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7">
        <f>MAX(-0.05,NORMINV(RAND(),$C$6,$D$6))</f>
        <v/>
      </c>
      <c r="L757" s="27">
        <f>MAX(0.02,NORMINV(RAND(),$C$7,$D$7))</f>
        <v/>
      </c>
      <c r="M757" s="27">
        <f>MIN(0.16,MAX(0.05,NORMINV(RAND(),$C$8,$D$8)))</f>
        <v/>
      </c>
      <c r="N757" s="34">
        <f>MIN(24,MAX(5,NORMINV(RAND(),$C$9,$D$9)))</f>
        <v/>
      </c>
      <c r="O757" s="41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7">
        <f>MAX(-0.05,NORMINV(RAND(),$C$6,$D$6))</f>
        <v/>
      </c>
      <c r="L758" s="27">
        <f>MAX(0.02,NORMINV(RAND(),$C$7,$D$7))</f>
        <v/>
      </c>
      <c r="M758" s="27">
        <f>MIN(0.16,MAX(0.05,NORMINV(RAND(),$C$8,$D$8)))</f>
        <v/>
      </c>
      <c r="N758" s="34">
        <f>MIN(24,MAX(5,NORMINV(RAND(),$C$9,$D$9)))</f>
        <v/>
      </c>
      <c r="O758" s="41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7">
        <f>MAX(-0.05,NORMINV(RAND(),$C$6,$D$6))</f>
        <v/>
      </c>
      <c r="L759" s="27">
        <f>MAX(0.02,NORMINV(RAND(),$C$7,$D$7))</f>
        <v/>
      </c>
      <c r="M759" s="27">
        <f>MIN(0.16,MAX(0.05,NORMINV(RAND(),$C$8,$D$8)))</f>
        <v/>
      </c>
      <c r="N759" s="34">
        <f>MIN(24,MAX(5,NORMINV(RAND(),$C$9,$D$9)))</f>
        <v/>
      </c>
      <c r="O759" s="41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7">
        <f>MAX(-0.05,NORMINV(RAND(),$C$6,$D$6))</f>
        <v/>
      </c>
      <c r="L760" s="27">
        <f>MAX(0.02,NORMINV(RAND(),$C$7,$D$7))</f>
        <v/>
      </c>
      <c r="M760" s="27">
        <f>MIN(0.16,MAX(0.05,NORMINV(RAND(),$C$8,$D$8)))</f>
        <v/>
      </c>
      <c r="N760" s="34">
        <f>MIN(24,MAX(5,NORMINV(RAND(),$C$9,$D$9)))</f>
        <v/>
      </c>
      <c r="O760" s="41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7">
        <f>MAX(-0.05,NORMINV(RAND(),$C$6,$D$6))</f>
        <v/>
      </c>
      <c r="L761" s="27">
        <f>MAX(0.02,NORMINV(RAND(),$C$7,$D$7))</f>
        <v/>
      </c>
      <c r="M761" s="27">
        <f>MIN(0.16,MAX(0.05,NORMINV(RAND(),$C$8,$D$8)))</f>
        <v/>
      </c>
      <c r="N761" s="34">
        <f>MIN(24,MAX(5,NORMINV(RAND(),$C$9,$D$9)))</f>
        <v/>
      </c>
      <c r="O761" s="41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7">
        <f>MAX(-0.05,NORMINV(RAND(),$C$6,$D$6))</f>
        <v/>
      </c>
      <c r="L762" s="27">
        <f>MAX(0.02,NORMINV(RAND(),$C$7,$D$7))</f>
        <v/>
      </c>
      <c r="M762" s="27">
        <f>MIN(0.16,MAX(0.05,NORMINV(RAND(),$C$8,$D$8)))</f>
        <v/>
      </c>
      <c r="N762" s="34">
        <f>MIN(24,MAX(5,NORMINV(RAND(),$C$9,$D$9)))</f>
        <v/>
      </c>
      <c r="O762" s="41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7">
        <f>MAX(-0.05,NORMINV(RAND(),$C$6,$D$6))</f>
        <v/>
      </c>
      <c r="L763" s="27">
        <f>MAX(0.02,NORMINV(RAND(),$C$7,$D$7))</f>
        <v/>
      </c>
      <c r="M763" s="27">
        <f>MIN(0.16,MAX(0.05,NORMINV(RAND(),$C$8,$D$8)))</f>
        <v/>
      </c>
      <c r="N763" s="34">
        <f>MIN(24,MAX(5,NORMINV(RAND(),$C$9,$D$9)))</f>
        <v/>
      </c>
      <c r="O763" s="41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7">
        <f>MAX(-0.05,NORMINV(RAND(),$C$6,$D$6))</f>
        <v/>
      </c>
      <c r="L764" s="27">
        <f>MAX(0.02,NORMINV(RAND(),$C$7,$D$7))</f>
        <v/>
      </c>
      <c r="M764" s="27">
        <f>MIN(0.16,MAX(0.05,NORMINV(RAND(),$C$8,$D$8)))</f>
        <v/>
      </c>
      <c r="N764" s="34">
        <f>MIN(24,MAX(5,NORMINV(RAND(),$C$9,$D$9)))</f>
        <v/>
      </c>
      <c r="O764" s="41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7">
        <f>MAX(-0.05,NORMINV(RAND(),$C$6,$D$6))</f>
        <v/>
      </c>
      <c r="L765" s="27">
        <f>MAX(0.02,NORMINV(RAND(),$C$7,$D$7))</f>
        <v/>
      </c>
      <c r="M765" s="27">
        <f>MIN(0.16,MAX(0.05,NORMINV(RAND(),$C$8,$D$8)))</f>
        <v/>
      </c>
      <c r="N765" s="34">
        <f>MIN(24,MAX(5,NORMINV(RAND(),$C$9,$D$9)))</f>
        <v/>
      </c>
      <c r="O765" s="41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7">
        <f>MAX(-0.05,NORMINV(RAND(),$C$6,$D$6))</f>
        <v/>
      </c>
      <c r="L766" s="27">
        <f>MAX(0.02,NORMINV(RAND(),$C$7,$D$7))</f>
        <v/>
      </c>
      <c r="M766" s="27">
        <f>MIN(0.16,MAX(0.05,NORMINV(RAND(),$C$8,$D$8)))</f>
        <v/>
      </c>
      <c r="N766" s="34">
        <f>MIN(24,MAX(5,NORMINV(RAND(),$C$9,$D$9)))</f>
        <v/>
      </c>
      <c r="O766" s="41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7">
        <f>MAX(-0.05,NORMINV(RAND(),$C$6,$D$6))</f>
        <v/>
      </c>
      <c r="L767" s="27">
        <f>MAX(0.02,NORMINV(RAND(),$C$7,$D$7))</f>
        <v/>
      </c>
      <c r="M767" s="27">
        <f>MIN(0.16,MAX(0.05,NORMINV(RAND(),$C$8,$D$8)))</f>
        <v/>
      </c>
      <c r="N767" s="34">
        <f>MIN(24,MAX(5,NORMINV(RAND(),$C$9,$D$9)))</f>
        <v/>
      </c>
      <c r="O767" s="41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7">
        <f>MAX(-0.05,NORMINV(RAND(),$C$6,$D$6))</f>
        <v/>
      </c>
      <c r="L768" s="27">
        <f>MAX(0.02,NORMINV(RAND(),$C$7,$D$7))</f>
        <v/>
      </c>
      <c r="M768" s="27">
        <f>MIN(0.16,MAX(0.05,NORMINV(RAND(),$C$8,$D$8)))</f>
        <v/>
      </c>
      <c r="N768" s="34">
        <f>MIN(24,MAX(5,NORMINV(RAND(),$C$9,$D$9)))</f>
        <v/>
      </c>
      <c r="O768" s="41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7">
        <f>MAX(-0.05,NORMINV(RAND(),$C$6,$D$6))</f>
        <v/>
      </c>
      <c r="L769" s="27">
        <f>MAX(0.02,NORMINV(RAND(),$C$7,$D$7))</f>
        <v/>
      </c>
      <c r="M769" s="27">
        <f>MIN(0.16,MAX(0.05,NORMINV(RAND(),$C$8,$D$8)))</f>
        <v/>
      </c>
      <c r="N769" s="34">
        <f>MIN(24,MAX(5,NORMINV(RAND(),$C$9,$D$9)))</f>
        <v/>
      </c>
      <c r="O769" s="41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7">
        <f>MAX(-0.05,NORMINV(RAND(),$C$6,$D$6))</f>
        <v/>
      </c>
      <c r="L770" s="27">
        <f>MAX(0.02,NORMINV(RAND(),$C$7,$D$7))</f>
        <v/>
      </c>
      <c r="M770" s="27">
        <f>MIN(0.16,MAX(0.05,NORMINV(RAND(),$C$8,$D$8)))</f>
        <v/>
      </c>
      <c r="N770" s="34">
        <f>MIN(24,MAX(5,NORMINV(RAND(),$C$9,$D$9)))</f>
        <v/>
      </c>
      <c r="O770" s="41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7">
        <f>MAX(-0.05,NORMINV(RAND(),$C$6,$D$6))</f>
        <v/>
      </c>
      <c r="L771" s="27">
        <f>MAX(0.02,NORMINV(RAND(),$C$7,$D$7))</f>
        <v/>
      </c>
      <c r="M771" s="27">
        <f>MIN(0.16,MAX(0.05,NORMINV(RAND(),$C$8,$D$8)))</f>
        <v/>
      </c>
      <c r="N771" s="34">
        <f>MIN(24,MAX(5,NORMINV(RAND(),$C$9,$D$9)))</f>
        <v/>
      </c>
      <c r="O771" s="41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7">
        <f>MAX(-0.05,NORMINV(RAND(),$C$6,$D$6))</f>
        <v/>
      </c>
      <c r="L772" s="27">
        <f>MAX(0.02,NORMINV(RAND(),$C$7,$D$7))</f>
        <v/>
      </c>
      <c r="M772" s="27">
        <f>MIN(0.16,MAX(0.05,NORMINV(RAND(),$C$8,$D$8)))</f>
        <v/>
      </c>
      <c r="N772" s="34">
        <f>MIN(24,MAX(5,NORMINV(RAND(),$C$9,$D$9)))</f>
        <v/>
      </c>
      <c r="O772" s="41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7">
        <f>MAX(-0.05,NORMINV(RAND(),$C$6,$D$6))</f>
        <v/>
      </c>
      <c r="L773" s="27">
        <f>MAX(0.02,NORMINV(RAND(),$C$7,$D$7))</f>
        <v/>
      </c>
      <c r="M773" s="27">
        <f>MIN(0.16,MAX(0.05,NORMINV(RAND(),$C$8,$D$8)))</f>
        <v/>
      </c>
      <c r="N773" s="34">
        <f>MIN(24,MAX(5,NORMINV(RAND(),$C$9,$D$9)))</f>
        <v/>
      </c>
      <c r="O773" s="41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7">
        <f>MAX(-0.05,NORMINV(RAND(),$C$6,$D$6))</f>
        <v/>
      </c>
      <c r="L774" s="27">
        <f>MAX(0.02,NORMINV(RAND(),$C$7,$D$7))</f>
        <v/>
      </c>
      <c r="M774" s="27">
        <f>MIN(0.16,MAX(0.05,NORMINV(RAND(),$C$8,$D$8)))</f>
        <v/>
      </c>
      <c r="N774" s="34">
        <f>MIN(24,MAX(5,NORMINV(RAND(),$C$9,$D$9)))</f>
        <v/>
      </c>
      <c r="O774" s="41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7">
        <f>MAX(-0.05,NORMINV(RAND(),$C$6,$D$6))</f>
        <v/>
      </c>
      <c r="L775" s="27">
        <f>MAX(0.02,NORMINV(RAND(),$C$7,$D$7))</f>
        <v/>
      </c>
      <c r="M775" s="27">
        <f>MIN(0.16,MAX(0.05,NORMINV(RAND(),$C$8,$D$8)))</f>
        <v/>
      </c>
      <c r="N775" s="34">
        <f>MIN(24,MAX(5,NORMINV(RAND(),$C$9,$D$9)))</f>
        <v/>
      </c>
      <c r="O775" s="41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7">
        <f>MAX(-0.05,NORMINV(RAND(),$C$6,$D$6))</f>
        <v/>
      </c>
      <c r="L776" s="27">
        <f>MAX(0.02,NORMINV(RAND(),$C$7,$D$7))</f>
        <v/>
      </c>
      <c r="M776" s="27">
        <f>MIN(0.16,MAX(0.05,NORMINV(RAND(),$C$8,$D$8)))</f>
        <v/>
      </c>
      <c r="N776" s="34">
        <f>MIN(24,MAX(5,NORMINV(RAND(),$C$9,$D$9)))</f>
        <v/>
      </c>
      <c r="O776" s="41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7">
        <f>MAX(-0.05,NORMINV(RAND(),$C$6,$D$6))</f>
        <v/>
      </c>
      <c r="L777" s="27">
        <f>MAX(0.02,NORMINV(RAND(),$C$7,$D$7))</f>
        <v/>
      </c>
      <c r="M777" s="27">
        <f>MIN(0.16,MAX(0.05,NORMINV(RAND(),$C$8,$D$8)))</f>
        <v/>
      </c>
      <c r="N777" s="34">
        <f>MIN(24,MAX(5,NORMINV(RAND(),$C$9,$D$9)))</f>
        <v/>
      </c>
      <c r="O777" s="41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7">
        <f>MAX(-0.05,NORMINV(RAND(),$C$6,$D$6))</f>
        <v/>
      </c>
      <c r="L778" s="27">
        <f>MAX(0.02,NORMINV(RAND(),$C$7,$D$7))</f>
        <v/>
      </c>
      <c r="M778" s="27">
        <f>MIN(0.16,MAX(0.05,NORMINV(RAND(),$C$8,$D$8)))</f>
        <v/>
      </c>
      <c r="N778" s="34">
        <f>MIN(24,MAX(5,NORMINV(RAND(),$C$9,$D$9)))</f>
        <v/>
      </c>
      <c r="O778" s="41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7">
        <f>MAX(-0.05,NORMINV(RAND(),$C$6,$D$6))</f>
        <v/>
      </c>
      <c r="L779" s="27">
        <f>MAX(0.02,NORMINV(RAND(),$C$7,$D$7))</f>
        <v/>
      </c>
      <c r="M779" s="27">
        <f>MIN(0.16,MAX(0.05,NORMINV(RAND(),$C$8,$D$8)))</f>
        <v/>
      </c>
      <c r="N779" s="34">
        <f>MIN(24,MAX(5,NORMINV(RAND(),$C$9,$D$9)))</f>
        <v/>
      </c>
      <c r="O779" s="41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7">
        <f>MAX(-0.05,NORMINV(RAND(),$C$6,$D$6))</f>
        <v/>
      </c>
      <c r="L780" s="27">
        <f>MAX(0.02,NORMINV(RAND(),$C$7,$D$7))</f>
        <v/>
      </c>
      <c r="M780" s="27">
        <f>MIN(0.16,MAX(0.05,NORMINV(RAND(),$C$8,$D$8)))</f>
        <v/>
      </c>
      <c r="N780" s="34">
        <f>MIN(24,MAX(5,NORMINV(RAND(),$C$9,$D$9)))</f>
        <v/>
      </c>
      <c r="O780" s="41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7">
        <f>MAX(-0.05,NORMINV(RAND(),$C$6,$D$6))</f>
        <v/>
      </c>
      <c r="L781" s="27">
        <f>MAX(0.02,NORMINV(RAND(),$C$7,$D$7))</f>
        <v/>
      </c>
      <c r="M781" s="27">
        <f>MIN(0.16,MAX(0.05,NORMINV(RAND(),$C$8,$D$8)))</f>
        <v/>
      </c>
      <c r="N781" s="34">
        <f>MIN(24,MAX(5,NORMINV(RAND(),$C$9,$D$9)))</f>
        <v/>
      </c>
      <c r="O781" s="41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7">
        <f>MAX(-0.05,NORMINV(RAND(),$C$6,$D$6))</f>
        <v/>
      </c>
      <c r="L782" s="27">
        <f>MAX(0.02,NORMINV(RAND(),$C$7,$D$7))</f>
        <v/>
      </c>
      <c r="M782" s="27">
        <f>MIN(0.16,MAX(0.05,NORMINV(RAND(),$C$8,$D$8)))</f>
        <v/>
      </c>
      <c r="N782" s="34">
        <f>MIN(24,MAX(5,NORMINV(RAND(),$C$9,$D$9)))</f>
        <v/>
      </c>
      <c r="O782" s="41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7">
        <f>MAX(-0.05,NORMINV(RAND(),$C$6,$D$6))</f>
        <v/>
      </c>
      <c r="L783" s="27">
        <f>MAX(0.02,NORMINV(RAND(),$C$7,$D$7))</f>
        <v/>
      </c>
      <c r="M783" s="27">
        <f>MIN(0.16,MAX(0.05,NORMINV(RAND(),$C$8,$D$8)))</f>
        <v/>
      </c>
      <c r="N783" s="34">
        <f>MIN(24,MAX(5,NORMINV(RAND(),$C$9,$D$9)))</f>
        <v/>
      </c>
      <c r="O783" s="41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7">
        <f>MAX(-0.05,NORMINV(RAND(),$C$6,$D$6))</f>
        <v/>
      </c>
      <c r="L784" s="27">
        <f>MAX(0.02,NORMINV(RAND(),$C$7,$D$7))</f>
        <v/>
      </c>
      <c r="M784" s="27">
        <f>MIN(0.16,MAX(0.05,NORMINV(RAND(),$C$8,$D$8)))</f>
        <v/>
      </c>
      <c r="N784" s="34">
        <f>MIN(24,MAX(5,NORMINV(RAND(),$C$9,$D$9)))</f>
        <v/>
      </c>
      <c r="O784" s="41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7">
        <f>MAX(-0.05,NORMINV(RAND(),$C$6,$D$6))</f>
        <v/>
      </c>
      <c r="L785" s="27">
        <f>MAX(0.02,NORMINV(RAND(),$C$7,$D$7))</f>
        <v/>
      </c>
      <c r="M785" s="27">
        <f>MIN(0.16,MAX(0.05,NORMINV(RAND(),$C$8,$D$8)))</f>
        <v/>
      </c>
      <c r="N785" s="34">
        <f>MIN(24,MAX(5,NORMINV(RAND(),$C$9,$D$9)))</f>
        <v/>
      </c>
      <c r="O785" s="41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7">
        <f>MAX(-0.05,NORMINV(RAND(),$C$6,$D$6))</f>
        <v/>
      </c>
      <c r="L786" s="27">
        <f>MAX(0.02,NORMINV(RAND(),$C$7,$D$7))</f>
        <v/>
      </c>
      <c r="M786" s="27">
        <f>MIN(0.16,MAX(0.05,NORMINV(RAND(),$C$8,$D$8)))</f>
        <v/>
      </c>
      <c r="N786" s="34">
        <f>MIN(24,MAX(5,NORMINV(RAND(),$C$9,$D$9)))</f>
        <v/>
      </c>
      <c r="O786" s="41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7">
        <f>MAX(-0.05,NORMINV(RAND(),$C$6,$D$6))</f>
        <v/>
      </c>
      <c r="L787" s="27">
        <f>MAX(0.02,NORMINV(RAND(),$C$7,$D$7))</f>
        <v/>
      </c>
      <c r="M787" s="27">
        <f>MIN(0.16,MAX(0.05,NORMINV(RAND(),$C$8,$D$8)))</f>
        <v/>
      </c>
      <c r="N787" s="34">
        <f>MIN(24,MAX(5,NORMINV(RAND(),$C$9,$D$9)))</f>
        <v/>
      </c>
      <c r="O787" s="41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7">
        <f>MAX(-0.05,NORMINV(RAND(),$C$6,$D$6))</f>
        <v/>
      </c>
      <c r="L788" s="27">
        <f>MAX(0.02,NORMINV(RAND(),$C$7,$D$7))</f>
        <v/>
      </c>
      <c r="M788" s="27">
        <f>MIN(0.16,MAX(0.05,NORMINV(RAND(),$C$8,$D$8)))</f>
        <v/>
      </c>
      <c r="N788" s="34">
        <f>MIN(24,MAX(5,NORMINV(RAND(),$C$9,$D$9)))</f>
        <v/>
      </c>
      <c r="O788" s="41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7">
        <f>MAX(-0.05,NORMINV(RAND(),$C$6,$D$6))</f>
        <v/>
      </c>
      <c r="L789" s="27">
        <f>MAX(0.02,NORMINV(RAND(),$C$7,$D$7))</f>
        <v/>
      </c>
      <c r="M789" s="27">
        <f>MIN(0.16,MAX(0.05,NORMINV(RAND(),$C$8,$D$8)))</f>
        <v/>
      </c>
      <c r="N789" s="34">
        <f>MIN(24,MAX(5,NORMINV(RAND(),$C$9,$D$9)))</f>
        <v/>
      </c>
      <c r="O789" s="41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7">
        <f>MAX(-0.05,NORMINV(RAND(),$C$6,$D$6))</f>
        <v/>
      </c>
      <c r="L790" s="27">
        <f>MAX(0.02,NORMINV(RAND(),$C$7,$D$7))</f>
        <v/>
      </c>
      <c r="M790" s="27">
        <f>MIN(0.16,MAX(0.05,NORMINV(RAND(),$C$8,$D$8)))</f>
        <v/>
      </c>
      <c r="N790" s="34">
        <f>MIN(24,MAX(5,NORMINV(RAND(),$C$9,$D$9)))</f>
        <v/>
      </c>
      <c r="O790" s="41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7">
        <f>MAX(-0.05,NORMINV(RAND(),$C$6,$D$6))</f>
        <v/>
      </c>
      <c r="L791" s="27">
        <f>MAX(0.02,NORMINV(RAND(),$C$7,$D$7))</f>
        <v/>
      </c>
      <c r="M791" s="27">
        <f>MIN(0.16,MAX(0.05,NORMINV(RAND(),$C$8,$D$8)))</f>
        <v/>
      </c>
      <c r="N791" s="34">
        <f>MIN(24,MAX(5,NORMINV(RAND(),$C$9,$D$9)))</f>
        <v/>
      </c>
      <c r="O791" s="41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7">
        <f>MAX(-0.05,NORMINV(RAND(),$C$6,$D$6))</f>
        <v/>
      </c>
      <c r="L792" s="27">
        <f>MAX(0.02,NORMINV(RAND(),$C$7,$D$7))</f>
        <v/>
      </c>
      <c r="M792" s="27">
        <f>MIN(0.16,MAX(0.05,NORMINV(RAND(),$C$8,$D$8)))</f>
        <v/>
      </c>
      <c r="N792" s="34">
        <f>MIN(24,MAX(5,NORMINV(RAND(),$C$9,$D$9)))</f>
        <v/>
      </c>
      <c r="O792" s="41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7">
        <f>MAX(-0.05,NORMINV(RAND(),$C$6,$D$6))</f>
        <v/>
      </c>
      <c r="L793" s="27">
        <f>MAX(0.02,NORMINV(RAND(),$C$7,$D$7))</f>
        <v/>
      </c>
      <c r="M793" s="27">
        <f>MIN(0.16,MAX(0.05,NORMINV(RAND(),$C$8,$D$8)))</f>
        <v/>
      </c>
      <c r="N793" s="34">
        <f>MIN(24,MAX(5,NORMINV(RAND(),$C$9,$D$9)))</f>
        <v/>
      </c>
      <c r="O793" s="41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7">
        <f>MAX(-0.05,NORMINV(RAND(),$C$6,$D$6))</f>
        <v/>
      </c>
      <c r="L794" s="27">
        <f>MAX(0.02,NORMINV(RAND(),$C$7,$D$7))</f>
        <v/>
      </c>
      <c r="M794" s="27">
        <f>MIN(0.16,MAX(0.05,NORMINV(RAND(),$C$8,$D$8)))</f>
        <v/>
      </c>
      <c r="N794" s="34">
        <f>MIN(24,MAX(5,NORMINV(RAND(),$C$9,$D$9)))</f>
        <v/>
      </c>
      <c r="O794" s="41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7">
        <f>MAX(-0.05,NORMINV(RAND(),$C$6,$D$6))</f>
        <v/>
      </c>
      <c r="L795" s="27">
        <f>MAX(0.02,NORMINV(RAND(),$C$7,$D$7))</f>
        <v/>
      </c>
      <c r="M795" s="27">
        <f>MIN(0.16,MAX(0.05,NORMINV(RAND(),$C$8,$D$8)))</f>
        <v/>
      </c>
      <c r="N795" s="34">
        <f>MIN(24,MAX(5,NORMINV(RAND(),$C$9,$D$9)))</f>
        <v/>
      </c>
      <c r="O795" s="41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7">
        <f>MAX(-0.05,NORMINV(RAND(),$C$6,$D$6))</f>
        <v/>
      </c>
      <c r="L796" s="27">
        <f>MAX(0.02,NORMINV(RAND(),$C$7,$D$7))</f>
        <v/>
      </c>
      <c r="M796" s="27">
        <f>MIN(0.16,MAX(0.05,NORMINV(RAND(),$C$8,$D$8)))</f>
        <v/>
      </c>
      <c r="N796" s="34">
        <f>MIN(24,MAX(5,NORMINV(RAND(),$C$9,$D$9)))</f>
        <v/>
      </c>
      <c r="O796" s="41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7">
        <f>MAX(-0.05,NORMINV(RAND(),$C$6,$D$6))</f>
        <v/>
      </c>
      <c r="L797" s="27">
        <f>MAX(0.02,NORMINV(RAND(),$C$7,$D$7))</f>
        <v/>
      </c>
      <c r="M797" s="27">
        <f>MIN(0.16,MAX(0.05,NORMINV(RAND(),$C$8,$D$8)))</f>
        <v/>
      </c>
      <c r="N797" s="34">
        <f>MIN(24,MAX(5,NORMINV(RAND(),$C$9,$D$9)))</f>
        <v/>
      </c>
      <c r="O797" s="41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7">
        <f>MAX(-0.05,NORMINV(RAND(),$C$6,$D$6))</f>
        <v/>
      </c>
      <c r="L798" s="27">
        <f>MAX(0.02,NORMINV(RAND(),$C$7,$D$7))</f>
        <v/>
      </c>
      <c r="M798" s="27">
        <f>MIN(0.16,MAX(0.05,NORMINV(RAND(),$C$8,$D$8)))</f>
        <v/>
      </c>
      <c r="N798" s="34">
        <f>MIN(24,MAX(5,NORMINV(RAND(),$C$9,$D$9)))</f>
        <v/>
      </c>
      <c r="O798" s="41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7">
        <f>MAX(-0.05,NORMINV(RAND(),$C$6,$D$6))</f>
        <v/>
      </c>
      <c r="L799" s="27">
        <f>MAX(0.02,NORMINV(RAND(),$C$7,$D$7))</f>
        <v/>
      </c>
      <c r="M799" s="27">
        <f>MIN(0.16,MAX(0.05,NORMINV(RAND(),$C$8,$D$8)))</f>
        <v/>
      </c>
      <c r="N799" s="34">
        <f>MIN(24,MAX(5,NORMINV(RAND(),$C$9,$D$9)))</f>
        <v/>
      </c>
      <c r="O799" s="41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7">
        <f>MAX(-0.05,NORMINV(RAND(),$C$6,$D$6))</f>
        <v/>
      </c>
      <c r="L800" s="27">
        <f>MAX(0.02,NORMINV(RAND(),$C$7,$D$7))</f>
        <v/>
      </c>
      <c r="M800" s="27">
        <f>MIN(0.16,MAX(0.05,NORMINV(RAND(),$C$8,$D$8)))</f>
        <v/>
      </c>
      <c r="N800" s="34">
        <f>MIN(24,MAX(5,NORMINV(RAND(),$C$9,$D$9)))</f>
        <v/>
      </c>
      <c r="O800" s="41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7">
        <f>MAX(-0.05,NORMINV(RAND(),$C$6,$D$6))</f>
        <v/>
      </c>
      <c r="L801" s="27">
        <f>MAX(0.02,NORMINV(RAND(),$C$7,$D$7))</f>
        <v/>
      </c>
      <c r="M801" s="27">
        <f>MIN(0.16,MAX(0.05,NORMINV(RAND(),$C$8,$D$8)))</f>
        <v/>
      </c>
      <c r="N801" s="34">
        <f>MIN(24,MAX(5,NORMINV(RAND(),$C$9,$D$9)))</f>
        <v/>
      </c>
      <c r="O801" s="41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7">
        <f>MAX(-0.05,NORMINV(RAND(),$C$6,$D$6))</f>
        <v/>
      </c>
      <c r="L802" s="27">
        <f>MAX(0.02,NORMINV(RAND(),$C$7,$D$7))</f>
        <v/>
      </c>
      <c r="M802" s="27">
        <f>MIN(0.16,MAX(0.05,NORMINV(RAND(),$C$8,$D$8)))</f>
        <v/>
      </c>
      <c r="N802" s="34">
        <f>MIN(24,MAX(5,NORMINV(RAND(),$C$9,$D$9)))</f>
        <v/>
      </c>
      <c r="O802" s="41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7">
        <f>MAX(-0.05,NORMINV(RAND(),$C$6,$D$6))</f>
        <v/>
      </c>
      <c r="L803" s="27">
        <f>MAX(0.02,NORMINV(RAND(),$C$7,$D$7))</f>
        <v/>
      </c>
      <c r="M803" s="27">
        <f>MIN(0.16,MAX(0.05,NORMINV(RAND(),$C$8,$D$8)))</f>
        <v/>
      </c>
      <c r="N803" s="34">
        <f>MIN(24,MAX(5,NORMINV(RAND(),$C$9,$D$9)))</f>
        <v/>
      </c>
      <c r="O803" s="41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7">
        <f>MAX(-0.05,NORMINV(RAND(),$C$6,$D$6))</f>
        <v/>
      </c>
      <c r="L804" s="27">
        <f>MAX(0.02,NORMINV(RAND(),$C$7,$D$7))</f>
        <v/>
      </c>
      <c r="M804" s="27">
        <f>MIN(0.16,MAX(0.05,NORMINV(RAND(),$C$8,$D$8)))</f>
        <v/>
      </c>
      <c r="N804" s="34">
        <f>MIN(24,MAX(5,NORMINV(RAND(),$C$9,$D$9)))</f>
        <v/>
      </c>
      <c r="O804" s="41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7">
        <f>MAX(-0.05,NORMINV(RAND(),$C$6,$D$6))</f>
        <v/>
      </c>
      <c r="L805" s="27">
        <f>MAX(0.02,NORMINV(RAND(),$C$7,$D$7))</f>
        <v/>
      </c>
      <c r="M805" s="27">
        <f>MIN(0.16,MAX(0.05,NORMINV(RAND(),$C$8,$D$8)))</f>
        <v/>
      </c>
      <c r="N805" s="34">
        <f>MIN(24,MAX(5,NORMINV(RAND(),$C$9,$D$9)))</f>
        <v/>
      </c>
      <c r="O805" s="41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7">
        <f>MAX(-0.05,NORMINV(RAND(),$C$6,$D$6))</f>
        <v/>
      </c>
      <c r="L806" s="27">
        <f>MAX(0.02,NORMINV(RAND(),$C$7,$D$7))</f>
        <v/>
      </c>
      <c r="M806" s="27">
        <f>MIN(0.16,MAX(0.05,NORMINV(RAND(),$C$8,$D$8)))</f>
        <v/>
      </c>
      <c r="N806" s="34">
        <f>MIN(24,MAX(5,NORMINV(RAND(),$C$9,$D$9)))</f>
        <v/>
      </c>
      <c r="O806" s="41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7">
        <f>MAX(-0.05,NORMINV(RAND(),$C$6,$D$6))</f>
        <v/>
      </c>
      <c r="L807" s="27">
        <f>MAX(0.02,NORMINV(RAND(),$C$7,$D$7))</f>
        <v/>
      </c>
      <c r="M807" s="27">
        <f>MIN(0.16,MAX(0.05,NORMINV(RAND(),$C$8,$D$8)))</f>
        <v/>
      </c>
      <c r="N807" s="34">
        <f>MIN(24,MAX(5,NORMINV(RAND(),$C$9,$D$9)))</f>
        <v/>
      </c>
      <c r="O807" s="41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7">
        <f>MAX(-0.05,NORMINV(RAND(),$C$6,$D$6))</f>
        <v/>
      </c>
      <c r="L808" s="27">
        <f>MAX(0.02,NORMINV(RAND(),$C$7,$D$7))</f>
        <v/>
      </c>
      <c r="M808" s="27">
        <f>MIN(0.16,MAX(0.05,NORMINV(RAND(),$C$8,$D$8)))</f>
        <v/>
      </c>
      <c r="N808" s="34">
        <f>MIN(24,MAX(5,NORMINV(RAND(),$C$9,$D$9)))</f>
        <v/>
      </c>
      <c r="O808" s="41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7">
        <f>MAX(-0.05,NORMINV(RAND(),$C$6,$D$6))</f>
        <v/>
      </c>
      <c r="L809" s="27">
        <f>MAX(0.02,NORMINV(RAND(),$C$7,$D$7))</f>
        <v/>
      </c>
      <c r="M809" s="27">
        <f>MIN(0.16,MAX(0.05,NORMINV(RAND(),$C$8,$D$8)))</f>
        <v/>
      </c>
      <c r="N809" s="34">
        <f>MIN(24,MAX(5,NORMINV(RAND(),$C$9,$D$9)))</f>
        <v/>
      </c>
      <c r="O809" s="41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7">
        <f>MAX(-0.05,NORMINV(RAND(),$C$6,$D$6))</f>
        <v/>
      </c>
      <c r="L810" s="27">
        <f>MAX(0.02,NORMINV(RAND(),$C$7,$D$7))</f>
        <v/>
      </c>
      <c r="M810" s="27">
        <f>MIN(0.16,MAX(0.05,NORMINV(RAND(),$C$8,$D$8)))</f>
        <v/>
      </c>
      <c r="N810" s="34">
        <f>MIN(24,MAX(5,NORMINV(RAND(),$C$9,$D$9)))</f>
        <v/>
      </c>
      <c r="O810" s="41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7">
        <f>MAX(-0.05,NORMINV(RAND(),$C$6,$D$6))</f>
        <v/>
      </c>
      <c r="L811" s="27">
        <f>MAX(0.02,NORMINV(RAND(),$C$7,$D$7))</f>
        <v/>
      </c>
      <c r="M811" s="27">
        <f>MIN(0.16,MAX(0.05,NORMINV(RAND(),$C$8,$D$8)))</f>
        <v/>
      </c>
      <c r="N811" s="34">
        <f>MIN(24,MAX(5,NORMINV(RAND(),$C$9,$D$9)))</f>
        <v/>
      </c>
      <c r="O811" s="41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7">
        <f>MAX(-0.05,NORMINV(RAND(),$C$6,$D$6))</f>
        <v/>
      </c>
      <c r="L812" s="27">
        <f>MAX(0.02,NORMINV(RAND(),$C$7,$D$7))</f>
        <v/>
      </c>
      <c r="M812" s="27">
        <f>MIN(0.16,MAX(0.05,NORMINV(RAND(),$C$8,$D$8)))</f>
        <v/>
      </c>
      <c r="N812" s="34">
        <f>MIN(24,MAX(5,NORMINV(RAND(),$C$9,$D$9)))</f>
        <v/>
      </c>
      <c r="O812" s="41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7">
        <f>MAX(-0.05,NORMINV(RAND(),$C$6,$D$6))</f>
        <v/>
      </c>
      <c r="L813" s="27">
        <f>MAX(0.02,NORMINV(RAND(),$C$7,$D$7))</f>
        <v/>
      </c>
      <c r="M813" s="27">
        <f>MIN(0.16,MAX(0.05,NORMINV(RAND(),$C$8,$D$8)))</f>
        <v/>
      </c>
      <c r="N813" s="34">
        <f>MIN(24,MAX(5,NORMINV(RAND(),$C$9,$D$9)))</f>
        <v/>
      </c>
      <c r="O813" s="41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7">
        <f>MAX(-0.05,NORMINV(RAND(),$C$6,$D$6))</f>
        <v/>
      </c>
      <c r="L814" s="27">
        <f>MAX(0.02,NORMINV(RAND(),$C$7,$D$7))</f>
        <v/>
      </c>
      <c r="M814" s="27">
        <f>MIN(0.16,MAX(0.05,NORMINV(RAND(),$C$8,$D$8)))</f>
        <v/>
      </c>
      <c r="N814" s="34">
        <f>MIN(24,MAX(5,NORMINV(RAND(),$C$9,$D$9)))</f>
        <v/>
      </c>
      <c r="O814" s="41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7">
        <f>MAX(-0.05,NORMINV(RAND(),$C$6,$D$6))</f>
        <v/>
      </c>
      <c r="L815" s="27">
        <f>MAX(0.02,NORMINV(RAND(),$C$7,$D$7))</f>
        <v/>
      </c>
      <c r="M815" s="27">
        <f>MIN(0.16,MAX(0.05,NORMINV(RAND(),$C$8,$D$8)))</f>
        <v/>
      </c>
      <c r="N815" s="34">
        <f>MIN(24,MAX(5,NORMINV(RAND(),$C$9,$D$9)))</f>
        <v/>
      </c>
      <c r="O815" s="41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7">
        <f>MAX(-0.05,NORMINV(RAND(),$C$6,$D$6))</f>
        <v/>
      </c>
      <c r="L816" s="27">
        <f>MAX(0.02,NORMINV(RAND(),$C$7,$D$7))</f>
        <v/>
      </c>
      <c r="M816" s="27">
        <f>MIN(0.16,MAX(0.05,NORMINV(RAND(),$C$8,$D$8)))</f>
        <v/>
      </c>
      <c r="N816" s="34">
        <f>MIN(24,MAX(5,NORMINV(RAND(),$C$9,$D$9)))</f>
        <v/>
      </c>
      <c r="O816" s="41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7">
        <f>MAX(-0.05,NORMINV(RAND(),$C$6,$D$6))</f>
        <v/>
      </c>
      <c r="L817" s="27">
        <f>MAX(0.02,NORMINV(RAND(),$C$7,$D$7))</f>
        <v/>
      </c>
      <c r="M817" s="27">
        <f>MIN(0.16,MAX(0.05,NORMINV(RAND(),$C$8,$D$8)))</f>
        <v/>
      </c>
      <c r="N817" s="34">
        <f>MIN(24,MAX(5,NORMINV(RAND(),$C$9,$D$9)))</f>
        <v/>
      </c>
      <c r="O817" s="41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7">
        <f>MAX(-0.05,NORMINV(RAND(),$C$6,$D$6))</f>
        <v/>
      </c>
      <c r="L818" s="27">
        <f>MAX(0.02,NORMINV(RAND(),$C$7,$D$7))</f>
        <v/>
      </c>
      <c r="M818" s="27">
        <f>MIN(0.16,MAX(0.05,NORMINV(RAND(),$C$8,$D$8)))</f>
        <v/>
      </c>
      <c r="N818" s="34">
        <f>MIN(24,MAX(5,NORMINV(RAND(),$C$9,$D$9)))</f>
        <v/>
      </c>
      <c r="O818" s="41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7">
        <f>MAX(-0.05,NORMINV(RAND(),$C$6,$D$6))</f>
        <v/>
      </c>
      <c r="L819" s="27">
        <f>MAX(0.02,NORMINV(RAND(),$C$7,$D$7))</f>
        <v/>
      </c>
      <c r="M819" s="27">
        <f>MIN(0.16,MAX(0.05,NORMINV(RAND(),$C$8,$D$8)))</f>
        <v/>
      </c>
      <c r="N819" s="34">
        <f>MIN(24,MAX(5,NORMINV(RAND(),$C$9,$D$9)))</f>
        <v/>
      </c>
      <c r="O819" s="41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7">
        <f>MAX(-0.05,NORMINV(RAND(),$C$6,$D$6))</f>
        <v/>
      </c>
      <c r="L820" s="27">
        <f>MAX(0.02,NORMINV(RAND(),$C$7,$D$7))</f>
        <v/>
      </c>
      <c r="M820" s="27">
        <f>MIN(0.16,MAX(0.05,NORMINV(RAND(),$C$8,$D$8)))</f>
        <v/>
      </c>
      <c r="N820" s="34">
        <f>MIN(24,MAX(5,NORMINV(RAND(),$C$9,$D$9)))</f>
        <v/>
      </c>
      <c r="O820" s="41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7">
        <f>MAX(-0.05,NORMINV(RAND(),$C$6,$D$6))</f>
        <v/>
      </c>
      <c r="L821" s="27">
        <f>MAX(0.02,NORMINV(RAND(),$C$7,$D$7))</f>
        <v/>
      </c>
      <c r="M821" s="27">
        <f>MIN(0.16,MAX(0.05,NORMINV(RAND(),$C$8,$D$8)))</f>
        <v/>
      </c>
      <c r="N821" s="34">
        <f>MIN(24,MAX(5,NORMINV(RAND(),$C$9,$D$9)))</f>
        <v/>
      </c>
      <c r="O821" s="41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7">
        <f>MAX(-0.05,NORMINV(RAND(),$C$6,$D$6))</f>
        <v/>
      </c>
      <c r="L822" s="27">
        <f>MAX(0.02,NORMINV(RAND(),$C$7,$D$7))</f>
        <v/>
      </c>
      <c r="M822" s="27">
        <f>MIN(0.16,MAX(0.05,NORMINV(RAND(),$C$8,$D$8)))</f>
        <v/>
      </c>
      <c r="N822" s="34">
        <f>MIN(24,MAX(5,NORMINV(RAND(),$C$9,$D$9)))</f>
        <v/>
      </c>
      <c r="O822" s="41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7">
        <f>MAX(-0.05,NORMINV(RAND(),$C$6,$D$6))</f>
        <v/>
      </c>
      <c r="L823" s="27">
        <f>MAX(0.02,NORMINV(RAND(),$C$7,$D$7))</f>
        <v/>
      </c>
      <c r="M823" s="27">
        <f>MIN(0.16,MAX(0.05,NORMINV(RAND(),$C$8,$D$8)))</f>
        <v/>
      </c>
      <c r="N823" s="34">
        <f>MIN(24,MAX(5,NORMINV(RAND(),$C$9,$D$9)))</f>
        <v/>
      </c>
      <c r="O823" s="41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7">
        <f>MAX(-0.05,NORMINV(RAND(),$C$6,$D$6))</f>
        <v/>
      </c>
      <c r="L824" s="27">
        <f>MAX(0.02,NORMINV(RAND(),$C$7,$D$7))</f>
        <v/>
      </c>
      <c r="M824" s="27">
        <f>MIN(0.16,MAX(0.05,NORMINV(RAND(),$C$8,$D$8)))</f>
        <v/>
      </c>
      <c r="N824" s="34">
        <f>MIN(24,MAX(5,NORMINV(RAND(),$C$9,$D$9)))</f>
        <v/>
      </c>
      <c r="O824" s="41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7">
        <f>MAX(-0.05,NORMINV(RAND(),$C$6,$D$6))</f>
        <v/>
      </c>
      <c r="L825" s="27">
        <f>MAX(0.02,NORMINV(RAND(),$C$7,$D$7))</f>
        <v/>
      </c>
      <c r="M825" s="27">
        <f>MIN(0.16,MAX(0.05,NORMINV(RAND(),$C$8,$D$8)))</f>
        <v/>
      </c>
      <c r="N825" s="34">
        <f>MIN(24,MAX(5,NORMINV(RAND(),$C$9,$D$9)))</f>
        <v/>
      </c>
      <c r="O825" s="41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7">
        <f>MAX(-0.05,NORMINV(RAND(),$C$6,$D$6))</f>
        <v/>
      </c>
      <c r="L826" s="27">
        <f>MAX(0.02,NORMINV(RAND(),$C$7,$D$7))</f>
        <v/>
      </c>
      <c r="M826" s="27">
        <f>MIN(0.16,MAX(0.05,NORMINV(RAND(),$C$8,$D$8)))</f>
        <v/>
      </c>
      <c r="N826" s="34">
        <f>MIN(24,MAX(5,NORMINV(RAND(),$C$9,$D$9)))</f>
        <v/>
      </c>
      <c r="O826" s="41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7">
        <f>MAX(-0.05,NORMINV(RAND(),$C$6,$D$6))</f>
        <v/>
      </c>
      <c r="L827" s="27">
        <f>MAX(0.02,NORMINV(RAND(),$C$7,$D$7))</f>
        <v/>
      </c>
      <c r="M827" s="27">
        <f>MIN(0.16,MAX(0.05,NORMINV(RAND(),$C$8,$D$8)))</f>
        <v/>
      </c>
      <c r="N827" s="34">
        <f>MIN(24,MAX(5,NORMINV(RAND(),$C$9,$D$9)))</f>
        <v/>
      </c>
      <c r="O827" s="41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7">
        <f>MAX(-0.05,NORMINV(RAND(),$C$6,$D$6))</f>
        <v/>
      </c>
      <c r="L828" s="27">
        <f>MAX(0.02,NORMINV(RAND(),$C$7,$D$7))</f>
        <v/>
      </c>
      <c r="M828" s="27">
        <f>MIN(0.16,MAX(0.05,NORMINV(RAND(),$C$8,$D$8)))</f>
        <v/>
      </c>
      <c r="N828" s="34">
        <f>MIN(24,MAX(5,NORMINV(RAND(),$C$9,$D$9)))</f>
        <v/>
      </c>
      <c r="O828" s="41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7">
        <f>MAX(-0.05,NORMINV(RAND(),$C$6,$D$6))</f>
        <v/>
      </c>
      <c r="L829" s="27">
        <f>MAX(0.02,NORMINV(RAND(),$C$7,$D$7))</f>
        <v/>
      </c>
      <c r="M829" s="27">
        <f>MIN(0.16,MAX(0.05,NORMINV(RAND(),$C$8,$D$8)))</f>
        <v/>
      </c>
      <c r="N829" s="34">
        <f>MIN(24,MAX(5,NORMINV(RAND(),$C$9,$D$9)))</f>
        <v/>
      </c>
      <c r="O829" s="41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7">
        <f>MAX(-0.05,NORMINV(RAND(),$C$6,$D$6))</f>
        <v/>
      </c>
      <c r="L830" s="27">
        <f>MAX(0.02,NORMINV(RAND(),$C$7,$D$7))</f>
        <v/>
      </c>
      <c r="M830" s="27">
        <f>MIN(0.16,MAX(0.05,NORMINV(RAND(),$C$8,$D$8)))</f>
        <v/>
      </c>
      <c r="N830" s="34">
        <f>MIN(24,MAX(5,NORMINV(RAND(),$C$9,$D$9)))</f>
        <v/>
      </c>
      <c r="O830" s="41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7">
        <f>MAX(-0.05,NORMINV(RAND(),$C$6,$D$6))</f>
        <v/>
      </c>
      <c r="L831" s="27">
        <f>MAX(0.02,NORMINV(RAND(),$C$7,$D$7))</f>
        <v/>
      </c>
      <c r="M831" s="27">
        <f>MIN(0.16,MAX(0.05,NORMINV(RAND(),$C$8,$D$8)))</f>
        <v/>
      </c>
      <c r="N831" s="34">
        <f>MIN(24,MAX(5,NORMINV(RAND(),$C$9,$D$9)))</f>
        <v/>
      </c>
      <c r="O831" s="41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7">
        <f>MAX(-0.05,NORMINV(RAND(),$C$6,$D$6))</f>
        <v/>
      </c>
      <c r="L832" s="27">
        <f>MAX(0.02,NORMINV(RAND(),$C$7,$D$7))</f>
        <v/>
      </c>
      <c r="M832" s="27">
        <f>MIN(0.16,MAX(0.05,NORMINV(RAND(),$C$8,$D$8)))</f>
        <v/>
      </c>
      <c r="N832" s="34">
        <f>MIN(24,MAX(5,NORMINV(RAND(),$C$9,$D$9)))</f>
        <v/>
      </c>
      <c r="O832" s="41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7">
        <f>MAX(-0.05,NORMINV(RAND(),$C$6,$D$6))</f>
        <v/>
      </c>
      <c r="L833" s="27">
        <f>MAX(0.02,NORMINV(RAND(),$C$7,$D$7))</f>
        <v/>
      </c>
      <c r="M833" s="27">
        <f>MIN(0.16,MAX(0.05,NORMINV(RAND(),$C$8,$D$8)))</f>
        <v/>
      </c>
      <c r="N833" s="34">
        <f>MIN(24,MAX(5,NORMINV(RAND(),$C$9,$D$9)))</f>
        <v/>
      </c>
      <c r="O833" s="41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7">
        <f>MAX(-0.05,NORMINV(RAND(),$C$6,$D$6))</f>
        <v/>
      </c>
      <c r="L834" s="27">
        <f>MAX(0.02,NORMINV(RAND(),$C$7,$D$7))</f>
        <v/>
      </c>
      <c r="M834" s="27">
        <f>MIN(0.16,MAX(0.05,NORMINV(RAND(),$C$8,$D$8)))</f>
        <v/>
      </c>
      <c r="N834" s="34">
        <f>MIN(24,MAX(5,NORMINV(RAND(),$C$9,$D$9)))</f>
        <v/>
      </c>
      <c r="O834" s="41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7">
        <f>MAX(-0.05,NORMINV(RAND(),$C$6,$D$6))</f>
        <v/>
      </c>
      <c r="L835" s="27">
        <f>MAX(0.02,NORMINV(RAND(),$C$7,$D$7))</f>
        <v/>
      </c>
      <c r="M835" s="27">
        <f>MIN(0.16,MAX(0.05,NORMINV(RAND(),$C$8,$D$8)))</f>
        <v/>
      </c>
      <c r="N835" s="34">
        <f>MIN(24,MAX(5,NORMINV(RAND(),$C$9,$D$9)))</f>
        <v/>
      </c>
      <c r="O835" s="41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7">
        <f>MAX(-0.05,NORMINV(RAND(),$C$6,$D$6))</f>
        <v/>
      </c>
      <c r="L836" s="27">
        <f>MAX(0.02,NORMINV(RAND(),$C$7,$D$7))</f>
        <v/>
      </c>
      <c r="M836" s="27">
        <f>MIN(0.16,MAX(0.05,NORMINV(RAND(),$C$8,$D$8)))</f>
        <v/>
      </c>
      <c r="N836" s="34">
        <f>MIN(24,MAX(5,NORMINV(RAND(),$C$9,$D$9)))</f>
        <v/>
      </c>
      <c r="O836" s="41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7">
        <f>MAX(-0.05,NORMINV(RAND(),$C$6,$D$6))</f>
        <v/>
      </c>
      <c r="L837" s="27">
        <f>MAX(0.02,NORMINV(RAND(),$C$7,$D$7))</f>
        <v/>
      </c>
      <c r="M837" s="27">
        <f>MIN(0.16,MAX(0.05,NORMINV(RAND(),$C$8,$D$8)))</f>
        <v/>
      </c>
      <c r="N837" s="34">
        <f>MIN(24,MAX(5,NORMINV(RAND(),$C$9,$D$9)))</f>
        <v/>
      </c>
      <c r="O837" s="41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7">
        <f>MAX(-0.05,NORMINV(RAND(),$C$6,$D$6))</f>
        <v/>
      </c>
      <c r="L838" s="27">
        <f>MAX(0.02,NORMINV(RAND(),$C$7,$D$7))</f>
        <v/>
      </c>
      <c r="M838" s="27">
        <f>MIN(0.16,MAX(0.05,NORMINV(RAND(),$C$8,$D$8)))</f>
        <v/>
      </c>
      <c r="N838" s="34">
        <f>MIN(24,MAX(5,NORMINV(RAND(),$C$9,$D$9)))</f>
        <v/>
      </c>
      <c r="O838" s="41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7">
        <f>MAX(-0.05,NORMINV(RAND(),$C$6,$D$6))</f>
        <v/>
      </c>
      <c r="L839" s="27">
        <f>MAX(0.02,NORMINV(RAND(),$C$7,$D$7))</f>
        <v/>
      </c>
      <c r="M839" s="27">
        <f>MIN(0.16,MAX(0.05,NORMINV(RAND(),$C$8,$D$8)))</f>
        <v/>
      </c>
      <c r="N839" s="34">
        <f>MIN(24,MAX(5,NORMINV(RAND(),$C$9,$D$9)))</f>
        <v/>
      </c>
      <c r="O839" s="41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7">
        <f>MAX(-0.05,NORMINV(RAND(),$C$6,$D$6))</f>
        <v/>
      </c>
      <c r="L840" s="27">
        <f>MAX(0.02,NORMINV(RAND(),$C$7,$D$7))</f>
        <v/>
      </c>
      <c r="M840" s="27">
        <f>MIN(0.16,MAX(0.05,NORMINV(RAND(),$C$8,$D$8)))</f>
        <v/>
      </c>
      <c r="N840" s="34">
        <f>MIN(24,MAX(5,NORMINV(RAND(),$C$9,$D$9)))</f>
        <v/>
      </c>
      <c r="O840" s="41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7">
        <f>MAX(-0.05,NORMINV(RAND(),$C$6,$D$6))</f>
        <v/>
      </c>
      <c r="L841" s="27">
        <f>MAX(0.02,NORMINV(RAND(),$C$7,$D$7))</f>
        <v/>
      </c>
      <c r="M841" s="27">
        <f>MIN(0.16,MAX(0.05,NORMINV(RAND(),$C$8,$D$8)))</f>
        <v/>
      </c>
      <c r="N841" s="34">
        <f>MIN(24,MAX(5,NORMINV(RAND(),$C$9,$D$9)))</f>
        <v/>
      </c>
      <c r="O841" s="41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7">
        <f>MAX(-0.05,NORMINV(RAND(),$C$6,$D$6))</f>
        <v/>
      </c>
      <c r="L842" s="27">
        <f>MAX(0.02,NORMINV(RAND(),$C$7,$D$7))</f>
        <v/>
      </c>
      <c r="M842" s="27">
        <f>MIN(0.16,MAX(0.05,NORMINV(RAND(),$C$8,$D$8)))</f>
        <v/>
      </c>
      <c r="N842" s="34">
        <f>MIN(24,MAX(5,NORMINV(RAND(),$C$9,$D$9)))</f>
        <v/>
      </c>
      <c r="O842" s="41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7">
        <f>MAX(-0.05,NORMINV(RAND(),$C$6,$D$6))</f>
        <v/>
      </c>
      <c r="L843" s="27">
        <f>MAX(0.02,NORMINV(RAND(),$C$7,$D$7))</f>
        <v/>
      </c>
      <c r="M843" s="27">
        <f>MIN(0.16,MAX(0.05,NORMINV(RAND(),$C$8,$D$8)))</f>
        <v/>
      </c>
      <c r="N843" s="34">
        <f>MIN(24,MAX(5,NORMINV(RAND(),$C$9,$D$9)))</f>
        <v/>
      </c>
      <c r="O843" s="41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7">
        <f>MAX(-0.05,NORMINV(RAND(),$C$6,$D$6))</f>
        <v/>
      </c>
      <c r="L844" s="27">
        <f>MAX(0.02,NORMINV(RAND(),$C$7,$D$7))</f>
        <v/>
      </c>
      <c r="M844" s="27">
        <f>MIN(0.16,MAX(0.05,NORMINV(RAND(),$C$8,$D$8)))</f>
        <v/>
      </c>
      <c r="N844" s="34">
        <f>MIN(24,MAX(5,NORMINV(RAND(),$C$9,$D$9)))</f>
        <v/>
      </c>
      <c r="O844" s="41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7">
        <f>MAX(-0.05,NORMINV(RAND(),$C$6,$D$6))</f>
        <v/>
      </c>
      <c r="L845" s="27">
        <f>MAX(0.02,NORMINV(RAND(),$C$7,$D$7))</f>
        <v/>
      </c>
      <c r="M845" s="27">
        <f>MIN(0.16,MAX(0.05,NORMINV(RAND(),$C$8,$D$8)))</f>
        <v/>
      </c>
      <c r="N845" s="34">
        <f>MIN(24,MAX(5,NORMINV(RAND(),$C$9,$D$9)))</f>
        <v/>
      </c>
      <c r="O845" s="41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7">
        <f>MAX(-0.05,NORMINV(RAND(),$C$6,$D$6))</f>
        <v/>
      </c>
      <c r="L846" s="27">
        <f>MAX(0.02,NORMINV(RAND(),$C$7,$D$7))</f>
        <v/>
      </c>
      <c r="M846" s="27">
        <f>MIN(0.16,MAX(0.05,NORMINV(RAND(),$C$8,$D$8)))</f>
        <v/>
      </c>
      <c r="N846" s="34">
        <f>MIN(24,MAX(5,NORMINV(RAND(),$C$9,$D$9)))</f>
        <v/>
      </c>
      <c r="O846" s="41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7">
        <f>MAX(-0.05,NORMINV(RAND(),$C$6,$D$6))</f>
        <v/>
      </c>
      <c r="L847" s="27">
        <f>MAX(0.02,NORMINV(RAND(),$C$7,$D$7))</f>
        <v/>
      </c>
      <c r="M847" s="27">
        <f>MIN(0.16,MAX(0.05,NORMINV(RAND(),$C$8,$D$8)))</f>
        <v/>
      </c>
      <c r="N847" s="34">
        <f>MIN(24,MAX(5,NORMINV(RAND(),$C$9,$D$9)))</f>
        <v/>
      </c>
      <c r="O847" s="41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7">
        <f>MAX(-0.05,NORMINV(RAND(),$C$6,$D$6))</f>
        <v/>
      </c>
      <c r="L848" s="27">
        <f>MAX(0.02,NORMINV(RAND(),$C$7,$D$7))</f>
        <v/>
      </c>
      <c r="M848" s="27">
        <f>MIN(0.16,MAX(0.05,NORMINV(RAND(),$C$8,$D$8)))</f>
        <v/>
      </c>
      <c r="N848" s="34">
        <f>MIN(24,MAX(5,NORMINV(RAND(),$C$9,$D$9)))</f>
        <v/>
      </c>
      <c r="O848" s="41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7">
        <f>MAX(-0.05,NORMINV(RAND(),$C$6,$D$6))</f>
        <v/>
      </c>
      <c r="L849" s="27">
        <f>MAX(0.02,NORMINV(RAND(),$C$7,$D$7))</f>
        <v/>
      </c>
      <c r="M849" s="27">
        <f>MIN(0.16,MAX(0.05,NORMINV(RAND(),$C$8,$D$8)))</f>
        <v/>
      </c>
      <c r="N849" s="34">
        <f>MIN(24,MAX(5,NORMINV(RAND(),$C$9,$D$9)))</f>
        <v/>
      </c>
      <c r="O849" s="41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7">
        <f>MAX(-0.05,NORMINV(RAND(),$C$6,$D$6))</f>
        <v/>
      </c>
      <c r="L850" s="27">
        <f>MAX(0.02,NORMINV(RAND(),$C$7,$D$7))</f>
        <v/>
      </c>
      <c r="M850" s="27">
        <f>MIN(0.16,MAX(0.05,NORMINV(RAND(),$C$8,$D$8)))</f>
        <v/>
      </c>
      <c r="N850" s="34">
        <f>MIN(24,MAX(5,NORMINV(RAND(),$C$9,$D$9)))</f>
        <v/>
      </c>
      <c r="O850" s="41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7">
        <f>MAX(-0.05,NORMINV(RAND(),$C$6,$D$6))</f>
        <v/>
      </c>
      <c r="L851" s="27">
        <f>MAX(0.02,NORMINV(RAND(),$C$7,$D$7))</f>
        <v/>
      </c>
      <c r="M851" s="27">
        <f>MIN(0.16,MAX(0.05,NORMINV(RAND(),$C$8,$D$8)))</f>
        <v/>
      </c>
      <c r="N851" s="34">
        <f>MIN(24,MAX(5,NORMINV(RAND(),$C$9,$D$9)))</f>
        <v/>
      </c>
      <c r="O851" s="41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7">
        <f>MAX(-0.05,NORMINV(RAND(),$C$6,$D$6))</f>
        <v/>
      </c>
      <c r="L852" s="27">
        <f>MAX(0.02,NORMINV(RAND(),$C$7,$D$7))</f>
        <v/>
      </c>
      <c r="M852" s="27">
        <f>MIN(0.16,MAX(0.05,NORMINV(RAND(),$C$8,$D$8)))</f>
        <v/>
      </c>
      <c r="N852" s="34">
        <f>MIN(24,MAX(5,NORMINV(RAND(),$C$9,$D$9)))</f>
        <v/>
      </c>
      <c r="O852" s="41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7">
        <f>MAX(-0.05,NORMINV(RAND(),$C$6,$D$6))</f>
        <v/>
      </c>
      <c r="L853" s="27">
        <f>MAX(0.02,NORMINV(RAND(),$C$7,$D$7))</f>
        <v/>
      </c>
      <c r="M853" s="27">
        <f>MIN(0.16,MAX(0.05,NORMINV(RAND(),$C$8,$D$8)))</f>
        <v/>
      </c>
      <c r="N853" s="34">
        <f>MIN(24,MAX(5,NORMINV(RAND(),$C$9,$D$9)))</f>
        <v/>
      </c>
      <c r="O853" s="41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7">
        <f>MAX(-0.05,NORMINV(RAND(),$C$6,$D$6))</f>
        <v/>
      </c>
      <c r="L854" s="27">
        <f>MAX(0.02,NORMINV(RAND(),$C$7,$D$7))</f>
        <v/>
      </c>
      <c r="M854" s="27">
        <f>MIN(0.16,MAX(0.05,NORMINV(RAND(),$C$8,$D$8)))</f>
        <v/>
      </c>
      <c r="N854" s="34">
        <f>MIN(24,MAX(5,NORMINV(RAND(),$C$9,$D$9)))</f>
        <v/>
      </c>
      <c r="O854" s="41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7">
        <f>MAX(-0.05,NORMINV(RAND(),$C$6,$D$6))</f>
        <v/>
      </c>
      <c r="L855" s="27">
        <f>MAX(0.02,NORMINV(RAND(),$C$7,$D$7))</f>
        <v/>
      </c>
      <c r="M855" s="27">
        <f>MIN(0.16,MAX(0.05,NORMINV(RAND(),$C$8,$D$8)))</f>
        <v/>
      </c>
      <c r="N855" s="34">
        <f>MIN(24,MAX(5,NORMINV(RAND(),$C$9,$D$9)))</f>
        <v/>
      </c>
      <c r="O855" s="41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7">
        <f>MAX(-0.05,NORMINV(RAND(),$C$6,$D$6))</f>
        <v/>
      </c>
      <c r="L856" s="27">
        <f>MAX(0.02,NORMINV(RAND(),$C$7,$D$7))</f>
        <v/>
      </c>
      <c r="M856" s="27">
        <f>MIN(0.16,MAX(0.05,NORMINV(RAND(),$C$8,$D$8)))</f>
        <v/>
      </c>
      <c r="N856" s="34">
        <f>MIN(24,MAX(5,NORMINV(RAND(),$C$9,$D$9)))</f>
        <v/>
      </c>
      <c r="O856" s="41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7">
        <f>MAX(-0.05,NORMINV(RAND(),$C$6,$D$6))</f>
        <v/>
      </c>
      <c r="L857" s="27">
        <f>MAX(0.02,NORMINV(RAND(),$C$7,$D$7))</f>
        <v/>
      </c>
      <c r="M857" s="27">
        <f>MIN(0.16,MAX(0.05,NORMINV(RAND(),$C$8,$D$8)))</f>
        <v/>
      </c>
      <c r="N857" s="34">
        <f>MIN(24,MAX(5,NORMINV(RAND(),$C$9,$D$9)))</f>
        <v/>
      </c>
      <c r="O857" s="41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7">
        <f>MAX(-0.05,NORMINV(RAND(),$C$6,$D$6))</f>
        <v/>
      </c>
      <c r="L858" s="27">
        <f>MAX(0.02,NORMINV(RAND(),$C$7,$D$7))</f>
        <v/>
      </c>
      <c r="M858" s="27">
        <f>MIN(0.16,MAX(0.05,NORMINV(RAND(),$C$8,$D$8)))</f>
        <v/>
      </c>
      <c r="N858" s="34">
        <f>MIN(24,MAX(5,NORMINV(RAND(),$C$9,$D$9)))</f>
        <v/>
      </c>
      <c r="O858" s="41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7">
        <f>MAX(-0.05,NORMINV(RAND(),$C$6,$D$6))</f>
        <v/>
      </c>
      <c r="L859" s="27">
        <f>MAX(0.02,NORMINV(RAND(),$C$7,$D$7))</f>
        <v/>
      </c>
      <c r="M859" s="27">
        <f>MIN(0.16,MAX(0.05,NORMINV(RAND(),$C$8,$D$8)))</f>
        <v/>
      </c>
      <c r="N859" s="34">
        <f>MIN(24,MAX(5,NORMINV(RAND(),$C$9,$D$9)))</f>
        <v/>
      </c>
      <c r="O859" s="41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7">
        <f>MAX(-0.05,NORMINV(RAND(),$C$6,$D$6))</f>
        <v/>
      </c>
      <c r="L860" s="27">
        <f>MAX(0.02,NORMINV(RAND(),$C$7,$D$7))</f>
        <v/>
      </c>
      <c r="M860" s="27">
        <f>MIN(0.16,MAX(0.05,NORMINV(RAND(),$C$8,$D$8)))</f>
        <v/>
      </c>
      <c r="N860" s="34">
        <f>MIN(24,MAX(5,NORMINV(RAND(),$C$9,$D$9)))</f>
        <v/>
      </c>
      <c r="O860" s="41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7">
        <f>MAX(-0.05,NORMINV(RAND(),$C$6,$D$6))</f>
        <v/>
      </c>
      <c r="L861" s="27">
        <f>MAX(0.02,NORMINV(RAND(),$C$7,$D$7))</f>
        <v/>
      </c>
      <c r="M861" s="27">
        <f>MIN(0.16,MAX(0.05,NORMINV(RAND(),$C$8,$D$8)))</f>
        <v/>
      </c>
      <c r="N861" s="34">
        <f>MIN(24,MAX(5,NORMINV(RAND(),$C$9,$D$9)))</f>
        <v/>
      </c>
      <c r="O861" s="41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7">
        <f>MAX(-0.05,NORMINV(RAND(),$C$6,$D$6))</f>
        <v/>
      </c>
      <c r="L862" s="27">
        <f>MAX(0.02,NORMINV(RAND(),$C$7,$D$7))</f>
        <v/>
      </c>
      <c r="M862" s="27">
        <f>MIN(0.16,MAX(0.05,NORMINV(RAND(),$C$8,$D$8)))</f>
        <v/>
      </c>
      <c r="N862" s="34">
        <f>MIN(24,MAX(5,NORMINV(RAND(),$C$9,$D$9)))</f>
        <v/>
      </c>
      <c r="O862" s="41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7">
        <f>MAX(-0.05,NORMINV(RAND(),$C$6,$D$6))</f>
        <v/>
      </c>
      <c r="L863" s="27">
        <f>MAX(0.02,NORMINV(RAND(),$C$7,$D$7))</f>
        <v/>
      </c>
      <c r="M863" s="27">
        <f>MIN(0.16,MAX(0.05,NORMINV(RAND(),$C$8,$D$8)))</f>
        <v/>
      </c>
      <c r="N863" s="34">
        <f>MIN(24,MAX(5,NORMINV(RAND(),$C$9,$D$9)))</f>
        <v/>
      </c>
      <c r="O863" s="41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7">
        <f>MAX(-0.05,NORMINV(RAND(),$C$6,$D$6))</f>
        <v/>
      </c>
      <c r="L864" s="27">
        <f>MAX(0.02,NORMINV(RAND(),$C$7,$D$7))</f>
        <v/>
      </c>
      <c r="M864" s="27">
        <f>MIN(0.16,MAX(0.05,NORMINV(RAND(),$C$8,$D$8)))</f>
        <v/>
      </c>
      <c r="N864" s="34">
        <f>MIN(24,MAX(5,NORMINV(RAND(),$C$9,$D$9)))</f>
        <v/>
      </c>
      <c r="O864" s="41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7">
        <f>MAX(-0.05,NORMINV(RAND(),$C$6,$D$6))</f>
        <v/>
      </c>
      <c r="L865" s="27">
        <f>MAX(0.02,NORMINV(RAND(),$C$7,$D$7))</f>
        <v/>
      </c>
      <c r="M865" s="27">
        <f>MIN(0.16,MAX(0.05,NORMINV(RAND(),$C$8,$D$8)))</f>
        <v/>
      </c>
      <c r="N865" s="34">
        <f>MIN(24,MAX(5,NORMINV(RAND(),$C$9,$D$9)))</f>
        <v/>
      </c>
      <c r="O865" s="41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7">
        <f>MAX(-0.05,NORMINV(RAND(),$C$6,$D$6))</f>
        <v/>
      </c>
      <c r="L866" s="27">
        <f>MAX(0.02,NORMINV(RAND(),$C$7,$D$7))</f>
        <v/>
      </c>
      <c r="M866" s="27">
        <f>MIN(0.16,MAX(0.05,NORMINV(RAND(),$C$8,$D$8)))</f>
        <v/>
      </c>
      <c r="N866" s="34">
        <f>MIN(24,MAX(5,NORMINV(RAND(),$C$9,$D$9)))</f>
        <v/>
      </c>
      <c r="O866" s="41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7">
        <f>MAX(-0.05,NORMINV(RAND(),$C$6,$D$6))</f>
        <v/>
      </c>
      <c r="L867" s="27">
        <f>MAX(0.02,NORMINV(RAND(),$C$7,$D$7))</f>
        <v/>
      </c>
      <c r="M867" s="27">
        <f>MIN(0.16,MAX(0.05,NORMINV(RAND(),$C$8,$D$8)))</f>
        <v/>
      </c>
      <c r="N867" s="34">
        <f>MIN(24,MAX(5,NORMINV(RAND(),$C$9,$D$9)))</f>
        <v/>
      </c>
      <c r="O867" s="41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7">
        <f>MAX(-0.05,NORMINV(RAND(),$C$6,$D$6))</f>
        <v/>
      </c>
      <c r="L868" s="27">
        <f>MAX(0.02,NORMINV(RAND(),$C$7,$D$7))</f>
        <v/>
      </c>
      <c r="M868" s="27">
        <f>MIN(0.16,MAX(0.05,NORMINV(RAND(),$C$8,$D$8)))</f>
        <v/>
      </c>
      <c r="N868" s="34">
        <f>MIN(24,MAX(5,NORMINV(RAND(),$C$9,$D$9)))</f>
        <v/>
      </c>
      <c r="O868" s="41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7">
        <f>MAX(-0.05,NORMINV(RAND(),$C$6,$D$6))</f>
        <v/>
      </c>
      <c r="L869" s="27">
        <f>MAX(0.02,NORMINV(RAND(),$C$7,$D$7))</f>
        <v/>
      </c>
      <c r="M869" s="27">
        <f>MIN(0.16,MAX(0.05,NORMINV(RAND(),$C$8,$D$8)))</f>
        <v/>
      </c>
      <c r="N869" s="34">
        <f>MIN(24,MAX(5,NORMINV(RAND(),$C$9,$D$9)))</f>
        <v/>
      </c>
      <c r="O869" s="41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7">
        <f>MAX(-0.05,NORMINV(RAND(),$C$6,$D$6))</f>
        <v/>
      </c>
      <c r="L870" s="27">
        <f>MAX(0.02,NORMINV(RAND(),$C$7,$D$7))</f>
        <v/>
      </c>
      <c r="M870" s="27">
        <f>MIN(0.16,MAX(0.05,NORMINV(RAND(),$C$8,$D$8)))</f>
        <v/>
      </c>
      <c r="N870" s="34">
        <f>MIN(24,MAX(5,NORMINV(RAND(),$C$9,$D$9)))</f>
        <v/>
      </c>
      <c r="O870" s="41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7">
        <f>MAX(-0.05,NORMINV(RAND(),$C$6,$D$6))</f>
        <v/>
      </c>
      <c r="L871" s="27">
        <f>MAX(0.02,NORMINV(RAND(),$C$7,$D$7))</f>
        <v/>
      </c>
      <c r="M871" s="27">
        <f>MIN(0.16,MAX(0.05,NORMINV(RAND(),$C$8,$D$8)))</f>
        <v/>
      </c>
      <c r="N871" s="34">
        <f>MIN(24,MAX(5,NORMINV(RAND(),$C$9,$D$9)))</f>
        <v/>
      </c>
      <c r="O871" s="41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7">
        <f>MAX(-0.05,NORMINV(RAND(),$C$6,$D$6))</f>
        <v/>
      </c>
      <c r="L872" s="27">
        <f>MAX(0.02,NORMINV(RAND(),$C$7,$D$7))</f>
        <v/>
      </c>
      <c r="M872" s="27">
        <f>MIN(0.16,MAX(0.05,NORMINV(RAND(),$C$8,$D$8)))</f>
        <v/>
      </c>
      <c r="N872" s="34">
        <f>MIN(24,MAX(5,NORMINV(RAND(),$C$9,$D$9)))</f>
        <v/>
      </c>
      <c r="O872" s="41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7">
        <f>MAX(-0.05,NORMINV(RAND(),$C$6,$D$6))</f>
        <v/>
      </c>
      <c r="L873" s="27">
        <f>MAX(0.02,NORMINV(RAND(),$C$7,$D$7))</f>
        <v/>
      </c>
      <c r="M873" s="27">
        <f>MIN(0.16,MAX(0.05,NORMINV(RAND(),$C$8,$D$8)))</f>
        <v/>
      </c>
      <c r="N873" s="34">
        <f>MIN(24,MAX(5,NORMINV(RAND(),$C$9,$D$9)))</f>
        <v/>
      </c>
      <c r="O873" s="41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7">
        <f>MAX(-0.05,NORMINV(RAND(),$C$6,$D$6))</f>
        <v/>
      </c>
      <c r="L874" s="27">
        <f>MAX(0.02,NORMINV(RAND(),$C$7,$D$7))</f>
        <v/>
      </c>
      <c r="M874" s="27">
        <f>MIN(0.16,MAX(0.05,NORMINV(RAND(),$C$8,$D$8)))</f>
        <v/>
      </c>
      <c r="N874" s="34">
        <f>MIN(24,MAX(5,NORMINV(RAND(),$C$9,$D$9)))</f>
        <v/>
      </c>
      <c r="O874" s="41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7">
        <f>MAX(-0.05,NORMINV(RAND(),$C$6,$D$6))</f>
        <v/>
      </c>
      <c r="L875" s="27">
        <f>MAX(0.02,NORMINV(RAND(),$C$7,$D$7))</f>
        <v/>
      </c>
      <c r="M875" s="27">
        <f>MIN(0.16,MAX(0.05,NORMINV(RAND(),$C$8,$D$8)))</f>
        <v/>
      </c>
      <c r="N875" s="34">
        <f>MIN(24,MAX(5,NORMINV(RAND(),$C$9,$D$9)))</f>
        <v/>
      </c>
      <c r="O875" s="41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7">
        <f>MAX(-0.05,NORMINV(RAND(),$C$6,$D$6))</f>
        <v/>
      </c>
      <c r="L876" s="27">
        <f>MAX(0.02,NORMINV(RAND(),$C$7,$D$7))</f>
        <v/>
      </c>
      <c r="M876" s="27">
        <f>MIN(0.16,MAX(0.05,NORMINV(RAND(),$C$8,$D$8)))</f>
        <v/>
      </c>
      <c r="N876" s="34">
        <f>MIN(24,MAX(5,NORMINV(RAND(),$C$9,$D$9)))</f>
        <v/>
      </c>
      <c r="O876" s="41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7">
        <f>MAX(-0.05,NORMINV(RAND(),$C$6,$D$6))</f>
        <v/>
      </c>
      <c r="L877" s="27">
        <f>MAX(0.02,NORMINV(RAND(),$C$7,$D$7))</f>
        <v/>
      </c>
      <c r="M877" s="27">
        <f>MIN(0.16,MAX(0.05,NORMINV(RAND(),$C$8,$D$8)))</f>
        <v/>
      </c>
      <c r="N877" s="34">
        <f>MIN(24,MAX(5,NORMINV(RAND(),$C$9,$D$9)))</f>
        <v/>
      </c>
      <c r="O877" s="41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7">
        <f>MAX(-0.05,NORMINV(RAND(),$C$6,$D$6))</f>
        <v/>
      </c>
      <c r="L878" s="27">
        <f>MAX(0.02,NORMINV(RAND(),$C$7,$D$7))</f>
        <v/>
      </c>
      <c r="M878" s="27">
        <f>MIN(0.16,MAX(0.05,NORMINV(RAND(),$C$8,$D$8)))</f>
        <v/>
      </c>
      <c r="N878" s="34">
        <f>MIN(24,MAX(5,NORMINV(RAND(),$C$9,$D$9)))</f>
        <v/>
      </c>
      <c r="O878" s="41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7">
        <f>MAX(-0.05,NORMINV(RAND(),$C$6,$D$6))</f>
        <v/>
      </c>
      <c r="L879" s="27">
        <f>MAX(0.02,NORMINV(RAND(),$C$7,$D$7))</f>
        <v/>
      </c>
      <c r="M879" s="27">
        <f>MIN(0.16,MAX(0.05,NORMINV(RAND(),$C$8,$D$8)))</f>
        <v/>
      </c>
      <c r="N879" s="34">
        <f>MIN(24,MAX(5,NORMINV(RAND(),$C$9,$D$9)))</f>
        <v/>
      </c>
      <c r="O879" s="41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7">
        <f>MAX(-0.05,NORMINV(RAND(),$C$6,$D$6))</f>
        <v/>
      </c>
      <c r="L880" s="27">
        <f>MAX(0.02,NORMINV(RAND(),$C$7,$D$7))</f>
        <v/>
      </c>
      <c r="M880" s="27">
        <f>MIN(0.16,MAX(0.05,NORMINV(RAND(),$C$8,$D$8)))</f>
        <v/>
      </c>
      <c r="N880" s="34">
        <f>MIN(24,MAX(5,NORMINV(RAND(),$C$9,$D$9)))</f>
        <v/>
      </c>
      <c r="O880" s="41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7">
        <f>MAX(-0.05,NORMINV(RAND(),$C$6,$D$6))</f>
        <v/>
      </c>
      <c r="L881" s="27">
        <f>MAX(0.02,NORMINV(RAND(),$C$7,$D$7))</f>
        <v/>
      </c>
      <c r="M881" s="27">
        <f>MIN(0.16,MAX(0.05,NORMINV(RAND(),$C$8,$D$8)))</f>
        <v/>
      </c>
      <c r="N881" s="34">
        <f>MIN(24,MAX(5,NORMINV(RAND(),$C$9,$D$9)))</f>
        <v/>
      </c>
      <c r="O881" s="41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7">
        <f>MAX(-0.05,NORMINV(RAND(),$C$6,$D$6))</f>
        <v/>
      </c>
      <c r="L882" s="27">
        <f>MAX(0.02,NORMINV(RAND(),$C$7,$D$7))</f>
        <v/>
      </c>
      <c r="M882" s="27">
        <f>MIN(0.16,MAX(0.05,NORMINV(RAND(),$C$8,$D$8)))</f>
        <v/>
      </c>
      <c r="N882" s="34">
        <f>MIN(24,MAX(5,NORMINV(RAND(),$C$9,$D$9)))</f>
        <v/>
      </c>
      <c r="O882" s="41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7">
        <f>MAX(-0.05,NORMINV(RAND(),$C$6,$D$6))</f>
        <v/>
      </c>
      <c r="L883" s="27">
        <f>MAX(0.02,NORMINV(RAND(),$C$7,$D$7))</f>
        <v/>
      </c>
      <c r="M883" s="27">
        <f>MIN(0.16,MAX(0.05,NORMINV(RAND(),$C$8,$D$8)))</f>
        <v/>
      </c>
      <c r="N883" s="34">
        <f>MIN(24,MAX(5,NORMINV(RAND(),$C$9,$D$9)))</f>
        <v/>
      </c>
      <c r="O883" s="41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7">
        <f>MAX(-0.05,NORMINV(RAND(),$C$6,$D$6))</f>
        <v/>
      </c>
      <c r="L884" s="27">
        <f>MAX(0.02,NORMINV(RAND(),$C$7,$D$7))</f>
        <v/>
      </c>
      <c r="M884" s="27">
        <f>MIN(0.16,MAX(0.05,NORMINV(RAND(),$C$8,$D$8)))</f>
        <v/>
      </c>
      <c r="N884" s="34">
        <f>MIN(24,MAX(5,NORMINV(RAND(),$C$9,$D$9)))</f>
        <v/>
      </c>
      <c r="O884" s="41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7">
        <f>MAX(-0.05,NORMINV(RAND(),$C$6,$D$6))</f>
        <v/>
      </c>
      <c r="L885" s="27">
        <f>MAX(0.02,NORMINV(RAND(),$C$7,$D$7))</f>
        <v/>
      </c>
      <c r="M885" s="27">
        <f>MIN(0.16,MAX(0.05,NORMINV(RAND(),$C$8,$D$8)))</f>
        <v/>
      </c>
      <c r="N885" s="34">
        <f>MIN(24,MAX(5,NORMINV(RAND(),$C$9,$D$9)))</f>
        <v/>
      </c>
      <c r="O885" s="41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7">
        <f>MAX(-0.05,NORMINV(RAND(),$C$6,$D$6))</f>
        <v/>
      </c>
      <c r="L886" s="27">
        <f>MAX(0.02,NORMINV(RAND(),$C$7,$D$7))</f>
        <v/>
      </c>
      <c r="M886" s="27">
        <f>MIN(0.16,MAX(0.05,NORMINV(RAND(),$C$8,$D$8)))</f>
        <v/>
      </c>
      <c r="N886" s="34">
        <f>MIN(24,MAX(5,NORMINV(RAND(),$C$9,$D$9)))</f>
        <v/>
      </c>
      <c r="O886" s="41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7">
        <f>MAX(-0.05,NORMINV(RAND(),$C$6,$D$6))</f>
        <v/>
      </c>
      <c r="L887" s="27">
        <f>MAX(0.02,NORMINV(RAND(),$C$7,$D$7))</f>
        <v/>
      </c>
      <c r="M887" s="27">
        <f>MIN(0.16,MAX(0.05,NORMINV(RAND(),$C$8,$D$8)))</f>
        <v/>
      </c>
      <c r="N887" s="34">
        <f>MIN(24,MAX(5,NORMINV(RAND(),$C$9,$D$9)))</f>
        <v/>
      </c>
      <c r="O887" s="41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7">
        <f>MAX(-0.05,NORMINV(RAND(),$C$6,$D$6))</f>
        <v/>
      </c>
      <c r="L888" s="27">
        <f>MAX(0.02,NORMINV(RAND(),$C$7,$D$7))</f>
        <v/>
      </c>
      <c r="M888" s="27">
        <f>MIN(0.16,MAX(0.05,NORMINV(RAND(),$C$8,$D$8)))</f>
        <v/>
      </c>
      <c r="N888" s="34">
        <f>MIN(24,MAX(5,NORMINV(RAND(),$C$9,$D$9)))</f>
        <v/>
      </c>
      <c r="O888" s="41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7">
        <f>MAX(-0.05,NORMINV(RAND(),$C$6,$D$6))</f>
        <v/>
      </c>
      <c r="L889" s="27">
        <f>MAX(0.02,NORMINV(RAND(),$C$7,$D$7))</f>
        <v/>
      </c>
      <c r="M889" s="27">
        <f>MIN(0.16,MAX(0.05,NORMINV(RAND(),$C$8,$D$8)))</f>
        <v/>
      </c>
      <c r="N889" s="34">
        <f>MIN(24,MAX(5,NORMINV(RAND(),$C$9,$D$9)))</f>
        <v/>
      </c>
      <c r="O889" s="41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7">
        <f>MAX(-0.05,NORMINV(RAND(),$C$6,$D$6))</f>
        <v/>
      </c>
      <c r="L890" s="27">
        <f>MAX(0.02,NORMINV(RAND(),$C$7,$D$7))</f>
        <v/>
      </c>
      <c r="M890" s="27">
        <f>MIN(0.16,MAX(0.05,NORMINV(RAND(),$C$8,$D$8)))</f>
        <v/>
      </c>
      <c r="N890" s="34">
        <f>MIN(24,MAX(5,NORMINV(RAND(),$C$9,$D$9)))</f>
        <v/>
      </c>
      <c r="O890" s="41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7">
        <f>MAX(-0.05,NORMINV(RAND(),$C$6,$D$6))</f>
        <v/>
      </c>
      <c r="L891" s="27">
        <f>MAX(0.02,NORMINV(RAND(),$C$7,$D$7))</f>
        <v/>
      </c>
      <c r="M891" s="27">
        <f>MIN(0.16,MAX(0.05,NORMINV(RAND(),$C$8,$D$8)))</f>
        <v/>
      </c>
      <c r="N891" s="34">
        <f>MIN(24,MAX(5,NORMINV(RAND(),$C$9,$D$9)))</f>
        <v/>
      </c>
      <c r="O891" s="41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7">
        <f>MAX(-0.05,NORMINV(RAND(),$C$6,$D$6))</f>
        <v/>
      </c>
      <c r="L892" s="27">
        <f>MAX(0.02,NORMINV(RAND(),$C$7,$D$7))</f>
        <v/>
      </c>
      <c r="M892" s="27">
        <f>MIN(0.16,MAX(0.05,NORMINV(RAND(),$C$8,$D$8)))</f>
        <v/>
      </c>
      <c r="N892" s="34">
        <f>MIN(24,MAX(5,NORMINV(RAND(),$C$9,$D$9)))</f>
        <v/>
      </c>
      <c r="O892" s="41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7">
        <f>MAX(-0.05,NORMINV(RAND(),$C$6,$D$6))</f>
        <v/>
      </c>
      <c r="L893" s="27">
        <f>MAX(0.02,NORMINV(RAND(),$C$7,$D$7))</f>
        <v/>
      </c>
      <c r="M893" s="27">
        <f>MIN(0.16,MAX(0.05,NORMINV(RAND(),$C$8,$D$8)))</f>
        <v/>
      </c>
      <c r="N893" s="34">
        <f>MIN(24,MAX(5,NORMINV(RAND(),$C$9,$D$9)))</f>
        <v/>
      </c>
      <c r="O893" s="41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7">
        <f>MAX(-0.05,NORMINV(RAND(),$C$6,$D$6))</f>
        <v/>
      </c>
      <c r="L894" s="27">
        <f>MAX(0.02,NORMINV(RAND(),$C$7,$D$7))</f>
        <v/>
      </c>
      <c r="M894" s="27">
        <f>MIN(0.16,MAX(0.05,NORMINV(RAND(),$C$8,$D$8)))</f>
        <v/>
      </c>
      <c r="N894" s="34">
        <f>MIN(24,MAX(5,NORMINV(RAND(),$C$9,$D$9)))</f>
        <v/>
      </c>
      <c r="O894" s="41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7">
        <f>MAX(-0.05,NORMINV(RAND(),$C$6,$D$6))</f>
        <v/>
      </c>
      <c r="L895" s="27">
        <f>MAX(0.02,NORMINV(RAND(),$C$7,$D$7))</f>
        <v/>
      </c>
      <c r="M895" s="27">
        <f>MIN(0.16,MAX(0.05,NORMINV(RAND(),$C$8,$D$8)))</f>
        <v/>
      </c>
      <c r="N895" s="34">
        <f>MIN(24,MAX(5,NORMINV(RAND(),$C$9,$D$9)))</f>
        <v/>
      </c>
      <c r="O895" s="41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7">
        <f>MAX(-0.05,NORMINV(RAND(),$C$6,$D$6))</f>
        <v/>
      </c>
      <c r="L896" s="27">
        <f>MAX(0.02,NORMINV(RAND(),$C$7,$D$7))</f>
        <v/>
      </c>
      <c r="M896" s="27">
        <f>MIN(0.16,MAX(0.05,NORMINV(RAND(),$C$8,$D$8)))</f>
        <v/>
      </c>
      <c r="N896" s="34">
        <f>MIN(24,MAX(5,NORMINV(RAND(),$C$9,$D$9)))</f>
        <v/>
      </c>
      <c r="O896" s="41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7">
        <f>MAX(-0.05,NORMINV(RAND(),$C$6,$D$6))</f>
        <v/>
      </c>
      <c r="L897" s="27">
        <f>MAX(0.02,NORMINV(RAND(),$C$7,$D$7))</f>
        <v/>
      </c>
      <c r="M897" s="27">
        <f>MIN(0.16,MAX(0.05,NORMINV(RAND(),$C$8,$D$8)))</f>
        <v/>
      </c>
      <c r="N897" s="34">
        <f>MIN(24,MAX(5,NORMINV(RAND(),$C$9,$D$9)))</f>
        <v/>
      </c>
      <c r="O897" s="41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7">
        <f>MAX(-0.05,NORMINV(RAND(),$C$6,$D$6))</f>
        <v/>
      </c>
      <c r="L898" s="27">
        <f>MAX(0.02,NORMINV(RAND(),$C$7,$D$7))</f>
        <v/>
      </c>
      <c r="M898" s="27">
        <f>MIN(0.16,MAX(0.05,NORMINV(RAND(),$C$8,$D$8)))</f>
        <v/>
      </c>
      <c r="N898" s="34">
        <f>MIN(24,MAX(5,NORMINV(RAND(),$C$9,$D$9)))</f>
        <v/>
      </c>
      <c r="O898" s="41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7">
        <f>MAX(-0.05,NORMINV(RAND(),$C$6,$D$6))</f>
        <v/>
      </c>
      <c r="L899" s="27">
        <f>MAX(0.02,NORMINV(RAND(),$C$7,$D$7))</f>
        <v/>
      </c>
      <c r="M899" s="27">
        <f>MIN(0.16,MAX(0.05,NORMINV(RAND(),$C$8,$D$8)))</f>
        <v/>
      </c>
      <c r="N899" s="34">
        <f>MIN(24,MAX(5,NORMINV(RAND(),$C$9,$D$9)))</f>
        <v/>
      </c>
      <c r="O899" s="41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7">
        <f>MAX(-0.05,NORMINV(RAND(),$C$6,$D$6))</f>
        <v/>
      </c>
      <c r="L900" s="27">
        <f>MAX(0.02,NORMINV(RAND(),$C$7,$D$7))</f>
        <v/>
      </c>
      <c r="M900" s="27">
        <f>MIN(0.16,MAX(0.05,NORMINV(RAND(),$C$8,$D$8)))</f>
        <v/>
      </c>
      <c r="N900" s="34">
        <f>MIN(24,MAX(5,NORMINV(RAND(),$C$9,$D$9)))</f>
        <v/>
      </c>
      <c r="O900" s="41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7">
        <f>MAX(-0.05,NORMINV(RAND(),$C$6,$D$6))</f>
        <v/>
      </c>
      <c r="L901" s="27">
        <f>MAX(0.02,NORMINV(RAND(),$C$7,$D$7))</f>
        <v/>
      </c>
      <c r="M901" s="27">
        <f>MIN(0.16,MAX(0.05,NORMINV(RAND(),$C$8,$D$8)))</f>
        <v/>
      </c>
      <c r="N901" s="34">
        <f>MIN(24,MAX(5,NORMINV(RAND(),$C$9,$D$9)))</f>
        <v/>
      </c>
      <c r="O901" s="41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7">
        <f>MAX(-0.05,NORMINV(RAND(),$C$6,$D$6))</f>
        <v/>
      </c>
      <c r="L902" s="27">
        <f>MAX(0.02,NORMINV(RAND(),$C$7,$D$7))</f>
        <v/>
      </c>
      <c r="M902" s="27">
        <f>MIN(0.16,MAX(0.05,NORMINV(RAND(),$C$8,$D$8)))</f>
        <v/>
      </c>
      <c r="N902" s="34">
        <f>MIN(24,MAX(5,NORMINV(RAND(),$C$9,$D$9)))</f>
        <v/>
      </c>
      <c r="O902" s="41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7">
        <f>MAX(-0.05,NORMINV(RAND(),$C$6,$D$6))</f>
        <v/>
      </c>
      <c r="L903" s="27">
        <f>MAX(0.02,NORMINV(RAND(),$C$7,$D$7))</f>
        <v/>
      </c>
      <c r="M903" s="27">
        <f>MIN(0.16,MAX(0.05,NORMINV(RAND(),$C$8,$D$8)))</f>
        <v/>
      </c>
      <c r="N903" s="34">
        <f>MIN(24,MAX(5,NORMINV(RAND(),$C$9,$D$9)))</f>
        <v/>
      </c>
      <c r="O903" s="41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7">
        <f>MAX(-0.05,NORMINV(RAND(),$C$6,$D$6))</f>
        <v/>
      </c>
      <c r="L904" s="27">
        <f>MAX(0.02,NORMINV(RAND(),$C$7,$D$7))</f>
        <v/>
      </c>
      <c r="M904" s="27">
        <f>MIN(0.16,MAX(0.05,NORMINV(RAND(),$C$8,$D$8)))</f>
        <v/>
      </c>
      <c r="N904" s="34">
        <f>MIN(24,MAX(5,NORMINV(RAND(),$C$9,$D$9)))</f>
        <v/>
      </c>
      <c r="O904" s="41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7">
        <f>MAX(-0.05,NORMINV(RAND(),$C$6,$D$6))</f>
        <v/>
      </c>
      <c r="L905" s="27">
        <f>MAX(0.02,NORMINV(RAND(),$C$7,$D$7))</f>
        <v/>
      </c>
      <c r="M905" s="27">
        <f>MIN(0.16,MAX(0.05,NORMINV(RAND(),$C$8,$D$8)))</f>
        <v/>
      </c>
      <c r="N905" s="34">
        <f>MIN(24,MAX(5,NORMINV(RAND(),$C$9,$D$9)))</f>
        <v/>
      </c>
      <c r="O905" s="41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7">
        <f>MAX(-0.05,NORMINV(RAND(),$C$6,$D$6))</f>
        <v/>
      </c>
      <c r="L906" s="27">
        <f>MAX(0.02,NORMINV(RAND(),$C$7,$D$7))</f>
        <v/>
      </c>
      <c r="M906" s="27">
        <f>MIN(0.16,MAX(0.05,NORMINV(RAND(),$C$8,$D$8)))</f>
        <v/>
      </c>
      <c r="N906" s="34">
        <f>MIN(24,MAX(5,NORMINV(RAND(),$C$9,$D$9)))</f>
        <v/>
      </c>
      <c r="O906" s="41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7">
        <f>MAX(-0.05,NORMINV(RAND(),$C$6,$D$6))</f>
        <v/>
      </c>
      <c r="L907" s="27">
        <f>MAX(0.02,NORMINV(RAND(),$C$7,$D$7))</f>
        <v/>
      </c>
      <c r="M907" s="27">
        <f>MIN(0.16,MAX(0.05,NORMINV(RAND(),$C$8,$D$8)))</f>
        <v/>
      </c>
      <c r="N907" s="34">
        <f>MIN(24,MAX(5,NORMINV(RAND(),$C$9,$D$9)))</f>
        <v/>
      </c>
      <c r="O907" s="41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7">
        <f>MAX(-0.05,NORMINV(RAND(),$C$6,$D$6))</f>
        <v/>
      </c>
      <c r="L908" s="27">
        <f>MAX(0.02,NORMINV(RAND(),$C$7,$D$7))</f>
        <v/>
      </c>
      <c r="M908" s="27">
        <f>MIN(0.16,MAX(0.05,NORMINV(RAND(),$C$8,$D$8)))</f>
        <v/>
      </c>
      <c r="N908" s="34">
        <f>MIN(24,MAX(5,NORMINV(RAND(),$C$9,$D$9)))</f>
        <v/>
      </c>
      <c r="O908" s="41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7">
        <f>MAX(-0.05,NORMINV(RAND(),$C$6,$D$6))</f>
        <v/>
      </c>
      <c r="L909" s="27">
        <f>MAX(0.02,NORMINV(RAND(),$C$7,$D$7))</f>
        <v/>
      </c>
      <c r="M909" s="27">
        <f>MIN(0.16,MAX(0.05,NORMINV(RAND(),$C$8,$D$8)))</f>
        <v/>
      </c>
      <c r="N909" s="34">
        <f>MIN(24,MAX(5,NORMINV(RAND(),$C$9,$D$9)))</f>
        <v/>
      </c>
      <c r="O909" s="41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7">
        <f>MAX(-0.05,NORMINV(RAND(),$C$6,$D$6))</f>
        <v/>
      </c>
      <c r="L910" s="27">
        <f>MAX(0.02,NORMINV(RAND(),$C$7,$D$7))</f>
        <v/>
      </c>
      <c r="M910" s="27">
        <f>MIN(0.16,MAX(0.05,NORMINV(RAND(),$C$8,$D$8)))</f>
        <v/>
      </c>
      <c r="N910" s="34">
        <f>MIN(24,MAX(5,NORMINV(RAND(),$C$9,$D$9)))</f>
        <v/>
      </c>
      <c r="O910" s="41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7">
        <f>MAX(-0.05,NORMINV(RAND(),$C$6,$D$6))</f>
        <v/>
      </c>
      <c r="L911" s="27">
        <f>MAX(0.02,NORMINV(RAND(),$C$7,$D$7))</f>
        <v/>
      </c>
      <c r="M911" s="27">
        <f>MIN(0.16,MAX(0.05,NORMINV(RAND(),$C$8,$D$8)))</f>
        <v/>
      </c>
      <c r="N911" s="34">
        <f>MIN(24,MAX(5,NORMINV(RAND(),$C$9,$D$9)))</f>
        <v/>
      </c>
      <c r="O911" s="41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7">
        <f>MAX(-0.05,NORMINV(RAND(),$C$6,$D$6))</f>
        <v/>
      </c>
      <c r="L912" s="27">
        <f>MAX(0.02,NORMINV(RAND(),$C$7,$D$7))</f>
        <v/>
      </c>
      <c r="M912" s="27">
        <f>MIN(0.16,MAX(0.05,NORMINV(RAND(),$C$8,$D$8)))</f>
        <v/>
      </c>
      <c r="N912" s="34">
        <f>MIN(24,MAX(5,NORMINV(RAND(),$C$9,$D$9)))</f>
        <v/>
      </c>
      <c r="O912" s="41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7">
        <f>MAX(-0.05,NORMINV(RAND(),$C$6,$D$6))</f>
        <v/>
      </c>
      <c r="L913" s="27">
        <f>MAX(0.02,NORMINV(RAND(),$C$7,$D$7))</f>
        <v/>
      </c>
      <c r="M913" s="27">
        <f>MIN(0.16,MAX(0.05,NORMINV(RAND(),$C$8,$D$8)))</f>
        <v/>
      </c>
      <c r="N913" s="34">
        <f>MIN(24,MAX(5,NORMINV(RAND(),$C$9,$D$9)))</f>
        <v/>
      </c>
      <c r="O913" s="41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7">
        <f>MAX(-0.05,NORMINV(RAND(),$C$6,$D$6))</f>
        <v/>
      </c>
      <c r="L914" s="27">
        <f>MAX(0.02,NORMINV(RAND(),$C$7,$D$7))</f>
        <v/>
      </c>
      <c r="M914" s="27">
        <f>MIN(0.16,MAX(0.05,NORMINV(RAND(),$C$8,$D$8)))</f>
        <v/>
      </c>
      <c r="N914" s="34">
        <f>MIN(24,MAX(5,NORMINV(RAND(),$C$9,$D$9)))</f>
        <v/>
      </c>
      <c r="O914" s="41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7">
        <f>MAX(-0.05,NORMINV(RAND(),$C$6,$D$6))</f>
        <v/>
      </c>
      <c r="L915" s="27">
        <f>MAX(0.02,NORMINV(RAND(),$C$7,$D$7))</f>
        <v/>
      </c>
      <c r="M915" s="27">
        <f>MIN(0.16,MAX(0.05,NORMINV(RAND(),$C$8,$D$8)))</f>
        <v/>
      </c>
      <c r="N915" s="34">
        <f>MIN(24,MAX(5,NORMINV(RAND(),$C$9,$D$9)))</f>
        <v/>
      </c>
      <c r="O915" s="41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7">
        <f>MAX(-0.05,NORMINV(RAND(),$C$6,$D$6))</f>
        <v/>
      </c>
      <c r="L916" s="27">
        <f>MAX(0.02,NORMINV(RAND(),$C$7,$D$7))</f>
        <v/>
      </c>
      <c r="M916" s="27">
        <f>MIN(0.16,MAX(0.05,NORMINV(RAND(),$C$8,$D$8)))</f>
        <v/>
      </c>
      <c r="N916" s="34">
        <f>MIN(24,MAX(5,NORMINV(RAND(),$C$9,$D$9)))</f>
        <v/>
      </c>
      <c r="O916" s="41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7">
        <f>MAX(-0.05,NORMINV(RAND(),$C$6,$D$6))</f>
        <v/>
      </c>
      <c r="L917" s="27">
        <f>MAX(0.02,NORMINV(RAND(),$C$7,$D$7))</f>
        <v/>
      </c>
      <c r="M917" s="27">
        <f>MIN(0.16,MAX(0.05,NORMINV(RAND(),$C$8,$D$8)))</f>
        <v/>
      </c>
      <c r="N917" s="34">
        <f>MIN(24,MAX(5,NORMINV(RAND(),$C$9,$D$9)))</f>
        <v/>
      </c>
      <c r="O917" s="41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7">
        <f>MAX(-0.05,NORMINV(RAND(),$C$6,$D$6))</f>
        <v/>
      </c>
      <c r="L918" s="27">
        <f>MAX(0.02,NORMINV(RAND(),$C$7,$D$7))</f>
        <v/>
      </c>
      <c r="M918" s="27">
        <f>MIN(0.16,MAX(0.05,NORMINV(RAND(),$C$8,$D$8)))</f>
        <v/>
      </c>
      <c r="N918" s="34">
        <f>MIN(24,MAX(5,NORMINV(RAND(),$C$9,$D$9)))</f>
        <v/>
      </c>
      <c r="O918" s="41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7">
        <f>MAX(-0.05,NORMINV(RAND(),$C$6,$D$6))</f>
        <v/>
      </c>
      <c r="L919" s="27">
        <f>MAX(0.02,NORMINV(RAND(),$C$7,$D$7))</f>
        <v/>
      </c>
      <c r="M919" s="27">
        <f>MIN(0.16,MAX(0.05,NORMINV(RAND(),$C$8,$D$8)))</f>
        <v/>
      </c>
      <c r="N919" s="34">
        <f>MIN(24,MAX(5,NORMINV(RAND(),$C$9,$D$9)))</f>
        <v/>
      </c>
      <c r="O919" s="41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7">
        <f>MAX(-0.05,NORMINV(RAND(),$C$6,$D$6))</f>
        <v/>
      </c>
      <c r="L920" s="27">
        <f>MAX(0.02,NORMINV(RAND(),$C$7,$D$7))</f>
        <v/>
      </c>
      <c r="M920" s="27">
        <f>MIN(0.16,MAX(0.05,NORMINV(RAND(),$C$8,$D$8)))</f>
        <v/>
      </c>
      <c r="N920" s="34">
        <f>MIN(24,MAX(5,NORMINV(RAND(),$C$9,$D$9)))</f>
        <v/>
      </c>
      <c r="O920" s="41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7">
        <f>MAX(-0.05,NORMINV(RAND(),$C$6,$D$6))</f>
        <v/>
      </c>
      <c r="L921" s="27">
        <f>MAX(0.02,NORMINV(RAND(),$C$7,$D$7))</f>
        <v/>
      </c>
      <c r="M921" s="27">
        <f>MIN(0.16,MAX(0.05,NORMINV(RAND(),$C$8,$D$8)))</f>
        <v/>
      </c>
      <c r="N921" s="34">
        <f>MIN(24,MAX(5,NORMINV(RAND(),$C$9,$D$9)))</f>
        <v/>
      </c>
      <c r="O921" s="41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7">
        <f>MAX(-0.05,NORMINV(RAND(),$C$6,$D$6))</f>
        <v/>
      </c>
      <c r="L922" s="27">
        <f>MAX(0.02,NORMINV(RAND(),$C$7,$D$7))</f>
        <v/>
      </c>
      <c r="M922" s="27">
        <f>MIN(0.16,MAX(0.05,NORMINV(RAND(),$C$8,$D$8)))</f>
        <v/>
      </c>
      <c r="N922" s="34">
        <f>MIN(24,MAX(5,NORMINV(RAND(),$C$9,$D$9)))</f>
        <v/>
      </c>
      <c r="O922" s="41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7">
        <f>MAX(-0.05,NORMINV(RAND(),$C$6,$D$6))</f>
        <v/>
      </c>
      <c r="L923" s="27">
        <f>MAX(0.02,NORMINV(RAND(),$C$7,$D$7))</f>
        <v/>
      </c>
      <c r="M923" s="27">
        <f>MIN(0.16,MAX(0.05,NORMINV(RAND(),$C$8,$D$8)))</f>
        <v/>
      </c>
      <c r="N923" s="34">
        <f>MIN(24,MAX(5,NORMINV(RAND(),$C$9,$D$9)))</f>
        <v/>
      </c>
      <c r="O923" s="41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7">
        <f>MAX(-0.05,NORMINV(RAND(),$C$6,$D$6))</f>
        <v/>
      </c>
      <c r="L924" s="27">
        <f>MAX(0.02,NORMINV(RAND(),$C$7,$D$7))</f>
        <v/>
      </c>
      <c r="M924" s="27">
        <f>MIN(0.16,MAX(0.05,NORMINV(RAND(),$C$8,$D$8)))</f>
        <v/>
      </c>
      <c r="N924" s="34">
        <f>MIN(24,MAX(5,NORMINV(RAND(),$C$9,$D$9)))</f>
        <v/>
      </c>
      <c r="O924" s="41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7">
        <f>MAX(-0.05,NORMINV(RAND(),$C$6,$D$6))</f>
        <v/>
      </c>
      <c r="L925" s="27">
        <f>MAX(0.02,NORMINV(RAND(),$C$7,$D$7))</f>
        <v/>
      </c>
      <c r="M925" s="27">
        <f>MIN(0.16,MAX(0.05,NORMINV(RAND(),$C$8,$D$8)))</f>
        <v/>
      </c>
      <c r="N925" s="34">
        <f>MIN(24,MAX(5,NORMINV(RAND(),$C$9,$D$9)))</f>
        <v/>
      </c>
      <c r="O925" s="41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7">
        <f>MAX(-0.05,NORMINV(RAND(),$C$6,$D$6))</f>
        <v/>
      </c>
      <c r="L926" s="27">
        <f>MAX(0.02,NORMINV(RAND(),$C$7,$D$7))</f>
        <v/>
      </c>
      <c r="M926" s="27">
        <f>MIN(0.16,MAX(0.05,NORMINV(RAND(),$C$8,$D$8)))</f>
        <v/>
      </c>
      <c r="N926" s="34">
        <f>MIN(24,MAX(5,NORMINV(RAND(),$C$9,$D$9)))</f>
        <v/>
      </c>
      <c r="O926" s="41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7">
        <f>MAX(-0.05,NORMINV(RAND(),$C$6,$D$6))</f>
        <v/>
      </c>
      <c r="L927" s="27">
        <f>MAX(0.02,NORMINV(RAND(),$C$7,$D$7))</f>
        <v/>
      </c>
      <c r="M927" s="27">
        <f>MIN(0.16,MAX(0.05,NORMINV(RAND(),$C$8,$D$8)))</f>
        <v/>
      </c>
      <c r="N927" s="34">
        <f>MIN(24,MAX(5,NORMINV(RAND(),$C$9,$D$9)))</f>
        <v/>
      </c>
      <c r="O927" s="41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7">
        <f>MAX(-0.05,NORMINV(RAND(),$C$6,$D$6))</f>
        <v/>
      </c>
      <c r="L928" s="27">
        <f>MAX(0.02,NORMINV(RAND(),$C$7,$D$7))</f>
        <v/>
      </c>
      <c r="M928" s="27">
        <f>MIN(0.16,MAX(0.05,NORMINV(RAND(),$C$8,$D$8)))</f>
        <v/>
      </c>
      <c r="N928" s="34">
        <f>MIN(24,MAX(5,NORMINV(RAND(),$C$9,$D$9)))</f>
        <v/>
      </c>
      <c r="O928" s="41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7">
        <f>MAX(-0.05,NORMINV(RAND(),$C$6,$D$6))</f>
        <v/>
      </c>
      <c r="L929" s="27">
        <f>MAX(0.02,NORMINV(RAND(),$C$7,$D$7))</f>
        <v/>
      </c>
      <c r="M929" s="27">
        <f>MIN(0.16,MAX(0.05,NORMINV(RAND(),$C$8,$D$8)))</f>
        <v/>
      </c>
      <c r="N929" s="34">
        <f>MIN(24,MAX(5,NORMINV(RAND(),$C$9,$D$9)))</f>
        <v/>
      </c>
      <c r="O929" s="41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7">
        <f>MAX(-0.05,NORMINV(RAND(),$C$6,$D$6))</f>
        <v/>
      </c>
      <c r="L930" s="27">
        <f>MAX(0.02,NORMINV(RAND(),$C$7,$D$7))</f>
        <v/>
      </c>
      <c r="M930" s="27">
        <f>MIN(0.16,MAX(0.05,NORMINV(RAND(),$C$8,$D$8)))</f>
        <v/>
      </c>
      <c r="N930" s="34">
        <f>MIN(24,MAX(5,NORMINV(RAND(),$C$9,$D$9)))</f>
        <v/>
      </c>
      <c r="O930" s="41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7">
        <f>MAX(-0.05,NORMINV(RAND(),$C$6,$D$6))</f>
        <v/>
      </c>
      <c r="L931" s="27">
        <f>MAX(0.02,NORMINV(RAND(),$C$7,$D$7))</f>
        <v/>
      </c>
      <c r="M931" s="27">
        <f>MIN(0.16,MAX(0.05,NORMINV(RAND(),$C$8,$D$8)))</f>
        <v/>
      </c>
      <c r="N931" s="34">
        <f>MIN(24,MAX(5,NORMINV(RAND(),$C$9,$D$9)))</f>
        <v/>
      </c>
      <c r="O931" s="41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7">
        <f>MAX(-0.05,NORMINV(RAND(),$C$6,$D$6))</f>
        <v/>
      </c>
      <c r="L932" s="27">
        <f>MAX(0.02,NORMINV(RAND(),$C$7,$D$7))</f>
        <v/>
      </c>
      <c r="M932" s="27">
        <f>MIN(0.16,MAX(0.05,NORMINV(RAND(),$C$8,$D$8)))</f>
        <v/>
      </c>
      <c r="N932" s="34">
        <f>MIN(24,MAX(5,NORMINV(RAND(),$C$9,$D$9)))</f>
        <v/>
      </c>
      <c r="O932" s="41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7">
        <f>MAX(-0.05,NORMINV(RAND(),$C$6,$D$6))</f>
        <v/>
      </c>
      <c r="L933" s="27">
        <f>MAX(0.02,NORMINV(RAND(),$C$7,$D$7))</f>
        <v/>
      </c>
      <c r="M933" s="27">
        <f>MIN(0.16,MAX(0.05,NORMINV(RAND(),$C$8,$D$8)))</f>
        <v/>
      </c>
      <c r="N933" s="34">
        <f>MIN(24,MAX(5,NORMINV(RAND(),$C$9,$D$9)))</f>
        <v/>
      </c>
      <c r="O933" s="41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7">
        <f>MAX(-0.05,NORMINV(RAND(),$C$6,$D$6))</f>
        <v/>
      </c>
      <c r="L934" s="27">
        <f>MAX(0.02,NORMINV(RAND(),$C$7,$D$7))</f>
        <v/>
      </c>
      <c r="M934" s="27">
        <f>MIN(0.16,MAX(0.05,NORMINV(RAND(),$C$8,$D$8)))</f>
        <v/>
      </c>
      <c r="N934" s="34">
        <f>MIN(24,MAX(5,NORMINV(RAND(),$C$9,$D$9)))</f>
        <v/>
      </c>
      <c r="O934" s="41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7">
        <f>MAX(-0.05,NORMINV(RAND(),$C$6,$D$6))</f>
        <v/>
      </c>
      <c r="L935" s="27">
        <f>MAX(0.02,NORMINV(RAND(),$C$7,$D$7))</f>
        <v/>
      </c>
      <c r="M935" s="27">
        <f>MIN(0.16,MAX(0.05,NORMINV(RAND(),$C$8,$D$8)))</f>
        <v/>
      </c>
      <c r="N935" s="34">
        <f>MIN(24,MAX(5,NORMINV(RAND(),$C$9,$D$9)))</f>
        <v/>
      </c>
      <c r="O935" s="41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7">
        <f>MAX(-0.05,NORMINV(RAND(),$C$6,$D$6))</f>
        <v/>
      </c>
      <c r="L936" s="27">
        <f>MAX(0.02,NORMINV(RAND(),$C$7,$D$7))</f>
        <v/>
      </c>
      <c r="M936" s="27">
        <f>MIN(0.16,MAX(0.05,NORMINV(RAND(),$C$8,$D$8)))</f>
        <v/>
      </c>
      <c r="N936" s="34">
        <f>MIN(24,MAX(5,NORMINV(RAND(),$C$9,$D$9)))</f>
        <v/>
      </c>
      <c r="O936" s="41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7">
        <f>MAX(-0.05,NORMINV(RAND(),$C$6,$D$6))</f>
        <v/>
      </c>
      <c r="L937" s="27">
        <f>MAX(0.02,NORMINV(RAND(),$C$7,$D$7))</f>
        <v/>
      </c>
      <c r="M937" s="27">
        <f>MIN(0.16,MAX(0.05,NORMINV(RAND(),$C$8,$D$8)))</f>
        <v/>
      </c>
      <c r="N937" s="34">
        <f>MIN(24,MAX(5,NORMINV(RAND(),$C$9,$D$9)))</f>
        <v/>
      </c>
      <c r="O937" s="41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7">
        <f>MAX(-0.05,NORMINV(RAND(),$C$6,$D$6))</f>
        <v/>
      </c>
      <c r="L938" s="27">
        <f>MAX(0.02,NORMINV(RAND(),$C$7,$D$7))</f>
        <v/>
      </c>
      <c r="M938" s="27">
        <f>MIN(0.16,MAX(0.05,NORMINV(RAND(),$C$8,$D$8)))</f>
        <v/>
      </c>
      <c r="N938" s="34">
        <f>MIN(24,MAX(5,NORMINV(RAND(),$C$9,$D$9)))</f>
        <v/>
      </c>
      <c r="O938" s="41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7">
        <f>MAX(-0.05,NORMINV(RAND(),$C$6,$D$6))</f>
        <v/>
      </c>
      <c r="L939" s="27">
        <f>MAX(0.02,NORMINV(RAND(),$C$7,$D$7))</f>
        <v/>
      </c>
      <c r="M939" s="27">
        <f>MIN(0.16,MAX(0.05,NORMINV(RAND(),$C$8,$D$8)))</f>
        <v/>
      </c>
      <c r="N939" s="34">
        <f>MIN(24,MAX(5,NORMINV(RAND(),$C$9,$D$9)))</f>
        <v/>
      </c>
      <c r="O939" s="41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7">
        <f>MAX(-0.05,NORMINV(RAND(),$C$6,$D$6))</f>
        <v/>
      </c>
      <c r="L940" s="27">
        <f>MAX(0.02,NORMINV(RAND(),$C$7,$D$7))</f>
        <v/>
      </c>
      <c r="M940" s="27">
        <f>MIN(0.16,MAX(0.05,NORMINV(RAND(),$C$8,$D$8)))</f>
        <v/>
      </c>
      <c r="N940" s="34">
        <f>MIN(24,MAX(5,NORMINV(RAND(),$C$9,$D$9)))</f>
        <v/>
      </c>
      <c r="O940" s="41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7">
        <f>MAX(-0.05,NORMINV(RAND(),$C$6,$D$6))</f>
        <v/>
      </c>
      <c r="L941" s="27">
        <f>MAX(0.02,NORMINV(RAND(),$C$7,$D$7))</f>
        <v/>
      </c>
      <c r="M941" s="27">
        <f>MIN(0.16,MAX(0.05,NORMINV(RAND(),$C$8,$D$8)))</f>
        <v/>
      </c>
      <c r="N941" s="34">
        <f>MIN(24,MAX(5,NORMINV(RAND(),$C$9,$D$9)))</f>
        <v/>
      </c>
      <c r="O941" s="41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7">
        <f>MAX(-0.05,NORMINV(RAND(),$C$6,$D$6))</f>
        <v/>
      </c>
      <c r="L942" s="27">
        <f>MAX(0.02,NORMINV(RAND(),$C$7,$D$7))</f>
        <v/>
      </c>
      <c r="M942" s="27">
        <f>MIN(0.16,MAX(0.05,NORMINV(RAND(),$C$8,$D$8)))</f>
        <v/>
      </c>
      <c r="N942" s="34">
        <f>MIN(24,MAX(5,NORMINV(RAND(),$C$9,$D$9)))</f>
        <v/>
      </c>
      <c r="O942" s="41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7">
        <f>MAX(-0.05,NORMINV(RAND(),$C$6,$D$6))</f>
        <v/>
      </c>
      <c r="L943" s="27">
        <f>MAX(0.02,NORMINV(RAND(),$C$7,$D$7))</f>
        <v/>
      </c>
      <c r="M943" s="27">
        <f>MIN(0.16,MAX(0.05,NORMINV(RAND(),$C$8,$D$8)))</f>
        <v/>
      </c>
      <c r="N943" s="34">
        <f>MIN(24,MAX(5,NORMINV(RAND(),$C$9,$D$9)))</f>
        <v/>
      </c>
      <c r="O943" s="41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7">
        <f>MAX(-0.05,NORMINV(RAND(),$C$6,$D$6))</f>
        <v/>
      </c>
      <c r="L944" s="27">
        <f>MAX(0.02,NORMINV(RAND(),$C$7,$D$7))</f>
        <v/>
      </c>
      <c r="M944" s="27">
        <f>MIN(0.16,MAX(0.05,NORMINV(RAND(),$C$8,$D$8)))</f>
        <v/>
      </c>
      <c r="N944" s="34">
        <f>MIN(24,MAX(5,NORMINV(RAND(),$C$9,$D$9)))</f>
        <v/>
      </c>
      <c r="O944" s="41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7">
        <f>MAX(-0.05,NORMINV(RAND(),$C$6,$D$6))</f>
        <v/>
      </c>
      <c r="L945" s="27">
        <f>MAX(0.02,NORMINV(RAND(),$C$7,$D$7))</f>
        <v/>
      </c>
      <c r="M945" s="27">
        <f>MIN(0.16,MAX(0.05,NORMINV(RAND(),$C$8,$D$8)))</f>
        <v/>
      </c>
      <c r="N945" s="34">
        <f>MIN(24,MAX(5,NORMINV(RAND(),$C$9,$D$9)))</f>
        <v/>
      </c>
      <c r="O945" s="41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7">
        <f>MAX(-0.05,NORMINV(RAND(),$C$6,$D$6))</f>
        <v/>
      </c>
      <c r="L946" s="27">
        <f>MAX(0.02,NORMINV(RAND(),$C$7,$D$7))</f>
        <v/>
      </c>
      <c r="M946" s="27">
        <f>MIN(0.16,MAX(0.05,NORMINV(RAND(),$C$8,$D$8)))</f>
        <v/>
      </c>
      <c r="N946" s="34">
        <f>MIN(24,MAX(5,NORMINV(RAND(),$C$9,$D$9)))</f>
        <v/>
      </c>
      <c r="O946" s="41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7">
        <f>MAX(-0.05,NORMINV(RAND(),$C$6,$D$6))</f>
        <v/>
      </c>
      <c r="L947" s="27">
        <f>MAX(0.02,NORMINV(RAND(),$C$7,$D$7))</f>
        <v/>
      </c>
      <c r="M947" s="27">
        <f>MIN(0.16,MAX(0.05,NORMINV(RAND(),$C$8,$D$8)))</f>
        <v/>
      </c>
      <c r="N947" s="34">
        <f>MIN(24,MAX(5,NORMINV(RAND(),$C$9,$D$9)))</f>
        <v/>
      </c>
      <c r="O947" s="41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7">
        <f>MAX(-0.05,NORMINV(RAND(),$C$6,$D$6))</f>
        <v/>
      </c>
      <c r="L948" s="27">
        <f>MAX(0.02,NORMINV(RAND(),$C$7,$D$7))</f>
        <v/>
      </c>
      <c r="M948" s="27">
        <f>MIN(0.16,MAX(0.05,NORMINV(RAND(),$C$8,$D$8)))</f>
        <v/>
      </c>
      <c r="N948" s="34">
        <f>MIN(24,MAX(5,NORMINV(RAND(),$C$9,$D$9)))</f>
        <v/>
      </c>
      <c r="O948" s="41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7">
        <f>MAX(-0.05,NORMINV(RAND(),$C$6,$D$6))</f>
        <v/>
      </c>
      <c r="L949" s="27">
        <f>MAX(0.02,NORMINV(RAND(),$C$7,$D$7))</f>
        <v/>
      </c>
      <c r="M949" s="27">
        <f>MIN(0.16,MAX(0.05,NORMINV(RAND(),$C$8,$D$8)))</f>
        <v/>
      </c>
      <c r="N949" s="34">
        <f>MIN(24,MAX(5,NORMINV(RAND(),$C$9,$D$9)))</f>
        <v/>
      </c>
      <c r="O949" s="41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7">
        <f>MAX(-0.05,NORMINV(RAND(),$C$6,$D$6))</f>
        <v/>
      </c>
      <c r="L950" s="27">
        <f>MAX(0.02,NORMINV(RAND(),$C$7,$D$7))</f>
        <v/>
      </c>
      <c r="M950" s="27">
        <f>MIN(0.16,MAX(0.05,NORMINV(RAND(),$C$8,$D$8)))</f>
        <v/>
      </c>
      <c r="N950" s="34">
        <f>MIN(24,MAX(5,NORMINV(RAND(),$C$9,$D$9)))</f>
        <v/>
      </c>
      <c r="O950" s="41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7">
        <f>MAX(-0.05,NORMINV(RAND(),$C$6,$D$6))</f>
        <v/>
      </c>
      <c r="L951" s="27">
        <f>MAX(0.02,NORMINV(RAND(),$C$7,$D$7))</f>
        <v/>
      </c>
      <c r="M951" s="27">
        <f>MIN(0.16,MAX(0.05,NORMINV(RAND(),$C$8,$D$8)))</f>
        <v/>
      </c>
      <c r="N951" s="34">
        <f>MIN(24,MAX(5,NORMINV(RAND(),$C$9,$D$9)))</f>
        <v/>
      </c>
      <c r="O951" s="41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7">
        <f>MAX(-0.05,NORMINV(RAND(),$C$6,$D$6))</f>
        <v/>
      </c>
      <c r="L952" s="27">
        <f>MAX(0.02,NORMINV(RAND(),$C$7,$D$7))</f>
        <v/>
      </c>
      <c r="M952" s="27">
        <f>MIN(0.16,MAX(0.05,NORMINV(RAND(),$C$8,$D$8)))</f>
        <v/>
      </c>
      <c r="N952" s="34">
        <f>MIN(24,MAX(5,NORMINV(RAND(),$C$9,$D$9)))</f>
        <v/>
      </c>
      <c r="O952" s="41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7">
        <f>MAX(-0.05,NORMINV(RAND(),$C$6,$D$6))</f>
        <v/>
      </c>
      <c r="L953" s="27">
        <f>MAX(0.02,NORMINV(RAND(),$C$7,$D$7))</f>
        <v/>
      </c>
      <c r="M953" s="27">
        <f>MIN(0.16,MAX(0.05,NORMINV(RAND(),$C$8,$D$8)))</f>
        <v/>
      </c>
      <c r="N953" s="34">
        <f>MIN(24,MAX(5,NORMINV(RAND(),$C$9,$D$9)))</f>
        <v/>
      </c>
      <c r="O953" s="41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7">
        <f>MAX(-0.05,NORMINV(RAND(),$C$6,$D$6))</f>
        <v/>
      </c>
      <c r="L954" s="27">
        <f>MAX(0.02,NORMINV(RAND(),$C$7,$D$7))</f>
        <v/>
      </c>
      <c r="M954" s="27">
        <f>MIN(0.16,MAX(0.05,NORMINV(RAND(),$C$8,$D$8)))</f>
        <v/>
      </c>
      <c r="N954" s="34">
        <f>MIN(24,MAX(5,NORMINV(RAND(),$C$9,$D$9)))</f>
        <v/>
      </c>
      <c r="O954" s="41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7">
        <f>MAX(-0.05,NORMINV(RAND(),$C$6,$D$6))</f>
        <v/>
      </c>
      <c r="L955" s="27">
        <f>MAX(0.02,NORMINV(RAND(),$C$7,$D$7))</f>
        <v/>
      </c>
      <c r="M955" s="27">
        <f>MIN(0.16,MAX(0.05,NORMINV(RAND(),$C$8,$D$8)))</f>
        <v/>
      </c>
      <c r="N955" s="34">
        <f>MIN(24,MAX(5,NORMINV(RAND(),$C$9,$D$9)))</f>
        <v/>
      </c>
      <c r="O955" s="41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7">
        <f>MAX(-0.05,NORMINV(RAND(),$C$6,$D$6))</f>
        <v/>
      </c>
      <c r="L956" s="27">
        <f>MAX(0.02,NORMINV(RAND(),$C$7,$D$7))</f>
        <v/>
      </c>
      <c r="M956" s="27">
        <f>MIN(0.16,MAX(0.05,NORMINV(RAND(),$C$8,$D$8)))</f>
        <v/>
      </c>
      <c r="N956" s="34">
        <f>MIN(24,MAX(5,NORMINV(RAND(),$C$9,$D$9)))</f>
        <v/>
      </c>
      <c r="O956" s="41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7">
        <f>MAX(-0.05,NORMINV(RAND(),$C$6,$D$6))</f>
        <v/>
      </c>
      <c r="L957" s="27">
        <f>MAX(0.02,NORMINV(RAND(),$C$7,$D$7))</f>
        <v/>
      </c>
      <c r="M957" s="27">
        <f>MIN(0.16,MAX(0.05,NORMINV(RAND(),$C$8,$D$8)))</f>
        <v/>
      </c>
      <c r="N957" s="34">
        <f>MIN(24,MAX(5,NORMINV(RAND(),$C$9,$D$9)))</f>
        <v/>
      </c>
      <c r="O957" s="41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7">
        <f>MAX(-0.05,NORMINV(RAND(),$C$6,$D$6))</f>
        <v/>
      </c>
      <c r="L958" s="27">
        <f>MAX(0.02,NORMINV(RAND(),$C$7,$D$7))</f>
        <v/>
      </c>
      <c r="M958" s="27">
        <f>MIN(0.16,MAX(0.05,NORMINV(RAND(),$C$8,$D$8)))</f>
        <v/>
      </c>
      <c r="N958" s="34">
        <f>MIN(24,MAX(5,NORMINV(RAND(),$C$9,$D$9)))</f>
        <v/>
      </c>
      <c r="O958" s="41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7">
        <f>MAX(-0.05,NORMINV(RAND(),$C$6,$D$6))</f>
        <v/>
      </c>
      <c r="L959" s="27">
        <f>MAX(0.02,NORMINV(RAND(),$C$7,$D$7))</f>
        <v/>
      </c>
      <c r="M959" s="27">
        <f>MIN(0.16,MAX(0.05,NORMINV(RAND(),$C$8,$D$8)))</f>
        <v/>
      </c>
      <c r="N959" s="34">
        <f>MIN(24,MAX(5,NORMINV(RAND(),$C$9,$D$9)))</f>
        <v/>
      </c>
      <c r="O959" s="41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7">
        <f>MAX(-0.05,NORMINV(RAND(),$C$6,$D$6))</f>
        <v/>
      </c>
      <c r="L960" s="27">
        <f>MAX(0.02,NORMINV(RAND(),$C$7,$D$7))</f>
        <v/>
      </c>
      <c r="M960" s="27">
        <f>MIN(0.16,MAX(0.05,NORMINV(RAND(),$C$8,$D$8)))</f>
        <v/>
      </c>
      <c r="N960" s="34">
        <f>MIN(24,MAX(5,NORMINV(RAND(),$C$9,$D$9)))</f>
        <v/>
      </c>
      <c r="O960" s="41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7">
        <f>MAX(-0.05,NORMINV(RAND(),$C$6,$D$6))</f>
        <v/>
      </c>
      <c r="L961" s="27">
        <f>MAX(0.02,NORMINV(RAND(),$C$7,$D$7))</f>
        <v/>
      </c>
      <c r="M961" s="27">
        <f>MIN(0.16,MAX(0.05,NORMINV(RAND(),$C$8,$D$8)))</f>
        <v/>
      </c>
      <c r="N961" s="34">
        <f>MIN(24,MAX(5,NORMINV(RAND(),$C$9,$D$9)))</f>
        <v/>
      </c>
      <c r="O961" s="41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7">
        <f>MAX(-0.05,NORMINV(RAND(),$C$6,$D$6))</f>
        <v/>
      </c>
      <c r="L962" s="27">
        <f>MAX(0.02,NORMINV(RAND(),$C$7,$D$7))</f>
        <v/>
      </c>
      <c r="M962" s="27">
        <f>MIN(0.16,MAX(0.05,NORMINV(RAND(),$C$8,$D$8)))</f>
        <v/>
      </c>
      <c r="N962" s="34">
        <f>MIN(24,MAX(5,NORMINV(RAND(),$C$9,$D$9)))</f>
        <v/>
      </c>
      <c r="O962" s="41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7">
        <f>MAX(-0.05,NORMINV(RAND(),$C$6,$D$6))</f>
        <v/>
      </c>
      <c r="L963" s="27">
        <f>MAX(0.02,NORMINV(RAND(),$C$7,$D$7))</f>
        <v/>
      </c>
      <c r="M963" s="27">
        <f>MIN(0.16,MAX(0.05,NORMINV(RAND(),$C$8,$D$8)))</f>
        <v/>
      </c>
      <c r="N963" s="34">
        <f>MIN(24,MAX(5,NORMINV(RAND(),$C$9,$D$9)))</f>
        <v/>
      </c>
      <c r="O963" s="41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7">
        <f>MAX(-0.05,NORMINV(RAND(),$C$6,$D$6))</f>
        <v/>
      </c>
      <c r="L964" s="27">
        <f>MAX(0.02,NORMINV(RAND(),$C$7,$D$7))</f>
        <v/>
      </c>
      <c r="M964" s="27">
        <f>MIN(0.16,MAX(0.05,NORMINV(RAND(),$C$8,$D$8)))</f>
        <v/>
      </c>
      <c r="N964" s="34">
        <f>MIN(24,MAX(5,NORMINV(RAND(),$C$9,$D$9)))</f>
        <v/>
      </c>
      <c r="O964" s="41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7">
        <f>MAX(-0.05,NORMINV(RAND(),$C$6,$D$6))</f>
        <v/>
      </c>
      <c r="L965" s="27">
        <f>MAX(0.02,NORMINV(RAND(),$C$7,$D$7))</f>
        <v/>
      </c>
      <c r="M965" s="27">
        <f>MIN(0.16,MAX(0.05,NORMINV(RAND(),$C$8,$D$8)))</f>
        <v/>
      </c>
      <c r="N965" s="34">
        <f>MIN(24,MAX(5,NORMINV(RAND(),$C$9,$D$9)))</f>
        <v/>
      </c>
      <c r="O965" s="41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7">
        <f>MAX(-0.05,NORMINV(RAND(),$C$6,$D$6))</f>
        <v/>
      </c>
      <c r="L966" s="27">
        <f>MAX(0.02,NORMINV(RAND(),$C$7,$D$7))</f>
        <v/>
      </c>
      <c r="M966" s="27">
        <f>MIN(0.16,MAX(0.05,NORMINV(RAND(),$C$8,$D$8)))</f>
        <v/>
      </c>
      <c r="N966" s="34">
        <f>MIN(24,MAX(5,NORMINV(RAND(),$C$9,$D$9)))</f>
        <v/>
      </c>
      <c r="O966" s="41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7">
        <f>MAX(-0.05,NORMINV(RAND(),$C$6,$D$6))</f>
        <v/>
      </c>
      <c r="L967" s="27">
        <f>MAX(0.02,NORMINV(RAND(),$C$7,$D$7))</f>
        <v/>
      </c>
      <c r="M967" s="27">
        <f>MIN(0.16,MAX(0.05,NORMINV(RAND(),$C$8,$D$8)))</f>
        <v/>
      </c>
      <c r="N967" s="34">
        <f>MIN(24,MAX(5,NORMINV(RAND(),$C$9,$D$9)))</f>
        <v/>
      </c>
      <c r="O967" s="41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7">
        <f>MAX(-0.05,NORMINV(RAND(),$C$6,$D$6))</f>
        <v/>
      </c>
      <c r="L968" s="27">
        <f>MAX(0.02,NORMINV(RAND(),$C$7,$D$7))</f>
        <v/>
      </c>
      <c r="M968" s="27">
        <f>MIN(0.16,MAX(0.05,NORMINV(RAND(),$C$8,$D$8)))</f>
        <v/>
      </c>
      <c r="N968" s="34">
        <f>MIN(24,MAX(5,NORMINV(RAND(),$C$9,$D$9)))</f>
        <v/>
      </c>
      <c r="O968" s="41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7">
        <f>MAX(-0.05,NORMINV(RAND(),$C$6,$D$6))</f>
        <v/>
      </c>
      <c r="L969" s="27">
        <f>MAX(0.02,NORMINV(RAND(),$C$7,$D$7))</f>
        <v/>
      </c>
      <c r="M969" s="27">
        <f>MIN(0.16,MAX(0.05,NORMINV(RAND(),$C$8,$D$8)))</f>
        <v/>
      </c>
      <c r="N969" s="34">
        <f>MIN(24,MAX(5,NORMINV(RAND(),$C$9,$D$9)))</f>
        <v/>
      </c>
      <c r="O969" s="41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7">
        <f>MAX(-0.05,NORMINV(RAND(),$C$6,$D$6))</f>
        <v/>
      </c>
      <c r="L970" s="27">
        <f>MAX(0.02,NORMINV(RAND(),$C$7,$D$7))</f>
        <v/>
      </c>
      <c r="M970" s="27">
        <f>MIN(0.16,MAX(0.05,NORMINV(RAND(),$C$8,$D$8)))</f>
        <v/>
      </c>
      <c r="N970" s="34">
        <f>MIN(24,MAX(5,NORMINV(RAND(),$C$9,$D$9)))</f>
        <v/>
      </c>
      <c r="O970" s="41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7">
        <f>MAX(-0.05,NORMINV(RAND(),$C$6,$D$6))</f>
        <v/>
      </c>
      <c r="L971" s="27">
        <f>MAX(0.02,NORMINV(RAND(),$C$7,$D$7))</f>
        <v/>
      </c>
      <c r="M971" s="27">
        <f>MIN(0.16,MAX(0.05,NORMINV(RAND(),$C$8,$D$8)))</f>
        <v/>
      </c>
      <c r="N971" s="34">
        <f>MIN(24,MAX(5,NORMINV(RAND(),$C$9,$D$9)))</f>
        <v/>
      </c>
      <c r="O971" s="41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7">
        <f>MAX(-0.05,NORMINV(RAND(),$C$6,$D$6))</f>
        <v/>
      </c>
      <c r="L972" s="27">
        <f>MAX(0.02,NORMINV(RAND(),$C$7,$D$7))</f>
        <v/>
      </c>
      <c r="M972" s="27">
        <f>MIN(0.16,MAX(0.05,NORMINV(RAND(),$C$8,$D$8)))</f>
        <v/>
      </c>
      <c r="N972" s="34">
        <f>MIN(24,MAX(5,NORMINV(RAND(),$C$9,$D$9)))</f>
        <v/>
      </c>
      <c r="O972" s="41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7">
        <f>MAX(-0.05,NORMINV(RAND(),$C$6,$D$6))</f>
        <v/>
      </c>
      <c r="L973" s="27">
        <f>MAX(0.02,NORMINV(RAND(),$C$7,$D$7))</f>
        <v/>
      </c>
      <c r="M973" s="27">
        <f>MIN(0.16,MAX(0.05,NORMINV(RAND(),$C$8,$D$8)))</f>
        <v/>
      </c>
      <c r="N973" s="34">
        <f>MIN(24,MAX(5,NORMINV(RAND(),$C$9,$D$9)))</f>
        <v/>
      </c>
      <c r="O973" s="41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7">
        <f>MAX(-0.05,NORMINV(RAND(),$C$6,$D$6))</f>
        <v/>
      </c>
      <c r="L974" s="27">
        <f>MAX(0.02,NORMINV(RAND(),$C$7,$D$7))</f>
        <v/>
      </c>
      <c r="M974" s="27">
        <f>MIN(0.16,MAX(0.05,NORMINV(RAND(),$C$8,$D$8)))</f>
        <v/>
      </c>
      <c r="N974" s="34">
        <f>MIN(24,MAX(5,NORMINV(RAND(),$C$9,$D$9)))</f>
        <v/>
      </c>
      <c r="O974" s="41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7">
        <f>MAX(-0.05,NORMINV(RAND(),$C$6,$D$6))</f>
        <v/>
      </c>
      <c r="L975" s="27">
        <f>MAX(0.02,NORMINV(RAND(),$C$7,$D$7))</f>
        <v/>
      </c>
      <c r="M975" s="27">
        <f>MIN(0.16,MAX(0.05,NORMINV(RAND(),$C$8,$D$8)))</f>
        <v/>
      </c>
      <c r="N975" s="34">
        <f>MIN(24,MAX(5,NORMINV(RAND(),$C$9,$D$9)))</f>
        <v/>
      </c>
      <c r="O975" s="41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7">
        <f>MAX(-0.05,NORMINV(RAND(),$C$6,$D$6))</f>
        <v/>
      </c>
      <c r="L976" s="27">
        <f>MAX(0.02,NORMINV(RAND(),$C$7,$D$7))</f>
        <v/>
      </c>
      <c r="M976" s="27">
        <f>MIN(0.16,MAX(0.05,NORMINV(RAND(),$C$8,$D$8)))</f>
        <v/>
      </c>
      <c r="N976" s="34">
        <f>MIN(24,MAX(5,NORMINV(RAND(),$C$9,$D$9)))</f>
        <v/>
      </c>
      <c r="O976" s="41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7">
        <f>MAX(-0.05,NORMINV(RAND(),$C$6,$D$6))</f>
        <v/>
      </c>
      <c r="L977" s="27">
        <f>MAX(0.02,NORMINV(RAND(),$C$7,$D$7))</f>
        <v/>
      </c>
      <c r="M977" s="27">
        <f>MIN(0.16,MAX(0.05,NORMINV(RAND(),$C$8,$D$8)))</f>
        <v/>
      </c>
      <c r="N977" s="34">
        <f>MIN(24,MAX(5,NORMINV(RAND(),$C$9,$D$9)))</f>
        <v/>
      </c>
      <c r="O977" s="41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7">
        <f>MAX(-0.05,NORMINV(RAND(),$C$6,$D$6))</f>
        <v/>
      </c>
      <c r="L978" s="27">
        <f>MAX(0.02,NORMINV(RAND(),$C$7,$D$7))</f>
        <v/>
      </c>
      <c r="M978" s="27">
        <f>MIN(0.16,MAX(0.05,NORMINV(RAND(),$C$8,$D$8)))</f>
        <v/>
      </c>
      <c r="N978" s="34">
        <f>MIN(24,MAX(5,NORMINV(RAND(),$C$9,$D$9)))</f>
        <v/>
      </c>
      <c r="O978" s="41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7">
        <f>MAX(-0.05,NORMINV(RAND(),$C$6,$D$6))</f>
        <v/>
      </c>
      <c r="L979" s="27">
        <f>MAX(0.02,NORMINV(RAND(),$C$7,$D$7))</f>
        <v/>
      </c>
      <c r="M979" s="27">
        <f>MIN(0.16,MAX(0.05,NORMINV(RAND(),$C$8,$D$8)))</f>
        <v/>
      </c>
      <c r="N979" s="34">
        <f>MIN(24,MAX(5,NORMINV(RAND(),$C$9,$D$9)))</f>
        <v/>
      </c>
      <c r="O979" s="41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7">
        <f>MAX(-0.05,NORMINV(RAND(),$C$6,$D$6))</f>
        <v/>
      </c>
      <c r="L980" s="27">
        <f>MAX(0.02,NORMINV(RAND(),$C$7,$D$7))</f>
        <v/>
      </c>
      <c r="M980" s="27">
        <f>MIN(0.16,MAX(0.05,NORMINV(RAND(),$C$8,$D$8)))</f>
        <v/>
      </c>
      <c r="N980" s="34">
        <f>MIN(24,MAX(5,NORMINV(RAND(),$C$9,$D$9)))</f>
        <v/>
      </c>
      <c r="O980" s="41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7">
        <f>MAX(-0.05,NORMINV(RAND(),$C$6,$D$6))</f>
        <v/>
      </c>
      <c r="L981" s="27">
        <f>MAX(0.02,NORMINV(RAND(),$C$7,$D$7))</f>
        <v/>
      </c>
      <c r="M981" s="27">
        <f>MIN(0.16,MAX(0.05,NORMINV(RAND(),$C$8,$D$8)))</f>
        <v/>
      </c>
      <c r="N981" s="34">
        <f>MIN(24,MAX(5,NORMINV(RAND(),$C$9,$D$9)))</f>
        <v/>
      </c>
      <c r="O981" s="41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7">
        <f>MAX(-0.05,NORMINV(RAND(),$C$6,$D$6))</f>
        <v/>
      </c>
      <c r="L982" s="27">
        <f>MAX(0.02,NORMINV(RAND(),$C$7,$D$7))</f>
        <v/>
      </c>
      <c r="M982" s="27">
        <f>MIN(0.16,MAX(0.05,NORMINV(RAND(),$C$8,$D$8)))</f>
        <v/>
      </c>
      <c r="N982" s="34">
        <f>MIN(24,MAX(5,NORMINV(RAND(),$C$9,$D$9)))</f>
        <v/>
      </c>
      <c r="O982" s="41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7">
        <f>MAX(-0.05,NORMINV(RAND(),$C$6,$D$6))</f>
        <v/>
      </c>
      <c r="L983" s="27">
        <f>MAX(0.02,NORMINV(RAND(),$C$7,$D$7))</f>
        <v/>
      </c>
      <c r="M983" s="27">
        <f>MIN(0.16,MAX(0.05,NORMINV(RAND(),$C$8,$D$8)))</f>
        <v/>
      </c>
      <c r="N983" s="34">
        <f>MIN(24,MAX(5,NORMINV(RAND(),$C$9,$D$9)))</f>
        <v/>
      </c>
      <c r="O983" s="41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7">
        <f>MAX(-0.05,NORMINV(RAND(),$C$6,$D$6))</f>
        <v/>
      </c>
      <c r="L984" s="27">
        <f>MAX(0.02,NORMINV(RAND(),$C$7,$D$7))</f>
        <v/>
      </c>
      <c r="M984" s="27">
        <f>MIN(0.16,MAX(0.05,NORMINV(RAND(),$C$8,$D$8)))</f>
        <v/>
      </c>
      <c r="N984" s="34">
        <f>MIN(24,MAX(5,NORMINV(RAND(),$C$9,$D$9)))</f>
        <v/>
      </c>
      <c r="O984" s="41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7">
        <f>MAX(-0.05,NORMINV(RAND(),$C$6,$D$6))</f>
        <v/>
      </c>
      <c r="L985" s="27">
        <f>MAX(0.02,NORMINV(RAND(),$C$7,$D$7))</f>
        <v/>
      </c>
      <c r="M985" s="27">
        <f>MIN(0.16,MAX(0.05,NORMINV(RAND(),$C$8,$D$8)))</f>
        <v/>
      </c>
      <c r="N985" s="34">
        <f>MIN(24,MAX(5,NORMINV(RAND(),$C$9,$D$9)))</f>
        <v/>
      </c>
      <c r="O985" s="41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7">
        <f>MAX(-0.05,NORMINV(RAND(),$C$6,$D$6))</f>
        <v/>
      </c>
      <c r="L986" s="27">
        <f>MAX(0.02,NORMINV(RAND(),$C$7,$D$7))</f>
        <v/>
      </c>
      <c r="M986" s="27">
        <f>MIN(0.16,MAX(0.05,NORMINV(RAND(),$C$8,$D$8)))</f>
        <v/>
      </c>
      <c r="N986" s="34">
        <f>MIN(24,MAX(5,NORMINV(RAND(),$C$9,$D$9)))</f>
        <v/>
      </c>
      <c r="O986" s="41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7">
        <f>MAX(-0.05,NORMINV(RAND(),$C$6,$D$6))</f>
        <v/>
      </c>
      <c r="L987" s="27">
        <f>MAX(0.02,NORMINV(RAND(),$C$7,$D$7))</f>
        <v/>
      </c>
      <c r="M987" s="27">
        <f>MIN(0.16,MAX(0.05,NORMINV(RAND(),$C$8,$D$8)))</f>
        <v/>
      </c>
      <c r="N987" s="34">
        <f>MIN(24,MAX(5,NORMINV(RAND(),$C$9,$D$9)))</f>
        <v/>
      </c>
      <c r="O987" s="41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7">
        <f>MAX(-0.05,NORMINV(RAND(),$C$6,$D$6))</f>
        <v/>
      </c>
      <c r="L988" s="27">
        <f>MAX(0.02,NORMINV(RAND(),$C$7,$D$7))</f>
        <v/>
      </c>
      <c r="M988" s="27">
        <f>MIN(0.16,MAX(0.05,NORMINV(RAND(),$C$8,$D$8)))</f>
        <v/>
      </c>
      <c r="N988" s="34">
        <f>MIN(24,MAX(5,NORMINV(RAND(),$C$9,$D$9)))</f>
        <v/>
      </c>
      <c r="O988" s="41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7">
        <f>MAX(-0.05,NORMINV(RAND(),$C$6,$D$6))</f>
        <v/>
      </c>
      <c r="L989" s="27">
        <f>MAX(0.02,NORMINV(RAND(),$C$7,$D$7))</f>
        <v/>
      </c>
      <c r="M989" s="27">
        <f>MIN(0.16,MAX(0.05,NORMINV(RAND(),$C$8,$D$8)))</f>
        <v/>
      </c>
      <c r="N989" s="34">
        <f>MIN(24,MAX(5,NORMINV(RAND(),$C$9,$D$9)))</f>
        <v/>
      </c>
      <c r="O989" s="41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7">
        <f>MAX(-0.05,NORMINV(RAND(),$C$6,$D$6))</f>
        <v/>
      </c>
      <c r="L990" s="27">
        <f>MAX(0.02,NORMINV(RAND(),$C$7,$D$7))</f>
        <v/>
      </c>
      <c r="M990" s="27">
        <f>MIN(0.16,MAX(0.05,NORMINV(RAND(),$C$8,$D$8)))</f>
        <v/>
      </c>
      <c r="N990" s="34">
        <f>MIN(24,MAX(5,NORMINV(RAND(),$C$9,$D$9)))</f>
        <v/>
      </c>
      <c r="O990" s="41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7">
        <f>MAX(-0.05,NORMINV(RAND(),$C$6,$D$6))</f>
        <v/>
      </c>
      <c r="L991" s="27">
        <f>MAX(0.02,NORMINV(RAND(),$C$7,$D$7))</f>
        <v/>
      </c>
      <c r="M991" s="27">
        <f>MIN(0.16,MAX(0.05,NORMINV(RAND(),$C$8,$D$8)))</f>
        <v/>
      </c>
      <c r="N991" s="34">
        <f>MIN(24,MAX(5,NORMINV(RAND(),$C$9,$D$9)))</f>
        <v/>
      </c>
      <c r="O991" s="41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7">
        <f>MAX(-0.05,NORMINV(RAND(),$C$6,$D$6))</f>
        <v/>
      </c>
      <c r="L992" s="27">
        <f>MAX(0.02,NORMINV(RAND(),$C$7,$D$7))</f>
        <v/>
      </c>
      <c r="M992" s="27">
        <f>MIN(0.16,MAX(0.05,NORMINV(RAND(),$C$8,$D$8)))</f>
        <v/>
      </c>
      <c r="N992" s="34">
        <f>MIN(24,MAX(5,NORMINV(RAND(),$C$9,$D$9)))</f>
        <v/>
      </c>
      <c r="O992" s="41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7">
        <f>MAX(-0.05,NORMINV(RAND(),$C$6,$D$6))</f>
        <v/>
      </c>
      <c r="L993" s="27">
        <f>MAX(0.02,NORMINV(RAND(),$C$7,$D$7))</f>
        <v/>
      </c>
      <c r="M993" s="27">
        <f>MIN(0.16,MAX(0.05,NORMINV(RAND(),$C$8,$D$8)))</f>
        <v/>
      </c>
      <c r="N993" s="34">
        <f>MIN(24,MAX(5,NORMINV(RAND(),$C$9,$D$9)))</f>
        <v/>
      </c>
      <c r="O993" s="41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7">
        <f>MAX(-0.05,NORMINV(RAND(),$C$6,$D$6))</f>
        <v/>
      </c>
      <c r="L994" s="27">
        <f>MAX(0.02,NORMINV(RAND(),$C$7,$D$7))</f>
        <v/>
      </c>
      <c r="M994" s="27">
        <f>MIN(0.16,MAX(0.05,NORMINV(RAND(),$C$8,$D$8)))</f>
        <v/>
      </c>
      <c r="N994" s="34">
        <f>MIN(24,MAX(5,NORMINV(RAND(),$C$9,$D$9)))</f>
        <v/>
      </c>
      <c r="O994" s="41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7">
        <f>MAX(-0.05,NORMINV(RAND(),$C$6,$D$6))</f>
        <v/>
      </c>
      <c r="L995" s="27">
        <f>MAX(0.02,NORMINV(RAND(),$C$7,$D$7))</f>
        <v/>
      </c>
      <c r="M995" s="27">
        <f>MIN(0.16,MAX(0.05,NORMINV(RAND(),$C$8,$D$8)))</f>
        <v/>
      </c>
      <c r="N995" s="34">
        <f>MIN(24,MAX(5,NORMINV(RAND(),$C$9,$D$9)))</f>
        <v/>
      </c>
      <c r="O995" s="41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7">
        <f>MAX(-0.05,NORMINV(RAND(),$C$6,$D$6))</f>
        <v/>
      </c>
      <c r="L996" s="27">
        <f>MAX(0.02,NORMINV(RAND(),$C$7,$D$7))</f>
        <v/>
      </c>
      <c r="M996" s="27">
        <f>MIN(0.16,MAX(0.05,NORMINV(RAND(),$C$8,$D$8)))</f>
        <v/>
      </c>
      <c r="N996" s="34">
        <f>MIN(24,MAX(5,NORMINV(RAND(),$C$9,$D$9)))</f>
        <v/>
      </c>
      <c r="O996" s="41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7">
        <f>MAX(-0.05,NORMINV(RAND(),$C$6,$D$6))</f>
        <v/>
      </c>
      <c r="L997" s="27">
        <f>MAX(0.02,NORMINV(RAND(),$C$7,$D$7))</f>
        <v/>
      </c>
      <c r="M997" s="27">
        <f>MIN(0.16,MAX(0.05,NORMINV(RAND(),$C$8,$D$8)))</f>
        <v/>
      </c>
      <c r="N997" s="34">
        <f>MIN(24,MAX(5,NORMINV(RAND(),$C$9,$D$9)))</f>
        <v/>
      </c>
      <c r="O997" s="41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7">
        <f>MAX(-0.05,NORMINV(RAND(),$C$6,$D$6))</f>
        <v/>
      </c>
      <c r="L998" s="27">
        <f>MAX(0.02,NORMINV(RAND(),$C$7,$D$7))</f>
        <v/>
      </c>
      <c r="M998" s="27">
        <f>MIN(0.16,MAX(0.05,NORMINV(RAND(),$C$8,$D$8)))</f>
        <v/>
      </c>
      <c r="N998" s="34">
        <f>MIN(24,MAX(5,NORMINV(RAND(),$C$9,$D$9)))</f>
        <v/>
      </c>
      <c r="O998" s="41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7">
        <f>MAX(-0.05,NORMINV(RAND(),$C$6,$D$6))</f>
        <v/>
      </c>
      <c r="L999" s="27">
        <f>MAX(0.02,NORMINV(RAND(),$C$7,$D$7))</f>
        <v/>
      </c>
      <c r="M999" s="27">
        <f>MIN(0.16,MAX(0.05,NORMINV(RAND(),$C$8,$D$8)))</f>
        <v/>
      </c>
      <c r="N999" s="34">
        <f>MIN(24,MAX(5,NORMINV(RAND(),$C$9,$D$9)))</f>
        <v/>
      </c>
      <c r="O999" s="41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7">
        <f>MAX(-0.05,NORMINV(RAND(),$C$6,$D$6))</f>
        <v/>
      </c>
      <c r="L1000" s="27">
        <f>MAX(0.02,NORMINV(RAND(),$C$7,$D$7))</f>
        <v/>
      </c>
      <c r="M1000" s="27">
        <f>MIN(0.16,MAX(0.05,NORMINV(RAND(),$C$8,$D$8)))</f>
        <v/>
      </c>
      <c r="N1000" s="34">
        <f>MIN(24,MAX(5,NORMINV(RAND(),$C$9,$D$9)))</f>
        <v/>
      </c>
      <c r="O1000" s="41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7">
        <f>MAX(-0.05,NORMINV(RAND(),$C$6,$D$6))</f>
        <v/>
      </c>
      <c r="L1001" s="27">
        <f>MAX(0.02,NORMINV(RAND(),$C$7,$D$7))</f>
        <v/>
      </c>
      <c r="M1001" s="27">
        <f>MIN(0.16,MAX(0.05,NORMINV(RAND(),$C$8,$D$8)))</f>
        <v/>
      </c>
      <c r="N1001" s="34">
        <f>MIN(24,MAX(5,NORMINV(RAND(),$C$9,$D$9)))</f>
        <v/>
      </c>
      <c r="O1001" s="41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2026-06-08T03:53:26Z</dcterms:created>
  <dcterms:modified xmlns:dcterms="http://purl.org/dc/terms/" xmlns:xsi="http://www.w3.org/2001/XMLSchema-instance" xsi:type="dcterms:W3CDTF">2026-06-08T03:53:26Z</dcterms:modified>
</cp:coreProperties>
</file>