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lor Code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Consensu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Monte 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1F4E78"/>
      <sz val="16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8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9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9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165" fontId="7" fillId="0" borderId="0" pivotButton="0" quotePrefix="0" xfId="0"/>
    <xf numFmtId="164" fontId="3" fillId="0" borderId="0" pivotButton="0" quotePrefix="0" xfId="0"/>
    <xf numFmtId="3" fontId="7" fillId="0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70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9" fontId="1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Meta Platforms, Inc. (META)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2026-06-07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2026-06-07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WACC!B14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META is a mature, cash-generative advertising platform whose Family of Apps engine compounds revenue at a mid-teens rate near-term—anchored to consensus (~25% in 2026 fading thereafter)—before settling toward a GDP-like terminal pace. Operating margins stay structurally high (35%+ per thesis) but fade modestly from ~41% as a multi-year AI/data-center capex cycle inflates D&amp;A and Reality Labs remains a bounded drag rather than a value driver. Free cash flow normalizes as the elevated 2026 capex (~32% of revenue) converges toward maintenance levels (capex/D&amp;A ~1.1x) by year 10.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Meta Platforms, Inc. (META)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Model!G38-WACC!B14</f>
        <v/>
      </c>
      <c r="C15" s="10">
        <f>IF(Model!G38-WACC!B14&lt;0,"! destroys","creates")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Family of Apps</t>
        </is>
      </c>
      <c r="B20" s="15" t="n">
        <v>0.15</v>
      </c>
      <c r="C20" s="15" t="n">
        <v>0.04</v>
      </c>
      <c r="D20" s="16" t="n">
        <v>0.15</v>
      </c>
      <c r="E20" s="2" t="inlineStr"/>
    </row>
    <row r="21">
      <c r="A21" s="4" t="inlineStr">
        <is>
          <t>Reality Labs</t>
        </is>
      </c>
      <c r="B21" s="15" t="n">
        <v>0.05</v>
      </c>
      <c r="C21" s="15" t="n">
        <v>0.03</v>
      </c>
      <c r="D21" s="16" t="n">
        <v>0.05</v>
      </c>
      <c r="E21" s="2" t="inlineStr"/>
    </row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0.4</v>
      </c>
      <c r="D29" s="16" t="n">
        <v>0.4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0.37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0.17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80902.08624352</v>
      </c>
      <c r="D34" s="18" t="n">
        <v>80902.08624352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1.243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WACC!B14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</t>
        </is>
      </c>
    </row>
    <row r="45">
      <c r="A45" s="4" t="inlineStr">
        <is>
          <t>Exit multiple</t>
        </is>
      </c>
      <c r="B45" s="19" t="n">
        <v>14</v>
      </c>
    </row>
    <row r="46">
      <c r="A46" s="4" t="inlineStr">
        <is>
          <t>Terminal growth (g)</t>
        </is>
      </c>
      <c r="B46" s="15" t="n">
        <v>0.04</v>
      </c>
    </row>
    <row r="48">
      <c r="A48" s="4" t="inlineStr">
        <is>
          <t>Current price</t>
        </is>
      </c>
      <c r="B48" s="23" t="n">
        <v>615.9520263671875</v>
      </c>
    </row>
  </sheetData>
  <conditionalFormatting sqref="B20:B21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24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25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26">
        <f>Dashboard!$B$40</f>
        <v/>
      </c>
    </row>
    <row r="5">
      <c r="A5" s="4" t="inlineStr">
        <is>
          <t>Cost of equity (CAPM)</t>
        </is>
      </c>
      <c r="B5" s="27">
        <f>B2+B4*B3</f>
        <v/>
      </c>
    </row>
    <row r="6">
      <c r="A6" s="4" t="inlineStr">
        <is>
          <t>Pre-tax cost of debt</t>
        </is>
      </c>
      <c r="B6" s="11">
        <f>Dashboard!$B$41</f>
        <v/>
      </c>
    </row>
    <row r="7">
      <c r="A7" s="4" t="inlineStr">
        <is>
          <t>Tax rate</t>
        </is>
      </c>
      <c r="B7" s="11">
        <f>Dashboard!$B$31</f>
        <v/>
      </c>
    </row>
    <row r="8">
      <c r="A8" s="4" t="inlineStr">
        <is>
          <t>After-tax cost of debt</t>
        </is>
      </c>
      <c r="B8" s="27">
        <f>B6*(1-B7)</f>
        <v/>
      </c>
    </row>
    <row r="9">
      <c r="A9" s="4" t="inlineStr">
        <is>
          <t>Market cap (E)</t>
        </is>
      </c>
      <c r="B9" s="28">
        <f>Dashboard!$B$48*Financials!AC17</f>
        <v/>
      </c>
    </row>
    <row r="10">
      <c r="A10" s="4" t="inlineStr">
        <is>
          <t>Total debt (D)</t>
        </is>
      </c>
      <c r="B10" s="28">
        <f>Financials!AC44</f>
        <v/>
      </c>
    </row>
    <row r="11">
      <c r="A11" s="4" t="inlineStr">
        <is>
          <t>Equity weight</t>
        </is>
      </c>
      <c r="B11" s="27">
        <f>B9/(B9+B10)</f>
        <v/>
      </c>
    </row>
    <row r="12">
      <c r="A12" s="4" t="inlineStr">
        <is>
          <t>Debt weight</t>
        </is>
      </c>
      <c r="B12" s="27">
        <f>B10/(B9+B10)</f>
        <v/>
      </c>
    </row>
    <row r="14">
      <c r="A14" s="3" t="inlineStr">
        <is>
          <t>WACC</t>
        </is>
      </c>
      <c r="B14" s="29">
        <f>B11*B5+B12*B8</f>
        <v/>
      </c>
    </row>
    <row r="16">
      <c r="A16" s="2" t="inlineStr">
        <is>
          <t>Yellow = edit. CAPM cost of equity; market-value weights. Feeds Valuation!WACC.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0" t="inlineStr">
        <is>
          <t>FY2021A</t>
        </is>
      </c>
      <c r="C1" s="30" t="inlineStr">
        <is>
          <t>FY2022A</t>
        </is>
      </c>
      <c r="D1" s="30" t="inlineStr">
        <is>
          <t>FY2023A</t>
        </is>
      </c>
      <c r="E1" s="30" t="inlineStr">
        <is>
          <t>FY2024A</t>
        </is>
      </c>
      <c r="F1" s="30" t="inlineStr">
        <is>
          <t>FY2025A</t>
        </is>
      </c>
      <c r="G1" s="31" t="inlineStr">
        <is>
          <t>FY2026E</t>
        </is>
      </c>
      <c r="H1" s="31" t="inlineStr">
        <is>
          <t>FY2027E</t>
        </is>
      </c>
      <c r="I1" s="31" t="inlineStr">
        <is>
          <t>FY2028E</t>
        </is>
      </c>
      <c r="J1" s="31" t="inlineStr">
        <is>
          <t>FY2029E</t>
        </is>
      </c>
      <c r="K1" s="31" t="inlineStr">
        <is>
          <t>FY2030E</t>
        </is>
      </c>
      <c r="L1" s="31" t="inlineStr">
        <is>
          <t>FY2031E</t>
        </is>
      </c>
      <c r="M1" s="31" t="inlineStr">
        <is>
          <t>FY2032E</t>
        </is>
      </c>
      <c r="N1" s="31" t="inlineStr">
        <is>
          <t>FY2033E</t>
        </is>
      </c>
      <c r="O1" s="31" t="inlineStr">
        <is>
          <t>FY2034E</t>
        </is>
      </c>
      <c r="P1" s="3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Family of Apps</t>
        </is>
      </c>
      <c r="B4" s="28">
        <f>SUM(Financials!I19:L19)</f>
        <v/>
      </c>
      <c r="C4" s="28">
        <f>SUM(Financials!M19:P19)</f>
        <v/>
      </c>
      <c r="D4" s="28">
        <f>SUM(Financials!Q19:T19)</f>
        <v/>
      </c>
      <c r="E4" s="28">
        <f>SUM(Financials!U19:X19)</f>
        <v/>
      </c>
      <c r="F4" s="28">
        <f>SUM(Financials!Y19:AB19)</f>
        <v/>
      </c>
      <c r="G4" s="32">
        <f>F4*(1+G5)</f>
        <v/>
      </c>
      <c r="H4" s="32">
        <f>G4*(1+H5)</f>
        <v/>
      </c>
      <c r="I4" s="32">
        <f>H4*(1+I5)</f>
        <v/>
      </c>
      <c r="J4" s="32">
        <f>I4*(1+J5)</f>
        <v/>
      </c>
      <c r="K4" s="32">
        <f>J4*(1+K5)</f>
        <v/>
      </c>
      <c r="L4" s="32">
        <f>K4*(1+L5)</f>
        <v/>
      </c>
      <c r="M4" s="32">
        <f>L4*(1+M5)</f>
        <v/>
      </c>
      <c r="N4" s="32">
        <f>M4*(1+N5)</f>
        <v/>
      </c>
      <c r="O4" s="32">
        <f>N4*(1+O5)</f>
        <v/>
      </c>
      <c r="P4" s="32">
        <f>O4*(1+P5)</f>
        <v/>
      </c>
    </row>
    <row r="5">
      <c r="A5" s="4" t="inlineStr">
        <is>
          <t xml:space="preserve">    growth % (interpolated from Dashboard)</t>
        </is>
      </c>
      <c r="C5" s="27">
        <f>IFERROR(C4/B4-1,"")</f>
        <v/>
      </c>
      <c r="D5" s="27">
        <f>IFERROR(D4/C4-1,"")</f>
        <v/>
      </c>
      <c r="E5" s="27">
        <f>IFERROR(E4/D4-1,"")</f>
        <v/>
      </c>
      <c r="F5" s="27">
        <f>IFERROR(F4/E4-1,"")</f>
        <v/>
      </c>
      <c r="G5" s="11">
        <f>Dashboard!$B$20+(Dashboard!$C$20-Dashboard!$B$20)*MAX(0,0-2)/7</f>
        <v/>
      </c>
      <c r="H5" s="11">
        <f>Dashboard!$B$20+(Dashboard!$C$20-Dashboard!$B$20)*MAX(0,1-2)/7</f>
        <v/>
      </c>
      <c r="I5" s="11">
        <f>Dashboard!$B$20+(Dashboard!$C$20-Dashboard!$B$20)*MAX(0,2-2)/7</f>
        <v/>
      </c>
      <c r="J5" s="11">
        <f>Dashboard!$B$20+(Dashboard!$C$20-Dashboard!$B$20)*MAX(0,3-2)/7</f>
        <v/>
      </c>
      <c r="K5" s="11">
        <f>Dashboard!$B$20+(Dashboard!$C$20-Dashboard!$B$20)*MAX(0,4-2)/7</f>
        <v/>
      </c>
      <c r="L5" s="11">
        <f>Dashboard!$B$20+(Dashboard!$C$20-Dashboard!$B$20)*MAX(0,5-2)/7</f>
        <v/>
      </c>
      <c r="M5" s="11">
        <f>Dashboard!$B$20+(Dashboard!$C$20-Dashboard!$B$20)*MAX(0,6-2)/7</f>
        <v/>
      </c>
      <c r="N5" s="11">
        <f>Dashboard!$B$20+(Dashboard!$C$20-Dashboard!$B$20)*MAX(0,7-2)/7</f>
        <v/>
      </c>
      <c r="O5" s="11">
        <f>Dashboard!$B$20+(Dashboard!$C$20-Dashboard!$B$20)*MAX(0,8-2)/7</f>
        <v/>
      </c>
      <c r="P5" s="11">
        <f>Dashboard!$B$20+(Dashboard!$C$20-Dashboard!$B$20)*MAX(0,9-2)/7</f>
        <v/>
      </c>
    </row>
    <row r="6">
      <c r="A6" s="4" t="inlineStr">
        <is>
          <t>Reality Labs</t>
        </is>
      </c>
      <c r="B6" s="28">
        <f>SUM(Financials!I22:L22)</f>
        <v/>
      </c>
      <c r="C6" s="28">
        <f>SUM(Financials!M22:P22)</f>
        <v/>
      </c>
      <c r="D6" s="28">
        <f>SUM(Financials!Q22:T22)</f>
        <v/>
      </c>
      <c r="E6" s="28">
        <f>SUM(Financials!U22:X22)</f>
        <v/>
      </c>
      <c r="F6" s="28">
        <f>SUM(Financials!Y22:AB22)</f>
        <v/>
      </c>
      <c r="G6" s="32">
        <f>F6*(1+G7)</f>
        <v/>
      </c>
      <c r="H6" s="32">
        <f>G6*(1+H7)</f>
        <v/>
      </c>
      <c r="I6" s="32">
        <f>H6*(1+I7)</f>
        <v/>
      </c>
      <c r="J6" s="32">
        <f>I6*(1+J7)</f>
        <v/>
      </c>
      <c r="K6" s="32">
        <f>J6*(1+K7)</f>
        <v/>
      </c>
      <c r="L6" s="32">
        <f>K6*(1+L7)</f>
        <v/>
      </c>
      <c r="M6" s="32">
        <f>L6*(1+M7)</f>
        <v/>
      </c>
      <c r="N6" s="32">
        <f>M6*(1+N7)</f>
        <v/>
      </c>
      <c r="O6" s="32">
        <f>N6*(1+O7)</f>
        <v/>
      </c>
      <c r="P6" s="32">
        <f>O6*(1+P7)</f>
        <v/>
      </c>
    </row>
    <row r="7">
      <c r="A7" s="4" t="inlineStr">
        <is>
          <t xml:space="preserve">    growth % (interpolated from Dashboard)</t>
        </is>
      </c>
      <c r="C7" s="27">
        <f>IFERROR(C6/B6-1,"")</f>
        <v/>
      </c>
      <c r="D7" s="27">
        <f>IFERROR(D6/C6-1,"")</f>
        <v/>
      </c>
      <c r="E7" s="27">
        <f>IFERROR(E6/D6-1,"")</f>
        <v/>
      </c>
      <c r="F7" s="27">
        <f>IFERROR(F6/E6-1,"")</f>
        <v/>
      </c>
      <c r="G7" s="11">
        <f>Dashboard!$B$21+(Dashboard!$C$21-Dashboard!$B$21)*MAX(0,0-2)/7</f>
        <v/>
      </c>
      <c r="H7" s="11">
        <f>Dashboard!$B$21+(Dashboard!$C$21-Dashboard!$B$21)*MAX(0,1-2)/7</f>
        <v/>
      </c>
      <c r="I7" s="11">
        <f>Dashboard!$B$21+(Dashboard!$C$21-Dashboard!$B$21)*MAX(0,2-2)/7</f>
        <v/>
      </c>
      <c r="J7" s="11">
        <f>Dashboard!$B$21+(Dashboard!$C$21-Dashboard!$B$21)*MAX(0,3-2)/7</f>
        <v/>
      </c>
      <c r="K7" s="11">
        <f>Dashboard!$B$21+(Dashboard!$C$21-Dashboard!$B$21)*MAX(0,4-2)/7</f>
        <v/>
      </c>
      <c r="L7" s="11">
        <f>Dashboard!$B$21+(Dashboard!$C$21-Dashboard!$B$21)*MAX(0,5-2)/7</f>
        <v/>
      </c>
      <c r="M7" s="11">
        <f>Dashboard!$B$21+(Dashboard!$C$21-Dashboard!$B$21)*MAX(0,6-2)/7</f>
        <v/>
      </c>
      <c r="N7" s="11">
        <f>Dashboard!$B$21+(Dashboard!$C$21-Dashboard!$B$21)*MAX(0,7-2)/7</f>
        <v/>
      </c>
      <c r="O7" s="11">
        <f>Dashboard!$B$21+(Dashboard!$C$21-Dashboard!$B$21)*MAX(0,8-2)/7</f>
        <v/>
      </c>
      <c r="P7" s="11">
        <f>Dashboard!$B$21+(Dashboard!$C$21-Dashboard!$B$21)*MAX(0,9-2)/7</f>
        <v/>
      </c>
    </row>
    <row r="8">
      <c r="A8" s="3" t="inlineStr">
        <is>
          <t>Total revenue</t>
        </is>
      </c>
      <c r="B8" s="33">
        <f>B4+B6</f>
        <v/>
      </c>
      <c r="C8" s="33">
        <f>C4+C6</f>
        <v/>
      </c>
      <c r="D8" s="33">
        <f>D4+D6</f>
        <v/>
      </c>
      <c r="E8" s="33">
        <f>E4+E6</f>
        <v/>
      </c>
      <c r="F8" s="33">
        <f>F4+F6</f>
        <v/>
      </c>
      <c r="G8" s="33">
        <f>G4+G6</f>
        <v/>
      </c>
      <c r="H8" s="33">
        <f>H4+H6</f>
        <v/>
      </c>
      <c r="I8" s="33">
        <f>I4+I6</f>
        <v/>
      </c>
      <c r="J8" s="33">
        <f>J4+J6</f>
        <v/>
      </c>
      <c r="K8" s="33">
        <f>K4+K6</f>
        <v/>
      </c>
      <c r="L8" s="33">
        <f>L4+L6</f>
        <v/>
      </c>
      <c r="M8" s="33">
        <f>M4+M6</f>
        <v/>
      </c>
      <c r="N8" s="33">
        <f>N4+N6</f>
        <v/>
      </c>
      <c r="O8" s="33">
        <f>O4+O6</f>
        <v/>
      </c>
      <c r="P8" s="33">
        <f>P4+P6</f>
        <v/>
      </c>
    </row>
    <row r="9">
      <c r="A9" s="4" t="inlineStr">
        <is>
          <t xml:space="preserve">    growth %</t>
        </is>
      </c>
      <c r="C9" s="27">
        <f>IFERROR(C8/B8-1,"")</f>
        <v/>
      </c>
      <c r="D9" s="27">
        <f>IFERROR(D8/C8-1,"")</f>
        <v/>
      </c>
      <c r="E9" s="27">
        <f>IFERROR(E8/D8-1,"")</f>
        <v/>
      </c>
      <c r="F9" s="27">
        <f>IFERROR(F8/E8-1,"")</f>
        <v/>
      </c>
      <c r="G9" s="27">
        <f>IFERROR(G8/F8-1,"")</f>
        <v/>
      </c>
      <c r="H9" s="27">
        <f>IFERROR(H8/G8-1,"")</f>
        <v/>
      </c>
      <c r="I9" s="27">
        <f>IFERROR(I8/H8-1,"")</f>
        <v/>
      </c>
      <c r="J9" s="27">
        <f>IFERROR(J8/I8-1,"")</f>
        <v/>
      </c>
      <c r="K9" s="27">
        <f>IFERROR(K8/J8-1,"")</f>
        <v/>
      </c>
      <c r="L9" s="27">
        <f>IFERROR(L8/K8-1,"")</f>
        <v/>
      </c>
      <c r="M9" s="27">
        <f>IFERROR(M8/L8-1,"")</f>
        <v/>
      </c>
      <c r="N9" s="27">
        <f>IFERROR(N8/M8-1,"")</f>
        <v/>
      </c>
      <c r="O9" s="27">
        <f>IFERROR(O8/N8-1,"")</f>
        <v/>
      </c>
      <c r="P9" s="27">
        <f>IFERROR(P8/O8-1,"")</f>
        <v/>
      </c>
    </row>
    <row r="11">
      <c r="A11" s="5" t="inlineStr">
        <is>
          <t xml:space="preserve">  COST STRUCTURE (yellow = % of revenue)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>
      <c r="A12" s="4" t="inlineStr">
        <is>
          <t>Cost of revenue</t>
        </is>
      </c>
      <c r="B12" s="28">
        <f>SUM(Financials!I5:L5)</f>
        <v/>
      </c>
      <c r="C12" s="28">
        <f>SUM(Financials!M5:P5)</f>
        <v/>
      </c>
      <c r="D12" s="28">
        <f>SUM(Financials!Q5:T5)</f>
        <v/>
      </c>
      <c r="E12" s="28">
        <f>SUM(Financials!U5:X5)</f>
        <v/>
      </c>
      <c r="F12" s="28">
        <f>SUM(Financials!Y5:AB5)</f>
        <v/>
      </c>
      <c r="G12" s="32">
        <f>G8*G13</f>
        <v/>
      </c>
      <c r="H12" s="32">
        <f>H8*H13</f>
        <v/>
      </c>
      <c r="I12" s="32">
        <f>I8*I13</f>
        <v/>
      </c>
      <c r="J12" s="32">
        <f>J8*J13</f>
        <v/>
      </c>
      <c r="K12" s="32">
        <f>K8*K13</f>
        <v/>
      </c>
      <c r="L12" s="32">
        <f>L8*L13</f>
        <v/>
      </c>
      <c r="M12" s="32">
        <f>M8*M13</f>
        <v/>
      </c>
      <c r="N12" s="32">
        <f>N8*N13</f>
        <v/>
      </c>
      <c r="O12" s="32">
        <f>O8*O13</f>
        <v/>
      </c>
      <c r="P12" s="32">
        <f>P8*P13</f>
        <v/>
      </c>
    </row>
    <row r="13">
      <c r="A13" s="4" t="inlineStr">
        <is>
          <t xml:space="preserve">    % of revenue</t>
        </is>
      </c>
      <c r="B13" s="27">
        <f>IFERROR(B12/B8,"")</f>
        <v/>
      </c>
      <c r="C13" s="27">
        <f>IFERROR(C12/C8,"")</f>
        <v/>
      </c>
      <c r="D13" s="27">
        <f>IFERROR(D12/D8,"")</f>
        <v/>
      </c>
      <c r="E13" s="27">
        <f>IFERROR(E12/E8,"")</f>
        <v/>
      </c>
      <c r="F13" s="27">
        <f>IFERROR(F12/F8,"")</f>
        <v/>
      </c>
      <c r="G13" s="15" t="n">
        <v>0.1800055730820139</v>
      </c>
      <c r="H13" s="15" t="n">
        <v>0.1800055730820139</v>
      </c>
      <c r="I13" s="15" t="n">
        <v>0.1800055730820139</v>
      </c>
      <c r="J13" s="15" t="n">
        <v>0.1800055730820139</v>
      </c>
      <c r="K13" s="15" t="n">
        <v>0.1800055730820139</v>
      </c>
      <c r="L13" s="15" t="n">
        <v>0.1800055730820139</v>
      </c>
      <c r="M13" s="15" t="n">
        <v>0.1800055730820139</v>
      </c>
      <c r="N13" s="15" t="n">
        <v>0.1800055730820139</v>
      </c>
      <c r="O13" s="15" t="n">
        <v>0.1800055730820139</v>
      </c>
      <c r="P13" s="15" t="n">
        <v>0.1800055730820139</v>
      </c>
    </row>
    <row r="14">
      <c r="A14" s="4" t="inlineStr">
        <is>
          <t>R&amp;D / Technology</t>
        </is>
      </c>
      <c r="B14" s="28">
        <f>SUM(Financials!I7:L7)</f>
        <v/>
      </c>
      <c r="C14" s="28">
        <f>SUM(Financials!M7:P7)</f>
        <v/>
      </c>
      <c r="D14" s="28">
        <f>SUM(Financials!Q7:T7)</f>
        <v/>
      </c>
      <c r="E14" s="28">
        <f>SUM(Financials!U7:X7)</f>
        <v/>
      </c>
      <c r="F14" s="28">
        <f>SUM(Financials!Y7:AB7)</f>
        <v/>
      </c>
      <c r="G14" s="32">
        <f>G8*G15</f>
        <v/>
      </c>
      <c r="H14" s="32">
        <f>H8*H15</f>
        <v/>
      </c>
      <c r="I14" s="32">
        <f>I8*I15</f>
        <v/>
      </c>
      <c r="J14" s="32">
        <f>J8*J15</f>
        <v/>
      </c>
      <c r="K14" s="32">
        <f>K8*K15</f>
        <v/>
      </c>
      <c r="L14" s="32">
        <f>L8*L15</f>
        <v/>
      </c>
      <c r="M14" s="32">
        <f>M8*M15</f>
        <v/>
      </c>
      <c r="N14" s="32">
        <f>N8*N15</f>
        <v/>
      </c>
      <c r="O14" s="32">
        <f>O8*O15</f>
        <v/>
      </c>
      <c r="P14" s="32">
        <f>P8*P15</f>
        <v/>
      </c>
    </row>
    <row r="15">
      <c r="A15" s="4" t="inlineStr">
        <is>
          <t xml:space="preserve">    % of revenue</t>
        </is>
      </c>
      <c r="B15" s="27">
        <f>IFERROR(B14/B8,"")</f>
        <v/>
      </c>
      <c r="C15" s="27">
        <f>IFERROR(C14/C8,"")</f>
        <v/>
      </c>
      <c r="D15" s="27">
        <f>IFERROR(D14/D8,"")</f>
        <v/>
      </c>
      <c r="E15" s="27">
        <f>IFERROR(E14/E8,"")</f>
        <v/>
      </c>
      <c r="F15" s="27">
        <f>IFERROR(F14/F8,"")</f>
        <v/>
      </c>
      <c r="G15" s="15" t="n">
        <v>0.2854811261606441</v>
      </c>
      <c r="H15" s="15" t="n">
        <v>0.2854811261606441</v>
      </c>
      <c r="I15" s="15" t="n">
        <v>0.2854811261606441</v>
      </c>
      <c r="J15" s="15" t="n">
        <v>0.2854811261606441</v>
      </c>
      <c r="K15" s="15" t="n">
        <v>0.2854811261606441</v>
      </c>
      <c r="L15" s="15" t="n">
        <v>0.2854811261606441</v>
      </c>
      <c r="M15" s="15" t="n">
        <v>0.2854811261606441</v>
      </c>
      <c r="N15" s="15" t="n">
        <v>0.2854811261606441</v>
      </c>
      <c r="O15" s="15" t="n">
        <v>0.2854811261606441</v>
      </c>
      <c r="P15" s="15" t="n">
        <v>0.2854811261606441</v>
      </c>
    </row>
    <row r="16">
      <c r="A16" s="4" t="inlineStr">
        <is>
          <t>SG&amp;A</t>
        </is>
      </c>
      <c r="B16" s="28">
        <f>SUM(Financials!I9:L9)</f>
        <v/>
      </c>
      <c r="C16" s="28">
        <f>SUM(Financials!M9:P9)</f>
        <v/>
      </c>
      <c r="D16" s="28">
        <f>SUM(Financials!Q9:T9)</f>
        <v/>
      </c>
      <c r="E16" s="28">
        <f>SUM(Financials!U9:X9)</f>
        <v/>
      </c>
      <c r="F16" s="28">
        <f>SUM(Financials!Y9:AB9)</f>
        <v/>
      </c>
      <c r="G16" s="32">
        <f>G8*G17</f>
        <v/>
      </c>
      <c r="H16" s="32">
        <f>H8*H17</f>
        <v/>
      </c>
      <c r="I16" s="32">
        <f>I8*I17</f>
        <v/>
      </c>
      <c r="J16" s="32">
        <f>J8*J17</f>
        <v/>
      </c>
      <c r="K16" s="32">
        <f>K8*K17</f>
        <v/>
      </c>
      <c r="L16" s="32">
        <f>L8*L17</f>
        <v/>
      </c>
      <c r="M16" s="32">
        <f>M8*M17</f>
        <v/>
      </c>
      <c r="N16" s="32">
        <f>N8*N17</f>
        <v/>
      </c>
      <c r="O16" s="32">
        <f>O8*O17</f>
        <v/>
      </c>
      <c r="P16" s="32">
        <f>P8*P17</f>
        <v/>
      </c>
    </row>
    <row r="17">
      <c r="A17" s="4" t="inlineStr">
        <is>
          <t xml:space="preserve">    % of revenue</t>
        </is>
      </c>
      <c r="B17" s="27">
        <f>IFERROR(B16/B8,"")</f>
        <v/>
      </c>
      <c r="C17" s="27">
        <f>IFERROR(C16/C8,"")</f>
        <v/>
      </c>
      <c r="D17" s="27">
        <f>IFERROR(D16/D8,"")</f>
        <v/>
      </c>
      <c r="E17" s="27">
        <f>IFERROR(E16/E8,"")</f>
        <v/>
      </c>
      <c r="F17" s="27">
        <f>IFERROR(F16/F8,"")</f>
        <v/>
      </c>
      <c r="G17" s="15" t="n">
        <v>0.1201347491615497</v>
      </c>
      <c r="H17" s="15" t="n">
        <v>0.1201347491615497</v>
      </c>
      <c r="I17" s="15" t="n">
        <v>0.1201347491615497</v>
      </c>
      <c r="J17" s="15" t="n">
        <v>0.1201347491615497</v>
      </c>
      <c r="K17" s="15" t="n">
        <v>0.1201347491615497</v>
      </c>
      <c r="L17" s="15" t="n">
        <v>0.1201347491615497</v>
      </c>
      <c r="M17" s="15" t="n">
        <v>0.1201347491615497</v>
      </c>
      <c r="N17" s="15" t="n">
        <v>0.1201347491615497</v>
      </c>
      <c r="O17" s="15" t="n">
        <v>0.1201347491615497</v>
      </c>
      <c r="P17" s="15" t="n">
        <v>0.1201347491615497</v>
      </c>
    </row>
    <row r="18">
      <c r="A18" s="4" t="inlineStr">
        <is>
          <t>Other opex (fulfilment, etc.)</t>
        </is>
      </c>
      <c r="B18" s="28">
        <f>B8-(B12+B14+B16)-SUM(Financials!I13:L13)</f>
        <v/>
      </c>
      <c r="C18" s="28">
        <f>C8-(C12+C14+C16)-SUM(Financials!M13:P13)</f>
        <v/>
      </c>
      <c r="D18" s="28">
        <f>D8-(D12+D14+D16)-SUM(Financials!Q13:T13)</f>
        <v/>
      </c>
      <c r="E18" s="28">
        <f>E8-(E12+E14+E16)-SUM(Financials!U13:X13)</f>
        <v/>
      </c>
      <c r="F18" s="28">
        <f>F8-(F12+F14+F16)-SUM(Financials!Y13:AB13)</f>
        <v/>
      </c>
      <c r="G18" s="28">
        <f>G8*(1-(Dashboard!$B$29+(Dashboard!$B$30-Dashboard!$B$29)*MIN(1,0/4)))-(G12+G14+G16)</f>
        <v/>
      </c>
      <c r="H18" s="28">
        <f>H8*(1-(Dashboard!$B$29+(Dashboard!$B$30-Dashboard!$B$29)*MIN(1,1/4)))-(H12+H14+H16)</f>
        <v/>
      </c>
      <c r="I18" s="28">
        <f>I8*(1-(Dashboard!$B$29+(Dashboard!$B$30-Dashboard!$B$29)*MIN(1,2/4)))-(I12+I14+I16)</f>
        <v/>
      </c>
      <c r="J18" s="28">
        <f>J8*(1-(Dashboard!$B$29+(Dashboard!$B$30-Dashboard!$B$29)*MIN(1,3/4)))-(J12+J14+J16)</f>
        <v/>
      </c>
      <c r="K18" s="28">
        <f>K8*(1-(Dashboard!$B$29+(Dashboard!$B$30-Dashboard!$B$29)*MIN(1,4/4)))-(K12+K14+K16)</f>
        <v/>
      </c>
      <c r="L18" s="28">
        <f>L8*(1-(Dashboard!$B$29+(Dashboard!$B$30-Dashboard!$B$29)*MIN(1,5/4)))-(L12+L14+L16)</f>
        <v/>
      </c>
      <c r="M18" s="28">
        <f>M8*(1-(Dashboard!$B$29+(Dashboard!$B$30-Dashboard!$B$29)*MIN(1,6/4)))-(M12+M14+M16)</f>
        <v/>
      </c>
      <c r="N18" s="28">
        <f>N8*(1-(Dashboard!$B$29+(Dashboard!$B$30-Dashboard!$B$29)*MIN(1,7/4)))-(N12+N14+N16)</f>
        <v/>
      </c>
      <c r="O18" s="28">
        <f>O8*(1-(Dashboard!$B$29+(Dashboard!$B$30-Dashboard!$B$29)*MIN(1,8/4)))-(O12+O14+O16)</f>
        <v/>
      </c>
      <c r="P18" s="28">
        <f>P8*(1-(Dashboard!$B$29+(Dashboard!$B$30-Dashboard!$B$29)*MIN(1,9/4)))-(P12+P14+P16)</f>
        <v/>
      </c>
    </row>
    <row r="19">
      <c r="A19" s="4" t="inlineStr">
        <is>
          <t xml:space="preserve">    % of revenue</t>
        </is>
      </c>
      <c r="B19" s="27">
        <f>IFERROR(B18/B8,"")</f>
        <v/>
      </c>
      <c r="C19" s="27">
        <f>IFERROR(C18/C8,"")</f>
        <v/>
      </c>
      <c r="D19" s="27">
        <f>IFERROR(D18/D8,"")</f>
        <v/>
      </c>
      <c r="E19" s="27">
        <f>IFERROR(E18/E8,"")</f>
        <v/>
      </c>
      <c r="F19" s="27">
        <f>IFERROR(F18/F8,"")</f>
        <v/>
      </c>
      <c r="G19" s="27">
        <f>IFERROR(G18/G8,"")</f>
        <v/>
      </c>
      <c r="H19" s="27">
        <f>IFERROR(H18/H8,"")</f>
        <v/>
      </c>
      <c r="I19" s="27">
        <f>IFERROR(I18/I8,"")</f>
        <v/>
      </c>
      <c r="J19" s="27">
        <f>IFERROR(J18/J8,"")</f>
        <v/>
      </c>
      <c r="K19" s="27">
        <f>IFERROR(K18/K8,"")</f>
        <v/>
      </c>
      <c r="L19" s="27">
        <f>IFERROR(L18/L8,"")</f>
        <v/>
      </c>
      <c r="M19" s="27">
        <f>IFERROR(M18/M8,"")</f>
        <v/>
      </c>
      <c r="N19" s="27">
        <f>IFERROR(N18/N8,"")</f>
        <v/>
      </c>
      <c r="O19" s="27">
        <f>IFERROR(O18/O8,"")</f>
        <v/>
      </c>
      <c r="P19" s="27">
        <f>IFERROR(P18/P8,"")</f>
        <v/>
      </c>
    </row>
    <row r="21">
      <c r="A21" s="3" t="inlineStr">
        <is>
          <t>Operating income (EBIT)</t>
        </is>
      </c>
      <c r="B21" s="33">
        <f>B8-(B12+B14+B16)-B18</f>
        <v/>
      </c>
      <c r="C21" s="33">
        <f>C8-(C12+C14+C16)-C18</f>
        <v/>
      </c>
      <c r="D21" s="33">
        <f>D8-(D12+D14+D16)-D18</f>
        <v/>
      </c>
      <c r="E21" s="33">
        <f>E8-(E12+E14+E16)-E18</f>
        <v/>
      </c>
      <c r="F21" s="33">
        <f>F8-(F12+F14+F16)-F18</f>
        <v/>
      </c>
      <c r="G21" s="33">
        <f>G8-(G12+G14+G16)-G18</f>
        <v/>
      </c>
      <c r="H21" s="33">
        <f>H8-(H12+H14+H16)-H18</f>
        <v/>
      </c>
      <c r="I21" s="33">
        <f>I8-(I12+I14+I16)-I18</f>
        <v/>
      </c>
      <c r="J21" s="33">
        <f>J8-(J12+J14+J16)-J18</f>
        <v/>
      </c>
      <c r="K21" s="33">
        <f>K8-(K12+K14+K16)-K18</f>
        <v/>
      </c>
      <c r="L21" s="33">
        <f>L8-(L12+L14+L16)-L18</f>
        <v/>
      </c>
      <c r="M21" s="33">
        <f>M8-(M12+M14+M16)-M18</f>
        <v/>
      </c>
      <c r="N21" s="33">
        <f>N8-(N12+N14+N16)-N18</f>
        <v/>
      </c>
      <c r="O21" s="33">
        <f>O8-(O12+O14+O16)-O18</f>
        <v/>
      </c>
      <c r="P21" s="33">
        <f>P8-(P12+P14+P16)-P18</f>
        <v/>
      </c>
    </row>
    <row r="22">
      <c r="A22" s="4" t="inlineStr">
        <is>
          <t xml:space="preserve">    operating margin</t>
        </is>
      </c>
      <c r="B22" s="27">
        <f>IFERROR(B21/B8,"")</f>
        <v/>
      </c>
      <c r="C22" s="27">
        <f>IFERROR(C21/C8,"")</f>
        <v/>
      </c>
      <c r="D22" s="27">
        <f>IFERROR(D21/D8,"")</f>
        <v/>
      </c>
      <c r="E22" s="27">
        <f>IFERROR(E21/E8,"")</f>
        <v/>
      </c>
      <c r="F22" s="27">
        <f>IFERROR(F21/F8,"")</f>
        <v/>
      </c>
      <c r="G22" s="27">
        <f>IFERROR(G21/G8,"")</f>
        <v/>
      </c>
      <c r="H22" s="27">
        <f>IFERROR(H21/H8,"")</f>
        <v/>
      </c>
      <c r="I22" s="27">
        <f>IFERROR(I21/I8,"")</f>
        <v/>
      </c>
      <c r="J22" s="27">
        <f>IFERROR(J21/J8,"")</f>
        <v/>
      </c>
      <c r="K22" s="27">
        <f>IFERROR(K21/K8,"")</f>
        <v/>
      </c>
      <c r="L22" s="27">
        <f>IFERROR(L21/L8,"")</f>
        <v/>
      </c>
      <c r="M22" s="27">
        <f>IFERROR(M21/M8,"")</f>
        <v/>
      </c>
      <c r="N22" s="27">
        <f>IFERROR(N21/N8,"")</f>
        <v/>
      </c>
      <c r="O22" s="27">
        <f>IFERROR(O21/O8,"")</f>
        <v/>
      </c>
      <c r="P22" s="27">
        <f>IFERROR(P21/P8,"")</f>
        <v/>
      </c>
    </row>
    <row r="24">
      <c r="A24" s="5" t="inlineStr">
        <is>
          <t xml:space="preserve">  FCF BRIDGE (NOPAT + D&amp;A + SBC - dNWC - Capex)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>
      <c r="A25" s="4" t="inlineStr">
        <is>
          <t>NOPAT = EBIT x (1 - tax)</t>
        </is>
      </c>
      <c r="B25" s="28">
        <f>B21*(1-Valuation!$B$5)</f>
        <v/>
      </c>
      <c r="C25" s="28">
        <f>C21*(1-Valuation!$B$5)</f>
        <v/>
      </c>
      <c r="D25" s="28">
        <f>D21*(1-Valuation!$B$5)</f>
        <v/>
      </c>
      <c r="E25" s="28">
        <f>E21*(1-Valuation!$B$5)</f>
        <v/>
      </c>
      <c r="F25" s="28">
        <f>F21*(1-Valuation!$B$5)</f>
        <v/>
      </c>
      <c r="G25" s="28">
        <f>G21*(1-Valuation!$B$5)</f>
        <v/>
      </c>
      <c r="H25" s="28">
        <f>H21*(1-Valuation!$B$5)</f>
        <v/>
      </c>
      <c r="I25" s="28">
        <f>I21*(1-Valuation!$B$5)</f>
        <v/>
      </c>
      <c r="J25" s="28">
        <f>J21*(1-Valuation!$B$5)</f>
        <v/>
      </c>
      <c r="K25" s="28">
        <f>K21*(1-Valuation!$B$5)</f>
        <v/>
      </c>
      <c r="L25" s="28">
        <f>L21*(1-Valuation!$B$5)</f>
        <v/>
      </c>
      <c r="M25" s="28">
        <f>M21*(1-Valuation!$B$5)</f>
        <v/>
      </c>
      <c r="N25" s="28">
        <f>N21*(1-Valuation!$B$5)</f>
        <v/>
      </c>
      <c r="O25" s="28">
        <f>O21*(1-Valuation!$B$5)</f>
        <v/>
      </c>
      <c r="P25" s="28">
        <f>P21*(1-Valuation!$B$5)</f>
        <v/>
      </c>
    </row>
    <row r="26">
      <c r="A26" s="4" t="inlineStr">
        <is>
          <t>+ D&amp;A</t>
        </is>
      </c>
      <c r="B26" s="28">
        <f>SUM(Financials!I47:L47)</f>
        <v/>
      </c>
      <c r="C26" s="28">
        <f>SUM(Financials!M47:P47)</f>
        <v/>
      </c>
      <c r="D26" s="28">
        <f>SUM(Financials!Q47:T47)</f>
        <v/>
      </c>
      <c r="E26" s="28">
        <f>SUM(Financials!U47:X47)</f>
        <v/>
      </c>
      <c r="F26" s="28">
        <f>SUM(Financials!Y47:AB47)</f>
        <v/>
      </c>
      <c r="G26" s="32">
        <f>G8*0.0926</f>
        <v/>
      </c>
      <c r="H26" s="32">
        <f>H8*0.0926</f>
        <v/>
      </c>
      <c r="I26" s="32">
        <f>I8*0.0926</f>
        <v/>
      </c>
      <c r="J26" s="32">
        <f>J8*0.0926</f>
        <v/>
      </c>
      <c r="K26" s="32">
        <f>K8*0.0926</f>
        <v/>
      </c>
      <c r="L26" s="32">
        <f>L8*0.0926</f>
        <v/>
      </c>
      <c r="M26" s="32">
        <f>M8*0.0926</f>
        <v/>
      </c>
      <c r="N26" s="32">
        <f>N8*0.0926</f>
        <v/>
      </c>
      <c r="O26" s="32">
        <f>O8*0.0926</f>
        <v/>
      </c>
      <c r="P26" s="32">
        <f>P8*0.0926</f>
        <v/>
      </c>
    </row>
    <row r="27">
      <c r="A27" s="4" t="inlineStr">
        <is>
          <t>+ SBC (non-cash)</t>
        </is>
      </c>
      <c r="B27" s="28">
        <f>SUM(Financials!I48:L48)</f>
        <v/>
      </c>
      <c r="C27" s="28">
        <f>SUM(Financials!M48:P48)</f>
        <v/>
      </c>
      <c r="D27" s="28">
        <f>SUM(Financials!Q48:T48)</f>
        <v/>
      </c>
      <c r="E27" s="28">
        <f>SUM(Financials!U48:X48)</f>
        <v/>
      </c>
      <c r="F27" s="28">
        <f>SUM(Financials!Y48:AB48)</f>
        <v/>
      </c>
      <c r="G27" s="32">
        <f>G8*0.1016</f>
        <v/>
      </c>
      <c r="H27" s="32">
        <f>H8*0.0971</f>
        <v/>
      </c>
      <c r="I27" s="32">
        <f>I8*0.0926</f>
        <v/>
      </c>
      <c r="J27" s="32">
        <f>J8*0.0881</f>
        <v/>
      </c>
      <c r="K27" s="32">
        <f>K8*0.0836</f>
        <v/>
      </c>
      <c r="L27" s="32">
        <f>L8*0.0791</f>
        <v/>
      </c>
      <c r="M27" s="32">
        <f>M8*0.0745</f>
        <v/>
      </c>
      <c r="N27" s="32">
        <f>N8*0.0700</f>
        <v/>
      </c>
      <c r="O27" s="32">
        <f>O8*0.0655</f>
        <v/>
      </c>
      <c r="P27" s="32">
        <f>P8*0.0610</f>
        <v/>
      </c>
    </row>
    <row r="28">
      <c r="A28" s="4" t="inlineStr">
        <is>
          <t>- dNWC</t>
        </is>
      </c>
      <c r="G28" s="32">
        <f>(G8-F8)*0.0050</f>
        <v/>
      </c>
      <c r="H28" s="32">
        <f>(H8-G8)*0.0050</f>
        <v/>
      </c>
      <c r="I28" s="32">
        <f>(I8-H8)*0.0050</f>
        <v/>
      </c>
      <c r="J28" s="32">
        <f>(J8-I8)*0.0050</f>
        <v/>
      </c>
      <c r="K28" s="32">
        <f>(K8-J8)*0.0050</f>
        <v/>
      </c>
      <c r="L28" s="32">
        <f>(L8-K8)*0.0050</f>
        <v/>
      </c>
      <c r="M28" s="32">
        <f>(M8-L8)*0.0050</f>
        <v/>
      </c>
      <c r="N28" s="32">
        <f>(N8-M8)*0.0050</f>
        <v/>
      </c>
      <c r="O28" s="32">
        <f>(O8-N8)*0.0050</f>
        <v/>
      </c>
      <c r="P28" s="32">
        <f>(P8-O8)*0.0050</f>
        <v/>
      </c>
    </row>
    <row r="29">
      <c r="A29" s="4" t="inlineStr">
        <is>
          <t>- Capex</t>
        </is>
      </c>
      <c r="B29" s="28">
        <f>-SUM(Financials!I51:L51)</f>
        <v/>
      </c>
      <c r="C29" s="28">
        <f>-SUM(Financials!M51:P51)</f>
        <v/>
      </c>
      <c r="D29" s="28">
        <f>-SUM(Financials!Q51:T51)</f>
        <v/>
      </c>
      <c r="E29" s="28">
        <f>-SUM(Financials!U51:X51)</f>
        <v/>
      </c>
      <c r="F29" s="28">
        <f>-SUM(Financials!Y51:AB51)</f>
        <v/>
      </c>
      <c r="G29" s="32">
        <f>G26*G30</f>
        <v/>
      </c>
      <c r="H29" s="32">
        <f>H26*H30</f>
        <v/>
      </c>
      <c r="I29" s="32">
        <f>I26*I30</f>
        <v/>
      </c>
      <c r="J29" s="32">
        <f>J26*J30</f>
        <v/>
      </c>
      <c r="K29" s="32">
        <f>K26*K30</f>
        <v/>
      </c>
      <c r="L29" s="32">
        <f>L26*L30</f>
        <v/>
      </c>
      <c r="M29" s="32">
        <f>M26*M30</f>
        <v/>
      </c>
      <c r="N29" s="32">
        <f>N26*N30</f>
        <v/>
      </c>
      <c r="O29" s="32">
        <f>O26*O30</f>
        <v/>
      </c>
      <c r="P29" s="32">
        <f>P26*P30</f>
        <v/>
      </c>
    </row>
    <row r="30">
      <c r="A30" s="4" t="inlineStr">
        <is>
          <t xml:space="preserve">    Capex / D&amp;A  (from Dashboard: $cap'26 -&gt; terminal)</t>
        </is>
      </c>
      <c r="B30" s="34">
        <f>IFERROR(B29/B26,"")</f>
        <v/>
      </c>
      <c r="C30" s="34">
        <f>IFERROR(C29/C26,"")</f>
        <v/>
      </c>
      <c r="D30" s="34">
        <f>IFERROR(D29/D26,"")</f>
        <v/>
      </c>
      <c r="E30" s="34">
        <f>IFERROR(E29/E26,"")</f>
        <v/>
      </c>
      <c r="F30" s="34">
        <f>IFERROR(F29/F26,"")</f>
        <v/>
      </c>
      <c r="G30" s="13">
        <f>(Dashboard!$B$34/G26)+(Dashboard!$B$35-(Dashboard!$B$34/G26))*0/9</f>
        <v/>
      </c>
      <c r="H30" s="13">
        <f>(Dashboard!$B$34/G26)+(Dashboard!$B$35-(Dashboard!$B$34/G26))*1/9</f>
        <v/>
      </c>
      <c r="I30" s="13">
        <f>(Dashboard!$B$34/G26)+(Dashboard!$B$35-(Dashboard!$B$34/G26))*2/9</f>
        <v/>
      </c>
      <c r="J30" s="13">
        <f>(Dashboard!$B$34/G26)+(Dashboard!$B$35-(Dashboard!$B$34/G26))*3/9</f>
        <v/>
      </c>
      <c r="K30" s="13">
        <f>(Dashboard!$B$34/G26)+(Dashboard!$B$35-(Dashboard!$B$34/G26))*4/9</f>
        <v/>
      </c>
      <c r="L30" s="13">
        <f>(Dashboard!$B$34/G26)+(Dashboard!$B$35-(Dashboard!$B$34/G26))*5/9</f>
        <v/>
      </c>
      <c r="M30" s="13">
        <f>(Dashboard!$B$34/G26)+(Dashboard!$B$35-(Dashboard!$B$34/G26))*6/9</f>
        <v/>
      </c>
      <c r="N30" s="13">
        <f>(Dashboard!$B$34/G26)+(Dashboard!$B$35-(Dashboard!$B$34/G26))*7/9</f>
        <v/>
      </c>
      <c r="O30" s="13">
        <f>(Dashboard!$B$34/G26)+(Dashboard!$B$35-(Dashboard!$B$34/G26))*8/9</f>
        <v/>
      </c>
      <c r="P30" s="13">
        <f>(Dashboard!$B$34/G26)+(Dashboard!$B$35-(Dashboard!$B$34/G26))*9/9</f>
        <v/>
      </c>
    </row>
    <row r="32">
      <c r="A32" s="3" t="inlineStr">
        <is>
          <t>FCFF (firm)</t>
        </is>
      </c>
      <c r="B32" s="33">
        <f>B25+B26+B27-B28-B29</f>
        <v/>
      </c>
      <c r="C32" s="33">
        <f>C25+C26+C27-C28-C29</f>
        <v/>
      </c>
      <c r="D32" s="33">
        <f>D25+D26+D27-D28-D29</f>
        <v/>
      </c>
      <c r="E32" s="33">
        <f>E25+E26+E27-E28-E29</f>
        <v/>
      </c>
      <c r="F32" s="33">
        <f>F25+F26+F27-F28-F29</f>
        <v/>
      </c>
      <c r="G32" s="33">
        <f>G25+G26+G27-G28-G29</f>
        <v/>
      </c>
      <c r="H32" s="33">
        <f>H25+H26+H27-H28-H29</f>
        <v/>
      </c>
      <c r="I32" s="33">
        <f>I25+I26+I27-I28-I29</f>
        <v/>
      </c>
      <c r="J32" s="33">
        <f>J25+J26+J27-J28-J29</f>
        <v/>
      </c>
      <c r="K32" s="33">
        <f>K25+K26+K27-K28-K29</f>
        <v/>
      </c>
      <c r="L32" s="33">
        <f>L25+L26+L27-L28-L29</f>
        <v/>
      </c>
      <c r="M32" s="33">
        <f>M25+M26+M27-M28-M29</f>
        <v/>
      </c>
      <c r="N32" s="33">
        <f>N25+N26+N27-N28-N29</f>
        <v/>
      </c>
      <c r="O32" s="33">
        <f>O25+O26+O27-O28-O29</f>
        <v/>
      </c>
      <c r="P32" s="33">
        <f>P25+P26+P27-P28-P29</f>
        <v/>
      </c>
    </row>
    <row r="33">
      <c r="A33" s="3" t="inlineStr">
        <is>
          <t>Valuation FCF (FCFF - SBC)</t>
        </is>
      </c>
      <c r="B33" s="33">
        <f>B32-B27</f>
        <v/>
      </c>
      <c r="C33" s="33">
        <f>C32-C27</f>
        <v/>
      </c>
      <c r="D33" s="33">
        <f>D32-D27</f>
        <v/>
      </c>
      <c r="E33" s="33">
        <f>E32-E27</f>
        <v/>
      </c>
      <c r="F33" s="33">
        <f>F32-F27</f>
        <v/>
      </c>
      <c r="G33" s="33">
        <f>G32-G27</f>
        <v/>
      </c>
      <c r="H33" s="33">
        <f>H32-H27</f>
        <v/>
      </c>
      <c r="I33" s="33">
        <f>I32-I27</f>
        <v/>
      </c>
      <c r="J33" s="33">
        <f>J32-J27</f>
        <v/>
      </c>
      <c r="K33" s="33">
        <f>K32-K27</f>
        <v/>
      </c>
      <c r="L33" s="33">
        <f>L32-L27</f>
        <v/>
      </c>
      <c r="M33" s="33">
        <f>M32-M27</f>
        <v/>
      </c>
      <c r="N33" s="33">
        <f>N32-N27</f>
        <v/>
      </c>
      <c r="O33" s="33">
        <f>O32-O27</f>
        <v/>
      </c>
      <c r="P33" s="33">
        <f>P32-P27</f>
        <v/>
      </c>
    </row>
    <row r="35">
      <c r="A35" s="5" t="inlineStr">
        <is>
          <t xml:space="preserve">  RETURNS ON CAPITAL &amp; EFFICIENCY  (is new revenue/capital earning its keep?)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</row>
    <row r="36">
      <c r="A36" s="4" t="inlineStr">
        <is>
          <t>Invested capital (debt + equity - cash)</t>
        </is>
      </c>
      <c r="B36" s="28">
        <f>Financials!L45+Financials!L44-Financials!L39</f>
        <v/>
      </c>
      <c r="C36" s="28">
        <f>Financials!P45+Financials!P44-Financials!P39</f>
        <v/>
      </c>
      <c r="D36" s="28">
        <f>Financials!T45+Financials!T44-Financials!T39</f>
        <v/>
      </c>
      <c r="E36" s="28">
        <f>Financials!X45+Financials!X44-Financials!X39</f>
        <v/>
      </c>
      <c r="F36" s="28">
        <f>Financials!AB45+Financials!AB44-Financials!AB39</f>
        <v/>
      </c>
      <c r="G36" s="32">
        <f>F36+G29-G26+G28</f>
        <v/>
      </c>
      <c r="H36" s="32">
        <f>G36+H29-H26+H28</f>
        <v/>
      </c>
      <c r="I36" s="32">
        <f>H36+I29-I26+I28</f>
        <v/>
      </c>
      <c r="J36" s="32">
        <f>I36+J29-J26+J28</f>
        <v/>
      </c>
      <c r="K36" s="32">
        <f>J36+K29-K26+K28</f>
        <v/>
      </c>
      <c r="L36" s="32">
        <f>K36+L29-L26+L28</f>
        <v/>
      </c>
      <c r="M36" s="32">
        <f>L36+M29-M26+M28</f>
        <v/>
      </c>
      <c r="N36" s="32">
        <f>M36+N29-N26+N28</f>
        <v/>
      </c>
      <c r="O36" s="32">
        <f>N36+O29-O26+O28</f>
        <v/>
      </c>
      <c r="P36" s="32">
        <f>O36+P29-P26+P28</f>
        <v/>
      </c>
    </row>
    <row r="37">
      <c r="A37" s="4" t="inlineStr">
        <is>
          <t>Book equity (year-end)</t>
        </is>
      </c>
      <c r="B37" s="28">
        <f>Financials!L45</f>
        <v/>
      </c>
      <c r="C37" s="28">
        <f>Financials!P45</f>
        <v/>
      </c>
      <c r="D37" s="28">
        <f>Financials!T45</f>
        <v/>
      </c>
      <c r="E37" s="28">
        <f>Financials!X45</f>
        <v/>
      </c>
      <c r="F37" s="28">
        <f>Financials!AB45</f>
        <v/>
      </c>
      <c r="G37" s="32">
        <f>F37+G25</f>
        <v/>
      </c>
      <c r="H37" s="32">
        <f>G37+H25</f>
        <v/>
      </c>
      <c r="I37" s="32">
        <f>H37+I25</f>
        <v/>
      </c>
      <c r="J37" s="32">
        <f>I37+J25</f>
        <v/>
      </c>
      <c r="K37" s="32">
        <f>J37+K25</f>
        <v/>
      </c>
      <c r="L37" s="32">
        <f>K37+L25</f>
        <v/>
      </c>
      <c r="M37" s="32">
        <f>L37+M25</f>
        <v/>
      </c>
      <c r="N37" s="32">
        <f>M37+N25</f>
        <v/>
      </c>
      <c r="O37" s="32">
        <f>N37+O25</f>
        <v/>
      </c>
      <c r="P37" s="32">
        <f>O37+P25</f>
        <v/>
      </c>
    </row>
    <row r="38">
      <c r="A38" s="3" t="inlineStr">
        <is>
          <t xml:space="preserve">  ROIC (NOPAT / beg. invested capital)</t>
        </is>
      </c>
      <c r="C38" s="27">
        <f>IFERROR(C25/B36,"")</f>
        <v/>
      </c>
      <c r="D38" s="27">
        <f>IFERROR(D25/C36,"")</f>
        <v/>
      </c>
      <c r="E38" s="27">
        <f>IFERROR(E25/D36,"")</f>
        <v/>
      </c>
      <c r="F38" s="27">
        <f>IFERROR(F25/E36,"")</f>
        <v/>
      </c>
      <c r="G38" s="27">
        <f>IFERROR(G25/F36,"")</f>
        <v/>
      </c>
      <c r="H38" s="27">
        <f>IFERROR(H25/G36,"")</f>
        <v/>
      </c>
      <c r="I38" s="27">
        <f>IFERROR(I25/H36,"")</f>
        <v/>
      </c>
      <c r="J38" s="27">
        <f>IFERROR(J25/I36,"")</f>
        <v/>
      </c>
      <c r="K38" s="27">
        <f>IFERROR(K25/J36,"")</f>
        <v/>
      </c>
      <c r="L38" s="27">
        <f>IFERROR(L25/K36,"")</f>
        <v/>
      </c>
      <c r="M38" s="27">
        <f>IFERROR(M25/L36,"")</f>
        <v/>
      </c>
      <c r="N38" s="27">
        <f>IFERROR(N25/M36,"")</f>
        <v/>
      </c>
      <c r="O38" s="27">
        <f>IFERROR(O25/N36,"")</f>
        <v/>
      </c>
      <c r="P38" s="27">
        <f>IFERROR(P25/O36,"")</f>
        <v/>
      </c>
    </row>
    <row r="39">
      <c r="A39" s="3" t="inlineStr">
        <is>
          <t xml:space="preserve">  ROE (earnings / beg. equity)</t>
        </is>
      </c>
      <c r="C39" s="11">
        <f>IFERROR(SUM(Financials!M15:P15)/B37,"")</f>
        <v/>
      </c>
      <c r="D39" s="11">
        <f>IFERROR(SUM(Financials!Q15:T15)/C37,"")</f>
        <v/>
      </c>
      <c r="E39" s="11">
        <f>IFERROR(SUM(Financials!U15:X15)/D37,"")</f>
        <v/>
      </c>
      <c r="F39" s="11">
        <f>IFERROR(SUM(Financials!Y15:AB15)/E37,"")</f>
        <v/>
      </c>
      <c r="G39" s="27">
        <f>IFERROR(G25/F37,"")</f>
        <v/>
      </c>
      <c r="H39" s="27">
        <f>IFERROR(H25/G37,"")</f>
        <v/>
      </c>
      <c r="I39" s="27">
        <f>IFERROR(I25/H37,"")</f>
        <v/>
      </c>
      <c r="J39" s="27">
        <f>IFERROR(J25/I37,"")</f>
        <v/>
      </c>
      <c r="K39" s="27">
        <f>IFERROR(K25/J37,"")</f>
        <v/>
      </c>
      <c r="L39" s="27">
        <f>IFERROR(L25/K37,"")</f>
        <v/>
      </c>
      <c r="M39" s="27">
        <f>IFERROR(M25/L37,"")</f>
        <v/>
      </c>
      <c r="N39" s="27">
        <f>IFERROR(N25/M37,"")</f>
        <v/>
      </c>
      <c r="O39" s="27">
        <f>IFERROR(O25/N37,"")</f>
        <v/>
      </c>
      <c r="P39" s="27">
        <f>IFERROR(P25/O37,"")</f>
        <v/>
      </c>
    </row>
    <row r="40">
      <c r="A40" s="4" t="inlineStr">
        <is>
          <t xml:space="preserve">  ROIC - WACC spread (value created)</t>
        </is>
      </c>
      <c r="C40" s="11">
        <f>IFERROR(C38-WACC!$B$14,"")</f>
        <v/>
      </c>
      <c r="D40" s="11">
        <f>IFERROR(D38-WACC!$B$14,"")</f>
        <v/>
      </c>
      <c r="E40" s="11">
        <f>IFERROR(E38-WACC!$B$14,"")</f>
        <v/>
      </c>
      <c r="F40" s="11">
        <f>IFERROR(F38-WACC!$B$14,"")</f>
        <v/>
      </c>
      <c r="G40" s="11">
        <f>IFERROR(G38-WACC!$B$14,"")</f>
        <v/>
      </c>
      <c r="H40" s="11">
        <f>IFERROR(H38-WACC!$B$14,"")</f>
        <v/>
      </c>
      <c r="I40" s="11">
        <f>IFERROR(I38-WACC!$B$14,"")</f>
        <v/>
      </c>
      <c r="J40" s="11">
        <f>IFERROR(J38-WACC!$B$14,"")</f>
        <v/>
      </c>
      <c r="K40" s="11">
        <f>IFERROR(K38-WACC!$B$14,"")</f>
        <v/>
      </c>
      <c r="L40" s="11">
        <f>IFERROR(L38-WACC!$B$14,"")</f>
        <v/>
      </c>
      <c r="M40" s="11">
        <f>IFERROR(M38-WACC!$B$14,"")</f>
        <v/>
      </c>
      <c r="N40" s="11">
        <f>IFERROR(N38-WACC!$B$14,"")</f>
        <v/>
      </c>
      <c r="O40" s="11">
        <f>IFERROR(O38-WACC!$B$14,"")</f>
        <v/>
      </c>
      <c r="P40" s="11">
        <f>IFERROR(P38-WACC!$B$14,"")</f>
        <v/>
      </c>
    </row>
    <row r="41">
      <c r="A41" s="4" t="inlineStr">
        <is>
          <t xml:space="preserve">  Incremental op margin (ΔEBIT / ΔRev)</t>
        </is>
      </c>
      <c r="C41" s="27">
        <f>IFERROR((C21-B21)/(C8-B8),"")</f>
        <v/>
      </c>
      <c r="D41" s="27">
        <f>IFERROR((D21-C21)/(D8-C8),"")</f>
        <v/>
      </c>
      <c r="E41" s="27">
        <f>IFERROR((E21-D21)/(E8-D8),"")</f>
        <v/>
      </c>
      <c r="F41" s="27">
        <f>IFERROR((F21-E21)/(F8-E8),"")</f>
        <v/>
      </c>
      <c r="G41" s="27">
        <f>IFERROR((G21-F21)/(G8-F8),"")</f>
        <v/>
      </c>
      <c r="H41" s="27">
        <f>IFERROR((H21-G21)/(H8-G8),"")</f>
        <v/>
      </c>
      <c r="I41" s="27">
        <f>IFERROR((I21-H21)/(I8-H8),"")</f>
        <v/>
      </c>
      <c r="J41" s="27">
        <f>IFERROR((J21-I21)/(J8-I8),"")</f>
        <v/>
      </c>
      <c r="K41" s="27">
        <f>IFERROR((K21-J21)/(K8-J8),"")</f>
        <v/>
      </c>
      <c r="L41" s="27">
        <f>IFERROR((L21-K21)/(L8-K8),"")</f>
        <v/>
      </c>
      <c r="M41" s="27">
        <f>IFERROR((M21-L21)/(M8-L8),"")</f>
        <v/>
      </c>
      <c r="N41" s="27">
        <f>IFERROR((N21-M21)/(N8-M8),"")</f>
        <v/>
      </c>
      <c r="O41" s="27">
        <f>IFERROR((O21-N21)/(O8-N8),"")</f>
        <v/>
      </c>
      <c r="P41" s="27">
        <f>IFERROR((P21-O21)/(P8-O8),"")</f>
        <v/>
      </c>
    </row>
    <row r="42">
      <c r="A42" s="3" t="inlineStr">
        <is>
          <t xml:space="preserve">  ROIIC (ΔNOPAT / ΔInvested capital)</t>
        </is>
      </c>
      <c r="C42" s="27">
        <f>IFERROR((C25-B25)/(C36-B36),"")</f>
        <v/>
      </c>
      <c r="D42" s="27">
        <f>IFERROR((D25-C25)/(D36-C36),"")</f>
        <v/>
      </c>
      <c r="E42" s="27">
        <f>IFERROR((E25-D25)/(E36-D36),"")</f>
        <v/>
      </c>
      <c r="F42" s="27">
        <f>IFERROR((F25-E25)/(F36-E36),"")</f>
        <v/>
      </c>
      <c r="G42" s="27">
        <f>IFERROR((G25-F25)/(G36-F36),"")</f>
        <v/>
      </c>
      <c r="H42" s="27">
        <f>IFERROR((H25-G25)/(H36-G36),"")</f>
        <v/>
      </c>
      <c r="I42" s="27">
        <f>IFERROR((I25-H25)/(I36-H36),"")</f>
        <v/>
      </c>
      <c r="J42" s="27">
        <f>IFERROR((J25-I25)/(J36-I36),"")</f>
        <v/>
      </c>
      <c r="K42" s="27">
        <f>IFERROR((K25-J25)/(K36-J36),"")</f>
        <v/>
      </c>
      <c r="L42" s="27">
        <f>IFERROR((L25-K25)/(L36-K36),"")</f>
        <v/>
      </c>
      <c r="M42" s="27">
        <f>IFERROR((M25-L25)/(M36-L36),"")</f>
        <v/>
      </c>
      <c r="N42" s="27">
        <f>IFERROR((N25-M25)/(N36-M36),"")</f>
        <v/>
      </c>
      <c r="O42" s="27">
        <f>IFERROR((O25-N25)/(O36-N36),"")</f>
        <v/>
      </c>
      <c r="P42" s="27">
        <f>IFERROR((P25-O25)/(P36-O36),"")</f>
        <v/>
      </c>
    </row>
    <row r="43">
      <c r="A43" s="4" t="inlineStr">
        <is>
          <t xml:space="preserve">  Sales-to-capital (ΔRev / ΔInvested capital)</t>
        </is>
      </c>
      <c r="C43" s="35">
        <f>IFERROR((C8-B8)/(C36-B36),"")</f>
        <v/>
      </c>
      <c r="D43" s="35">
        <f>IFERROR((D8-C8)/(D36-C36),"")</f>
        <v/>
      </c>
      <c r="E43" s="35">
        <f>IFERROR((E8-D8)/(E36-D36),"")</f>
        <v/>
      </c>
      <c r="F43" s="35">
        <f>IFERROR((F8-E8)/(F36-E36),"")</f>
        <v/>
      </c>
      <c r="G43" s="35">
        <f>IFERROR((G8-F8)/(G36-F36),"")</f>
        <v/>
      </c>
      <c r="H43" s="35">
        <f>IFERROR((H8-G8)/(H36-G36),"")</f>
        <v/>
      </c>
      <c r="I43" s="35">
        <f>IFERROR((I8-H8)/(I36-H36),"")</f>
        <v/>
      </c>
      <c r="J43" s="35">
        <f>IFERROR((J8-I8)/(J36-I36),"")</f>
        <v/>
      </c>
      <c r="K43" s="35">
        <f>IFERROR((K8-J8)/(K36-J36),"")</f>
        <v/>
      </c>
      <c r="L43" s="35">
        <f>IFERROR((L8-K8)/(L36-K36),"")</f>
        <v/>
      </c>
      <c r="M43" s="35">
        <f>IFERROR((M8-L8)/(M36-L36),"")</f>
        <v/>
      </c>
      <c r="N43" s="35">
        <f>IFERROR((N8-M8)/(N36-M36),"")</f>
        <v/>
      </c>
      <c r="O43" s="35">
        <f>IFERROR((O8-N8)/(O36-N36),"")</f>
        <v/>
      </c>
      <c r="P43" s="35">
        <f>IFERROR((P8-O8)/(P36-O36),"")</f>
        <v/>
      </c>
    </row>
    <row r="44">
      <c r="A44" s="4" t="inlineStr">
        <is>
          <t xml:space="preserve">  Reinvestment rate (ΔInvested capital / NOPAT)</t>
        </is>
      </c>
      <c r="C44" s="27">
        <f>IFERROR((C36-B36)/C25,"")</f>
        <v/>
      </c>
      <c r="D44" s="27">
        <f>IFERROR((D36-C36)/D25,"")</f>
        <v/>
      </c>
      <c r="E44" s="27">
        <f>IFERROR((E36-D36)/E25,"")</f>
        <v/>
      </c>
      <c r="F44" s="27">
        <f>IFERROR((F36-E36)/F25,"")</f>
        <v/>
      </c>
      <c r="G44" s="27">
        <f>IFERROR((G36-F36)/G25,"")</f>
        <v/>
      </c>
      <c r="H44" s="27">
        <f>IFERROR((H36-G36)/H25,"")</f>
        <v/>
      </c>
      <c r="I44" s="27">
        <f>IFERROR((I36-H36)/I25,"")</f>
        <v/>
      </c>
      <c r="J44" s="27">
        <f>IFERROR((J36-I36)/J25,"")</f>
        <v/>
      </c>
      <c r="K44" s="27">
        <f>IFERROR((K36-J36)/K25,"")</f>
        <v/>
      </c>
      <c r="L44" s="27">
        <f>IFERROR((L36-K36)/L25,"")</f>
        <v/>
      </c>
      <c r="M44" s="27">
        <f>IFERROR((M36-L36)/M25,"")</f>
        <v/>
      </c>
      <c r="N44" s="27">
        <f>IFERROR((N36-M36)/N25,"")</f>
        <v/>
      </c>
      <c r="O44" s="27">
        <f>IFERROR((O36-N36)/O25,"")</f>
        <v/>
      </c>
      <c r="P44" s="27">
        <f>IFERROR((P36-O36)/P25,"")</f>
        <v/>
      </c>
    </row>
    <row r="46">
      <c r="A46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5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36" t="inlineStr">
        <is>
          <t>Q2 2019</t>
        </is>
      </c>
      <c r="C1" s="36" t="inlineStr">
        <is>
          <t>Q3 2019</t>
        </is>
      </c>
      <c r="D1" s="36" t="inlineStr">
        <is>
          <t>Q4 2019</t>
        </is>
      </c>
      <c r="E1" s="36" t="inlineStr">
        <is>
          <t>Q1 2020</t>
        </is>
      </c>
      <c r="F1" s="36" t="inlineStr">
        <is>
          <t>Q2 2020</t>
        </is>
      </c>
      <c r="G1" s="36" t="inlineStr">
        <is>
          <t>Q3 2020</t>
        </is>
      </c>
      <c r="H1" s="36" t="inlineStr">
        <is>
          <t>Q4 2020</t>
        </is>
      </c>
      <c r="I1" s="36" t="inlineStr">
        <is>
          <t>Q1 2021</t>
        </is>
      </c>
      <c r="J1" s="36" t="inlineStr">
        <is>
          <t>Q2 2021</t>
        </is>
      </c>
      <c r="K1" s="36" t="inlineStr">
        <is>
          <t>Q3 2021</t>
        </is>
      </c>
      <c r="L1" s="36" t="inlineStr">
        <is>
          <t>Q4 2021</t>
        </is>
      </c>
      <c r="M1" s="36" t="inlineStr">
        <is>
          <t>Q1 2022</t>
        </is>
      </c>
      <c r="N1" s="36" t="inlineStr">
        <is>
          <t>Q2 2022</t>
        </is>
      </c>
      <c r="O1" s="36" t="inlineStr">
        <is>
          <t>Q3 2022</t>
        </is>
      </c>
      <c r="P1" s="36" t="inlineStr">
        <is>
          <t>Q4 2022</t>
        </is>
      </c>
      <c r="Q1" s="36" t="inlineStr">
        <is>
          <t>Q1 2023</t>
        </is>
      </c>
      <c r="R1" s="36" t="inlineStr">
        <is>
          <t>Q2 2023</t>
        </is>
      </c>
      <c r="S1" s="36" t="inlineStr">
        <is>
          <t>Q3 2023</t>
        </is>
      </c>
      <c r="T1" s="36" t="inlineStr">
        <is>
          <t>Q4 2023</t>
        </is>
      </c>
      <c r="U1" s="36" t="inlineStr">
        <is>
          <t>Q1 2024</t>
        </is>
      </c>
      <c r="V1" s="36" t="inlineStr">
        <is>
          <t>Q2 2024</t>
        </is>
      </c>
      <c r="W1" s="36" t="inlineStr">
        <is>
          <t>Q3 2024</t>
        </is>
      </c>
      <c r="X1" s="36" t="inlineStr">
        <is>
          <t>Q4 2024</t>
        </is>
      </c>
      <c r="Y1" s="36" t="inlineStr">
        <is>
          <t>Q1 2025</t>
        </is>
      </c>
      <c r="Z1" s="36" t="inlineStr">
        <is>
          <t>Q2 2025</t>
        </is>
      </c>
      <c r="AA1" s="36" t="inlineStr">
        <is>
          <t>Q3 2025</t>
        </is>
      </c>
      <c r="AB1" s="36" t="inlineStr">
        <is>
          <t>Q4 2025</t>
        </is>
      </c>
      <c r="AC1" s="36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16886</v>
      </c>
      <c r="C3" s="18" t="n">
        <v>17652</v>
      </c>
      <c r="D3" s="18" t="n">
        <v>21082</v>
      </c>
      <c r="E3" s="18" t="n">
        <v>17737</v>
      </c>
      <c r="F3" s="18" t="n">
        <v>18687</v>
      </c>
      <c r="G3" s="18" t="n">
        <v>21470</v>
      </c>
      <c r="H3" s="18" t="n">
        <v>28072</v>
      </c>
      <c r="I3" s="18" t="n">
        <v>26171</v>
      </c>
      <c r="J3" s="18" t="n">
        <v>29077</v>
      </c>
      <c r="K3" s="18" t="n">
        <v>29010</v>
      </c>
      <c r="L3" s="18" t="n">
        <v>33671</v>
      </c>
      <c r="M3" s="18" t="n">
        <v>27908</v>
      </c>
      <c r="N3" s="18" t="n">
        <v>28822</v>
      </c>
      <c r="O3" s="18" t="n">
        <v>27714</v>
      </c>
      <c r="P3" s="18" t="n">
        <v>32165</v>
      </c>
      <c r="Q3" s="18" t="n">
        <v>28645</v>
      </c>
      <c r="R3" s="18" t="n">
        <v>31999</v>
      </c>
      <c r="S3" s="18" t="n">
        <v>34146</v>
      </c>
      <c r="T3" s="18" t="n">
        <v>40111</v>
      </c>
      <c r="U3" s="18" t="n">
        <v>36455</v>
      </c>
      <c r="V3" s="18" t="n">
        <v>39071</v>
      </c>
      <c r="W3" s="18" t="n">
        <v>40589</v>
      </c>
      <c r="X3" s="18" t="n">
        <v>48385</v>
      </c>
      <c r="Y3" s="18" t="n">
        <v>42314</v>
      </c>
      <c r="Z3" s="18" t="n">
        <v>47516</v>
      </c>
      <c r="AA3" s="18" t="n">
        <v>51242</v>
      </c>
      <c r="AB3" s="18" t="n">
        <v>59894</v>
      </c>
      <c r="AC3" s="18" t="n">
        <v>56311</v>
      </c>
    </row>
    <row r="4">
      <c r="A4" s="4" t="inlineStr">
        <is>
          <t xml:space="preserve">    % YoY</t>
        </is>
      </c>
      <c r="F4" s="27">
        <f>IFERROR(F3/B3-1,"")</f>
        <v/>
      </c>
      <c r="G4" s="27">
        <f>IFERROR(G3/C3-1,"")</f>
        <v/>
      </c>
      <c r="H4" s="27">
        <f>IFERROR(H3/D3-1,"")</f>
        <v/>
      </c>
      <c r="I4" s="27">
        <f>IFERROR(I3/E3-1,"")</f>
        <v/>
      </c>
      <c r="J4" s="27">
        <f>IFERROR(J3/F3-1,"")</f>
        <v/>
      </c>
      <c r="K4" s="27">
        <f>IFERROR(K3/G3-1,"")</f>
        <v/>
      </c>
      <c r="L4" s="27">
        <f>IFERROR(L3/H3-1,"")</f>
        <v/>
      </c>
      <c r="M4" s="27">
        <f>IFERROR(M3/I3-1,"")</f>
        <v/>
      </c>
      <c r="N4" s="27">
        <f>IFERROR(N3/J3-1,"")</f>
        <v/>
      </c>
      <c r="O4" s="27">
        <f>IFERROR(O3/K3-1,"")</f>
        <v/>
      </c>
      <c r="P4" s="27">
        <f>IFERROR(P3/L3-1,"")</f>
        <v/>
      </c>
      <c r="Q4" s="27">
        <f>IFERROR(Q3/M3-1,"")</f>
        <v/>
      </c>
      <c r="R4" s="27">
        <f>IFERROR(R3/N3-1,"")</f>
        <v/>
      </c>
      <c r="S4" s="27">
        <f>IFERROR(S3/O3-1,"")</f>
        <v/>
      </c>
      <c r="T4" s="27">
        <f>IFERROR(T3/P3-1,"")</f>
        <v/>
      </c>
      <c r="U4" s="27">
        <f>IFERROR(U3/Q3-1,"")</f>
        <v/>
      </c>
      <c r="V4" s="27">
        <f>IFERROR(V3/R3-1,"")</f>
        <v/>
      </c>
      <c r="W4" s="27">
        <f>IFERROR(W3/S3-1,"")</f>
        <v/>
      </c>
      <c r="X4" s="27">
        <f>IFERROR(X3/T3-1,"")</f>
        <v/>
      </c>
      <c r="Y4" s="27">
        <f>IFERROR(Y3/U3-1,"")</f>
        <v/>
      </c>
      <c r="Z4" s="27">
        <f>IFERROR(Z3/V3-1,"")</f>
        <v/>
      </c>
      <c r="AA4" s="27">
        <f>IFERROR(AA3/W3-1,"")</f>
        <v/>
      </c>
      <c r="AB4" s="27">
        <f>IFERROR(AB3/X3-1,"")</f>
        <v/>
      </c>
      <c r="AC4" s="27">
        <f>IFERROR(AC3/Y3-1,"")</f>
        <v/>
      </c>
    </row>
    <row r="5">
      <c r="A5" s="4" t="inlineStr">
        <is>
          <t>Cost of Revenue</t>
        </is>
      </c>
      <c r="B5" s="18" t="n">
        <v>3307</v>
      </c>
      <c r="C5" s="18" t="n">
        <v>3155</v>
      </c>
      <c r="D5" s="18" t="n">
        <v>3492</v>
      </c>
      <c r="E5" s="18" t="n">
        <v>3459</v>
      </c>
      <c r="F5" s="18" t="n">
        <v>3829</v>
      </c>
      <c r="G5" s="18" t="n">
        <v>4194</v>
      </c>
      <c r="H5" s="18" t="n">
        <v>5210</v>
      </c>
      <c r="I5" s="18" t="n">
        <v>5131</v>
      </c>
      <c r="J5" s="18" t="n">
        <v>5399</v>
      </c>
      <c r="K5" s="18" t="n">
        <v>5771</v>
      </c>
      <c r="L5" s="18" t="n">
        <v>6348</v>
      </c>
      <c r="M5" s="18" t="n">
        <v>6005</v>
      </c>
      <c r="N5" s="18" t="n">
        <v>5192</v>
      </c>
      <c r="O5" s="18" t="n">
        <v>5716</v>
      </c>
      <c r="P5" s="18" t="n">
        <v>8336</v>
      </c>
      <c r="Q5" s="18" t="n">
        <v>6108</v>
      </c>
      <c r="R5" s="18" t="n">
        <v>5945</v>
      </c>
      <c r="S5" s="18" t="n">
        <v>6210</v>
      </c>
      <c r="T5" s="18" t="n">
        <v>7695</v>
      </c>
      <c r="U5" s="18" t="n">
        <v>6640</v>
      </c>
      <c r="V5" s="18" t="n">
        <v>7308</v>
      </c>
      <c r="W5" s="18" t="n">
        <v>7375</v>
      </c>
      <c r="X5" s="18" t="n">
        <v>8839</v>
      </c>
      <c r="Y5" s="18" t="n">
        <v>7572</v>
      </c>
      <c r="Z5" s="18" t="n">
        <v>8491</v>
      </c>
      <c r="AA5" s="18" t="n">
        <v>9206</v>
      </c>
      <c r="AB5" s="18" t="n">
        <v>10906</v>
      </c>
      <c r="AC5" s="18" t="n">
        <v>10218</v>
      </c>
    </row>
    <row r="6">
      <c r="A6" s="4" t="inlineStr">
        <is>
          <t xml:space="preserve">    % of revenue</t>
        </is>
      </c>
      <c r="B6" s="27">
        <f>IFERROR(B5/B3,"")</f>
        <v/>
      </c>
      <c r="C6" s="27">
        <f>IFERROR(C5/C3,"")</f>
        <v/>
      </c>
      <c r="D6" s="27">
        <f>IFERROR(D5/D3,"")</f>
        <v/>
      </c>
      <c r="E6" s="27">
        <f>IFERROR(E5/E3,"")</f>
        <v/>
      </c>
      <c r="F6" s="27">
        <f>IFERROR(F5/F3,"")</f>
        <v/>
      </c>
      <c r="G6" s="27">
        <f>IFERROR(G5/G3,"")</f>
        <v/>
      </c>
      <c r="H6" s="27">
        <f>IFERROR(H5/H3,"")</f>
        <v/>
      </c>
      <c r="I6" s="27">
        <f>IFERROR(I5/I3,"")</f>
        <v/>
      </c>
      <c r="J6" s="27">
        <f>IFERROR(J5/J3,"")</f>
        <v/>
      </c>
      <c r="K6" s="27">
        <f>IFERROR(K5/K3,"")</f>
        <v/>
      </c>
      <c r="L6" s="27">
        <f>IFERROR(L5/L3,"")</f>
        <v/>
      </c>
      <c r="M6" s="27">
        <f>IFERROR(M5/M3,"")</f>
        <v/>
      </c>
      <c r="N6" s="27">
        <f>IFERROR(N5/N3,"")</f>
        <v/>
      </c>
      <c r="O6" s="27">
        <f>IFERROR(O5/O3,"")</f>
        <v/>
      </c>
      <c r="P6" s="27">
        <f>IFERROR(P5/P3,"")</f>
        <v/>
      </c>
      <c r="Q6" s="27">
        <f>IFERROR(Q5/Q3,"")</f>
        <v/>
      </c>
      <c r="R6" s="27">
        <f>IFERROR(R5/R3,"")</f>
        <v/>
      </c>
      <c r="S6" s="27">
        <f>IFERROR(S5/S3,"")</f>
        <v/>
      </c>
      <c r="T6" s="27">
        <f>IFERROR(T5/T3,"")</f>
        <v/>
      </c>
      <c r="U6" s="27">
        <f>IFERROR(U5/U3,"")</f>
        <v/>
      </c>
      <c r="V6" s="27">
        <f>IFERROR(V5/V3,"")</f>
        <v/>
      </c>
      <c r="W6" s="27">
        <f>IFERROR(W5/W3,"")</f>
        <v/>
      </c>
      <c r="X6" s="27">
        <f>IFERROR(X5/X3,"")</f>
        <v/>
      </c>
      <c r="Y6" s="27">
        <f>IFERROR(Y5/Y3,"")</f>
        <v/>
      </c>
      <c r="Z6" s="27">
        <f>IFERROR(Z5/Z3,"")</f>
        <v/>
      </c>
      <c r="AA6" s="27">
        <f>IFERROR(AA5/AA3,"")</f>
        <v/>
      </c>
      <c r="AB6" s="27">
        <f>IFERROR(AB5/AB3,"")</f>
        <v/>
      </c>
      <c r="AC6" s="27">
        <f>IFERROR(AC5/AC3,"")</f>
        <v/>
      </c>
    </row>
    <row r="7">
      <c r="A7" s="4" t="inlineStr">
        <is>
          <t>R&amp;D Expense</t>
        </is>
      </c>
      <c r="B7" s="18" t="n">
        <v>3315</v>
      </c>
      <c r="C7" s="18" t="n">
        <v>3548</v>
      </c>
      <c r="D7" s="18" t="n">
        <v>3877</v>
      </c>
      <c r="E7" s="18" t="n">
        <v>4015</v>
      </c>
      <c r="F7" s="18" t="n">
        <v>4462</v>
      </c>
      <c r="G7" s="18" t="n">
        <v>4763</v>
      </c>
      <c r="H7" s="18" t="n">
        <v>5208</v>
      </c>
      <c r="I7" s="18" t="n">
        <v>5197</v>
      </c>
      <c r="J7" s="18" t="n">
        <v>6096</v>
      </c>
      <c r="K7" s="18" t="n">
        <v>6316</v>
      </c>
      <c r="L7" s="18" t="n">
        <v>7046</v>
      </c>
      <c r="M7" s="18" t="n">
        <v>7707</v>
      </c>
      <c r="N7" s="18" t="n">
        <v>8690</v>
      </c>
      <c r="O7" s="18" t="n">
        <v>9170</v>
      </c>
      <c r="P7" s="18" t="n">
        <v>9771</v>
      </c>
      <c r="Q7" s="18" t="n">
        <v>9381</v>
      </c>
      <c r="R7" s="18" t="n">
        <v>9344</v>
      </c>
      <c r="S7" s="18" t="n">
        <v>9241</v>
      </c>
      <c r="T7" s="18" t="n">
        <v>10517</v>
      </c>
      <c r="U7" s="18" t="n">
        <v>9978</v>
      </c>
      <c r="V7" s="18" t="n">
        <v>10537</v>
      </c>
      <c r="W7" s="18" t="n">
        <v>11177</v>
      </c>
      <c r="X7" s="18" t="n">
        <v>12180</v>
      </c>
      <c r="Y7" s="18" t="n">
        <v>12150</v>
      </c>
      <c r="Z7" s="18" t="n">
        <v>12942</v>
      </c>
      <c r="AA7" s="18" t="n">
        <v>15144</v>
      </c>
      <c r="AB7" s="18" t="n">
        <v>17136</v>
      </c>
      <c r="AC7" s="18" t="n">
        <v>17699</v>
      </c>
    </row>
    <row r="8">
      <c r="A8" s="4" t="inlineStr">
        <is>
          <t xml:space="preserve">    % of revenue</t>
        </is>
      </c>
      <c r="B8" s="27">
        <f>IFERROR(B7/B3,"")</f>
        <v/>
      </c>
      <c r="C8" s="27">
        <f>IFERROR(C7/C3,"")</f>
        <v/>
      </c>
      <c r="D8" s="27">
        <f>IFERROR(D7/D3,"")</f>
        <v/>
      </c>
      <c r="E8" s="27">
        <f>IFERROR(E7/E3,"")</f>
        <v/>
      </c>
      <c r="F8" s="27">
        <f>IFERROR(F7/F3,"")</f>
        <v/>
      </c>
      <c r="G8" s="27">
        <f>IFERROR(G7/G3,"")</f>
        <v/>
      </c>
      <c r="H8" s="27">
        <f>IFERROR(H7/H3,"")</f>
        <v/>
      </c>
      <c r="I8" s="27">
        <f>IFERROR(I7/I3,"")</f>
        <v/>
      </c>
      <c r="J8" s="27">
        <f>IFERROR(J7/J3,"")</f>
        <v/>
      </c>
      <c r="K8" s="27">
        <f>IFERROR(K7/K3,"")</f>
        <v/>
      </c>
      <c r="L8" s="27">
        <f>IFERROR(L7/L3,"")</f>
        <v/>
      </c>
      <c r="M8" s="27">
        <f>IFERROR(M7/M3,"")</f>
        <v/>
      </c>
      <c r="N8" s="27">
        <f>IFERROR(N7/N3,"")</f>
        <v/>
      </c>
      <c r="O8" s="27">
        <f>IFERROR(O7/O3,"")</f>
        <v/>
      </c>
      <c r="P8" s="27">
        <f>IFERROR(P7/P3,"")</f>
        <v/>
      </c>
      <c r="Q8" s="27">
        <f>IFERROR(Q7/Q3,"")</f>
        <v/>
      </c>
      <c r="R8" s="27">
        <f>IFERROR(R7/R3,"")</f>
        <v/>
      </c>
      <c r="S8" s="27">
        <f>IFERROR(S7/S3,"")</f>
        <v/>
      </c>
      <c r="T8" s="27">
        <f>IFERROR(T7/T3,"")</f>
        <v/>
      </c>
      <c r="U8" s="27">
        <f>IFERROR(U7/U3,"")</f>
        <v/>
      </c>
      <c r="V8" s="27">
        <f>IFERROR(V7/V3,"")</f>
        <v/>
      </c>
      <c r="W8" s="27">
        <f>IFERROR(W7/W3,"")</f>
        <v/>
      </c>
      <c r="X8" s="27">
        <f>IFERROR(X7/X3,"")</f>
        <v/>
      </c>
      <c r="Y8" s="27">
        <f>IFERROR(Y7/Y3,"")</f>
        <v/>
      </c>
      <c r="Z8" s="27">
        <f>IFERROR(Z7/Z3,"")</f>
        <v/>
      </c>
      <c r="AA8" s="27">
        <f>IFERROR(AA7/AA3,"")</f>
        <v/>
      </c>
      <c r="AB8" s="27">
        <f>IFERROR(AB7/AB3,"")</f>
        <v/>
      </c>
      <c r="AC8" s="27">
        <f>IFERROR(AC7/AC3,"")</f>
        <v/>
      </c>
    </row>
    <row r="9">
      <c r="A9" s="4" t="inlineStr">
        <is>
          <t>SG&amp;A Expense</t>
        </is>
      </c>
      <c r="B9" s="18" t="n">
        <v>5638</v>
      </c>
      <c r="C9" s="18" t="n">
        <v>3764</v>
      </c>
      <c r="D9" s="18" t="n">
        <v>4855</v>
      </c>
      <c r="E9" s="18" t="n">
        <v>4370</v>
      </c>
      <c r="F9" s="18" t="n">
        <v>4433</v>
      </c>
      <c r="G9" s="18" t="n">
        <v>4473</v>
      </c>
      <c r="H9" s="18" t="n">
        <v>4879</v>
      </c>
      <c r="I9" s="18" t="n">
        <v>4465</v>
      </c>
      <c r="J9" s="18" t="n">
        <v>5215</v>
      </c>
      <c r="K9" s="18" t="n">
        <v>6500</v>
      </c>
      <c r="L9" s="18" t="n">
        <v>7692</v>
      </c>
      <c r="M9" s="18" t="n">
        <v>5672</v>
      </c>
      <c r="N9" s="18" t="n">
        <v>6582</v>
      </c>
      <c r="O9" s="18" t="n">
        <v>7164</v>
      </c>
      <c r="P9" s="18" t="n">
        <v>7659</v>
      </c>
      <c r="Q9" s="18" t="n">
        <v>5929</v>
      </c>
      <c r="R9" s="18" t="n">
        <v>7318</v>
      </c>
      <c r="S9" s="18" t="n">
        <v>4947</v>
      </c>
      <c r="T9" s="18" t="n">
        <v>5515</v>
      </c>
      <c r="U9" s="18" t="n">
        <v>6019</v>
      </c>
      <c r="V9" s="18" t="n">
        <v>6379</v>
      </c>
      <c r="W9" s="18" t="n">
        <v>4687</v>
      </c>
      <c r="X9" s="18" t="n">
        <v>4002</v>
      </c>
      <c r="Y9" s="18" t="n">
        <v>5037</v>
      </c>
      <c r="Z9" s="18" t="n">
        <v>5642</v>
      </c>
      <c r="AA9" s="18" t="n">
        <v>6357</v>
      </c>
      <c r="AB9" s="18" t="n">
        <v>7107</v>
      </c>
      <c r="AC9" s="18" t="n">
        <v>5522</v>
      </c>
    </row>
    <row r="10">
      <c r="A10" s="4" t="inlineStr">
        <is>
          <t xml:space="preserve">    % of revenue</t>
        </is>
      </c>
      <c r="B10" s="27">
        <f>IFERROR(B9/B3,"")</f>
        <v/>
      </c>
      <c r="C10" s="27">
        <f>IFERROR(C9/C3,"")</f>
        <v/>
      </c>
      <c r="D10" s="27">
        <f>IFERROR(D9/D3,"")</f>
        <v/>
      </c>
      <c r="E10" s="27">
        <f>IFERROR(E9/E3,"")</f>
        <v/>
      </c>
      <c r="F10" s="27">
        <f>IFERROR(F9/F3,"")</f>
        <v/>
      </c>
      <c r="G10" s="27">
        <f>IFERROR(G9/G3,"")</f>
        <v/>
      </c>
      <c r="H10" s="27">
        <f>IFERROR(H9/H3,"")</f>
        <v/>
      </c>
      <c r="I10" s="27">
        <f>IFERROR(I9/I3,"")</f>
        <v/>
      </c>
      <c r="J10" s="27">
        <f>IFERROR(J9/J3,"")</f>
        <v/>
      </c>
      <c r="K10" s="27">
        <f>IFERROR(K9/K3,"")</f>
        <v/>
      </c>
      <c r="L10" s="27">
        <f>IFERROR(L9/L3,"")</f>
        <v/>
      </c>
      <c r="M10" s="27">
        <f>IFERROR(M9/M3,"")</f>
        <v/>
      </c>
      <c r="N10" s="27">
        <f>IFERROR(N9/N3,"")</f>
        <v/>
      </c>
      <c r="O10" s="27">
        <f>IFERROR(O9/O3,"")</f>
        <v/>
      </c>
      <c r="P10" s="27">
        <f>IFERROR(P9/P3,"")</f>
        <v/>
      </c>
      <c r="Q10" s="27">
        <f>IFERROR(Q9/Q3,"")</f>
        <v/>
      </c>
      <c r="R10" s="27">
        <f>IFERROR(R9/R3,"")</f>
        <v/>
      </c>
      <c r="S10" s="27">
        <f>IFERROR(S9/S3,"")</f>
        <v/>
      </c>
      <c r="T10" s="27">
        <f>IFERROR(T9/T3,"")</f>
        <v/>
      </c>
      <c r="U10" s="27">
        <f>IFERROR(U9/U3,"")</f>
        <v/>
      </c>
      <c r="V10" s="27">
        <f>IFERROR(V9/V3,"")</f>
        <v/>
      </c>
      <c r="W10" s="27">
        <f>IFERROR(W9/W3,"")</f>
        <v/>
      </c>
      <c r="X10" s="27">
        <f>IFERROR(X9/X3,"")</f>
        <v/>
      </c>
      <c r="Y10" s="27">
        <f>IFERROR(Y9/Y3,"")</f>
        <v/>
      </c>
      <c r="Z10" s="27">
        <f>IFERROR(Z9/Z3,"")</f>
        <v/>
      </c>
      <c r="AA10" s="27">
        <f>IFERROR(AA9/AA3,"")</f>
        <v/>
      </c>
      <c r="AB10" s="27">
        <f>IFERROR(AB9/AB3,"")</f>
        <v/>
      </c>
      <c r="AC10" s="27">
        <f>IFERROR(AC9/AC3,"")</f>
        <v/>
      </c>
    </row>
    <row r="11">
      <c r="A11" s="4" t="inlineStr">
        <is>
          <t>Gross Profit</t>
        </is>
      </c>
      <c r="B11" s="18" t="n">
        <v>13579</v>
      </c>
      <c r="C11" s="18" t="n">
        <v>14497</v>
      </c>
      <c r="D11" s="18" t="n">
        <v>17590</v>
      </c>
      <c r="E11" s="18" t="n">
        <v>14278</v>
      </c>
      <c r="F11" s="18" t="n">
        <v>14858</v>
      </c>
      <c r="G11" s="18" t="n">
        <v>17276</v>
      </c>
      <c r="H11" s="18" t="n">
        <v>22862</v>
      </c>
      <c r="I11" s="18" t="n">
        <v>21040</v>
      </c>
      <c r="J11" s="18" t="n">
        <v>23678</v>
      </c>
      <c r="K11" s="18" t="n">
        <v>23239</v>
      </c>
      <c r="L11" s="18" t="n">
        <v>27323</v>
      </c>
      <c r="M11" s="18" t="n">
        <v>21903</v>
      </c>
      <c r="N11" s="18" t="n">
        <v>23630</v>
      </c>
      <c r="O11" s="18" t="n">
        <v>21998</v>
      </c>
      <c r="P11" s="18" t="n">
        <v>23829</v>
      </c>
      <c r="Q11" s="18" t="n">
        <v>22537</v>
      </c>
      <c r="R11" s="18" t="n">
        <v>26054</v>
      </c>
      <c r="S11" s="18" t="n">
        <v>27936</v>
      </c>
      <c r="T11" s="18" t="n">
        <v>32416</v>
      </c>
      <c r="U11" s="18" t="n">
        <v>29815</v>
      </c>
      <c r="V11" s="18" t="n">
        <v>31763</v>
      </c>
      <c r="W11" s="18" t="n">
        <v>33214</v>
      </c>
      <c r="X11" s="18" t="n">
        <v>39546</v>
      </c>
      <c r="Y11" s="18" t="n">
        <v>34742</v>
      </c>
      <c r="Z11" s="18" t="n">
        <v>39025</v>
      </c>
      <c r="AA11" s="18" t="n">
        <v>42036</v>
      </c>
      <c r="AB11" s="18" t="n">
        <v>48988</v>
      </c>
      <c r="AC11" s="18" t="n">
        <v>46093</v>
      </c>
    </row>
    <row r="12">
      <c r="A12" s="4" t="inlineStr">
        <is>
          <t xml:space="preserve">    gross margin</t>
        </is>
      </c>
      <c r="B12" s="27">
        <f>IFERROR(B11/B3,"")</f>
        <v/>
      </c>
      <c r="C12" s="27">
        <f>IFERROR(C11/C3,"")</f>
        <v/>
      </c>
      <c r="D12" s="27">
        <f>IFERROR(D11/D3,"")</f>
        <v/>
      </c>
      <c r="E12" s="27">
        <f>IFERROR(E11/E3,"")</f>
        <v/>
      </c>
      <c r="F12" s="27">
        <f>IFERROR(F11/F3,"")</f>
        <v/>
      </c>
      <c r="G12" s="27">
        <f>IFERROR(G11/G3,"")</f>
        <v/>
      </c>
      <c r="H12" s="27">
        <f>IFERROR(H11/H3,"")</f>
        <v/>
      </c>
      <c r="I12" s="27">
        <f>IFERROR(I11/I3,"")</f>
        <v/>
      </c>
      <c r="J12" s="27">
        <f>IFERROR(J11/J3,"")</f>
        <v/>
      </c>
      <c r="K12" s="27">
        <f>IFERROR(K11/K3,"")</f>
        <v/>
      </c>
      <c r="L12" s="27">
        <f>IFERROR(L11/L3,"")</f>
        <v/>
      </c>
      <c r="M12" s="27">
        <f>IFERROR(M11/M3,"")</f>
        <v/>
      </c>
      <c r="N12" s="27">
        <f>IFERROR(N11/N3,"")</f>
        <v/>
      </c>
      <c r="O12" s="27">
        <f>IFERROR(O11/O3,"")</f>
        <v/>
      </c>
      <c r="P12" s="27">
        <f>IFERROR(P11/P3,"")</f>
        <v/>
      </c>
      <c r="Q12" s="27">
        <f>IFERROR(Q11/Q3,"")</f>
        <v/>
      </c>
      <c r="R12" s="27">
        <f>IFERROR(R11/R3,"")</f>
        <v/>
      </c>
      <c r="S12" s="27">
        <f>IFERROR(S11/S3,"")</f>
        <v/>
      </c>
      <c r="T12" s="27">
        <f>IFERROR(T11/T3,"")</f>
        <v/>
      </c>
      <c r="U12" s="27">
        <f>IFERROR(U11/U3,"")</f>
        <v/>
      </c>
      <c r="V12" s="27">
        <f>IFERROR(V11/V3,"")</f>
        <v/>
      </c>
      <c r="W12" s="27">
        <f>IFERROR(W11/W3,"")</f>
        <v/>
      </c>
      <c r="X12" s="27">
        <f>IFERROR(X11/X3,"")</f>
        <v/>
      </c>
      <c r="Y12" s="27">
        <f>IFERROR(Y11/Y3,"")</f>
        <v/>
      </c>
      <c r="Z12" s="27">
        <f>IFERROR(Z11/Z3,"")</f>
        <v/>
      </c>
      <c r="AA12" s="27">
        <f>IFERROR(AA11/AA3,"")</f>
        <v/>
      </c>
      <c r="AB12" s="27">
        <f>IFERROR(AB11/AB3,"")</f>
        <v/>
      </c>
      <c r="AC12" s="27">
        <f>IFERROR(AC11/AC3,"")</f>
        <v/>
      </c>
    </row>
    <row r="13">
      <c r="A13" s="4" t="inlineStr">
        <is>
          <t>Operating Income</t>
        </is>
      </c>
      <c r="B13" s="18" t="n">
        <v>4626</v>
      </c>
      <c r="C13" s="18" t="n">
        <v>7185</v>
      </c>
      <c r="D13" s="18" t="n">
        <v>8858</v>
      </c>
      <c r="E13" s="18" t="n">
        <v>5893</v>
      </c>
      <c r="F13" s="18" t="n">
        <v>5963</v>
      </c>
      <c r="G13" s="18" t="n">
        <v>8040</v>
      </c>
      <c r="H13" s="18" t="n">
        <v>12775</v>
      </c>
      <c r="I13" s="18" t="n">
        <v>11378</v>
      </c>
      <c r="J13" s="18" t="n">
        <v>12367</v>
      </c>
      <c r="K13" s="18" t="n">
        <v>10423</v>
      </c>
      <c r="L13" s="18" t="n">
        <v>12585</v>
      </c>
      <c r="M13" s="18" t="n">
        <v>8524</v>
      </c>
      <c r="N13" s="18" t="n">
        <v>8358</v>
      </c>
      <c r="O13" s="18" t="n">
        <v>5664</v>
      </c>
      <c r="P13" s="18" t="n">
        <v>6399</v>
      </c>
      <c r="Q13" s="18" t="n">
        <v>7227</v>
      </c>
      <c r="R13" s="18" t="n">
        <v>9392</v>
      </c>
      <c r="S13" s="18" t="n">
        <v>13748</v>
      </c>
      <c r="T13" s="18" t="n">
        <v>16384</v>
      </c>
      <c r="U13" s="18" t="n">
        <v>13818</v>
      </c>
      <c r="V13" s="18" t="n">
        <v>14847</v>
      </c>
      <c r="W13" s="18" t="n">
        <v>17350</v>
      </c>
      <c r="X13" s="18" t="n">
        <v>23364</v>
      </c>
      <c r="Y13" s="18" t="n">
        <v>17555</v>
      </c>
      <c r="Z13" s="18" t="n">
        <v>20441</v>
      </c>
      <c r="AA13" s="18" t="n">
        <v>20535</v>
      </c>
      <c r="AB13" s="18" t="n">
        <v>24745</v>
      </c>
      <c r="AC13" s="18" t="n">
        <v>22872</v>
      </c>
    </row>
    <row r="14">
      <c r="A14" s="4" t="inlineStr">
        <is>
          <t xml:space="preserve">    operating margin</t>
        </is>
      </c>
      <c r="B14" s="27">
        <f>IFERROR(B13/B3,"")</f>
        <v/>
      </c>
      <c r="C14" s="27">
        <f>IFERROR(C13/C3,"")</f>
        <v/>
      </c>
      <c r="D14" s="27">
        <f>IFERROR(D13/D3,"")</f>
        <v/>
      </c>
      <c r="E14" s="27">
        <f>IFERROR(E13/E3,"")</f>
        <v/>
      </c>
      <c r="F14" s="27">
        <f>IFERROR(F13/F3,"")</f>
        <v/>
      </c>
      <c r="G14" s="27">
        <f>IFERROR(G13/G3,"")</f>
        <v/>
      </c>
      <c r="H14" s="27">
        <f>IFERROR(H13/H3,"")</f>
        <v/>
      </c>
      <c r="I14" s="27">
        <f>IFERROR(I13/I3,"")</f>
        <v/>
      </c>
      <c r="J14" s="27">
        <f>IFERROR(J13/J3,"")</f>
        <v/>
      </c>
      <c r="K14" s="27">
        <f>IFERROR(K13/K3,"")</f>
        <v/>
      </c>
      <c r="L14" s="27">
        <f>IFERROR(L13/L3,"")</f>
        <v/>
      </c>
      <c r="M14" s="27">
        <f>IFERROR(M13/M3,"")</f>
        <v/>
      </c>
      <c r="N14" s="27">
        <f>IFERROR(N13/N3,"")</f>
        <v/>
      </c>
      <c r="O14" s="27">
        <f>IFERROR(O13/O3,"")</f>
        <v/>
      </c>
      <c r="P14" s="27">
        <f>IFERROR(P13/P3,"")</f>
        <v/>
      </c>
      <c r="Q14" s="27">
        <f>IFERROR(Q13/Q3,"")</f>
        <v/>
      </c>
      <c r="R14" s="27">
        <f>IFERROR(R13/R3,"")</f>
        <v/>
      </c>
      <c r="S14" s="27">
        <f>IFERROR(S13/S3,"")</f>
        <v/>
      </c>
      <c r="T14" s="27">
        <f>IFERROR(T13/T3,"")</f>
        <v/>
      </c>
      <c r="U14" s="27">
        <f>IFERROR(U13/U3,"")</f>
        <v/>
      </c>
      <c r="V14" s="27">
        <f>IFERROR(V13/V3,"")</f>
        <v/>
      </c>
      <c r="W14" s="27">
        <f>IFERROR(W13/W3,"")</f>
        <v/>
      </c>
      <c r="X14" s="27">
        <f>IFERROR(X13/X3,"")</f>
        <v/>
      </c>
      <c r="Y14" s="27">
        <f>IFERROR(Y13/Y3,"")</f>
        <v/>
      </c>
      <c r="Z14" s="27">
        <f>IFERROR(Z13/Z3,"")</f>
        <v/>
      </c>
      <c r="AA14" s="27">
        <f>IFERROR(AA13/AA3,"")</f>
        <v/>
      </c>
      <c r="AB14" s="27">
        <f>IFERROR(AB13/AB3,"")</f>
        <v/>
      </c>
      <c r="AC14" s="27">
        <f>IFERROR(AC13/AC3,"")</f>
        <v/>
      </c>
    </row>
    <row r="15">
      <c r="A15" s="4" t="inlineStr">
        <is>
          <t>Net Income</t>
        </is>
      </c>
      <c r="B15" s="18" t="n">
        <v>2616</v>
      </c>
      <c r="C15" s="18" t="n">
        <v>6091</v>
      </c>
      <c r="D15" s="18" t="n">
        <v>7349</v>
      </c>
      <c r="E15" s="18" t="n">
        <v>4902</v>
      </c>
      <c r="F15" s="18" t="n">
        <v>5178</v>
      </c>
      <c r="G15" s="18" t="n">
        <v>7846</v>
      </c>
      <c r="H15" s="18" t="n">
        <v>11219</v>
      </c>
      <c r="I15" s="18" t="n">
        <v>9497</v>
      </c>
      <c r="J15" s="18" t="n">
        <v>10394</v>
      </c>
      <c r="K15" s="18" t="n">
        <v>9194</v>
      </c>
      <c r="L15" s="18" t="n">
        <v>10285</v>
      </c>
      <c r="M15" s="18" t="n">
        <v>7465</v>
      </c>
      <c r="N15" s="18" t="n">
        <v>6687</v>
      </c>
      <c r="O15" s="18" t="n">
        <v>4395</v>
      </c>
      <c r="P15" s="18" t="n">
        <v>4653</v>
      </c>
      <c r="Q15" s="18" t="n">
        <v>5709</v>
      </c>
      <c r="R15" s="18" t="n">
        <v>7788</v>
      </c>
      <c r="S15" s="18" t="n">
        <v>11583</v>
      </c>
      <c r="T15" s="18" t="n">
        <v>14017</v>
      </c>
      <c r="U15" s="18" t="n">
        <v>12369</v>
      </c>
      <c r="V15" s="18" t="n">
        <v>13465</v>
      </c>
      <c r="W15" s="18" t="n">
        <v>15688</v>
      </c>
      <c r="X15" s="18" t="n">
        <v>20838</v>
      </c>
      <c r="Y15" s="18" t="n">
        <v>16644</v>
      </c>
      <c r="Z15" s="18" t="n">
        <v>18337</v>
      </c>
      <c r="AA15" s="18" t="n">
        <v>2709</v>
      </c>
      <c r="AB15" s="18" t="n">
        <v>22768</v>
      </c>
      <c r="AC15" s="18" t="n">
        <v>26773</v>
      </c>
    </row>
    <row r="16">
      <c r="A16" s="4" t="inlineStr">
        <is>
          <t xml:space="preserve">    net margin</t>
        </is>
      </c>
      <c r="B16" s="27">
        <f>IFERROR(B15/B3,"")</f>
        <v/>
      </c>
      <c r="C16" s="27">
        <f>IFERROR(C15/C3,"")</f>
        <v/>
      </c>
      <c r="D16" s="27">
        <f>IFERROR(D15/D3,"")</f>
        <v/>
      </c>
      <c r="E16" s="27">
        <f>IFERROR(E15/E3,"")</f>
        <v/>
      </c>
      <c r="F16" s="27">
        <f>IFERROR(F15/F3,"")</f>
        <v/>
      </c>
      <c r="G16" s="27">
        <f>IFERROR(G15/G3,"")</f>
        <v/>
      </c>
      <c r="H16" s="27">
        <f>IFERROR(H15/H3,"")</f>
        <v/>
      </c>
      <c r="I16" s="27">
        <f>IFERROR(I15/I3,"")</f>
        <v/>
      </c>
      <c r="J16" s="27">
        <f>IFERROR(J15/J3,"")</f>
        <v/>
      </c>
      <c r="K16" s="27">
        <f>IFERROR(K15/K3,"")</f>
        <v/>
      </c>
      <c r="L16" s="27">
        <f>IFERROR(L15/L3,"")</f>
        <v/>
      </c>
      <c r="M16" s="27">
        <f>IFERROR(M15/M3,"")</f>
        <v/>
      </c>
      <c r="N16" s="27">
        <f>IFERROR(N15/N3,"")</f>
        <v/>
      </c>
      <c r="O16" s="27">
        <f>IFERROR(O15/O3,"")</f>
        <v/>
      </c>
      <c r="P16" s="27">
        <f>IFERROR(P15/P3,"")</f>
        <v/>
      </c>
      <c r="Q16" s="27">
        <f>IFERROR(Q15/Q3,"")</f>
        <v/>
      </c>
      <c r="R16" s="27">
        <f>IFERROR(R15/R3,"")</f>
        <v/>
      </c>
      <c r="S16" s="27">
        <f>IFERROR(S15/S3,"")</f>
        <v/>
      </c>
      <c r="T16" s="27">
        <f>IFERROR(T15/T3,"")</f>
        <v/>
      </c>
      <c r="U16" s="27">
        <f>IFERROR(U15/U3,"")</f>
        <v/>
      </c>
      <c r="V16" s="27">
        <f>IFERROR(V15/V3,"")</f>
        <v/>
      </c>
      <c r="W16" s="27">
        <f>IFERROR(W15/W3,"")</f>
        <v/>
      </c>
      <c r="X16" s="27">
        <f>IFERROR(X15/X3,"")</f>
        <v/>
      </c>
      <c r="Y16" s="27">
        <f>IFERROR(Y15/Y3,"")</f>
        <v/>
      </c>
      <c r="Z16" s="27">
        <f>IFERROR(Z15/Z3,"")</f>
        <v/>
      </c>
      <c r="AA16" s="27">
        <f>IFERROR(AA15/AA3,"")</f>
        <v/>
      </c>
      <c r="AB16" s="27">
        <f>IFERROR(AB15/AB3,"")</f>
        <v/>
      </c>
      <c r="AC16" s="27">
        <f>IFERROR(AC15/AC3,"")</f>
        <v/>
      </c>
    </row>
    <row r="17">
      <c r="A17" s="4" t="inlineStr">
        <is>
          <t>Diluted Shares (M)</t>
        </is>
      </c>
      <c r="B17" s="18" t="n">
        <v>2875</v>
      </c>
      <c r="C17" s="18" t="n">
        <v>2874</v>
      </c>
      <c r="D17" s="18" t="n">
        <v>2871</v>
      </c>
      <c r="E17" s="18" t="n">
        <v>2868</v>
      </c>
      <c r="F17" s="18" t="n">
        <v>2879</v>
      </c>
      <c r="G17" s="18" t="n">
        <v>2895.203</v>
      </c>
      <c r="H17" s="18" t="n">
        <v>2892.924</v>
      </c>
      <c r="I17" s="18" t="n">
        <v>2882</v>
      </c>
      <c r="J17" s="18" t="n">
        <v>2879.224</v>
      </c>
      <c r="K17" s="18" t="n">
        <v>2859</v>
      </c>
      <c r="L17" s="18" t="n">
        <v>2799</v>
      </c>
      <c r="M17" s="18" t="n">
        <v>2742</v>
      </c>
      <c r="N17" s="18" t="n">
        <v>2713</v>
      </c>
      <c r="O17" s="18" t="n">
        <v>2687</v>
      </c>
      <c r="P17" s="18" t="n">
        <v>2640</v>
      </c>
      <c r="Q17" s="18" t="n">
        <v>2596</v>
      </c>
      <c r="R17" s="18" t="n">
        <v>2612</v>
      </c>
      <c r="S17" s="18" t="n">
        <v>2641</v>
      </c>
      <c r="T17" s="18" t="n">
        <v>2630</v>
      </c>
      <c r="U17" s="18" t="n">
        <v>2625</v>
      </c>
      <c r="V17" s="18" t="n">
        <v>2610</v>
      </c>
      <c r="W17" s="18" t="n">
        <v>2600</v>
      </c>
      <c r="X17" s="18" t="n">
        <v>2614</v>
      </c>
      <c r="Y17" s="18" t="n">
        <v>2590</v>
      </c>
      <c r="Z17" s="18" t="n">
        <v>2570</v>
      </c>
      <c r="AA17" s="18" t="n">
        <v>2572</v>
      </c>
      <c r="AB17" s="18" t="n">
        <v>2574</v>
      </c>
      <c r="AC17" s="18" t="n">
        <v>2564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Family of Apps</t>
        </is>
      </c>
      <c r="L19" s="18" t="n">
        <v>31397</v>
      </c>
      <c r="M19" s="18" t="n">
        <v>27213</v>
      </c>
      <c r="N19" s="18" t="n">
        <v>28370</v>
      </c>
      <c r="O19" s="18" t="n">
        <v>27429</v>
      </c>
      <c r="P19" s="18" t="n">
        <v>31438</v>
      </c>
      <c r="Q19" s="18" t="n">
        <v>28306</v>
      </c>
      <c r="R19" s="18" t="n">
        <v>31723</v>
      </c>
      <c r="S19" s="18" t="n">
        <v>33936</v>
      </c>
      <c r="T19" s="18" t="n">
        <v>39041</v>
      </c>
      <c r="U19" s="18" t="n">
        <v>36015</v>
      </c>
      <c r="V19" s="18" t="n">
        <v>38718</v>
      </c>
      <c r="W19" s="18" t="n">
        <v>40319</v>
      </c>
      <c r="X19" s="18" t="n">
        <v>47303</v>
      </c>
      <c r="Y19" s="18" t="n">
        <v>41902</v>
      </c>
      <c r="Z19" s="18" t="n">
        <v>47146</v>
      </c>
      <c r="AA19" s="18" t="n">
        <v>50772</v>
      </c>
      <c r="AB19" s="18" t="n">
        <v>58939</v>
      </c>
      <c r="AC19" s="18" t="n">
        <v>55909</v>
      </c>
    </row>
    <row r="20">
      <c r="A20" s="4" t="inlineStr">
        <is>
          <t xml:space="preserve">    % YoY</t>
        </is>
      </c>
      <c r="F20" s="27">
        <f>IFERROR(F19/B19-1,"")</f>
        <v/>
      </c>
      <c r="G20" s="27">
        <f>IFERROR(G19/C19-1,"")</f>
        <v/>
      </c>
      <c r="H20" s="27">
        <f>IFERROR(H19/D19-1,"")</f>
        <v/>
      </c>
      <c r="I20" s="27">
        <f>IFERROR(I19/E19-1,"")</f>
        <v/>
      </c>
      <c r="J20" s="27">
        <f>IFERROR(J19/F19-1,"")</f>
        <v/>
      </c>
      <c r="K20" s="27">
        <f>IFERROR(K19/G19-1,"")</f>
        <v/>
      </c>
      <c r="L20" s="27">
        <f>IFERROR(L19/H19-1,"")</f>
        <v/>
      </c>
      <c r="M20" s="27">
        <f>IFERROR(M19/I19-1,"")</f>
        <v/>
      </c>
      <c r="N20" s="27">
        <f>IFERROR(N19/J19-1,"")</f>
        <v/>
      </c>
      <c r="O20" s="27">
        <f>IFERROR(O19/K19-1,"")</f>
        <v/>
      </c>
      <c r="P20" s="27">
        <f>IFERROR(P19/L19-1,"")</f>
        <v/>
      </c>
      <c r="Q20" s="27">
        <f>IFERROR(Q19/M19-1,"")</f>
        <v/>
      </c>
      <c r="R20" s="27">
        <f>IFERROR(R19/N19-1,"")</f>
        <v/>
      </c>
      <c r="S20" s="27">
        <f>IFERROR(S19/O19-1,"")</f>
        <v/>
      </c>
      <c r="T20" s="27">
        <f>IFERROR(T19/P19-1,"")</f>
        <v/>
      </c>
      <c r="U20" s="27">
        <f>IFERROR(U19/Q19-1,"")</f>
        <v/>
      </c>
      <c r="V20" s="27">
        <f>IFERROR(V19/R19-1,"")</f>
        <v/>
      </c>
      <c r="W20" s="27">
        <f>IFERROR(W19/S19-1,"")</f>
        <v/>
      </c>
      <c r="X20" s="27">
        <f>IFERROR(X19/T19-1,"")</f>
        <v/>
      </c>
      <c r="Y20" s="27">
        <f>IFERROR(Y19/U19-1,"")</f>
        <v/>
      </c>
      <c r="Z20" s="27">
        <f>IFERROR(Z19/V19-1,"")</f>
        <v/>
      </c>
      <c r="AA20" s="27">
        <f>IFERROR(AA19/W19-1,"")</f>
        <v/>
      </c>
      <c r="AB20" s="27">
        <f>IFERROR(AB19/X19-1,"")</f>
        <v/>
      </c>
      <c r="AC20" s="27">
        <f>IFERROR(AC19/Y19-1,"")</f>
        <v/>
      </c>
    </row>
    <row r="21">
      <c r="A21" s="4" t="inlineStr">
        <is>
          <t xml:space="preserve">    % of revenue</t>
        </is>
      </c>
      <c r="B21" s="27">
        <f>IFERROR(B19/B3,"")</f>
        <v/>
      </c>
      <c r="C21" s="27">
        <f>IFERROR(C19/C3,"")</f>
        <v/>
      </c>
      <c r="D21" s="27">
        <f>IFERROR(D19/D3,"")</f>
        <v/>
      </c>
      <c r="E21" s="27">
        <f>IFERROR(E19/E3,"")</f>
        <v/>
      </c>
      <c r="F21" s="27">
        <f>IFERROR(F19/F3,"")</f>
        <v/>
      </c>
      <c r="G21" s="27">
        <f>IFERROR(G19/G3,"")</f>
        <v/>
      </c>
      <c r="H21" s="27">
        <f>IFERROR(H19/H3,"")</f>
        <v/>
      </c>
      <c r="I21" s="27">
        <f>IFERROR(I19/I3,"")</f>
        <v/>
      </c>
      <c r="J21" s="27">
        <f>IFERROR(J19/J3,"")</f>
        <v/>
      </c>
      <c r="K21" s="27">
        <f>IFERROR(K19/K3,"")</f>
        <v/>
      </c>
      <c r="L21" s="27">
        <f>IFERROR(L19/L3,"")</f>
        <v/>
      </c>
      <c r="M21" s="27">
        <f>IFERROR(M19/M3,"")</f>
        <v/>
      </c>
      <c r="N21" s="27">
        <f>IFERROR(N19/N3,"")</f>
        <v/>
      </c>
      <c r="O21" s="27">
        <f>IFERROR(O19/O3,"")</f>
        <v/>
      </c>
      <c r="P21" s="27">
        <f>IFERROR(P19/P3,"")</f>
        <v/>
      </c>
      <c r="Q21" s="27">
        <f>IFERROR(Q19/Q3,"")</f>
        <v/>
      </c>
      <c r="R21" s="27">
        <f>IFERROR(R19/R3,"")</f>
        <v/>
      </c>
      <c r="S21" s="27">
        <f>IFERROR(S19/S3,"")</f>
        <v/>
      </c>
      <c r="T21" s="27">
        <f>IFERROR(T19/T3,"")</f>
        <v/>
      </c>
      <c r="U21" s="27">
        <f>IFERROR(U19/U3,"")</f>
        <v/>
      </c>
      <c r="V21" s="27">
        <f>IFERROR(V19/V3,"")</f>
        <v/>
      </c>
      <c r="W21" s="27">
        <f>IFERROR(W19/W3,"")</f>
        <v/>
      </c>
      <c r="X21" s="27">
        <f>IFERROR(X19/X3,"")</f>
        <v/>
      </c>
      <c r="Y21" s="27">
        <f>IFERROR(Y19/Y3,"")</f>
        <v/>
      </c>
      <c r="Z21" s="27">
        <f>IFERROR(Z19/Z3,"")</f>
        <v/>
      </c>
      <c r="AA21" s="27">
        <f>IFERROR(AA19/AA3,"")</f>
        <v/>
      </c>
      <c r="AB21" s="27">
        <f>IFERROR(AB19/AB3,"")</f>
        <v/>
      </c>
      <c r="AC21" s="27">
        <f>IFERROR(AC19/AC3,"")</f>
        <v/>
      </c>
    </row>
    <row r="22">
      <c r="A22" s="4" t="inlineStr">
        <is>
          <t>Reality Labs</t>
        </is>
      </c>
      <c r="M22" s="18" t="n">
        <v>695</v>
      </c>
      <c r="N22" s="18" t="n">
        <v>452</v>
      </c>
      <c r="O22" s="18" t="n">
        <v>285</v>
      </c>
      <c r="P22" s="18" t="n">
        <v>727</v>
      </c>
      <c r="Q22" s="18" t="n">
        <v>339</v>
      </c>
      <c r="R22" s="18" t="n">
        <v>276</v>
      </c>
      <c r="S22" s="18" t="n">
        <v>210</v>
      </c>
      <c r="T22" s="18" t="n">
        <v>1071</v>
      </c>
      <c r="U22" s="18" t="n">
        <v>440</v>
      </c>
      <c r="V22" s="18" t="n">
        <v>353</v>
      </c>
      <c r="W22" s="18" t="n">
        <v>270</v>
      </c>
      <c r="X22" s="18" t="n">
        <v>1083</v>
      </c>
      <c r="Y22" s="18" t="n">
        <v>412</v>
      </c>
      <c r="Z22" s="18" t="n">
        <v>370</v>
      </c>
      <c r="AA22" s="18" t="n">
        <v>470</v>
      </c>
      <c r="AB22" s="18" t="n">
        <v>955</v>
      </c>
      <c r="AC22" s="18" t="n">
        <v>402</v>
      </c>
    </row>
    <row r="23">
      <c r="A23" s="4" t="inlineStr">
        <is>
          <t xml:space="preserve">    % YoY</t>
        </is>
      </c>
      <c r="F23" s="27">
        <f>IFERROR(F22/B22-1,"")</f>
        <v/>
      </c>
      <c r="G23" s="27">
        <f>IFERROR(G22/C22-1,"")</f>
        <v/>
      </c>
      <c r="H23" s="27">
        <f>IFERROR(H22/D22-1,"")</f>
        <v/>
      </c>
      <c r="I23" s="27">
        <f>IFERROR(I22/E22-1,"")</f>
        <v/>
      </c>
      <c r="J23" s="27">
        <f>IFERROR(J22/F22-1,"")</f>
        <v/>
      </c>
      <c r="K23" s="27">
        <f>IFERROR(K22/G22-1,"")</f>
        <v/>
      </c>
      <c r="L23" s="27">
        <f>IFERROR(L22/H22-1,"")</f>
        <v/>
      </c>
      <c r="M23" s="27">
        <f>IFERROR(M22/I22-1,"")</f>
        <v/>
      </c>
      <c r="N23" s="27">
        <f>IFERROR(N22/J22-1,"")</f>
        <v/>
      </c>
      <c r="O23" s="27">
        <f>IFERROR(O22/K22-1,"")</f>
        <v/>
      </c>
      <c r="P23" s="27">
        <f>IFERROR(P22/L22-1,"")</f>
        <v/>
      </c>
      <c r="Q23" s="27">
        <f>IFERROR(Q22/M22-1,"")</f>
        <v/>
      </c>
      <c r="R23" s="27">
        <f>IFERROR(R22/N22-1,"")</f>
        <v/>
      </c>
      <c r="S23" s="27">
        <f>IFERROR(S22/O22-1,"")</f>
        <v/>
      </c>
      <c r="T23" s="27">
        <f>IFERROR(T22/P22-1,"")</f>
        <v/>
      </c>
      <c r="U23" s="27">
        <f>IFERROR(U22/Q22-1,"")</f>
        <v/>
      </c>
      <c r="V23" s="27">
        <f>IFERROR(V22/R22-1,"")</f>
        <v/>
      </c>
      <c r="W23" s="27">
        <f>IFERROR(W22/S22-1,"")</f>
        <v/>
      </c>
      <c r="X23" s="27">
        <f>IFERROR(X22/T22-1,"")</f>
        <v/>
      </c>
      <c r="Y23" s="27">
        <f>IFERROR(Y22/U22-1,"")</f>
        <v/>
      </c>
      <c r="Z23" s="27">
        <f>IFERROR(Z22/V22-1,"")</f>
        <v/>
      </c>
      <c r="AA23" s="27">
        <f>IFERROR(AA22/W22-1,"")</f>
        <v/>
      </c>
      <c r="AB23" s="27">
        <f>IFERROR(AB22/X22-1,"")</f>
        <v/>
      </c>
      <c r="AC23" s="27">
        <f>IFERROR(AC22/Y22-1,"")</f>
        <v/>
      </c>
    </row>
    <row r="24">
      <c r="A24" s="4" t="inlineStr">
        <is>
          <t xml:space="preserve">    % of revenue</t>
        </is>
      </c>
      <c r="B24" s="27">
        <f>IFERROR(B22/B3,"")</f>
        <v/>
      </c>
      <c r="C24" s="27">
        <f>IFERROR(C22/C3,"")</f>
        <v/>
      </c>
      <c r="D24" s="27">
        <f>IFERROR(D22/D3,"")</f>
        <v/>
      </c>
      <c r="E24" s="27">
        <f>IFERROR(E22/E3,"")</f>
        <v/>
      </c>
      <c r="F24" s="27">
        <f>IFERROR(F22/F3,"")</f>
        <v/>
      </c>
      <c r="G24" s="27">
        <f>IFERROR(G22/G3,"")</f>
        <v/>
      </c>
      <c r="H24" s="27">
        <f>IFERROR(H22/H3,"")</f>
        <v/>
      </c>
      <c r="I24" s="27">
        <f>IFERROR(I22/I3,"")</f>
        <v/>
      </c>
      <c r="J24" s="27">
        <f>IFERROR(J22/J3,"")</f>
        <v/>
      </c>
      <c r="K24" s="27">
        <f>IFERROR(K22/K3,"")</f>
        <v/>
      </c>
      <c r="L24" s="27">
        <f>IFERROR(L22/L3,"")</f>
        <v/>
      </c>
      <c r="M24" s="27">
        <f>IFERROR(M22/M3,"")</f>
        <v/>
      </c>
      <c r="N24" s="27">
        <f>IFERROR(N22/N3,"")</f>
        <v/>
      </c>
      <c r="O24" s="27">
        <f>IFERROR(O22/O3,"")</f>
        <v/>
      </c>
      <c r="P24" s="27">
        <f>IFERROR(P22/P3,"")</f>
        <v/>
      </c>
      <c r="Q24" s="27">
        <f>IFERROR(Q22/Q3,"")</f>
        <v/>
      </c>
      <c r="R24" s="27">
        <f>IFERROR(R22/R3,"")</f>
        <v/>
      </c>
      <c r="S24" s="27">
        <f>IFERROR(S22/S3,"")</f>
        <v/>
      </c>
      <c r="T24" s="27">
        <f>IFERROR(T22/T3,"")</f>
        <v/>
      </c>
      <c r="U24" s="27">
        <f>IFERROR(U22/U3,"")</f>
        <v/>
      </c>
      <c r="V24" s="27">
        <f>IFERROR(V22/V3,"")</f>
        <v/>
      </c>
      <c r="W24" s="27">
        <f>IFERROR(W22/W3,"")</f>
        <v/>
      </c>
      <c r="X24" s="27">
        <f>IFERROR(X22/X3,"")</f>
        <v/>
      </c>
      <c r="Y24" s="27">
        <f>IFERROR(Y22/Y3,"")</f>
        <v/>
      </c>
      <c r="Z24" s="27">
        <f>IFERROR(Z22/Z3,"")</f>
        <v/>
      </c>
      <c r="AA24" s="27">
        <f>IFERROR(AA22/AA3,"")</f>
        <v/>
      </c>
      <c r="AB24" s="27">
        <f>IFERROR(AB22/AB3,"")</f>
        <v/>
      </c>
      <c r="AC24" s="27">
        <f>IFERROR(AC22/AC3,"")</f>
        <v/>
      </c>
    </row>
    <row r="25">
      <c r="A25" s="5" t="inlineStr">
        <is>
          <t xml:space="preserve">  REVENUE BY SEGMENT — GEOGRAPHY (% YoY, % of revenue)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</row>
    <row r="26">
      <c r="A26" s="4" t="inlineStr">
        <is>
          <t>US &amp; Canada</t>
        </is>
      </c>
      <c r="B26" s="18" t="n">
        <v>7632</v>
      </c>
      <c r="C26" s="18" t="n">
        <v>8026</v>
      </c>
      <c r="D26" s="18" t="n">
        <v>9771</v>
      </c>
      <c r="E26" s="18" t="n">
        <v>8012</v>
      </c>
      <c r="F26" s="18" t="n">
        <v>8292</v>
      </c>
      <c r="G26" s="18" t="n">
        <v>9229</v>
      </c>
      <c r="H26" s="18" t="n">
        <v>12900</v>
      </c>
      <c r="I26" s="18" t="n">
        <v>11436</v>
      </c>
      <c r="J26" s="18" t="n">
        <v>12612</v>
      </c>
      <c r="K26" s="18" t="n">
        <v>12668</v>
      </c>
      <c r="L26" s="18" t="n">
        <v>14825</v>
      </c>
      <c r="M26" s="18" t="n">
        <v>11780</v>
      </c>
      <c r="N26" s="18" t="n">
        <v>12186</v>
      </c>
      <c r="O26" s="18" t="n">
        <v>11966</v>
      </c>
      <c r="P26" s="18" t="n">
        <v>14218</v>
      </c>
      <c r="Q26" s="18" t="n">
        <v>11449</v>
      </c>
      <c r="R26" s="18" t="n">
        <v>12404</v>
      </c>
      <c r="S26" s="18" t="n">
        <v>12908</v>
      </c>
      <c r="T26" s="18" t="n">
        <v>16127</v>
      </c>
      <c r="U26" s="18" t="n">
        <v>13646</v>
      </c>
      <c r="V26" s="18" t="n">
        <v>14640</v>
      </c>
      <c r="W26" s="18" t="n">
        <v>15619</v>
      </c>
      <c r="X26" s="18" t="n">
        <v>19302</v>
      </c>
      <c r="Y26" s="18" t="n">
        <v>16869</v>
      </c>
      <c r="Z26" s="18" t="n">
        <v>18454</v>
      </c>
      <c r="AA26" s="18" t="n">
        <v>19708</v>
      </c>
      <c r="AB26" s="18" t="n">
        <v>23835</v>
      </c>
      <c r="AC26" s="18" t="n">
        <v>21267</v>
      </c>
    </row>
    <row r="27">
      <c r="A27" s="4" t="inlineStr">
        <is>
          <t xml:space="preserve">    % YoY</t>
        </is>
      </c>
      <c r="F27" s="27">
        <f>IFERROR(F26/B26-1,"")</f>
        <v/>
      </c>
      <c r="G27" s="27">
        <f>IFERROR(G26/C26-1,"")</f>
        <v/>
      </c>
      <c r="H27" s="27">
        <f>IFERROR(H26/D26-1,"")</f>
        <v/>
      </c>
      <c r="I27" s="27">
        <f>IFERROR(I26/E26-1,"")</f>
        <v/>
      </c>
      <c r="J27" s="27">
        <f>IFERROR(J26/F26-1,"")</f>
        <v/>
      </c>
      <c r="K27" s="27">
        <f>IFERROR(K26/G26-1,"")</f>
        <v/>
      </c>
      <c r="L27" s="27">
        <f>IFERROR(L26/H26-1,"")</f>
        <v/>
      </c>
      <c r="M27" s="27">
        <f>IFERROR(M26/I26-1,"")</f>
        <v/>
      </c>
      <c r="N27" s="27">
        <f>IFERROR(N26/J26-1,"")</f>
        <v/>
      </c>
      <c r="O27" s="27">
        <f>IFERROR(O26/K26-1,"")</f>
        <v/>
      </c>
      <c r="P27" s="27">
        <f>IFERROR(P26/L26-1,"")</f>
        <v/>
      </c>
      <c r="Q27" s="27">
        <f>IFERROR(Q26/M26-1,"")</f>
        <v/>
      </c>
      <c r="R27" s="27">
        <f>IFERROR(R26/N26-1,"")</f>
        <v/>
      </c>
      <c r="S27" s="27">
        <f>IFERROR(S26/O26-1,"")</f>
        <v/>
      </c>
      <c r="T27" s="27">
        <f>IFERROR(T26/P26-1,"")</f>
        <v/>
      </c>
      <c r="U27" s="27">
        <f>IFERROR(U26/Q26-1,"")</f>
        <v/>
      </c>
      <c r="V27" s="27">
        <f>IFERROR(V26/R26-1,"")</f>
        <v/>
      </c>
      <c r="W27" s="27">
        <f>IFERROR(W26/S26-1,"")</f>
        <v/>
      </c>
      <c r="X27" s="27">
        <f>IFERROR(X26/T26-1,"")</f>
        <v/>
      </c>
      <c r="Y27" s="27">
        <f>IFERROR(Y26/U26-1,"")</f>
        <v/>
      </c>
      <c r="Z27" s="27">
        <f>IFERROR(Z26/V26-1,"")</f>
        <v/>
      </c>
      <c r="AA27" s="27">
        <f>IFERROR(AA26/W26-1,"")</f>
        <v/>
      </c>
      <c r="AB27" s="27">
        <f>IFERROR(AB26/X26-1,"")</f>
        <v/>
      </c>
      <c r="AC27" s="27">
        <f>IFERROR(AC26/Y26-1,"")</f>
        <v/>
      </c>
    </row>
    <row r="28">
      <c r="A28" s="4" t="inlineStr">
        <is>
          <t xml:space="preserve">    % of revenue</t>
        </is>
      </c>
      <c r="B28" s="27">
        <f>IFERROR(B26/B3,"")</f>
        <v/>
      </c>
      <c r="C28" s="27">
        <f>IFERROR(C26/C3,"")</f>
        <v/>
      </c>
      <c r="D28" s="27">
        <f>IFERROR(D26/D3,"")</f>
        <v/>
      </c>
      <c r="E28" s="27">
        <f>IFERROR(E26/E3,"")</f>
        <v/>
      </c>
      <c r="F28" s="27">
        <f>IFERROR(F26/F3,"")</f>
        <v/>
      </c>
      <c r="G28" s="27">
        <f>IFERROR(G26/G3,"")</f>
        <v/>
      </c>
      <c r="H28" s="27">
        <f>IFERROR(H26/H3,"")</f>
        <v/>
      </c>
      <c r="I28" s="27">
        <f>IFERROR(I26/I3,"")</f>
        <v/>
      </c>
      <c r="J28" s="27">
        <f>IFERROR(J26/J3,"")</f>
        <v/>
      </c>
      <c r="K28" s="27">
        <f>IFERROR(K26/K3,"")</f>
        <v/>
      </c>
      <c r="L28" s="27">
        <f>IFERROR(L26/L3,"")</f>
        <v/>
      </c>
      <c r="M28" s="27">
        <f>IFERROR(M26/M3,"")</f>
        <v/>
      </c>
      <c r="N28" s="27">
        <f>IFERROR(N26/N3,"")</f>
        <v/>
      </c>
      <c r="O28" s="27">
        <f>IFERROR(O26/O3,"")</f>
        <v/>
      </c>
      <c r="P28" s="27">
        <f>IFERROR(P26/P3,"")</f>
        <v/>
      </c>
      <c r="Q28" s="27">
        <f>IFERROR(Q26/Q3,"")</f>
        <v/>
      </c>
      <c r="R28" s="27">
        <f>IFERROR(R26/R3,"")</f>
        <v/>
      </c>
      <c r="S28" s="27">
        <f>IFERROR(S26/S3,"")</f>
        <v/>
      </c>
      <c r="T28" s="27">
        <f>IFERROR(T26/T3,"")</f>
        <v/>
      </c>
      <c r="U28" s="27">
        <f>IFERROR(U26/U3,"")</f>
        <v/>
      </c>
      <c r="V28" s="27">
        <f>IFERROR(V26/V3,"")</f>
        <v/>
      </c>
      <c r="W28" s="27">
        <f>IFERROR(W26/W3,"")</f>
        <v/>
      </c>
      <c r="X28" s="27">
        <f>IFERROR(X26/X3,"")</f>
        <v/>
      </c>
      <c r="Y28" s="27">
        <f>IFERROR(Y26/Y3,"")</f>
        <v/>
      </c>
      <c r="Z28" s="27">
        <f>IFERROR(Z26/Z3,"")</f>
        <v/>
      </c>
      <c r="AA28" s="27">
        <f>IFERROR(AA26/AA3,"")</f>
        <v/>
      </c>
      <c r="AB28" s="27">
        <f>IFERROR(AB26/AB3,"")</f>
        <v/>
      </c>
      <c r="AC28" s="27">
        <f>IFERROR(AC26/AC3,"")</f>
        <v/>
      </c>
    </row>
    <row r="29">
      <c r="A29" s="4" t="inlineStr">
        <is>
          <t>Asia Pacific</t>
        </is>
      </c>
      <c r="B29" s="18" t="n">
        <v>3628</v>
      </c>
      <c r="C29" s="18" t="n">
        <v>3958</v>
      </c>
      <c r="D29" s="18" t="n">
        <v>4483</v>
      </c>
      <c r="E29" s="18" t="n">
        <v>3971</v>
      </c>
      <c r="F29" s="18" t="n">
        <v>4611</v>
      </c>
      <c r="G29" s="18" t="n">
        <v>5311</v>
      </c>
      <c r="H29" s="18" t="n">
        <v>5955</v>
      </c>
      <c r="I29" s="18" t="n">
        <v>6101</v>
      </c>
      <c r="J29" s="18" t="n">
        <v>6677</v>
      </c>
      <c r="K29" s="18" t="n">
        <v>6592</v>
      </c>
      <c r="L29" s="18" t="n">
        <v>7369</v>
      </c>
      <c r="M29" s="18" t="n">
        <v>6722</v>
      </c>
      <c r="N29" s="18" t="n">
        <v>6960</v>
      </c>
      <c r="O29" s="18" t="n">
        <v>6797</v>
      </c>
      <c r="P29" s="18" t="n">
        <v>7281</v>
      </c>
      <c r="Q29" s="18" t="n">
        <v>7292</v>
      </c>
      <c r="R29" s="18" t="n">
        <v>8551</v>
      </c>
      <c r="S29" s="18" t="n">
        <v>9790</v>
      </c>
      <c r="T29" s="18" t="n">
        <v>10521</v>
      </c>
      <c r="U29" s="18" t="n">
        <v>10312</v>
      </c>
      <c r="V29" s="18" t="n">
        <v>10967</v>
      </c>
      <c r="W29" s="18" t="n">
        <v>11243</v>
      </c>
      <c r="X29" s="18" t="n">
        <v>12487</v>
      </c>
      <c r="Y29" s="18" t="n">
        <v>11239</v>
      </c>
      <c r="Z29" s="18" t="n">
        <v>12858</v>
      </c>
      <c r="AA29" s="18" t="n">
        <v>14304</v>
      </c>
      <c r="AB29" s="18" t="n">
        <v>15416</v>
      </c>
      <c r="AC29" s="18" t="n">
        <v>15445</v>
      </c>
    </row>
    <row r="30">
      <c r="A30" s="4" t="inlineStr">
        <is>
          <t xml:space="preserve">    % YoY</t>
        </is>
      </c>
      <c r="F30" s="27">
        <f>IFERROR(F29/B29-1,"")</f>
        <v/>
      </c>
      <c r="G30" s="27">
        <f>IFERROR(G29/C29-1,"")</f>
        <v/>
      </c>
      <c r="H30" s="27">
        <f>IFERROR(H29/D29-1,"")</f>
        <v/>
      </c>
      <c r="I30" s="27">
        <f>IFERROR(I29/E29-1,"")</f>
        <v/>
      </c>
      <c r="J30" s="27">
        <f>IFERROR(J29/F29-1,"")</f>
        <v/>
      </c>
      <c r="K30" s="27">
        <f>IFERROR(K29/G29-1,"")</f>
        <v/>
      </c>
      <c r="L30" s="27">
        <f>IFERROR(L29/H29-1,"")</f>
        <v/>
      </c>
      <c r="M30" s="27">
        <f>IFERROR(M29/I29-1,"")</f>
        <v/>
      </c>
      <c r="N30" s="27">
        <f>IFERROR(N29/J29-1,"")</f>
        <v/>
      </c>
      <c r="O30" s="27">
        <f>IFERROR(O29/K29-1,"")</f>
        <v/>
      </c>
      <c r="P30" s="27">
        <f>IFERROR(P29/L29-1,"")</f>
        <v/>
      </c>
      <c r="Q30" s="27">
        <f>IFERROR(Q29/M29-1,"")</f>
        <v/>
      </c>
      <c r="R30" s="27">
        <f>IFERROR(R29/N29-1,"")</f>
        <v/>
      </c>
      <c r="S30" s="27">
        <f>IFERROR(S29/O29-1,"")</f>
        <v/>
      </c>
      <c r="T30" s="27">
        <f>IFERROR(T29/P29-1,"")</f>
        <v/>
      </c>
      <c r="U30" s="27">
        <f>IFERROR(U29/Q29-1,"")</f>
        <v/>
      </c>
      <c r="V30" s="27">
        <f>IFERROR(V29/R29-1,"")</f>
        <v/>
      </c>
      <c r="W30" s="27">
        <f>IFERROR(W29/S29-1,"")</f>
        <v/>
      </c>
      <c r="X30" s="27">
        <f>IFERROR(X29/T29-1,"")</f>
        <v/>
      </c>
      <c r="Y30" s="27">
        <f>IFERROR(Y29/U29-1,"")</f>
        <v/>
      </c>
      <c r="Z30" s="27">
        <f>IFERROR(Z29/V29-1,"")</f>
        <v/>
      </c>
      <c r="AA30" s="27">
        <f>IFERROR(AA29/W29-1,"")</f>
        <v/>
      </c>
      <c r="AB30" s="27">
        <f>IFERROR(AB29/X29-1,"")</f>
        <v/>
      </c>
      <c r="AC30" s="27">
        <f>IFERROR(AC29/Y29-1,"")</f>
        <v/>
      </c>
    </row>
    <row r="31">
      <c r="A31" s="4" t="inlineStr">
        <is>
          <t xml:space="preserve">    % of revenue</t>
        </is>
      </c>
      <c r="B31" s="27">
        <f>IFERROR(B29/B3,"")</f>
        <v/>
      </c>
      <c r="C31" s="27">
        <f>IFERROR(C29/C3,"")</f>
        <v/>
      </c>
      <c r="D31" s="27">
        <f>IFERROR(D29/D3,"")</f>
        <v/>
      </c>
      <c r="E31" s="27">
        <f>IFERROR(E29/E3,"")</f>
        <v/>
      </c>
      <c r="F31" s="27">
        <f>IFERROR(F29/F3,"")</f>
        <v/>
      </c>
      <c r="G31" s="27">
        <f>IFERROR(G29/G3,"")</f>
        <v/>
      </c>
      <c r="H31" s="27">
        <f>IFERROR(H29/H3,"")</f>
        <v/>
      </c>
      <c r="I31" s="27">
        <f>IFERROR(I29/I3,"")</f>
        <v/>
      </c>
      <c r="J31" s="27">
        <f>IFERROR(J29/J3,"")</f>
        <v/>
      </c>
      <c r="K31" s="27">
        <f>IFERROR(K29/K3,"")</f>
        <v/>
      </c>
      <c r="L31" s="27">
        <f>IFERROR(L29/L3,"")</f>
        <v/>
      </c>
      <c r="M31" s="27">
        <f>IFERROR(M29/M3,"")</f>
        <v/>
      </c>
      <c r="N31" s="27">
        <f>IFERROR(N29/N3,"")</f>
        <v/>
      </c>
      <c r="O31" s="27">
        <f>IFERROR(O29/O3,"")</f>
        <v/>
      </c>
      <c r="P31" s="27">
        <f>IFERROR(P29/P3,"")</f>
        <v/>
      </c>
      <c r="Q31" s="27">
        <f>IFERROR(Q29/Q3,"")</f>
        <v/>
      </c>
      <c r="R31" s="27">
        <f>IFERROR(R29/R3,"")</f>
        <v/>
      </c>
      <c r="S31" s="27">
        <f>IFERROR(S29/S3,"")</f>
        <v/>
      </c>
      <c r="T31" s="27">
        <f>IFERROR(T29/T3,"")</f>
        <v/>
      </c>
      <c r="U31" s="27">
        <f>IFERROR(U29/U3,"")</f>
        <v/>
      </c>
      <c r="V31" s="27">
        <f>IFERROR(V29/V3,"")</f>
        <v/>
      </c>
      <c r="W31" s="27">
        <f>IFERROR(W29/W3,"")</f>
        <v/>
      </c>
      <c r="X31" s="27">
        <f>IFERROR(X29/X3,"")</f>
        <v/>
      </c>
      <c r="Y31" s="27">
        <f>IFERROR(Y29/Y3,"")</f>
        <v/>
      </c>
      <c r="Z31" s="27">
        <f>IFERROR(Z29/Z3,"")</f>
        <v/>
      </c>
      <c r="AA31" s="27">
        <f>IFERROR(AA29/AA3,"")</f>
        <v/>
      </c>
      <c r="AB31" s="27">
        <f>IFERROR(AB29/AB3,"")</f>
        <v/>
      </c>
      <c r="AC31" s="27">
        <f>IFERROR(AC29/AC3,"")</f>
        <v/>
      </c>
    </row>
    <row r="32">
      <c r="A32" s="4" t="inlineStr">
        <is>
          <t>Europe</t>
        </is>
      </c>
      <c r="B32" s="18" t="n">
        <v>4097</v>
      </c>
      <c r="C32" s="18" t="n">
        <v>4053</v>
      </c>
      <c r="D32" s="18" t="n">
        <v>5052</v>
      </c>
      <c r="E32" s="18" t="n">
        <v>4150</v>
      </c>
      <c r="F32" s="18" t="n">
        <v>4249</v>
      </c>
      <c r="G32" s="18" t="n">
        <v>5055</v>
      </c>
      <c r="H32" s="18" t="n">
        <v>6895</v>
      </c>
      <c r="I32" s="18" t="n">
        <v>6384</v>
      </c>
      <c r="J32" s="18" t="n">
        <v>7220</v>
      </c>
      <c r="K32" s="18" t="n">
        <v>7018</v>
      </c>
      <c r="L32" s="18" t="n">
        <v>8435</v>
      </c>
      <c r="M32" s="18" t="n">
        <v>6638</v>
      </c>
      <c r="N32" s="18" t="n">
        <v>6650</v>
      </c>
      <c r="O32" s="18" t="n">
        <v>5996</v>
      </c>
      <c r="P32" s="18" t="n">
        <v>7397</v>
      </c>
      <c r="Q32" s="18" t="n">
        <v>6759</v>
      </c>
      <c r="R32" s="18" t="n">
        <v>7515</v>
      </c>
      <c r="S32" s="18" t="n">
        <v>7578</v>
      </c>
      <c r="T32" s="18" t="n">
        <v>9358</v>
      </c>
      <c r="U32" s="18" t="n">
        <v>8404</v>
      </c>
      <c r="V32" s="18" t="n">
        <v>9153</v>
      </c>
      <c r="W32" s="18" t="n">
        <v>9205</v>
      </c>
      <c r="X32" s="18" t="n">
        <v>11599</v>
      </c>
      <c r="Y32" s="18" t="n">
        <v>9621</v>
      </c>
      <c r="Z32" s="18" t="n">
        <v>11128</v>
      </c>
      <c r="AA32" s="18" t="n">
        <v>11566</v>
      </c>
      <c r="AB32" s="18" t="n">
        <v>14254</v>
      </c>
      <c r="AC32" s="18" t="n">
        <v>13240</v>
      </c>
    </row>
    <row r="33">
      <c r="A33" s="4" t="inlineStr">
        <is>
          <t xml:space="preserve">    % YoY</t>
        </is>
      </c>
      <c r="F33" s="27">
        <f>IFERROR(F32/B32-1,"")</f>
        <v/>
      </c>
      <c r="G33" s="27">
        <f>IFERROR(G32/C32-1,"")</f>
        <v/>
      </c>
      <c r="H33" s="27">
        <f>IFERROR(H32/D32-1,"")</f>
        <v/>
      </c>
      <c r="I33" s="27">
        <f>IFERROR(I32/E32-1,"")</f>
        <v/>
      </c>
      <c r="J33" s="27">
        <f>IFERROR(J32/F32-1,"")</f>
        <v/>
      </c>
      <c r="K33" s="27">
        <f>IFERROR(K32/G32-1,"")</f>
        <v/>
      </c>
      <c r="L33" s="27">
        <f>IFERROR(L32/H32-1,"")</f>
        <v/>
      </c>
      <c r="M33" s="27">
        <f>IFERROR(M32/I32-1,"")</f>
        <v/>
      </c>
      <c r="N33" s="27">
        <f>IFERROR(N32/J32-1,"")</f>
        <v/>
      </c>
      <c r="O33" s="27">
        <f>IFERROR(O32/K32-1,"")</f>
        <v/>
      </c>
      <c r="P33" s="27">
        <f>IFERROR(P32/L32-1,"")</f>
        <v/>
      </c>
      <c r="Q33" s="27">
        <f>IFERROR(Q32/M32-1,"")</f>
        <v/>
      </c>
      <c r="R33" s="27">
        <f>IFERROR(R32/N32-1,"")</f>
        <v/>
      </c>
      <c r="S33" s="27">
        <f>IFERROR(S32/O32-1,"")</f>
        <v/>
      </c>
      <c r="T33" s="27">
        <f>IFERROR(T32/P32-1,"")</f>
        <v/>
      </c>
      <c r="U33" s="27">
        <f>IFERROR(U32/Q32-1,"")</f>
        <v/>
      </c>
      <c r="V33" s="27">
        <f>IFERROR(V32/R32-1,"")</f>
        <v/>
      </c>
      <c r="W33" s="27">
        <f>IFERROR(W32/S32-1,"")</f>
        <v/>
      </c>
      <c r="X33" s="27">
        <f>IFERROR(X32/T32-1,"")</f>
        <v/>
      </c>
      <c r="Y33" s="27">
        <f>IFERROR(Y32/U32-1,"")</f>
        <v/>
      </c>
      <c r="Z33" s="27">
        <f>IFERROR(Z32/V32-1,"")</f>
        <v/>
      </c>
      <c r="AA33" s="27">
        <f>IFERROR(AA32/W32-1,"")</f>
        <v/>
      </c>
      <c r="AB33" s="27">
        <f>IFERROR(AB32/X32-1,"")</f>
        <v/>
      </c>
      <c r="AC33" s="27">
        <f>IFERROR(AC32/Y32-1,"")</f>
        <v/>
      </c>
    </row>
    <row r="34">
      <c r="A34" s="4" t="inlineStr">
        <is>
          <t xml:space="preserve">    % of revenue</t>
        </is>
      </c>
      <c r="B34" s="27">
        <f>IFERROR(B32/B3,"")</f>
        <v/>
      </c>
      <c r="C34" s="27">
        <f>IFERROR(C32/C3,"")</f>
        <v/>
      </c>
      <c r="D34" s="27">
        <f>IFERROR(D32/D3,"")</f>
        <v/>
      </c>
      <c r="E34" s="27">
        <f>IFERROR(E32/E3,"")</f>
        <v/>
      </c>
      <c r="F34" s="27">
        <f>IFERROR(F32/F3,"")</f>
        <v/>
      </c>
      <c r="G34" s="27">
        <f>IFERROR(G32/G3,"")</f>
        <v/>
      </c>
      <c r="H34" s="27">
        <f>IFERROR(H32/H3,"")</f>
        <v/>
      </c>
      <c r="I34" s="27">
        <f>IFERROR(I32/I3,"")</f>
        <v/>
      </c>
      <c r="J34" s="27">
        <f>IFERROR(J32/J3,"")</f>
        <v/>
      </c>
      <c r="K34" s="27">
        <f>IFERROR(K32/K3,"")</f>
        <v/>
      </c>
      <c r="L34" s="27">
        <f>IFERROR(L32/L3,"")</f>
        <v/>
      </c>
      <c r="M34" s="27">
        <f>IFERROR(M32/M3,"")</f>
        <v/>
      </c>
      <c r="N34" s="27">
        <f>IFERROR(N32/N3,"")</f>
        <v/>
      </c>
      <c r="O34" s="27">
        <f>IFERROR(O32/O3,"")</f>
        <v/>
      </c>
      <c r="P34" s="27">
        <f>IFERROR(P32/P3,"")</f>
        <v/>
      </c>
      <c r="Q34" s="27">
        <f>IFERROR(Q32/Q3,"")</f>
        <v/>
      </c>
      <c r="R34" s="27">
        <f>IFERROR(R32/R3,"")</f>
        <v/>
      </c>
      <c r="S34" s="27">
        <f>IFERROR(S32/S3,"")</f>
        <v/>
      </c>
      <c r="T34" s="27">
        <f>IFERROR(T32/T3,"")</f>
        <v/>
      </c>
      <c r="U34" s="27">
        <f>IFERROR(U32/U3,"")</f>
        <v/>
      </c>
      <c r="V34" s="27">
        <f>IFERROR(V32/V3,"")</f>
        <v/>
      </c>
      <c r="W34" s="27">
        <f>IFERROR(W32/W3,"")</f>
        <v/>
      </c>
      <c r="X34" s="27">
        <f>IFERROR(X32/X3,"")</f>
        <v/>
      </c>
      <c r="Y34" s="27">
        <f>IFERROR(Y32/Y3,"")</f>
        <v/>
      </c>
      <c r="Z34" s="27">
        <f>IFERROR(Z32/Z3,"")</f>
        <v/>
      </c>
      <c r="AA34" s="27">
        <f>IFERROR(AA32/AA3,"")</f>
        <v/>
      </c>
      <c r="AB34" s="27">
        <f>IFERROR(AB32/AB3,"")</f>
        <v/>
      </c>
      <c r="AC34" s="27">
        <f>IFERROR(AC32/AC3,"")</f>
        <v/>
      </c>
    </row>
    <row r="35">
      <c r="A35" s="4" t="inlineStr">
        <is>
          <t>Rest Of World</t>
        </is>
      </c>
      <c r="B35" s="18" t="n">
        <v>1529</v>
      </c>
      <c r="C35" s="18" t="n">
        <v>1615</v>
      </c>
      <c r="D35" s="18" t="n">
        <v>1776</v>
      </c>
      <c r="E35" s="18" t="n">
        <v>1604</v>
      </c>
      <c r="F35" s="18" t="n">
        <v>1535</v>
      </c>
      <c r="G35" s="18" t="n">
        <v>1875</v>
      </c>
      <c r="H35" s="18" t="n">
        <v>2321</v>
      </c>
      <c r="I35" s="18" t="n">
        <v>2250</v>
      </c>
      <c r="J35" s="18" t="n">
        <v>2568</v>
      </c>
      <c r="K35" s="18" t="n">
        <v>2732</v>
      </c>
      <c r="L35" s="18" t="n">
        <v>3042</v>
      </c>
      <c r="M35" s="18" t="n">
        <v>2768</v>
      </c>
      <c r="N35" s="18" t="n">
        <v>3026</v>
      </c>
      <c r="O35" s="18" t="n">
        <v>2955</v>
      </c>
      <c r="P35" s="18" t="n">
        <v>3269</v>
      </c>
      <c r="Q35" s="18" t="n">
        <v>3145</v>
      </c>
      <c r="R35" s="18" t="n">
        <v>3529</v>
      </c>
      <c r="S35" s="18" t="n">
        <v>3870</v>
      </c>
      <c r="T35" s="18" t="n">
        <v>4106</v>
      </c>
      <c r="U35" s="18" t="n">
        <v>4093</v>
      </c>
      <c r="V35" s="18" t="n">
        <v>4311</v>
      </c>
      <c r="W35" s="18" t="n">
        <v>4522</v>
      </c>
      <c r="X35" s="18" t="n">
        <v>4998</v>
      </c>
      <c r="Y35" s="18" t="n">
        <v>4585</v>
      </c>
      <c r="Z35" s="18" t="n">
        <v>5076</v>
      </c>
      <c r="AA35" s="18" t="n">
        <v>5664</v>
      </c>
      <c r="AB35" s="18" t="n">
        <v>6389</v>
      </c>
      <c r="AC35" s="18" t="n">
        <v>6359</v>
      </c>
    </row>
    <row r="36">
      <c r="A36" s="4" t="inlineStr">
        <is>
          <t xml:space="preserve">    % YoY</t>
        </is>
      </c>
      <c r="F36" s="27">
        <f>IFERROR(F35/B35-1,"")</f>
        <v/>
      </c>
      <c r="G36" s="27">
        <f>IFERROR(G35/C35-1,"")</f>
        <v/>
      </c>
      <c r="H36" s="27">
        <f>IFERROR(H35/D35-1,"")</f>
        <v/>
      </c>
      <c r="I36" s="27">
        <f>IFERROR(I35/E35-1,"")</f>
        <v/>
      </c>
      <c r="J36" s="27">
        <f>IFERROR(J35/F35-1,"")</f>
        <v/>
      </c>
      <c r="K36" s="27">
        <f>IFERROR(K35/G35-1,"")</f>
        <v/>
      </c>
      <c r="L36" s="27">
        <f>IFERROR(L35/H35-1,"")</f>
        <v/>
      </c>
      <c r="M36" s="27">
        <f>IFERROR(M35/I35-1,"")</f>
        <v/>
      </c>
      <c r="N36" s="27">
        <f>IFERROR(N35/J35-1,"")</f>
        <v/>
      </c>
      <c r="O36" s="27">
        <f>IFERROR(O35/K35-1,"")</f>
        <v/>
      </c>
      <c r="P36" s="27">
        <f>IFERROR(P35/L35-1,"")</f>
        <v/>
      </c>
      <c r="Q36" s="27">
        <f>IFERROR(Q35/M35-1,"")</f>
        <v/>
      </c>
      <c r="R36" s="27">
        <f>IFERROR(R35/N35-1,"")</f>
        <v/>
      </c>
      <c r="S36" s="27">
        <f>IFERROR(S35/O35-1,"")</f>
        <v/>
      </c>
      <c r="T36" s="27">
        <f>IFERROR(T35/P35-1,"")</f>
        <v/>
      </c>
      <c r="U36" s="27">
        <f>IFERROR(U35/Q35-1,"")</f>
        <v/>
      </c>
      <c r="V36" s="27">
        <f>IFERROR(V35/R35-1,"")</f>
        <v/>
      </c>
      <c r="W36" s="27">
        <f>IFERROR(W35/S35-1,"")</f>
        <v/>
      </c>
      <c r="X36" s="27">
        <f>IFERROR(X35/T35-1,"")</f>
        <v/>
      </c>
      <c r="Y36" s="27">
        <f>IFERROR(Y35/U35-1,"")</f>
        <v/>
      </c>
      <c r="Z36" s="27">
        <f>IFERROR(Z35/V35-1,"")</f>
        <v/>
      </c>
      <c r="AA36" s="27">
        <f>IFERROR(AA35/W35-1,"")</f>
        <v/>
      </c>
      <c r="AB36" s="27">
        <f>IFERROR(AB35/X35-1,"")</f>
        <v/>
      </c>
      <c r="AC36" s="27">
        <f>IFERROR(AC35/Y35-1,"")</f>
        <v/>
      </c>
    </row>
    <row r="37">
      <c r="A37" s="4" t="inlineStr">
        <is>
          <t xml:space="preserve">    % of revenue</t>
        </is>
      </c>
      <c r="B37" s="27">
        <f>IFERROR(B35/B3,"")</f>
        <v/>
      </c>
      <c r="C37" s="27">
        <f>IFERROR(C35/C3,"")</f>
        <v/>
      </c>
      <c r="D37" s="27">
        <f>IFERROR(D35/D3,"")</f>
        <v/>
      </c>
      <c r="E37" s="27">
        <f>IFERROR(E35/E3,"")</f>
        <v/>
      </c>
      <c r="F37" s="27">
        <f>IFERROR(F35/F3,"")</f>
        <v/>
      </c>
      <c r="G37" s="27">
        <f>IFERROR(G35/G3,"")</f>
        <v/>
      </c>
      <c r="H37" s="27">
        <f>IFERROR(H35/H3,"")</f>
        <v/>
      </c>
      <c r="I37" s="27">
        <f>IFERROR(I35/I3,"")</f>
        <v/>
      </c>
      <c r="J37" s="27">
        <f>IFERROR(J35/J3,"")</f>
        <v/>
      </c>
      <c r="K37" s="27">
        <f>IFERROR(K35/K3,"")</f>
        <v/>
      </c>
      <c r="L37" s="27">
        <f>IFERROR(L35/L3,"")</f>
        <v/>
      </c>
      <c r="M37" s="27">
        <f>IFERROR(M35/M3,"")</f>
        <v/>
      </c>
      <c r="N37" s="27">
        <f>IFERROR(N35/N3,"")</f>
        <v/>
      </c>
      <c r="O37" s="27">
        <f>IFERROR(O35/O3,"")</f>
        <v/>
      </c>
      <c r="P37" s="27">
        <f>IFERROR(P35/P3,"")</f>
        <v/>
      </c>
      <c r="Q37" s="27">
        <f>IFERROR(Q35/Q3,"")</f>
        <v/>
      </c>
      <c r="R37" s="27">
        <f>IFERROR(R35/R3,"")</f>
        <v/>
      </c>
      <c r="S37" s="27">
        <f>IFERROR(S35/S3,"")</f>
        <v/>
      </c>
      <c r="T37" s="27">
        <f>IFERROR(T35/T3,"")</f>
        <v/>
      </c>
      <c r="U37" s="27">
        <f>IFERROR(U35/U3,"")</f>
        <v/>
      </c>
      <c r="V37" s="27">
        <f>IFERROR(V35/V3,"")</f>
        <v/>
      </c>
      <c r="W37" s="27">
        <f>IFERROR(W35/W3,"")</f>
        <v/>
      </c>
      <c r="X37" s="27">
        <f>IFERROR(X35/X3,"")</f>
        <v/>
      </c>
      <c r="Y37" s="27">
        <f>IFERROR(Y35/Y3,"")</f>
        <v/>
      </c>
      <c r="Z37" s="27">
        <f>IFERROR(Z35/Z3,"")</f>
        <v/>
      </c>
      <c r="AA37" s="27">
        <f>IFERROR(AA35/AA3,"")</f>
        <v/>
      </c>
      <c r="AB37" s="27">
        <f>IFERROR(AB35/AB3,"")</f>
        <v/>
      </c>
      <c r="AC37" s="27">
        <f>IFERROR(AC35/AC3,"")</f>
        <v/>
      </c>
    </row>
    <row r="38">
      <c r="A38" s="5" t="inlineStr">
        <is>
          <t xml:space="preserve">  BALANCE SHEET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</row>
    <row r="39">
      <c r="A39" s="4" t="inlineStr">
        <is>
          <t>Cash &amp; ST Investments</t>
        </is>
      </c>
      <c r="B39" s="18" t="n">
        <v>48596</v>
      </c>
      <c r="C39" s="18" t="n">
        <v>52269</v>
      </c>
      <c r="D39" s="18" t="n">
        <v>54855</v>
      </c>
      <c r="E39" s="18" t="n">
        <v>60289</v>
      </c>
      <c r="F39" s="18" t="n">
        <v>58240</v>
      </c>
      <c r="G39" s="18" t="n">
        <v>55620</v>
      </c>
      <c r="H39" s="18" t="n">
        <v>61954</v>
      </c>
      <c r="I39" s="18" t="n">
        <v>64219</v>
      </c>
      <c r="J39" s="18" t="n">
        <v>64080</v>
      </c>
      <c r="K39" s="18" t="n">
        <v>58075</v>
      </c>
      <c r="L39" s="18" t="n">
        <v>47998</v>
      </c>
      <c r="M39" s="18" t="n">
        <v>43890</v>
      </c>
      <c r="N39" s="18" t="n">
        <v>40489</v>
      </c>
      <c r="O39" s="18" t="n">
        <v>41776</v>
      </c>
      <c r="P39" s="18" t="n">
        <v>40738</v>
      </c>
      <c r="Q39" s="18" t="n">
        <v>37439</v>
      </c>
      <c r="R39" s="18" t="n">
        <v>53446</v>
      </c>
      <c r="S39" s="18" t="n">
        <v>61123</v>
      </c>
      <c r="T39" s="18" t="n">
        <v>65403</v>
      </c>
      <c r="U39" s="18" t="n">
        <v>58120</v>
      </c>
      <c r="V39" s="18" t="n">
        <v>58080</v>
      </c>
      <c r="W39" s="18" t="n">
        <v>70900</v>
      </c>
      <c r="X39" s="18" t="n">
        <v>77815</v>
      </c>
      <c r="Y39" s="18" t="n">
        <v>70230</v>
      </c>
      <c r="Z39" s="18" t="n">
        <v>47071</v>
      </c>
      <c r="AA39" s="18" t="n">
        <v>44448</v>
      </c>
      <c r="AB39" s="18" t="n">
        <v>81592</v>
      </c>
      <c r="AC39" s="18" t="n">
        <v>81180</v>
      </c>
    </row>
    <row r="40">
      <c r="A40" s="4" t="inlineStr">
        <is>
          <t>Total Current Assets</t>
        </is>
      </c>
      <c r="B40" s="18" t="n">
        <v>57961</v>
      </c>
      <c r="C40" s="18" t="n">
        <v>62079</v>
      </c>
      <c r="D40" s="18" t="n">
        <v>66225</v>
      </c>
      <c r="E40" s="18" t="n">
        <v>69349</v>
      </c>
      <c r="F40" s="18" t="n">
        <v>68130</v>
      </c>
      <c r="G40" s="18" t="n">
        <v>65799</v>
      </c>
      <c r="H40" s="18" t="n">
        <v>75670</v>
      </c>
      <c r="I40" s="18" t="n">
        <v>77322</v>
      </c>
      <c r="J40" s="18" t="n">
        <v>80697</v>
      </c>
      <c r="K40" s="18" t="n">
        <v>75421</v>
      </c>
      <c r="L40" s="18" t="n">
        <v>66666</v>
      </c>
      <c r="M40" s="18" t="n">
        <v>59265</v>
      </c>
      <c r="N40" s="18" t="n">
        <v>55987</v>
      </c>
      <c r="O40" s="18" t="n">
        <v>58315</v>
      </c>
      <c r="P40" s="18" t="n">
        <v>59549</v>
      </c>
      <c r="Q40" s="18" t="n">
        <v>52483</v>
      </c>
      <c r="R40" s="18" t="n">
        <v>69560</v>
      </c>
      <c r="S40" s="18" t="n">
        <v>78378</v>
      </c>
      <c r="T40" s="18" t="n">
        <v>85365</v>
      </c>
      <c r="U40" s="18" t="n">
        <v>75330</v>
      </c>
      <c r="V40" s="18" t="n">
        <v>76431</v>
      </c>
      <c r="W40" s="18" t="n">
        <v>91067</v>
      </c>
      <c r="X40" s="18" t="n">
        <v>100045</v>
      </c>
      <c r="Y40" s="18" t="n">
        <v>90227</v>
      </c>
      <c r="Z40" s="18" t="n">
        <v>73613</v>
      </c>
      <c r="AA40" s="18" t="n">
        <v>73118</v>
      </c>
      <c r="AB40" s="18" t="n">
        <v>108722</v>
      </c>
      <c r="AC40" s="18" t="n">
        <v>109765</v>
      </c>
    </row>
    <row r="41">
      <c r="A41" s="4" t="inlineStr">
        <is>
          <t>PP&amp;E (net)</t>
        </is>
      </c>
      <c r="B41" s="18" t="n">
        <v>37271</v>
      </c>
      <c r="C41" s="18" t="n">
        <v>40687</v>
      </c>
      <c r="D41" s="18" t="n">
        <v>44783</v>
      </c>
      <c r="E41" s="18" t="n">
        <v>46486</v>
      </c>
      <c r="F41" s="18" t="n">
        <v>48435</v>
      </c>
      <c r="G41" s="18" t="n">
        <v>51730</v>
      </c>
      <c r="H41" s="18" t="n">
        <v>54981</v>
      </c>
      <c r="I41" s="18" t="n">
        <v>57922</v>
      </c>
      <c r="J41" s="18" t="n">
        <v>61434</v>
      </c>
      <c r="K41" s="18" t="n">
        <v>64789</v>
      </c>
      <c r="L41" s="18" t="n">
        <v>69964</v>
      </c>
      <c r="M41" s="18" t="n">
        <v>73823</v>
      </c>
      <c r="N41" s="18" t="n">
        <v>81718</v>
      </c>
      <c r="O41" s="18" t="n">
        <v>87379</v>
      </c>
      <c r="P41" s="18" t="n">
        <v>92191</v>
      </c>
      <c r="Q41" s="18" t="n">
        <v>97055</v>
      </c>
      <c r="R41" s="18" t="n">
        <v>100904</v>
      </c>
      <c r="S41" s="18" t="n">
        <v>104805</v>
      </c>
      <c r="T41" s="18" t="n">
        <v>109881</v>
      </c>
      <c r="U41" s="18" t="n">
        <v>112463</v>
      </c>
      <c r="V41" s="18" t="n">
        <v>117017</v>
      </c>
      <c r="W41" s="18" t="n">
        <v>126974</v>
      </c>
      <c r="X41" s="18" t="n">
        <v>136268</v>
      </c>
      <c r="Y41" s="18" t="n">
        <v>149072</v>
      </c>
      <c r="Z41" s="18" t="n">
        <v>162701</v>
      </c>
      <c r="AA41" s="18" t="n">
        <v>177642</v>
      </c>
      <c r="AB41" s="18" t="n">
        <v>196804</v>
      </c>
      <c r="AC41" s="18" t="n">
        <v>218044</v>
      </c>
    </row>
    <row r="42">
      <c r="A42" s="4" t="inlineStr">
        <is>
          <t>Total Assets</t>
        </is>
      </c>
      <c r="B42" s="18" t="n">
        <v>117006</v>
      </c>
      <c r="C42" s="18" t="n">
        <v>124418</v>
      </c>
      <c r="D42" s="18" t="n">
        <v>133376</v>
      </c>
      <c r="E42" s="18" t="n">
        <v>138371</v>
      </c>
      <c r="F42" s="18" t="n">
        <v>139691</v>
      </c>
      <c r="G42" s="18" t="n">
        <v>146437</v>
      </c>
      <c r="H42" s="18" t="n">
        <v>159316</v>
      </c>
      <c r="I42" s="18" t="n">
        <v>163523</v>
      </c>
      <c r="J42" s="18" t="n">
        <v>170609</v>
      </c>
      <c r="K42" s="18" t="n">
        <v>169585</v>
      </c>
      <c r="L42" s="18" t="n">
        <v>165987</v>
      </c>
      <c r="M42" s="18" t="n">
        <v>164218</v>
      </c>
      <c r="N42" s="18" t="n">
        <v>169779</v>
      </c>
      <c r="O42" s="18" t="n">
        <v>178894</v>
      </c>
      <c r="P42" s="18" t="n">
        <v>185727</v>
      </c>
      <c r="Q42" s="18" t="n">
        <v>184491</v>
      </c>
      <c r="R42" s="18" t="n">
        <v>206688</v>
      </c>
      <c r="S42" s="18" t="n">
        <v>216274</v>
      </c>
      <c r="T42" s="18" t="n">
        <v>229623</v>
      </c>
      <c r="U42" s="18" t="n">
        <v>222844</v>
      </c>
      <c r="V42" s="18" t="n">
        <v>230238</v>
      </c>
      <c r="W42" s="18" t="n">
        <v>256408</v>
      </c>
      <c r="X42" s="18" t="n">
        <v>276054</v>
      </c>
      <c r="Y42" s="18" t="n">
        <v>280213</v>
      </c>
      <c r="Z42" s="18" t="n">
        <v>294744</v>
      </c>
      <c r="AA42" s="18" t="n">
        <v>303844</v>
      </c>
      <c r="AB42" s="18" t="n">
        <v>366021</v>
      </c>
      <c r="AC42" s="18" t="n">
        <v>395250</v>
      </c>
    </row>
    <row r="43">
      <c r="A43" s="4" t="inlineStr">
        <is>
          <t>Total Current Liabilities</t>
        </is>
      </c>
      <c r="B43" s="18" t="n">
        <v>12979</v>
      </c>
      <c r="C43" s="18" t="n">
        <v>13328</v>
      </c>
      <c r="D43" s="18" t="n">
        <v>15053</v>
      </c>
      <c r="E43" s="18" t="n">
        <v>15069</v>
      </c>
      <c r="F43" s="18" t="n">
        <v>11308</v>
      </c>
      <c r="G43" s="18" t="n">
        <v>11944</v>
      </c>
      <c r="H43" s="18" t="n">
        <v>14981</v>
      </c>
      <c r="I43" s="18" t="n">
        <v>12717</v>
      </c>
      <c r="J43" s="18" t="n">
        <v>14874</v>
      </c>
      <c r="K43" s="18" t="n">
        <v>17812</v>
      </c>
      <c r="L43" s="18" t="n">
        <v>21135</v>
      </c>
      <c r="M43" s="18" t="n">
        <v>21086</v>
      </c>
      <c r="N43" s="18" t="n">
        <v>22217</v>
      </c>
      <c r="O43" s="18" t="n">
        <v>22687</v>
      </c>
      <c r="P43" s="18" t="n">
        <v>27026</v>
      </c>
      <c r="Q43" s="18" t="n">
        <v>25381</v>
      </c>
      <c r="R43" s="18" t="n">
        <v>29921</v>
      </c>
      <c r="S43" s="18" t="n">
        <v>30531</v>
      </c>
      <c r="T43" s="18" t="n">
        <v>31960</v>
      </c>
      <c r="U43" s="18" t="n">
        <v>28101</v>
      </c>
      <c r="V43" s="18" t="n">
        <v>27004</v>
      </c>
      <c r="W43" s="18" t="n">
        <v>33330</v>
      </c>
      <c r="X43" s="18" t="n">
        <v>33596</v>
      </c>
      <c r="Y43" s="18" t="n">
        <v>33890</v>
      </c>
      <c r="Z43" s="18" t="n">
        <v>37305</v>
      </c>
      <c r="AA43" s="18" t="n">
        <v>36958</v>
      </c>
      <c r="AB43" s="18" t="n">
        <v>41836</v>
      </c>
      <c r="AC43" s="18" t="n">
        <v>46753</v>
      </c>
    </row>
    <row r="44">
      <c r="A44" s="4" t="inlineStr">
        <is>
          <t>Long-term Debt</t>
        </is>
      </c>
      <c r="B44" s="18" t="n">
        <v>0</v>
      </c>
      <c r="C44" s="18" t="n">
        <v>0</v>
      </c>
      <c r="D44" s="18" t="n">
        <v>0</v>
      </c>
      <c r="E44" s="18" t="n">
        <v>0</v>
      </c>
      <c r="F44" s="18" t="n">
        <v>0</v>
      </c>
      <c r="G44" s="18" t="n">
        <v>0</v>
      </c>
      <c r="H44" s="18" t="n">
        <v>0</v>
      </c>
      <c r="I44" s="18" t="n">
        <v>0</v>
      </c>
      <c r="J44" s="18" t="n">
        <v>0</v>
      </c>
      <c r="K44" s="18" t="n">
        <v>0</v>
      </c>
      <c r="L44" s="18" t="n">
        <v>0</v>
      </c>
      <c r="M44" s="18" t="n">
        <v>0</v>
      </c>
      <c r="N44" s="18" t="n">
        <v>0</v>
      </c>
      <c r="O44" s="18" t="n">
        <v>9922</v>
      </c>
      <c r="P44" s="18" t="n">
        <v>9923</v>
      </c>
      <c r="Q44" s="18" t="n">
        <v>9925</v>
      </c>
      <c r="R44" s="18" t="n">
        <v>18382</v>
      </c>
      <c r="S44" s="18" t="n">
        <v>18383</v>
      </c>
      <c r="T44" s="18" t="n">
        <v>18385</v>
      </c>
      <c r="U44" s="18" t="n">
        <v>18387</v>
      </c>
      <c r="V44" s="18" t="n">
        <v>18389</v>
      </c>
      <c r="W44" s="18" t="n">
        <v>28823</v>
      </c>
      <c r="X44" s="18" t="n">
        <v>28826</v>
      </c>
      <c r="Y44" s="18" t="n">
        <v>28829</v>
      </c>
      <c r="Z44" s="18" t="n">
        <v>28832</v>
      </c>
      <c r="AA44" s="18" t="n">
        <v>28834</v>
      </c>
      <c r="AB44" s="18" t="n">
        <v>58744</v>
      </c>
      <c r="AC44" s="18" t="n">
        <v>58748</v>
      </c>
    </row>
    <row r="45">
      <c r="A45" s="4" t="inlineStr">
        <is>
          <t>Total Equity</t>
        </is>
      </c>
      <c r="B45" s="18" t="n">
        <v>88762</v>
      </c>
      <c r="C45" s="18" t="n">
        <v>93999</v>
      </c>
      <c r="D45" s="18" t="n">
        <v>101054</v>
      </c>
      <c r="E45" s="18" t="n">
        <v>105304</v>
      </c>
      <c r="F45" s="18" t="n">
        <v>110447</v>
      </c>
      <c r="G45" s="18" t="n">
        <v>117731</v>
      </c>
      <c r="H45" s="18" t="n">
        <v>128290</v>
      </c>
      <c r="I45" s="18" t="n">
        <v>133657</v>
      </c>
      <c r="J45" s="18" t="n">
        <v>138227</v>
      </c>
      <c r="K45" s="18" t="n">
        <v>133360</v>
      </c>
      <c r="L45" s="18" t="n">
        <v>124879</v>
      </c>
      <c r="M45" s="18" t="n">
        <v>123228</v>
      </c>
      <c r="N45" s="18" t="n">
        <v>125767</v>
      </c>
      <c r="O45" s="18" t="n">
        <v>124094</v>
      </c>
      <c r="P45" s="18" t="n">
        <v>125713</v>
      </c>
      <c r="Q45" s="18" t="n">
        <v>124795</v>
      </c>
      <c r="R45" s="18" t="n">
        <v>134033</v>
      </c>
      <c r="S45" s="18" t="n">
        <v>142873</v>
      </c>
      <c r="T45" s="18" t="n">
        <v>153168</v>
      </c>
      <c r="U45" s="18" t="n">
        <v>149529</v>
      </c>
      <c r="V45" s="18" t="n">
        <v>156763</v>
      </c>
      <c r="W45" s="18" t="n">
        <v>164529</v>
      </c>
      <c r="X45" s="18" t="n">
        <v>182637</v>
      </c>
      <c r="Y45" s="18" t="n">
        <v>185029</v>
      </c>
      <c r="Z45" s="18" t="n">
        <v>195070</v>
      </c>
      <c r="AA45" s="18" t="n">
        <v>194066</v>
      </c>
      <c r="AB45" s="18" t="n">
        <v>217243</v>
      </c>
      <c r="AC45" s="18" t="n">
        <v>243681</v>
      </c>
    </row>
    <row r="46">
      <c r="A46" s="5" t="inlineStr">
        <is>
          <t xml:space="preserve">  CASH FLOW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</row>
    <row r="47">
      <c r="A47" s="4" t="inlineStr">
        <is>
          <t>D&amp;A</t>
        </is>
      </c>
      <c r="B47" s="18" t="n">
        <v>1502</v>
      </c>
      <c r="C47" s="18" t="n">
        <v>1416</v>
      </c>
      <c r="D47" s="18" t="n">
        <v>1468</v>
      </c>
      <c r="E47" s="18" t="n">
        <v>1597</v>
      </c>
      <c r="F47" s="18" t="n">
        <v>1704</v>
      </c>
      <c r="G47" s="18" t="n">
        <v>1698</v>
      </c>
      <c r="H47" s="18" t="n">
        <v>1863</v>
      </c>
      <c r="I47" s="18" t="n">
        <v>1972</v>
      </c>
      <c r="J47" s="18" t="n">
        <v>1985</v>
      </c>
      <c r="K47" s="18" t="n">
        <v>1995</v>
      </c>
      <c r="L47" s="18" t="n">
        <v>2014</v>
      </c>
      <c r="M47" s="18" t="n">
        <v>2156</v>
      </c>
      <c r="N47" s="18" t="n">
        <v>1979</v>
      </c>
      <c r="O47" s="18" t="n">
        <v>2175</v>
      </c>
      <c r="P47" s="18" t="n">
        <v>2376</v>
      </c>
      <c r="Q47" s="18" t="n">
        <v>2524</v>
      </c>
      <c r="R47" s="18" t="n">
        <v>2623</v>
      </c>
      <c r="S47" s="18" t="n">
        <v>2859</v>
      </c>
      <c r="T47" s="18" t="n">
        <v>3172</v>
      </c>
      <c r="U47" s="18" t="n">
        <v>3374</v>
      </c>
      <c r="V47" s="18" t="n">
        <v>3637</v>
      </c>
      <c r="W47" s="18" t="n">
        <v>4027</v>
      </c>
      <c r="X47" s="18" t="n">
        <v>4460</v>
      </c>
      <c r="Y47" s="18" t="n">
        <v>3900</v>
      </c>
      <c r="Z47" s="18" t="n">
        <v>4342</v>
      </c>
      <c r="AA47" s="18" t="n">
        <v>4963</v>
      </c>
      <c r="AB47" s="18" t="n">
        <v>5411</v>
      </c>
      <c r="AC47" s="18" t="n">
        <v>5999</v>
      </c>
    </row>
    <row r="48">
      <c r="A48" s="4" t="inlineStr">
        <is>
          <t>Stock-based Compensation</t>
        </is>
      </c>
      <c r="B48" s="18" t="n">
        <v>1303</v>
      </c>
      <c r="C48" s="18" t="n">
        <v>1249</v>
      </c>
      <c r="D48" s="18" t="n">
        <v>1273</v>
      </c>
      <c r="E48" s="18" t="n">
        <v>1335</v>
      </c>
      <c r="F48" s="18" t="n">
        <v>1695</v>
      </c>
      <c r="G48" s="18" t="n">
        <v>1722</v>
      </c>
      <c r="H48" s="18" t="n">
        <v>1784</v>
      </c>
      <c r="I48" s="18" t="n">
        <v>1830</v>
      </c>
      <c r="J48" s="18" t="n">
        <v>2548</v>
      </c>
      <c r="K48" s="18" t="n">
        <v>2379</v>
      </c>
      <c r="L48" s="18" t="n">
        <v>2406</v>
      </c>
      <c r="M48" s="18" t="n">
        <v>2498</v>
      </c>
      <c r="N48" s="18" t="n">
        <v>3351</v>
      </c>
      <c r="O48" s="18" t="n">
        <v>3134</v>
      </c>
      <c r="P48" s="18" t="n">
        <v>3008</v>
      </c>
      <c r="Q48" s="18" t="n">
        <v>3051</v>
      </c>
      <c r="R48" s="18" t="n">
        <v>4060</v>
      </c>
      <c r="S48" s="18" t="n">
        <v>3492</v>
      </c>
      <c r="T48" s="18" t="n">
        <v>3424</v>
      </c>
      <c r="U48" s="18" t="n">
        <v>3562</v>
      </c>
      <c r="V48" s="18" t="n">
        <v>4616</v>
      </c>
      <c r="W48" s="18" t="n">
        <v>4250</v>
      </c>
      <c r="X48" s="18" t="n">
        <v>4262</v>
      </c>
      <c r="Y48" s="18" t="n">
        <v>4147</v>
      </c>
      <c r="Z48" s="18" t="n">
        <v>4834</v>
      </c>
      <c r="AA48" s="18" t="n">
        <v>5556</v>
      </c>
      <c r="AB48" s="18" t="n">
        <v>5890</v>
      </c>
      <c r="AC48" s="18" t="n">
        <v>6032</v>
      </c>
    </row>
    <row r="49">
      <c r="A49" s="4" t="inlineStr">
        <is>
          <t>Change in Working Capital</t>
        </is>
      </c>
      <c r="B49" s="18" t="n">
        <v>3184</v>
      </c>
      <c r="C49" s="18" t="n">
        <v>346</v>
      </c>
      <c r="D49" s="18" t="n">
        <v>-606</v>
      </c>
      <c r="E49" s="18" t="n">
        <v>2684</v>
      </c>
      <c r="F49" s="18" t="n">
        <v>-4956</v>
      </c>
      <c r="G49" s="18" t="n">
        <v>62</v>
      </c>
      <c r="H49" s="18" t="n">
        <v>-511</v>
      </c>
      <c r="I49" s="18" t="n">
        <v>-1409</v>
      </c>
      <c r="J49" s="18" t="n">
        <v>-1889</v>
      </c>
      <c r="K49" s="18" t="n">
        <v>1382</v>
      </c>
      <c r="L49" s="18" t="n">
        <v>2616</v>
      </c>
      <c r="M49" s="18" t="n">
        <v>2741</v>
      </c>
      <c r="N49" s="18" t="n">
        <v>444</v>
      </c>
      <c r="O49" s="18" t="n">
        <v>567</v>
      </c>
      <c r="P49" s="18" t="n">
        <v>1930</v>
      </c>
      <c r="Q49" s="18" t="n">
        <v>2571</v>
      </c>
      <c r="R49" s="18" t="n">
        <v>3531</v>
      </c>
      <c r="S49" s="18" t="n">
        <v>-995</v>
      </c>
      <c r="T49" s="18" t="n">
        <v>-1271</v>
      </c>
      <c r="U49" s="18" t="n">
        <v>223</v>
      </c>
      <c r="V49" s="18" t="n">
        <v>-741</v>
      </c>
      <c r="W49" s="18" t="n">
        <v>2070</v>
      </c>
      <c r="X49" s="18" t="n">
        <v>-504</v>
      </c>
      <c r="Y49" s="18" t="n">
        <v>559</v>
      </c>
      <c r="Z49" s="18" t="n">
        <v>-957</v>
      </c>
      <c r="AA49" s="18" t="n">
        <v>-2151</v>
      </c>
      <c r="AB49" s="18" t="n">
        <v>1664</v>
      </c>
      <c r="AC49" s="18" t="n">
        <v>-7747</v>
      </c>
    </row>
    <row r="50">
      <c r="A50" s="4" t="inlineStr">
        <is>
          <t>Operating Cash Flow</t>
        </is>
      </c>
      <c r="B50" s="18" t="n">
        <v>8615</v>
      </c>
      <c r="C50" s="18" t="n">
        <v>9307</v>
      </c>
      <c r="D50" s="18" t="n">
        <v>9083</v>
      </c>
      <c r="E50" s="18" t="n">
        <v>11001</v>
      </c>
      <c r="F50" s="18" t="n">
        <v>3878</v>
      </c>
      <c r="G50" s="18" t="n">
        <v>9828</v>
      </c>
      <c r="H50" s="18" t="n">
        <v>14040</v>
      </c>
      <c r="I50" s="18" t="n">
        <v>12242</v>
      </c>
      <c r="J50" s="18" t="n">
        <v>13246</v>
      </c>
      <c r="K50" s="18" t="n">
        <v>14091</v>
      </c>
      <c r="L50" s="18" t="n">
        <v>18104</v>
      </c>
      <c r="M50" s="18" t="n">
        <v>14076</v>
      </c>
      <c r="N50" s="18" t="n">
        <v>12197</v>
      </c>
      <c r="O50" s="18" t="n">
        <v>9691</v>
      </c>
      <c r="P50" s="18" t="n">
        <v>14511</v>
      </c>
      <c r="Q50" s="18" t="n">
        <v>13998</v>
      </c>
      <c r="R50" s="18" t="n">
        <v>17309</v>
      </c>
      <c r="S50" s="18" t="n">
        <v>20402</v>
      </c>
      <c r="T50" s="18" t="n">
        <v>19404</v>
      </c>
      <c r="U50" s="18" t="n">
        <v>19246</v>
      </c>
      <c r="V50" s="18" t="n">
        <v>19370</v>
      </c>
      <c r="W50" s="18" t="n">
        <v>24724</v>
      </c>
      <c r="X50" s="18" t="n">
        <v>27988</v>
      </c>
      <c r="Y50" s="18" t="n">
        <v>24026</v>
      </c>
      <c r="Z50" s="18" t="n">
        <v>25561</v>
      </c>
      <c r="AA50" s="18" t="n">
        <v>29999</v>
      </c>
      <c r="AB50" s="18" t="n">
        <v>36214</v>
      </c>
      <c r="AC50" s="18" t="n">
        <v>32226</v>
      </c>
    </row>
    <row r="51">
      <c r="A51" s="4" t="inlineStr">
        <is>
          <t>Capex</t>
        </is>
      </c>
      <c r="B51" s="18" t="n">
        <v>-3633</v>
      </c>
      <c r="C51" s="18" t="n">
        <v>-3532</v>
      </c>
      <c r="D51" s="18" t="n">
        <v>-4100</v>
      </c>
      <c r="E51" s="18" t="n">
        <v>-3558</v>
      </c>
      <c r="F51" s="18" t="n">
        <v>-3255</v>
      </c>
      <c r="G51" s="18" t="n">
        <v>-3689</v>
      </c>
      <c r="H51" s="18" t="n">
        <v>-4613</v>
      </c>
      <c r="I51" s="18" t="n">
        <v>-4272</v>
      </c>
      <c r="J51" s="18" t="n">
        <v>-4612</v>
      </c>
      <c r="K51" s="18" t="n">
        <v>-4313</v>
      </c>
      <c r="L51" s="18" t="n">
        <v>-5370</v>
      </c>
      <c r="M51" s="18" t="n">
        <v>-5441</v>
      </c>
      <c r="N51" s="18" t="n">
        <v>-7572</v>
      </c>
      <c r="O51" s="18" t="n">
        <v>-9375</v>
      </c>
      <c r="P51" s="18" t="n">
        <v>-9043</v>
      </c>
      <c r="Q51" s="18" t="n">
        <v>-6842</v>
      </c>
      <c r="R51" s="18" t="n">
        <v>-6216</v>
      </c>
      <c r="S51" s="18" t="n">
        <v>-6543</v>
      </c>
      <c r="T51" s="18" t="n">
        <v>-7665</v>
      </c>
      <c r="U51" s="18" t="n">
        <v>-6400</v>
      </c>
      <c r="V51" s="18" t="n">
        <v>-8173</v>
      </c>
      <c r="W51" s="18" t="n">
        <v>-8258</v>
      </c>
      <c r="X51" s="18" t="n">
        <v>-14425</v>
      </c>
      <c r="Y51" s="18" t="n">
        <v>-12941</v>
      </c>
      <c r="Z51" s="18" t="n">
        <v>-16538</v>
      </c>
      <c r="AA51" s="18" t="n">
        <v>-18829</v>
      </c>
      <c r="AB51" s="18" t="n">
        <v>-21383</v>
      </c>
      <c r="AC51" s="18" t="n">
        <v>-18997</v>
      </c>
    </row>
    <row r="52">
      <c r="A52" s="4" t="inlineStr">
        <is>
          <t>Free Cash Flow</t>
        </is>
      </c>
      <c r="B52" s="18" t="n">
        <v>4982</v>
      </c>
      <c r="C52" s="18" t="n">
        <v>5775</v>
      </c>
      <c r="D52" s="18" t="n">
        <v>4983</v>
      </c>
      <c r="E52" s="18" t="n">
        <v>7443</v>
      </c>
      <c r="F52" s="18" t="n">
        <v>623</v>
      </c>
      <c r="G52" s="18" t="n">
        <v>6139</v>
      </c>
      <c r="H52" s="18" t="n">
        <v>9427</v>
      </c>
      <c r="I52" s="18" t="n">
        <v>7970</v>
      </c>
      <c r="J52" s="18" t="n">
        <v>8634</v>
      </c>
      <c r="K52" s="18" t="n">
        <v>9778</v>
      </c>
      <c r="L52" s="18" t="n">
        <v>12734</v>
      </c>
      <c r="M52" s="18" t="n">
        <v>8635</v>
      </c>
      <c r="N52" s="18" t="n">
        <v>4625</v>
      </c>
      <c r="O52" s="18" t="n">
        <v>316</v>
      </c>
      <c r="P52" s="18" t="n">
        <v>5468</v>
      </c>
      <c r="Q52" s="18" t="n">
        <v>7156</v>
      </c>
      <c r="R52" s="18" t="n">
        <v>11093</v>
      </c>
      <c r="S52" s="18" t="n">
        <v>13859</v>
      </c>
      <c r="T52" s="18" t="n">
        <v>11739</v>
      </c>
      <c r="U52" s="18" t="n">
        <v>12846</v>
      </c>
      <c r="V52" s="18" t="n">
        <v>11197</v>
      </c>
      <c r="W52" s="18" t="n">
        <v>16466</v>
      </c>
      <c r="X52" s="18" t="n">
        <v>13563</v>
      </c>
      <c r="Y52" s="18" t="n">
        <v>11085</v>
      </c>
      <c r="Z52" s="18" t="n">
        <v>9023</v>
      </c>
      <c r="AA52" s="18" t="n">
        <v>11170</v>
      </c>
      <c r="AB52" s="18" t="n">
        <v>14831</v>
      </c>
      <c r="AC52" s="18" t="n">
        <v>13229</v>
      </c>
    </row>
    <row r="54">
      <c r="A5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36" t="n">
        <v>2026</v>
      </c>
      <c r="C2" s="36" t="n">
        <v>2027</v>
      </c>
      <c r="D2" s="36" t="n">
        <v>2028</v>
      </c>
      <c r="E2" s="36" t="n">
        <v>2029</v>
      </c>
      <c r="F2" s="36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252819.019511</v>
      </c>
      <c r="C4" s="18" t="n">
        <v>301217.975629</v>
      </c>
      <c r="D4" s="18" t="n">
        <v>351183.976358</v>
      </c>
      <c r="E4" s="18" t="n">
        <v>405634.630348</v>
      </c>
      <c r="F4" s="18" t="n">
        <v>465074.757143</v>
      </c>
    </row>
    <row r="5">
      <c r="A5" s="4" t="inlineStr">
        <is>
          <t xml:space="preserve">  model</t>
        </is>
      </c>
      <c r="B5" s="28">
        <f>Model!G8</f>
        <v/>
      </c>
      <c r="C5" s="28">
        <f>Model!H8</f>
        <v/>
      </c>
      <c r="D5" s="28">
        <f>Model!I8</f>
        <v/>
      </c>
      <c r="E5" s="28">
        <f>Model!J8</f>
        <v/>
      </c>
      <c r="F5" s="28">
        <f>Model!K8</f>
        <v/>
      </c>
    </row>
    <row r="6">
      <c r="A6" s="4" t="inlineStr">
        <is>
          <t xml:space="preserve">  vs consensus</t>
        </is>
      </c>
      <c r="B6" s="37">
        <f>IFERROR(B5/B4-1,"")</f>
        <v/>
      </c>
      <c r="C6" s="37">
        <f>IFERROR(C5/C4-1,"")</f>
        <v/>
      </c>
      <c r="D6" s="37">
        <f>IFERROR(D5/D4-1,"")</f>
        <v/>
      </c>
      <c r="E6" s="37">
        <f>IFERROR(E5/E4-1,"")</f>
        <v/>
      </c>
      <c r="F6" s="37">
        <f>IFERROR(F5/F4-1,"")</f>
        <v/>
      </c>
    </row>
    <row r="8">
      <c r="A8" s="3" t="inlineStr">
        <is>
          <t>EBITDA* — consensus</t>
        </is>
      </c>
      <c r="B8" s="18" t="n">
        <v>115184.76559</v>
      </c>
      <c r="C8" s="18" t="n">
        <v>137235.410459</v>
      </c>
      <c r="D8" s="18" t="n">
        <v>160000.003457</v>
      </c>
      <c r="E8" s="18" t="n">
        <v>184807.811937</v>
      </c>
      <c r="F8" s="18" t="n">
        <v>211888.832522</v>
      </c>
    </row>
    <row r="9">
      <c r="A9" s="4" t="inlineStr">
        <is>
          <t xml:space="preserve">  model</t>
        </is>
      </c>
      <c r="B9" s="28">
        <f>Model!G21+Model!G26</f>
        <v/>
      </c>
      <c r="C9" s="28">
        <f>Model!H21+Model!H26</f>
        <v/>
      </c>
      <c r="D9" s="28">
        <f>Model!I21+Model!I26</f>
        <v/>
      </c>
      <c r="E9" s="28">
        <f>Model!J21+Model!J26</f>
        <v/>
      </c>
      <c r="F9" s="28">
        <f>Model!K21+Model!K26</f>
        <v/>
      </c>
    </row>
    <row r="10">
      <c r="A10" s="4" t="inlineStr">
        <is>
          <t xml:space="preserve">  vs consensus</t>
        </is>
      </c>
      <c r="B10" s="37">
        <f>IFERROR(B9/B8-1,"")</f>
        <v/>
      </c>
      <c r="C10" s="37">
        <f>IFERROR(C9/C8-1,"")</f>
        <v/>
      </c>
      <c r="D10" s="37">
        <f>IFERROR(D9/D8-1,"")</f>
        <v/>
      </c>
      <c r="E10" s="37">
        <f>IFERROR(E9/E8-1,"")</f>
        <v/>
      </c>
      <c r="F10" s="37">
        <f>IFERROR(F9/F8-1,"")</f>
        <v/>
      </c>
    </row>
    <row r="12">
      <c r="A12" s="3" t="inlineStr">
        <is>
          <t>EBIT* — consensus</t>
        </is>
      </c>
      <c r="B12" s="18" t="n">
        <v>94365.080225</v>
      </c>
      <c r="C12" s="18" t="n">
        <v>112430.06357</v>
      </c>
      <c r="D12" s="18" t="n">
        <v>131079.948679</v>
      </c>
      <c r="E12" s="18" t="n">
        <v>151403.73738</v>
      </c>
      <c r="F12" s="18" t="n">
        <v>173589.854328</v>
      </c>
    </row>
    <row r="13">
      <c r="A13" s="4" t="inlineStr">
        <is>
          <t xml:space="preserve">  model</t>
        </is>
      </c>
      <c r="B13" s="28">
        <f>Model!G21</f>
        <v/>
      </c>
      <c r="C13" s="28">
        <f>Model!H21</f>
        <v/>
      </c>
      <c r="D13" s="28">
        <f>Model!I21</f>
        <v/>
      </c>
      <c r="E13" s="28">
        <f>Model!J21</f>
        <v/>
      </c>
      <c r="F13" s="28">
        <f>Model!K21</f>
        <v/>
      </c>
    </row>
    <row r="14">
      <c r="A14" s="4" t="inlineStr">
        <is>
          <t xml:space="preserve">  vs consensus</t>
        </is>
      </c>
      <c r="B14" s="37">
        <f>IFERROR(B13/B12-1,"")</f>
        <v/>
      </c>
      <c r="C14" s="37">
        <f>IFERROR(C13/C12-1,"")</f>
        <v/>
      </c>
      <c r="D14" s="37">
        <f>IFERROR(D13/D12-1,"")</f>
        <v/>
      </c>
      <c r="E14" s="37">
        <f>IFERROR(E13/E12-1,"")</f>
        <v/>
      </c>
      <c r="F14" s="37">
        <f>IFERROR(F13/F12-1,"")</f>
        <v/>
      </c>
    </row>
    <row r="16">
      <c r="A16" s="3" t="inlineStr">
        <is>
          <t>SG&amp;A — consensus</t>
        </is>
      </c>
      <c r="B16" s="18" t="n">
        <v>43419.696088</v>
      </c>
      <c r="C16" s="18" t="n">
        <v>51731.839571</v>
      </c>
      <c r="D16" s="18" t="n">
        <v>60313.110753</v>
      </c>
      <c r="E16" s="18" t="n">
        <v>69664.58617900001</v>
      </c>
      <c r="F16" s="18" t="n">
        <v>79872.96467</v>
      </c>
    </row>
    <row r="17">
      <c r="A17" s="4" t="inlineStr">
        <is>
          <t xml:space="preserve">  model</t>
        </is>
      </c>
      <c r="B17" s="28">
        <f>Model!G16</f>
        <v/>
      </c>
      <c r="C17" s="28">
        <f>Model!H16</f>
        <v/>
      </c>
      <c r="D17" s="28">
        <f>Model!I16</f>
        <v/>
      </c>
      <c r="E17" s="28">
        <f>Model!J16</f>
        <v/>
      </c>
      <c r="F17" s="28">
        <f>Model!K16</f>
        <v/>
      </c>
    </row>
    <row r="18">
      <c r="A18" s="4" t="inlineStr">
        <is>
          <t xml:space="preserve">  vs consensus</t>
        </is>
      </c>
      <c r="B18" s="37">
        <f>IFERROR(B17/B16-1,"")</f>
        <v/>
      </c>
      <c r="C18" s="37">
        <f>IFERROR(C17/C16-1,"")</f>
        <v/>
      </c>
      <c r="D18" s="37">
        <f>IFERROR(D17/D16-1,"")</f>
        <v/>
      </c>
      <c r="E18" s="37">
        <f>IFERROR(E17/E16-1,"")</f>
        <v/>
      </c>
      <c r="F18" s="37">
        <f>IFERROR(F17/F16-1,"")</f>
        <v/>
      </c>
    </row>
    <row r="20">
      <c r="A20" s="3" t="inlineStr">
        <is>
          <t>Net income (NOPAT) — consensus</t>
        </is>
      </c>
      <c r="B20" s="18" t="n">
        <v>84763.126</v>
      </c>
      <c r="C20" s="18" t="n">
        <v>89831.70049</v>
      </c>
      <c r="D20" s="18" t="n">
        <v>104599.41352</v>
      </c>
      <c r="E20" s="18" t="n">
        <v>123842.604648</v>
      </c>
      <c r="F20" s="18" t="n">
        <v>145206.701696</v>
      </c>
    </row>
    <row r="21">
      <c r="A21" s="4" t="inlineStr">
        <is>
          <t xml:space="preserve">  model</t>
        </is>
      </c>
      <c r="B21" s="28">
        <f>Model!G25</f>
        <v/>
      </c>
      <c r="C21" s="28">
        <f>Model!H25</f>
        <v/>
      </c>
      <c r="D21" s="28">
        <f>Model!I25</f>
        <v/>
      </c>
      <c r="E21" s="28">
        <f>Model!J25</f>
        <v/>
      </c>
      <c r="F21" s="28">
        <f>Model!K25</f>
        <v/>
      </c>
    </row>
    <row r="22">
      <c r="A22" s="4" t="inlineStr">
        <is>
          <t xml:space="preserve">  vs consensus</t>
        </is>
      </c>
      <c r="B22" s="37">
        <f>IFERROR(B21/B20-1,"")</f>
        <v/>
      </c>
      <c r="C22" s="37">
        <f>IFERROR(C21/C20-1,"")</f>
        <v/>
      </c>
      <c r="D22" s="37">
        <f>IFERROR(D21/D20-1,"")</f>
        <v/>
      </c>
      <c r="E22" s="37">
        <f>IFERROR(E21/E20-1,"")</f>
        <v/>
      </c>
      <c r="F22" s="37">
        <f>IFERROR(F21/F20-1,"")</f>
        <v/>
      </c>
    </row>
    <row r="24">
      <c r="A24" s="3" t="inlineStr">
        <is>
          <t>EPS — consensus</t>
        </is>
      </c>
      <c r="B24" s="38" t="n">
        <v>32.8052</v>
      </c>
      <c r="C24" s="38" t="n">
        <v>34.85317</v>
      </c>
      <c r="D24" s="38" t="n">
        <v>40.08727</v>
      </c>
      <c r="E24" s="38" t="n">
        <v>48.1129</v>
      </c>
      <c r="F24" s="38" t="n">
        <v>56.41286</v>
      </c>
    </row>
    <row r="25">
      <c r="A25" s="4" t="inlineStr">
        <is>
          <t xml:space="preserve">  model</t>
        </is>
      </c>
      <c r="B25" s="8">
        <f>Model!G25/Financials!AC17</f>
        <v/>
      </c>
      <c r="C25" s="8">
        <f>Model!H25/Financials!AC17</f>
        <v/>
      </c>
      <c r="D25" s="8">
        <f>Model!I25/Financials!AC17</f>
        <v/>
      </c>
      <c r="E25" s="8">
        <f>Model!J25/Financials!AC17</f>
        <v/>
      </c>
      <c r="F25" s="8">
        <f>Model!K25/Financials!AC17</f>
        <v/>
      </c>
    </row>
    <row r="26">
      <c r="A26" s="4" t="inlineStr">
        <is>
          <t xml:space="preserve">  vs consensus</t>
        </is>
      </c>
      <c r="B26" s="37">
        <f>IFERROR(B25/B24-1,"")</f>
        <v/>
      </c>
      <c r="C26" s="37">
        <f>IFERROR(C25/C24-1,"")</f>
        <v/>
      </c>
      <c r="D26" s="37">
        <f>IFERROR(D25/D24-1,"")</f>
        <v/>
      </c>
      <c r="E26" s="37">
        <f>IFERROR(E25/E24-1,"")</f>
        <v/>
      </c>
      <c r="F26" s="37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Meta Platforms, Inc.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WACC!B14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36" t="n">
        <v>2026</v>
      </c>
      <c r="D11" s="36" t="n">
        <v>2027</v>
      </c>
      <c r="E11" s="36" t="n">
        <v>2028</v>
      </c>
      <c r="F11" s="36" t="n">
        <v>2029</v>
      </c>
      <c r="G11" s="36" t="n">
        <v>2030</v>
      </c>
      <c r="H11" s="36" t="n">
        <v>2031</v>
      </c>
      <c r="I11" s="36" t="n">
        <v>2032</v>
      </c>
      <c r="J11" s="36" t="n">
        <v>2033</v>
      </c>
      <c r="K11" s="36" t="n">
        <v>2034</v>
      </c>
      <c r="L11" s="36" t="n">
        <v>2035</v>
      </c>
    </row>
    <row r="12">
      <c r="A12" s="4" t="inlineStr">
        <is>
          <t>FCFF ($M)</t>
        </is>
      </c>
      <c r="C12" s="28">
        <f>Model!G33</f>
        <v/>
      </c>
      <c r="D12" s="28">
        <f>Model!H33</f>
        <v/>
      </c>
      <c r="E12" s="28">
        <f>Model!I33</f>
        <v/>
      </c>
      <c r="F12" s="28">
        <f>Model!J33</f>
        <v/>
      </c>
      <c r="G12" s="28">
        <f>Model!K33</f>
        <v/>
      </c>
      <c r="H12" s="28">
        <f>Model!L33</f>
        <v/>
      </c>
      <c r="I12" s="28">
        <f>Model!M33</f>
        <v/>
      </c>
      <c r="J12" s="28">
        <f>Model!N33</f>
        <v/>
      </c>
      <c r="K12" s="28">
        <f>Model!O33</f>
        <v/>
      </c>
      <c r="L12" s="28">
        <f>Model!P33</f>
        <v/>
      </c>
    </row>
    <row r="13">
      <c r="A13" s="4" t="inlineStr">
        <is>
          <t>PV factor</t>
        </is>
      </c>
      <c r="C13" s="39">
        <f>1/(1+$B$3)^1</f>
        <v/>
      </c>
      <c r="D13" s="39">
        <f>1/(1+$B$3)^2</f>
        <v/>
      </c>
      <c r="E13" s="39">
        <f>1/(1+$B$3)^3</f>
        <v/>
      </c>
      <c r="F13" s="39">
        <f>1/(1+$B$3)^4</f>
        <v/>
      </c>
      <c r="G13" s="39">
        <f>1/(1+$B$3)^5</f>
        <v/>
      </c>
      <c r="H13" s="39">
        <f>1/(1+$B$3)^6</f>
        <v/>
      </c>
      <c r="I13" s="39">
        <f>1/(1+$B$3)^7</f>
        <v/>
      </c>
      <c r="J13" s="39">
        <f>1/(1+$B$3)^8</f>
        <v/>
      </c>
      <c r="K13" s="39">
        <f>1/(1+$B$3)^9</f>
        <v/>
      </c>
      <c r="L13" s="39">
        <f>1/(1+$B$3)^10</f>
        <v/>
      </c>
    </row>
    <row r="14">
      <c r="A14" s="4" t="inlineStr">
        <is>
          <t>PV of FCFF ($M)</t>
        </is>
      </c>
      <c r="C14" s="32">
        <f>C12*C13</f>
        <v/>
      </c>
      <c r="D14" s="32">
        <f>D12*D13</f>
        <v/>
      </c>
      <c r="E14" s="32">
        <f>E12*E13</f>
        <v/>
      </c>
      <c r="F14" s="32">
        <f>F12*F13</f>
        <v/>
      </c>
      <c r="G14" s="32">
        <f>G12*G13</f>
        <v/>
      </c>
      <c r="H14" s="32">
        <f>H12*H13</f>
        <v/>
      </c>
      <c r="I14" s="32">
        <f>I12*I13</f>
        <v/>
      </c>
      <c r="J14" s="32">
        <f>J12*J13</f>
        <v/>
      </c>
      <c r="K14" s="32">
        <f>K12*K13</f>
        <v/>
      </c>
      <c r="L14" s="32">
        <f>L12*L13</f>
        <v/>
      </c>
    </row>
    <row r="16">
      <c r="A16" s="3" t="inlineStr">
        <is>
          <t>Sum PV of FCFF</t>
        </is>
      </c>
      <c r="B16" s="3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32">
        <f>L12</f>
        <v/>
      </c>
    </row>
    <row r="20">
      <c r="A20" s="4" t="inlineStr">
        <is>
          <t>Terminal revenue</t>
        </is>
      </c>
      <c r="B20" s="28">
        <f>Model!P8</f>
        <v/>
      </c>
    </row>
    <row r="21">
      <c r="A21" s="4" t="inlineStr">
        <is>
          <t>Terminal EBIT</t>
        </is>
      </c>
      <c r="B21" s="28">
        <f>Model!P21</f>
        <v/>
      </c>
    </row>
    <row r="22">
      <c r="A22" s="4" t="inlineStr">
        <is>
          <t>Terminal EBITDA</t>
        </is>
      </c>
      <c r="B22" s="28">
        <f>Model!P21+Model!P26</f>
        <v/>
      </c>
    </row>
    <row r="23">
      <c r="A23" s="4" t="inlineStr">
        <is>
          <t>Terminal metric (per exit basis)</t>
        </is>
      </c>
      <c r="B23" s="3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32">
        <f>B23*$B$8</f>
        <v/>
      </c>
    </row>
    <row r="25">
      <c r="A25" s="4" t="inlineStr">
        <is>
          <t>PV of TV — exit multiple</t>
        </is>
      </c>
      <c r="B25" s="32">
        <f>B24/(1+$B$3)^10</f>
        <v/>
      </c>
    </row>
    <row r="26">
      <c r="A26" s="4" t="inlineStr">
        <is>
          <t>TV (perpetuity) = FCFF(1+g)/(WACC-g)</t>
        </is>
      </c>
      <c r="B26" s="32">
        <f>B19*(1+$B$4)/($B$3-$B$4)</f>
        <v/>
      </c>
    </row>
    <row r="27">
      <c r="A27" s="4" t="inlineStr">
        <is>
          <t>PV of TV — perpetuity</t>
        </is>
      </c>
      <c r="B27" s="32">
        <f>B26/(1+$B$3)^10</f>
        <v/>
      </c>
    </row>
    <row r="28">
      <c r="A28" s="3" t="inlineStr">
        <is>
          <t>PV of TV — SELECTED</t>
        </is>
      </c>
      <c r="B28" s="3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33">
        <f>B16+B28</f>
        <v/>
      </c>
    </row>
    <row r="32">
      <c r="A32" s="4" t="inlineStr">
        <is>
          <t>+ Cash &amp; ST investments</t>
        </is>
      </c>
      <c r="B32" s="28">
        <f>Financials!AC39</f>
        <v/>
      </c>
    </row>
    <row r="33">
      <c r="A33" s="4" t="inlineStr">
        <is>
          <t>- Long-term debt</t>
        </is>
      </c>
      <c r="B33" s="28">
        <f>-Financials!AC44</f>
        <v/>
      </c>
    </row>
    <row r="34">
      <c r="A34" s="3" t="inlineStr">
        <is>
          <t>Equity value</t>
        </is>
      </c>
      <c r="B34" s="33">
        <f>B31+B32+B33</f>
        <v/>
      </c>
    </row>
    <row r="35">
      <c r="A35" s="4" t="inlineStr">
        <is>
          <t>Diluted shares (M)</t>
        </is>
      </c>
      <c r="B35" s="28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7">
        <f>B28/B31</f>
        <v/>
      </c>
    </row>
    <row r="40">
      <c r="A40" s="4" t="inlineStr">
        <is>
          <t>Implied perpetuity g (from exit multiple)</t>
        </is>
      </c>
      <c r="B40" s="27">
        <f>(B24*$B$3-B19)/(B24+B19)</f>
        <v/>
      </c>
    </row>
    <row r="41">
      <c r="A41" s="4" t="inlineStr">
        <is>
          <t>Implied exit EV/EBITDA (from perpetuity)</t>
        </is>
      </c>
      <c r="B41" s="34">
        <f>B26/B22</f>
        <v/>
      </c>
    </row>
    <row r="42">
      <c r="A42" s="4" t="inlineStr">
        <is>
          <t>Upside / (downside) to fair value</t>
        </is>
      </c>
      <c r="B42" s="40">
        <f>B36/$B$2-1</f>
        <v/>
      </c>
    </row>
    <row r="44">
      <c r="A44" s="4" t="inlineStr">
        <is>
          <t>Owner cashflow / share</t>
        </is>
      </c>
      <c r="B44" s="41">
        <f>-$B$2</f>
        <v/>
      </c>
      <c r="C44" s="42">
        <f>C12/B35</f>
        <v/>
      </c>
      <c r="D44" s="42">
        <f>D12/B35</f>
        <v/>
      </c>
      <c r="E44" s="42">
        <f>E12/B35</f>
        <v/>
      </c>
      <c r="F44" s="42">
        <f>F12/B35</f>
        <v/>
      </c>
      <c r="G44" s="42">
        <f>G12/B35</f>
        <v/>
      </c>
      <c r="H44" s="42">
        <f>H12/B35</f>
        <v/>
      </c>
      <c r="I44" s="42">
        <f>I12/B35</f>
        <v/>
      </c>
      <c r="J44" s="42">
        <f>J12/B35</f>
        <v/>
      </c>
      <c r="K44" s="42">
        <f>K12/B35</f>
        <v/>
      </c>
      <c r="L44" s="42">
        <f>L12/B35+B36</f>
        <v/>
      </c>
    </row>
    <row r="45">
      <c r="A45" s="3" t="inlineStr">
        <is>
          <t>IRR (buy at price, hold 10y)</t>
        </is>
      </c>
      <c r="B45" s="29">
        <f>IRR(B44:L44)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Model!F8</f>
        <v/>
      </c>
      <c r="K2" s="27">
        <f>MAX(-0.05,NORMINV(RAND(),$C$6,$D$6))</f>
        <v/>
      </c>
      <c r="L2" s="27">
        <f>MAX(0.02,NORMINV(RAND(),$C$7,$D$7))</f>
        <v/>
      </c>
      <c r="M2" s="27">
        <f>MIN(0.16,MAX(0.05,NORMINV(RAND(),$C$8,$D$8)))</f>
        <v/>
      </c>
      <c r="N2" s="34">
        <f>MIN(24,MAX(5,NORMINV(RAND(),$C$9,$D$9)))</f>
        <v/>
      </c>
      <c r="O2" s="41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Model!F22</f>
        <v/>
      </c>
      <c r="K3" s="27">
        <f>MAX(-0.05,NORMINV(RAND(),$C$6,$D$6))</f>
        <v/>
      </c>
      <c r="L3" s="27">
        <f>MAX(0.02,NORMINV(RAND(),$C$7,$D$7))</f>
        <v/>
      </c>
      <c r="M3" s="27">
        <f>MIN(0.16,MAX(0.05,NORMINV(RAND(),$C$8,$D$8)))</f>
        <v/>
      </c>
      <c r="N3" s="34">
        <f>MIN(24,MAX(5,NORMINV(RAND(),$C$9,$D$9)))</f>
        <v/>
      </c>
      <c r="O3" s="41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39" t="n">
        <v>0.09263258461630325</v>
      </c>
      <c r="K4" s="27">
        <f>MAX(-0.05,NORMINV(RAND(),$C$6,$D$6))</f>
        <v/>
      </c>
      <c r="L4" s="27">
        <f>MAX(0.02,NORMINV(RAND(),$C$7,$D$7))</f>
        <v/>
      </c>
      <c r="M4" s="27">
        <f>MIN(0.16,MAX(0.05,NORMINV(RAND(),$C$8,$D$8)))</f>
        <v/>
      </c>
      <c r="N4" s="34">
        <f>MIN(24,MAX(5,NORMINV(RAND(),$C$9,$D$9)))</f>
        <v/>
      </c>
      <c r="O4" s="41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39" t="n">
        <v>3.454507950150409</v>
      </c>
      <c r="K5" s="27">
        <f>MAX(-0.05,NORMINV(RAND(),$C$6,$D$6))</f>
        <v/>
      </c>
      <c r="L5" s="27">
        <f>MAX(0.02,NORMINV(RAND(),$C$7,$D$7))</f>
        <v/>
      </c>
      <c r="M5" s="27">
        <f>MIN(0.16,MAX(0.05,NORMINV(RAND(),$C$8,$D$8)))</f>
        <v/>
      </c>
      <c r="N5" s="34">
        <f>MIN(24,MAX(5,NORMINV(RAND(),$C$9,$D$9)))</f>
        <v/>
      </c>
      <c r="O5" s="41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(Model!P8/Model!F8)^(1/10)-1</f>
        <v/>
      </c>
      <c r="D6" s="15" t="n">
        <v>0.03</v>
      </c>
      <c r="H6" s="4" t="inlineStr">
        <is>
          <t>nwc (% incr revenue)</t>
        </is>
      </c>
      <c r="I6" s="39" t="n">
        <v>0.005</v>
      </c>
      <c r="K6" s="27">
        <f>MAX(-0.05,NORMINV(RAND(),$C$6,$D$6))</f>
        <v/>
      </c>
      <c r="L6" s="27">
        <f>MAX(0.02,NORMINV(RAND(),$C$7,$D$7))</f>
        <v/>
      </c>
      <c r="M6" s="27">
        <f>MIN(0.16,MAX(0.05,NORMINV(RAND(),$C$8,$D$8)))</f>
        <v/>
      </c>
      <c r="N6" s="34">
        <f>MIN(24,MAX(5,NORMINV(RAND(),$C$9,$D$9)))</f>
        <v/>
      </c>
      <c r="O6" s="41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7">
        <f>MAX(-0.05,NORMINV(RAND(),$C$6,$D$6))</f>
        <v/>
      </c>
      <c r="L7" s="27">
        <f>MAX(0.02,NORMINV(RAND(),$C$7,$D$7))</f>
        <v/>
      </c>
      <c r="M7" s="27">
        <f>MIN(0.16,MAX(0.05,NORMINV(RAND(),$C$8,$D$8)))</f>
        <v/>
      </c>
      <c r="N7" s="34">
        <f>MIN(24,MAX(5,NORMINV(RAND(),$C$9,$D$9)))</f>
        <v/>
      </c>
      <c r="O7" s="41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WACC!B14</f>
        <v/>
      </c>
      <c r="D8" s="15" t="n">
        <v>0.005</v>
      </c>
      <c r="H8" s="4" t="inlineStr">
        <is>
          <t>k (calibration)</t>
        </is>
      </c>
      <c r="I8" s="39" t="n">
        <v>0.846650991607534</v>
      </c>
      <c r="K8" s="27">
        <f>MAX(-0.05,NORMINV(RAND(),$C$6,$D$6))</f>
        <v/>
      </c>
      <c r="L8" s="27">
        <f>MAX(0.02,NORMINV(RAND(),$C$7,$D$7))</f>
        <v/>
      </c>
      <c r="M8" s="27">
        <f>MIN(0.16,MAX(0.05,NORMINV(RAND(),$C$8,$D$8)))</f>
        <v/>
      </c>
      <c r="N8" s="34">
        <f>MIN(24,MAX(5,NORMINV(RAND(),$C$9,$D$9)))</f>
        <v/>
      </c>
      <c r="O8" s="41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Financials!AC39</f>
        <v/>
      </c>
      <c r="K9" s="27">
        <f>MAX(-0.05,NORMINV(RAND(),$C$6,$D$6))</f>
        <v/>
      </c>
      <c r="L9" s="27">
        <f>MAX(0.02,NORMINV(RAND(),$C$7,$D$7))</f>
        <v/>
      </c>
      <c r="M9" s="27">
        <f>MIN(0.16,MAX(0.05,NORMINV(RAND(),$C$8,$D$8)))</f>
        <v/>
      </c>
      <c r="N9" s="34">
        <f>MIN(24,MAX(5,NORMINV(RAND(),$C$9,$D$9)))</f>
        <v/>
      </c>
      <c r="O9" s="41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Financials!AC44</f>
        <v/>
      </c>
      <c r="K10" s="27">
        <f>MAX(-0.05,NORMINV(RAND(),$C$6,$D$6))</f>
        <v/>
      </c>
      <c r="L10" s="27">
        <f>MAX(0.02,NORMINV(RAND(),$C$7,$D$7))</f>
        <v/>
      </c>
      <c r="M10" s="27">
        <f>MIN(0.16,MAX(0.05,NORMINV(RAND(),$C$8,$D$8)))</f>
        <v/>
      </c>
      <c r="N10" s="34">
        <f>MIN(24,MAX(5,NORMINV(RAND(),$C$9,$D$9)))</f>
        <v/>
      </c>
      <c r="O10" s="41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7">
        <f>MAX(-0.05,NORMINV(RAND(),$C$6,$D$6))</f>
        <v/>
      </c>
      <c r="L11" s="27">
        <f>MAX(0.02,NORMINV(RAND(),$C$7,$D$7))</f>
        <v/>
      </c>
      <c r="M11" s="27">
        <f>MIN(0.16,MAX(0.05,NORMINV(RAND(),$C$8,$D$8)))</f>
        <v/>
      </c>
      <c r="N11" s="34">
        <f>MIN(24,MAX(5,NORMINV(RAND(),$C$9,$D$9)))</f>
        <v/>
      </c>
      <c r="O11" s="41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1">
        <f>AVERAGE($O$2:$O$1001)</f>
        <v/>
      </c>
      <c r="K12" s="27">
        <f>MAX(-0.05,NORMINV(RAND(),$C$6,$D$6))</f>
        <v/>
      </c>
      <c r="L12" s="27">
        <f>MAX(0.02,NORMINV(RAND(),$C$7,$D$7))</f>
        <v/>
      </c>
      <c r="M12" s="27">
        <f>MIN(0.16,MAX(0.05,NORMINV(RAND(),$C$8,$D$8)))</f>
        <v/>
      </c>
      <c r="N12" s="34">
        <f>MIN(24,MAX(5,NORMINV(RAND(),$C$9,$D$9)))</f>
        <v/>
      </c>
      <c r="O12" s="41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43">
        <f>MEDIAN($O$2:$O$1001)</f>
        <v/>
      </c>
      <c r="K13" s="27">
        <f>MAX(-0.05,NORMINV(RAND(),$C$6,$D$6))</f>
        <v/>
      </c>
      <c r="L13" s="27">
        <f>MAX(0.02,NORMINV(RAND(),$C$7,$D$7))</f>
        <v/>
      </c>
      <c r="M13" s="27">
        <f>MIN(0.16,MAX(0.05,NORMINV(RAND(),$C$8,$D$8)))</f>
        <v/>
      </c>
      <c r="N13" s="34">
        <f>MIN(24,MAX(5,NORMINV(RAND(),$C$9,$D$9)))</f>
        <v/>
      </c>
      <c r="O13" s="41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1">
        <f>STDEV($O$2:$O$1001)</f>
        <v/>
      </c>
      <c r="K14" s="27">
        <f>MAX(-0.05,NORMINV(RAND(),$C$6,$D$6))</f>
        <v/>
      </c>
      <c r="L14" s="27">
        <f>MAX(0.02,NORMINV(RAND(),$C$7,$D$7))</f>
        <v/>
      </c>
      <c r="M14" s="27">
        <f>MIN(0.16,MAX(0.05,NORMINV(RAND(),$C$8,$D$8)))</f>
        <v/>
      </c>
      <c r="N14" s="34">
        <f>MIN(24,MAX(5,NORMINV(RAND(),$C$9,$D$9)))</f>
        <v/>
      </c>
      <c r="O14" s="41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1">
        <f>MIN($O$2:$O$1001)</f>
        <v/>
      </c>
      <c r="K15" s="27">
        <f>MAX(-0.05,NORMINV(RAND(),$C$6,$D$6))</f>
        <v/>
      </c>
      <c r="L15" s="27">
        <f>MAX(0.02,NORMINV(RAND(),$C$7,$D$7))</f>
        <v/>
      </c>
      <c r="M15" s="27">
        <f>MIN(0.16,MAX(0.05,NORMINV(RAND(),$C$8,$D$8)))</f>
        <v/>
      </c>
      <c r="N15" s="34">
        <f>MIN(24,MAX(5,NORMINV(RAND(),$C$9,$D$9)))</f>
        <v/>
      </c>
      <c r="O15" s="41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1">
        <f>MAX($O$2:$O$1001)</f>
        <v/>
      </c>
      <c r="K16" s="27">
        <f>MAX(-0.05,NORMINV(RAND(),$C$6,$D$6))</f>
        <v/>
      </c>
      <c r="L16" s="27">
        <f>MAX(0.02,NORMINV(RAND(),$C$7,$D$7))</f>
        <v/>
      </c>
      <c r="M16" s="27">
        <f>MIN(0.16,MAX(0.05,NORMINV(RAND(),$C$8,$D$8)))</f>
        <v/>
      </c>
      <c r="N16" s="34">
        <f>MIN(24,MAX(5,NORMINV(RAND(),$C$9,$D$9)))</f>
        <v/>
      </c>
      <c r="O16" s="41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7">
        <f>MAX(-0.05,NORMINV(RAND(),$C$6,$D$6))</f>
        <v/>
      </c>
      <c r="L17" s="27">
        <f>MAX(0.02,NORMINV(RAND(),$C$7,$D$7))</f>
        <v/>
      </c>
      <c r="M17" s="27">
        <f>MIN(0.16,MAX(0.05,NORMINV(RAND(),$C$8,$D$8)))</f>
        <v/>
      </c>
      <c r="N17" s="34">
        <f>MIN(24,MAX(5,NORMINV(RAND(),$C$9,$D$9)))</f>
        <v/>
      </c>
      <c r="O17" s="41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7">
        <f>MAX(-0.05,NORMINV(RAND(),$C$6,$D$6))</f>
        <v/>
      </c>
      <c r="L18" s="27">
        <f>MAX(0.02,NORMINV(RAND(),$C$7,$D$7))</f>
        <v/>
      </c>
      <c r="M18" s="27">
        <f>MIN(0.16,MAX(0.05,NORMINV(RAND(),$C$8,$D$8)))</f>
        <v/>
      </c>
      <c r="N18" s="34">
        <f>MIN(24,MAX(5,NORMINV(RAND(),$C$9,$D$9)))</f>
        <v/>
      </c>
      <c r="O18" s="41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7">
        <f>MAX(-0.05,NORMINV(RAND(),$C$6,$D$6))</f>
        <v/>
      </c>
      <c r="L19" s="27">
        <f>MAX(0.02,NORMINV(RAND(),$C$7,$D$7))</f>
        <v/>
      </c>
      <c r="M19" s="27">
        <f>MIN(0.16,MAX(0.05,NORMINV(RAND(),$C$8,$D$8)))</f>
        <v/>
      </c>
      <c r="N19" s="34">
        <f>MIN(24,MAX(5,NORMINV(RAND(),$C$9,$D$9)))</f>
        <v/>
      </c>
      <c r="O19" s="41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7">
        <f>MAX(-0.05,NORMINV(RAND(),$C$6,$D$6))</f>
        <v/>
      </c>
      <c r="L20" s="27">
        <f>MAX(0.02,NORMINV(RAND(),$C$7,$D$7))</f>
        <v/>
      </c>
      <c r="M20" s="27">
        <f>MIN(0.16,MAX(0.05,NORMINV(RAND(),$C$8,$D$8)))</f>
        <v/>
      </c>
      <c r="N20" s="34">
        <f>MIN(24,MAX(5,NORMINV(RAND(),$C$9,$D$9)))</f>
        <v/>
      </c>
      <c r="O20" s="41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7">
        <f>MAX(-0.05,NORMINV(RAND(),$C$6,$D$6))</f>
        <v/>
      </c>
      <c r="L21" s="27">
        <f>MAX(0.02,NORMINV(RAND(),$C$7,$D$7))</f>
        <v/>
      </c>
      <c r="M21" s="27">
        <f>MIN(0.16,MAX(0.05,NORMINV(RAND(),$C$8,$D$8)))</f>
        <v/>
      </c>
      <c r="N21" s="34">
        <f>MIN(24,MAX(5,NORMINV(RAND(),$C$9,$D$9)))</f>
        <v/>
      </c>
      <c r="O21" s="41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7">
        <f>MAX(-0.05,NORMINV(RAND(),$C$6,$D$6))</f>
        <v/>
      </c>
      <c r="L22" s="27">
        <f>MAX(0.02,NORMINV(RAND(),$C$7,$D$7))</f>
        <v/>
      </c>
      <c r="M22" s="27">
        <f>MIN(0.16,MAX(0.05,NORMINV(RAND(),$C$8,$D$8)))</f>
        <v/>
      </c>
      <c r="N22" s="34">
        <f>MIN(24,MAX(5,NORMINV(RAND(),$C$9,$D$9)))</f>
        <v/>
      </c>
      <c r="O22" s="41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7">
        <f>MAX(-0.05,NORMINV(RAND(),$C$6,$D$6))</f>
        <v/>
      </c>
      <c r="L23" s="27">
        <f>MAX(0.02,NORMINV(RAND(),$C$7,$D$7))</f>
        <v/>
      </c>
      <c r="M23" s="27">
        <f>MIN(0.16,MAX(0.05,NORMINV(RAND(),$C$8,$D$8)))</f>
        <v/>
      </c>
      <c r="N23" s="34">
        <f>MIN(24,MAX(5,NORMINV(RAND(),$C$9,$D$9)))</f>
        <v/>
      </c>
      <c r="O23" s="41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1">
        <f>PERCENTILE($O$2:$O$1001,0.05)</f>
        <v/>
      </c>
      <c r="K24" s="27">
        <f>MAX(-0.05,NORMINV(RAND(),$C$6,$D$6))</f>
        <v/>
      </c>
      <c r="L24" s="27">
        <f>MAX(0.02,NORMINV(RAND(),$C$7,$D$7))</f>
        <v/>
      </c>
      <c r="M24" s="27">
        <f>MIN(0.16,MAX(0.05,NORMINV(RAND(),$C$8,$D$8)))</f>
        <v/>
      </c>
      <c r="N24" s="34">
        <f>MIN(24,MAX(5,NORMINV(RAND(),$C$9,$D$9)))</f>
        <v/>
      </c>
      <c r="O24" s="41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1">
        <f>PERCENTILE($O$2:$O$1001,0.1)</f>
        <v/>
      </c>
      <c r="K25" s="27">
        <f>MAX(-0.05,NORMINV(RAND(),$C$6,$D$6))</f>
        <v/>
      </c>
      <c r="L25" s="27">
        <f>MAX(0.02,NORMINV(RAND(),$C$7,$D$7))</f>
        <v/>
      </c>
      <c r="M25" s="27">
        <f>MIN(0.16,MAX(0.05,NORMINV(RAND(),$C$8,$D$8)))</f>
        <v/>
      </c>
      <c r="N25" s="34">
        <f>MIN(24,MAX(5,NORMINV(RAND(),$C$9,$D$9)))</f>
        <v/>
      </c>
      <c r="O25" s="41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1">
        <f>PERCENTILE($O$2:$O$1001,0.25)</f>
        <v/>
      </c>
      <c r="K26" s="27">
        <f>MAX(-0.05,NORMINV(RAND(),$C$6,$D$6))</f>
        <v/>
      </c>
      <c r="L26" s="27">
        <f>MAX(0.02,NORMINV(RAND(),$C$7,$D$7))</f>
        <v/>
      </c>
      <c r="M26" s="27">
        <f>MIN(0.16,MAX(0.05,NORMINV(RAND(),$C$8,$D$8)))</f>
        <v/>
      </c>
      <c r="N26" s="34">
        <f>MIN(24,MAX(5,NORMINV(RAND(),$C$9,$D$9)))</f>
        <v/>
      </c>
      <c r="O26" s="41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1">
        <f>PERCENTILE($O$2:$O$1001,0.5)</f>
        <v/>
      </c>
      <c r="K27" s="27">
        <f>MAX(-0.05,NORMINV(RAND(),$C$6,$D$6))</f>
        <v/>
      </c>
      <c r="L27" s="27">
        <f>MAX(0.02,NORMINV(RAND(),$C$7,$D$7))</f>
        <v/>
      </c>
      <c r="M27" s="27">
        <f>MIN(0.16,MAX(0.05,NORMINV(RAND(),$C$8,$D$8)))</f>
        <v/>
      </c>
      <c r="N27" s="34">
        <f>MIN(24,MAX(5,NORMINV(RAND(),$C$9,$D$9)))</f>
        <v/>
      </c>
      <c r="O27" s="41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1">
        <f>PERCENTILE($O$2:$O$1001,0.75)</f>
        <v/>
      </c>
      <c r="K28" s="27">
        <f>MAX(-0.05,NORMINV(RAND(),$C$6,$D$6))</f>
        <v/>
      </c>
      <c r="L28" s="27">
        <f>MAX(0.02,NORMINV(RAND(),$C$7,$D$7))</f>
        <v/>
      </c>
      <c r="M28" s="27">
        <f>MIN(0.16,MAX(0.05,NORMINV(RAND(),$C$8,$D$8)))</f>
        <v/>
      </c>
      <c r="N28" s="34">
        <f>MIN(24,MAX(5,NORMINV(RAND(),$C$9,$D$9)))</f>
        <v/>
      </c>
      <c r="O28" s="41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1">
        <f>PERCENTILE($O$2:$O$1001,0.9)</f>
        <v/>
      </c>
      <c r="K29" s="27">
        <f>MAX(-0.05,NORMINV(RAND(),$C$6,$D$6))</f>
        <v/>
      </c>
      <c r="L29" s="27">
        <f>MAX(0.02,NORMINV(RAND(),$C$7,$D$7))</f>
        <v/>
      </c>
      <c r="M29" s="27">
        <f>MIN(0.16,MAX(0.05,NORMINV(RAND(),$C$8,$D$8)))</f>
        <v/>
      </c>
      <c r="N29" s="34">
        <f>MIN(24,MAX(5,NORMINV(RAND(),$C$9,$D$9)))</f>
        <v/>
      </c>
      <c r="O29" s="41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1">
        <f>PERCENTILE($O$2:$O$1001,0.95)</f>
        <v/>
      </c>
      <c r="K30" s="27">
        <f>MAX(-0.05,NORMINV(RAND(),$C$6,$D$6))</f>
        <v/>
      </c>
      <c r="L30" s="27">
        <f>MAX(0.02,NORMINV(RAND(),$C$7,$D$7))</f>
        <v/>
      </c>
      <c r="M30" s="27">
        <f>MIN(0.16,MAX(0.05,NORMINV(RAND(),$C$8,$D$8)))</f>
        <v/>
      </c>
      <c r="N30" s="34">
        <f>MIN(24,MAX(5,NORMINV(RAND(),$C$9,$D$9)))</f>
        <v/>
      </c>
      <c r="O30" s="41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7">
        <f>MAX(-0.05,NORMINV(RAND(),$C$6,$D$6))</f>
        <v/>
      </c>
      <c r="L31" s="27">
        <f>MAX(0.02,NORMINV(RAND(),$C$7,$D$7))</f>
        <v/>
      </c>
      <c r="M31" s="27">
        <f>MIN(0.16,MAX(0.05,NORMINV(RAND(),$C$8,$D$8)))</f>
        <v/>
      </c>
      <c r="N31" s="34">
        <f>MIN(24,MAX(5,NORMINV(RAND(),$C$9,$D$9)))</f>
        <v/>
      </c>
      <c r="O31" s="41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7">
        <f>MAX(-0.05,NORMINV(RAND(),$C$6,$D$6))</f>
        <v/>
      </c>
      <c r="L32" s="27">
        <f>MAX(0.02,NORMINV(RAND(),$C$7,$D$7))</f>
        <v/>
      </c>
      <c r="M32" s="27">
        <f>MIN(0.16,MAX(0.05,NORMINV(RAND(),$C$8,$D$8)))</f>
        <v/>
      </c>
      <c r="N32" s="34">
        <f>MIN(24,MAX(5,NORMINV(RAND(),$C$9,$D$9)))</f>
        <v/>
      </c>
      <c r="O32" s="41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7">
        <f>MAX(-0.05,NORMINV(RAND(),$C$6,$D$6))</f>
        <v/>
      </c>
      <c r="L33" s="27">
        <f>MAX(0.02,NORMINV(RAND(),$C$7,$D$7))</f>
        <v/>
      </c>
      <c r="M33" s="27">
        <f>MIN(0.16,MAX(0.05,NORMINV(RAND(),$C$8,$D$8)))</f>
        <v/>
      </c>
      <c r="N33" s="34">
        <f>MIN(24,MAX(5,NORMINV(RAND(),$C$9,$D$9)))</f>
        <v/>
      </c>
      <c r="O33" s="41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44">
        <f>$B$15+0.5*($B$16-$B$15)/15</f>
        <v/>
      </c>
      <c r="B34" s="4">
        <f>COUNTIFS($O$2:$O$1001,"&gt;="&amp;($B$15+0*($B$16-$B$15)/15),$O$2:$O$1001,"&lt;"&amp;($B$15+1*($B$16-$B$15)/15))</f>
        <v/>
      </c>
      <c r="K34" s="27">
        <f>MAX(-0.05,NORMINV(RAND(),$C$6,$D$6))</f>
        <v/>
      </c>
      <c r="L34" s="27">
        <f>MAX(0.02,NORMINV(RAND(),$C$7,$D$7))</f>
        <v/>
      </c>
      <c r="M34" s="27">
        <f>MIN(0.16,MAX(0.05,NORMINV(RAND(),$C$8,$D$8)))</f>
        <v/>
      </c>
      <c r="N34" s="34">
        <f>MIN(24,MAX(5,NORMINV(RAND(),$C$9,$D$9)))</f>
        <v/>
      </c>
      <c r="O34" s="41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44">
        <f>$B$15+1.5*($B$16-$B$15)/15</f>
        <v/>
      </c>
      <c r="B35" s="4">
        <f>COUNTIFS($O$2:$O$1001,"&gt;="&amp;($B$15+1*($B$16-$B$15)/15),$O$2:$O$1001,"&lt;"&amp;($B$15+2*($B$16-$B$15)/15))</f>
        <v/>
      </c>
      <c r="K35" s="27">
        <f>MAX(-0.05,NORMINV(RAND(),$C$6,$D$6))</f>
        <v/>
      </c>
      <c r="L35" s="27">
        <f>MAX(0.02,NORMINV(RAND(),$C$7,$D$7))</f>
        <v/>
      </c>
      <c r="M35" s="27">
        <f>MIN(0.16,MAX(0.05,NORMINV(RAND(),$C$8,$D$8)))</f>
        <v/>
      </c>
      <c r="N35" s="34">
        <f>MIN(24,MAX(5,NORMINV(RAND(),$C$9,$D$9)))</f>
        <v/>
      </c>
      <c r="O35" s="41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44">
        <f>$B$15+2.5*($B$16-$B$15)/15</f>
        <v/>
      </c>
      <c r="B36" s="4">
        <f>COUNTIFS($O$2:$O$1001,"&gt;="&amp;($B$15+2*($B$16-$B$15)/15),$O$2:$O$1001,"&lt;"&amp;($B$15+3*($B$16-$B$15)/15))</f>
        <v/>
      </c>
      <c r="K36" s="27">
        <f>MAX(-0.05,NORMINV(RAND(),$C$6,$D$6))</f>
        <v/>
      </c>
      <c r="L36" s="27">
        <f>MAX(0.02,NORMINV(RAND(),$C$7,$D$7))</f>
        <v/>
      </c>
      <c r="M36" s="27">
        <f>MIN(0.16,MAX(0.05,NORMINV(RAND(),$C$8,$D$8)))</f>
        <v/>
      </c>
      <c r="N36" s="34">
        <f>MIN(24,MAX(5,NORMINV(RAND(),$C$9,$D$9)))</f>
        <v/>
      </c>
      <c r="O36" s="41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44">
        <f>$B$15+3.5*($B$16-$B$15)/15</f>
        <v/>
      </c>
      <c r="B37" s="4">
        <f>COUNTIFS($O$2:$O$1001,"&gt;="&amp;($B$15+3*($B$16-$B$15)/15),$O$2:$O$1001,"&lt;"&amp;($B$15+4*($B$16-$B$15)/15))</f>
        <v/>
      </c>
      <c r="K37" s="27">
        <f>MAX(-0.05,NORMINV(RAND(),$C$6,$D$6))</f>
        <v/>
      </c>
      <c r="L37" s="27">
        <f>MAX(0.02,NORMINV(RAND(),$C$7,$D$7))</f>
        <v/>
      </c>
      <c r="M37" s="27">
        <f>MIN(0.16,MAX(0.05,NORMINV(RAND(),$C$8,$D$8)))</f>
        <v/>
      </c>
      <c r="N37" s="34">
        <f>MIN(24,MAX(5,NORMINV(RAND(),$C$9,$D$9)))</f>
        <v/>
      </c>
      <c r="O37" s="41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44">
        <f>$B$15+4.5*($B$16-$B$15)/15</f>
        <v/>
      </c>
      <c r="B38" s="4">
        <f>COUNTIFS($O$2:$O$1001,"&gt;="&amp;($B$15+4*($B$16-$B$15)/15),$O$2:$O$1001,"&lt;"&amp;($B$15+5*($B$16-$B$15)/15))</f>
        <v/>
      </c>
      <c r="K38" s="27">
        <f>MAX(-0.05,NORMINV(RAND(),$C$6,$D$6))</f>
        <v/>
      </c>
      <c r="L38" s="27">
        <f>MAX(0.02,NORMINV(RAND(),$C$7,$D$7))</f>
        <v/>
      </c>
      <c r="M38" s="27">
        <f>MIN(0.16,MAX(0.05,NORMINV(RAND(),$C$8,$D$8)))</f>
        <v/>
      </c>
      <c r="N38" s="34">
        <f>MIN(24,MAX(5,NORMINV(RAND(),$C$9,$D$9)))</f>
        <v/>
      </c>
      <c r="O38" s="41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44">
        <f>$B$15+5.5*($B$16-$B$15)/15</f>
        <v/>
      </c>
      <c r="B39" s="4">
        <f>COUNTIFS($O$2:$O$1001,"&gt;="&amp;($B$15+5*($B$16-$B$15)/15),$O$2:$O$1001,"&lt;"&amp;($B$15+6*($B$16-$B$15)/15))</f>
        <v/>
      </c>
      <c r="K39" s="27">
        <f>MAX(-0.05,NORMINV(RAND(),$C$6,$D$6))</f>
        <v/>
      </c>
      <c r="L39" s="27">
        <f>MAX(0.02,NORMINV(RAND(),$C$7,$D$7))</f>
        <v/>
      </c>
      <c r="M39" s="27">
        <f>MIN(0.16,MAX(0.05,NORMINV(RAND(),$C$8,$D$8)))</f>
        <v/>
      </c>
      <c r="N39" s="34">
        <f>MIN(24,MAX(5,NORMINV(RAND(),$C$9,$D$9)))</f>
        <v/>
      </c>
      <c r="O39" s="41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44">
        <f>$B$15+6.5*($B$16-$B$15)/15</f>
        <v/>
      </c>
      <c r="B40" s="4">
        <f>COUNTIFS($O$2:$O$1001,"&gt;="&amp;($B$15+6*($B$16-$B$15)/15),$O$2:$O$1001,"&lt;"&amp;($B$15+7*($B$16-$B$15)/15))</f>
        <v/>
      </c>
      <c r="K40" s="27">
        <f>MAX(-0.05,NORMINV(RAND(),$C$6,$D$6))</f>
        <v/>
      </c>
      <c r="L40" s="27">
        <f>MAX(0.02,NORMINV(RAND(),$C$7,$D$7))</f>
        <v/>
      </c>
      <c r="M40" s="27">
        <f>MIN(0.16,MAX(0.05,NORMINV(RAND(),$C$8,$D$8)))</f>
        <v/>
      </c>
      <c r="N40" s="34">
        <f>MIN(24,MAX(5,NORMINV(RAND(),$C$9,$D$9)))</f>
        <v/>
      </c>
      <c r="O40" s="41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44">
        <f>$B$15+7.5*($B$16-$B$15)/15</f>
        <v/>
      </c>
      <c r="B41" s="4">
        <f>COUNTIFS($O$2:$O$1001,"&gt;="&amp;($B$15+7*($B$16-$B$15)/15),$O$2:$O$1001,"&lt;"&amp;($B$15+8*($B$16-$B$15)/15))</f>
        <v/>
      </c>
      <c r="K41" s="27">
        <f>MAX(-0.05,NORMINV(RAND(),$C$6,$D$6))</f>
        <v/>
      </c>
      <c r="L41" s="27">
        <f>MAX(0.02,NORMINV(RAND(),$C$7,$D$7))</f>
        <v/>
      </c>
      <c r="M41" s="27">
        <f>MIN(0.16,MAX(0.05,NORMINV(RAND(),$C$8,$D$8)))</f>
        <v/>
      </c>
      <c r="N41" s="34">
        <f>MIN(24,MAX(5,NORMINV(RAND(),$C$9,$D$9)))</f>
        <v/>
      </c>
      <c r="O41" s="41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44">
        <f>$B$15+8.5*($B$16-$B$15)/15</f>
        <v/>
      </c>
      <c r="B42" s="4">
        <f>COUNTIFS($O$2:$O$1001,"&gt;="&amp;($B$15+8*($B$16-$B$15)/15),$O$2:$O$1001,"&lt;"&amp;($B$15+9*($B$16-$B$15)/15))</f>
        <v/>
      </c>
      <c r="K42" s="27">
        <f>MAX(-0.05,NORMINV(RAND(),$C$6,$D$6))</f>
        <v/>
      </c>
      <c r="L42" s="27">
        <f>MAX(0.02,NORMINV(RAND(),$C$7,$D$7))</f>
        <v/>
      </c>
      <c r="M42" s="27">
        <f>MIN(0.16,MAX(0.05,NORMINV(RAND(),$C$8,$D$8)))</f>
        <v/>
      </c>
      <c r="N42" s="34">
        <f>MIN(24,MAX(5,NORMINV(RAND(),$C$9,$D$9)))</f>
        <v/>
      </c>
      <c r="O42" s="41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44">
        <f>$B$15+9.5*($B$16-$B$15)/15</f>
        <v/>
      </c>
      <c r="B43" s="4">
        <f>COUNTIFS($O$2:$O$1001,"&gt;="&amp;($B$15+9*($B$16-$B$15)/15),$O$2:$O$1001,"&lt;"&amp;($B$15+10*($B$16-$B$15)/15))</f>
        <v/>
      </c>
      <c r="K43" s="27">
        <f>MAX(-0.05,NORMINV(RAND(),$C$6,$D$6))</f>
        <v/>
      </c>
      <c r="L43" s="27">
        <f>MAX(0.02,NORMINV(RAND(),$C$7,$D$7))</f>
        <v/>
      </c>
      <c r="M43" s="27">
        <f>MIN(0.16,MAX(0.05,NORMINV(RAND(),$C$8,$D$8)))</f>
        <v/>
      </c>
      <c r="N43" s="34">
        <f>MIN(24,MAX(5,NORMINV(RAND(),$C$9,$D$9)))</f>
        <v/>
      </c>
      <c r="O43" s="41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44">
        <f>$B$15+10.5*($B$16-$B$15)/15</f>
        <v/>
      </c>
      <c r="B44" s="4">
        <f>COUNTIFS($O$2:$O$1001,"&gt;="&amp;($B$15+10*($B$16-$B$15)/15),$O$2:$O$1001,"&lt;"&amp;($B$15+11*($B$16-$B$15)/15))</f>
        <v/>
      </c>
      <c r="K44" s="27">
        <f>MAX(-0.05,NORMINV(RAND(),$C$6,$D$6))</f>
        <v/>
      </c>
      <c r="L44" s="27">
        <f>MAX(0.02,NORMINV(RAND(),$C$7,$D$7))</f>
        <v/>
      </c>
      <c r="M44" s="27">
        <f>MIN(0.16,MAX(0.05,NORMINV(RAND(),$C$8,$D$8)))</f>
        <v/>
      </c>
      <c r="N44" s="34">
        <f>MIN(24,MAX(5,NORMINV(RAND(),$C$9,$D$9)))</f>
        <v/>
      </c>
      <c r="O44" s="41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44">
        <f>$B$15+11.5*($B$16-$B$15)/15</f>
        <v/>
      </c>
      <c r="B45" s="4">
        <f>COUNTIFS($O$2:$O$1001,"&gt;="&amp;($B$15+11*($B$16-$B$15)/15),$O$2:$O$1001,"&lt;"&amp;($B$15+12*($B$16-$B$15)/15))</f>
        <v/>
      </c>
      <c r="K45" s="27">
        <f>MAX(-0.05,NORMINV(RAND(),$C$6,$D$6))</f>
        <v/>
      </c>
      <c r="L45" s="27">
        <f>MAX(0.02,NORMINV(RAND(),$C$7,$D$7))</f>
        <v/>
      </c>
      <c r="M45" s="27">
        <f>MIN(0.16,MAX(0.05,NORMINV(RAND(),$C$8,$D$8)))</f>
        <v/>
      </c>
      <c r="N45" s="34">
        <f>MIN(24,MAX(5,NORMINV(RAND(),$C$9,$D$9)))</f>
        <v/>
      </c>
      <c r="O45" s="41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44">
        <f>$B$15+12.5*($B$16-$B$15)/15</f>
        <v/>
      </c>
      <c r="B46" s="4">
        <f>COUNTIFS($O$2:$O$1001,"&gt;="&amp;($B$15+12*($B$16-$B$15)/15),$O$2:$O$1001,"&lt;"&amp;($B$15+13*($B$16-$B$15)/15))</f>
        <v/>
      </c>
      <c r="K46" s="27">
        <f>MAX(-0.05,NORMINV(RAND(),$C$6,$D$6))</f>
        <v/>
      </c>
      <c r="L46" s="27">
        <f>MAX(0.02,NORMINV(RAND(),$C$7,$D$7))</f>
        <v/>
      </c>
      <c r="M46" s="27">
        <f>MIN(0.16,MAX(0.05,NORMINV(RAND(),$C$8,$D$8)))</f>
        <v/>
      </c>
      <c r="N46" s="34">
        <f>MIN(24,MAX(5,NORMINV(RAND(),$C$9,$D$9)))</f>
        <v/>
      </c>
      <c r="O46" s="41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44">
        <f>$B$15+13.5*($B$16-$B$15)/15</f>
        <v/>
      </c>
      <c r="B47" s="4">
        <f>COUNTIFS($O$2:$O$1001,"&gt;="&amp;($B$15+13*($B$16-$B$15)/15),$O$2:$O$1001,"&lt;"&amp;($B$15+14*($B$16-$B$15)/15))</f>
        <v/>
      </c>
      <c r="K47" s="27">
        <f>MAX(-0.05,NORMINV(RAND(),$C$6,$D$6))</f>
        <v/>
      </c>
      <c r="L47" s="27">
        <f>MAX(0.02,NORMINV(RAND(),$C$7,$D$7))</f>
        <v/>
      </c>
      <c r="M47" s="27">
        <f>MIN(0.16,MAX(0.05,NORMINV(RAND(),$C$8,$D$8)))</f>
        <v/>
      </c>
      <c r="N47" s="34">
        <f>MIN(24,MAX(5,NORMINV(RAND(),$C$9,$D$9)))</f>
        <v/>
      </c>
      <c r="O47" s="41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44">
        <f>$B$15+14.5*($B$16-$B$15)/15</f>
        <v/>
      </c>
      <c r="B48" s="4">
        <f>COUNTIF($O$2:$O$1001,"&gt;="&amp;($B$15+14*($B$16-$B$15)/15))</f>
        <v/>
      </c>
      <c r="K48" s="27">
        <f>MAX(-0.05,NORMINV(RAND(),$C$6,$D$6))</f>
        <v/>
      </c>
      <c r="L48" s="27">
        <f>MAX(0.02,NORMINV(RAND(),$C$7,$D$7))</f>
        <v/>
      </c>
      <c r="M48" s="27">
        <f>MIN(0.16,MAX(0.05,NORMINV(RAND(),$C$8,$D$8)))</f>
        <v/>
      </c>
      <c r="N48" s="34">
        <f>MIN(24,MAX(5,NORMINV(RAND(),$C$9,$D$9)))</f>
        <v/>
      </c>
      <c r="O48" s="41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7">
        <f>MAX(-0.05,NORMINV(RAND(),$C$6,$D$6))</f>
        <v/>
      </c>
      <c r="L49" s="27">
        <f>MAX(0.02,NORMINV(RAND(),$C$7,$D$7))</f>
        <v/>
      </c>
      <c r="M49" s="27">
        <f>MIN(0.16,MAX(0.05,NORMINV(RAND(),$C$8,$D$8)))</f>
        <v/>
      </c>
      <c r="N49" s="34">
        <f>MIN(24,MAX(5,NORMINV(RAND(),$C$9,$D$9)))</f>
        <v/>
      </c>
      <c r="O49" s="41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7">
        <f>MAX(-0.05,NORMINV(RAND(),$C$6,$D$6))</f>
        <v/>
      </c>
      <c r="L50" s="27">
        <f>MAX(0.02,NORMINV(RAND(),$C$7,$D$7))</f>
        <v/>
      </c>
      <c r="M50" s="27">
        <f>MIN(0.16,MAX(0.05,NORMINV(RAND(),$C$8,$D$8)))</f>
        <v/>
      </c>
      <c r="N50" s="34">
        <f>MIN(24,MAX(5,NORMINV(RAND(),$C$9,$D$9)))</f>
        <v/>
      </c>
      <c r="O50" s="41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7">
        <f>MAX(-0.05,NORMINV(RAND(),$C$6,$D$6))</f>
        <v/>
      </c>
      <c r="L51" s="27">
        <f>MAX(0.02,NORMINV(RAND(),$C$7,$D$7))</f>
        <v/>
      </c>
      <c r="M51" s="27">
        <f>MIN(0.16,MAX(0.05,NORMINV(RAND(),$C$8,$D$8)))</f>
        <v/>
      </c>
      <c r="N51" s="34">
        <f>MIN(24,MAX(5,NORMINV(RAND(),$C$9,$D$9)))</f>
        <v/>
      </c>
      <c r="O51" s="41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7">
        <f>MAX(-0.05,NORMINV(RAND(),$C$6,$D$6))</f>
        <v/>
      </c>
      <c r="L52" s="27">
        <f>MAX(0.02,NORMINV(RAND(),$C$7,$D$7))</f>
        <v/>
      </c>
      <c r="M52" s="27">
        <f>MIN(0.16,MAX(0.05,NORMINV(RAND(),$C$8,$D$8)))</f>
        <v/>
      </c>
      <c r="N52" s="34">
        <f>MIN(24,MAX(5,NORMINV(RAND(),$C$9,$D$9)))</f>
        <v/>
      </c>
      <c r="O52" s="41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7">
        <f>MAX(-0.05,NORMINV(RAND(),$C$6,$D$6))</f>
        <v/>
      </c>
      <c r="L53" s="27">
        <f>MAX(0.02,NORMINV(RAND(),$C$7,$D$7))</f>
        <v/>
      </c>
      <c r="M53" s="27">
        <f>MIN(0.16,MAX(0.05,NORMINV(RAND(),$C$8,$D$8)))</f>
        <v/>
      </c>
      <c r="N53" s="34">
        <f>MIN(24,MAX(5,NORMINV(RAND(),$C$9,$D$9)))</f>
        <v/>
      </c>
      <c r="O53" s="41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7">
        <f>MAX(-0.05,NORMINV(RAND(),$C$6,$D$6))</f>
        <v/>
      </c>
      <c r="L54" s="27">
        <f>MAX(0.02,NORMINV(RAND(),$C$7,$D$7))</f>
        <v/>
      </c>
      <c r="M54" s="27">
        <f>MIN(0.16,MAX(0.05,NORMINV(RAND(),$C$8,$D$8)))</f>
        <v/>
      </c>
      <c r="N54" s="34">
        <f>MIN(24,MAX(5,NORMINV(RAND(),$C$9,$D$9)))</f>
        <v/>
      </c>
      <c r="O54" s="41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7">
        <f>MAX(-0.05,NORMINV(RAND(),$C$6,$D$6))</f>
        <v/>
      </c>
      <c r="L55" s="27">
        <f>MAX(0.02,NORMINV(RAND(),$C$7,$D$7))</f>
        <v/>
      </c>
      <c r="M55" s="27">
        <f>MIN(0.16,MAX(0.05,NORMINV(RAND(),$C$8,$D$8)))</f>
        <v/>
      </c>
      <c r="N55" s="34">
        <f>MIN(24,MAX(5,NORMINV(RAND(),$C$9,$D$9)))</f>
        <v/>
      </c>
      <c r="O55" s="41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7">
        <f>MAX(-0.05,NORMINV(RAND(),$C$6,$D$6))</f>
        <v/>
      </c>
      <c r="L56" s="27">
        <f>MAX(0.02,NORMINV(RAND(),$C$7,$D$7))</f>
        <v/>
      </c>
      <c r="M56" s="27">
        <f>MIN(0.16,MAX(0.05,NORMINV(RAND(),$C$8,$D$8)))</f>
        <v/>
      </c>
      <c r="N56" s="34">
        <f>MIN(24,MAX(5,NORMINV(RAND(),$C$9,$D$9)))</f>
        <v/>
      </c>
      <c r="O56" s="41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7">
        <f>MAX(-0.05,NORMINV(RAND(),$C$6,$D$6))</f>
        <v/>
      </c>
      <c r="L57" s="27">
        <f>MAX(0.02,NORMINV(RAND(),$C$7,$D$7))</f>
        <v/>
      </c>
      <c r="M57" s="27">
        <f>MIN(0.16,MAX(0.05,NORMINV(RAND(),$C$8,$D$8)))</f>
        <v/>
      </c>
      <c r="N57" s="34">
        <f>MIN(24,MAX(5,NORMINV(RAND(),$C$9,$D$9)))</f>
        <v/>
      </c>
      <c r="O57" s="41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7">
        <f>MAX(-0.05,NORMINV(RAND(),$C$6,$D$6))</f>
        <v/>
      </c>
      <c r="L58" s="27">
        <f>MAX(0.02,NORMINV(RAND(),$C$7,$D$7))</f>
        <v/>
      </c>
      <c r="M58" s="27">
        <f>MIN(0.16,MAX(0.05,NORMINV(RAND(),$C$8,$D$8)))</f>
        <v/>
      </c>
      <c r="N58" s="34">
        <f>MIN(24,MAX(5,NORMINV(RAND(),$C$9,$D$9)))</f>
        <v/>
      </c>
      <c r="O58" s="41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7">
        <f>MAX(-0.05,NORMINV(RAND(),$C$6,$D$6))</f>
        <v/>
      </c>
      <c r="L59" s="27">
        <f>MAX(0.02,NORMINV(RAND(),$C$7,$D$7))</f>
        <v/>
      </c>
      <c r="M59" s="27">
        <f>MIN(0.16,MAX(0.05,NORMINV(RAND(),$C$8,$D$8)))</f>
        <v/>
      </c>
      <c r="N59" s="34">
        <f>MIN(24,MAX(5,NORMINV(RAND(),$C$9,$D$9)))</f>
        <v/>
      </c>
      <c r="O59" s="41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7">
        <f>MAX(-0.05,NORMINV(RAND(),$C$6,$D$6))</f>
        <v/>
      </c>
      <c r="L60" s="27">
        <f>MAX(0.02,NORMINV(RAND(),$C$7,$D$7))</f>
        <v/>
      </c>
      <c r="M60" s="27">
        <f>MIN(0.16,MAX(0.05,NORMINV(RAND(),$C$8,$D$8)))</f>
        <v/>
      </c>
      <c r="N60" s="34">
        <f>MIN(24,MAX(5,NORMINV(RAND(),$C$9,$D$9)))</f>
        <v/>
      </c>
      <c r="O60" s="41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7">
        <f>MAX(-0.05,NORMINV(RAND(),$C$6,$D$6))</f>
        <v/>
      </c>
      <c r="L61" s="27">
        <f>MAX(0.02,NORMINV(RAND(),$C$7,$D$7))</f>
        <v/>
      </c>
      <c r="M61" s="27">
        <f>MIN(0.16,MAX(0.05,NORMINV(RAND(),$C$8,$D$8)))</f>
        <v/>
      </c>
      <c r="N61" s="34">
        <f>MIN(24,MAX(5,NORMINV(RAND(),$C$9,$D$9)))</f>
        <v/>
      </c>
      <c r="O61" s="41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7">
        <f>MAX(-0.05,NORMINV(RAND(),$C$6,$D$6))</f>
        <v/>
      </c>
      <c r="L62" s="27">
        <f>MAX(0.02,NORMINV(RAND(),$C$7,$D$7))</f>
        <v/>
      </c>
      <c r="M62" s="27">
        <f>MIN(0.16,MAX(0.05,NORMINV(RAND(),$C$8,$D$8)))</f>
        <v/>
      </c>
      <c r="N62" s="34">
        <f>MIN(24,MAX(5,NORMINV(RAND(),$C$9,$D$9)))</f>
        <v/>
      </c>
      <c r="O62" s="41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7">
        <f>MAX(-0.05,NORMINV(RAND(),$C$6,$D$6))</f>
        <v/>
      </c>
      <c r="L63" s="27">
        <f>MAX(0.02,NORMINV(RAND(),$C$7,$D$7))</f>
        <v/>
      </c>
      <c r="M63" s="27">
        <f>MIN(0.16,MAX(0.05,NORMINV(RAND(),$C$8,$D$8)))</f>
        <v/>
      </c>
      <c r="N63" s="34">
        <f>MIN(24,MAX(5,NORMINV(RAND(),$C$9,$D$9)))</f>
        <v/>
      </c>
      <c r="O63" s="41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7">
        <f>MAX(-0.05,NORMINV(RAND(),$C$6,$D$6))</f>
        <v/>
      </c>
      <c r="L64" s="27">
        <f>MAX(0.02,NORMINV(RAND(),$C$7,$D$7))</f>
        <v/>
      </c>
      <c r="M64" s="27">
        <f>MIN(0.16,MAX(0.05,NORMINV(RAND(),$C$8,$D$8)))</f>
        <v/>
      </c>
      <c r="N64" s="34">
        <f>MIN(24,MAX(5,NORMINV(RAND(),$C$9,$D$9)))</f>
        <v/>
      </c>
      <c r="O64" s="41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7">
        <f>MAX(-0.05,NORMINV(RAND(),$C$6,$D$6))</f>
        <v/>
      </c>
      <c r="L65" s="27">
        <f>MAX(0.02,NORMINV(RAND(),$C$7,$D$7))</f>
        <v/>
      </c>
      <c r="M65" s="27">
        <f>MIN(0.16,MAX(0.05,NORMINV(RAND(),$C$8,$D$8)))</f>
        <v/>
      </c>
      <c r="N65" s="34">
        <f>MIN(24,MAX(5,NORMINV(RAND(),$C$9,$D$9)))</f>
        <v/>
      </c>
      <c r="O65" s="41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7">
        <f>MAX(-0.05,NORMINV(RAND(),$C$6,$D$6))</f>
        <v/>
      </c>
      <c r="L66" s="27">
        <f>MAX(0.02,NORMINV(RAND(),$C$7,$D$7))</f>
        <v/>
      </c>
      <c r="M66" s="27">
        <f>MIN(0.16,MAX(0.05,NORMINV(RAND(),$C$8,$D$8)))</f>
        <v/>
      </c>
      <c r="N66" s="34">
        <f>MIN(24,MAX(5,NORMINV(RAND(),$C$9,$D$9)))</f>
        <v/>
      </c>
      <c r="O66" s="41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7">
        <f>MAX(-0.05,NORMINV(RAND(),$C$6,$D$6))</f>
        <v/>
      </c>
      <c r="L67" s="27">
        <f>MAX(0.02,NORMINV(RAND(),$C$7,$D$7))</f>
        <v/>
      </c>
      <c r="M67" s="27">
        <f>MIN(0.16,MAX(0.05,NORMINV(RAND(),$C$8,$D$8)))</f>
        <v/>
      </c>
      <c r="N67" s="34">
        <f>MIN(24,MAX(5,NORMINV(RAND(),$C$9,$D$9)))</f>
        <v/>
      </c>
      <c r="O67" s="41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7">
        <f>MAX(-0.05,NORMINV(RAND(),$C$6,$D$6))</f>
        <v/>
      </c>
      <c r="L68" s="27">
        <f>MAX(0.02,NORMINV(RAND(),$C$7,$D$7))</f>
        <v/>
      </c>
      <c r="M68" s="27">
        <f>MIN(0.16,MAX(0.05,NORMINV(RAND(),$C$8,$D$8)))</f>
        <v/>
      </c>
      <c r="N68" s="34">
        <f>MIN(24,MAX(5,NORMINV(RAND(),$C$9,$D$9)))</f>
        <v/>
      </c>
      <c r="O68" s="41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7">
        <f>MAX(-0.05,NORMINV(RAND(),$C$6,$D$6))</f>
        <v/>
      </c>
      <c r="L69" s="27">
        <f>MAX(0.02,NORMINV(RAND(),$C$7,$D$7))</f>
        <v/>
      </c>
      <c r="M69" s="27">
        <f>MIN(0.16,MAX(0.05,NORMINV(RAND(),$C$8,$D$8)))</f>
        <v/>
      </c>
      <c r="N69" s="34">
        <f>MIN(24,MAX(5,NORMINV(RAND(),$C$9,$D$9)))</f>
        <v/>
      </c>
      <c r="O69" s="41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7">
        <f>MAX(-0.05,NORMINV(RAND(),$C$6,$D$6))</f>
        <v/>
      </c>
      <c r="L70" s="27">
        <f>MAX(0.02,NORMINV(RAND(),$C$7,$D$7))</f>
        <v/>
      </c>
      <c r="M70" s="27">
        <f>MIN(0.16,MAX(0.05,NORMINV(RAND(),$C$8,$D$8)))</f>
        <v/>
      </c>
      <c r="N70" s="34">
        <f>MIN(24,MAX(5,NORMINV(RAND(),$C$9,$D$9)))</f>
        <v/>
      </c>
      <c r="O70" s="41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7">
        <f>MAX(-0.05,NORMINV(RAND(),$C$6,$D$6))</f>
        <v/>
      </c>
      <c r="L71" s="27">
        <f>MAX(0.02,NORMINV(RAND(),$C$7,$D$7))</f>
        <v/>
      </c>
      <c r="M71" s="27">
        <f>MIN(0.16,MAX(0.05,NORMINV(RAND(),$C$8,$D$8)))</f>
        <v/>
      </c>
      <c r="N71" s="34">
        <f>MIN(24,MAX(5,NORMINV(RAND(),$C$9,$D$9)))</f>
        <v/>
      </c>
      <c r="O71" s="41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7">
        <f>MAX(-0.05,NORMINV(RAND(),$C$6,$D$6))</f>
        <v/>
      </c>
      <c r="L72" s="27">
        <f>MAX(0.02,NORMINV(RAND(),$C$7,$D$7))</f>
        <v/>
      </c>
      <c r="M72" s="27">
        <f>MIN(0.16,MAX(0.05,NORMINV(RAND(),$C$8,$D$8)))</f>
        <v/>
      </c>
      <c r="N72" s="34">
        <f>MIN(24,MAX(5,NORMINV(RAND(),$C$9,$D$9)))</f>
        <v/>
      </c>
      <c r="O72" s="41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7">
        <f>MAX(-0.05,NORMINV(RAND(),$C$6,$D$6))</f>
        <v/>
      </c>
      <c r="L73" s="27">
        <f>MAX(0.02,NORMINV(RAND(),$C$7,$D$7))</f>
        <v/>
      </c>
      <c r="M73" s="27">
        <f>MIN(0.16,MAX(0.05,NORMINV(RAND(),$C$8,$D$8)))</f>
        <v/>
      </c>
      <c r="N73" s="34">
        <f>MIN(24,MAX(5,NORMINV(RAND(),$C$9,$D$9)))</f>
        <v/>
      </c>
      <c r="O73" s="41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7">
        <f>MAX(-0.05,NORMINV(RAND(),$C$6,$D$6))</f>
        <v/>
      </c>
      <c r="L74" s="27">
        <f>MAX(0.02,NORMINV(RAND(),$C$7,$D$7))</f>
        <v/>
      </c>
      <c r="M74" s="27">
        <f>MIN(0.16,MAX(0.05,NORMINV(RAND(),$C$8,$D$8)))</f>
        <v/>
      </c>
      <c r="N74" s="34">
        <f>MIN(24,MAX(5,NORMINV(RAND(),$C$9,$D$9)))</f>
        <v/>
      </c>
      <c r="O74" s="41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7">
        <f>MAX(-0.05,NORMINV(RAND(),$C$6,$D$6))</f>
        <v/>
      </c>
      <c r="L75" s="27">
        <f>MAX(0.02,NORMINV(RAND(),$C$7,$D$7))</f>
        <v/>
      </c>
      <c r="M75" s="27">
        <f>MIN(0.16,MAX(0.05,NORMINV(RAND(),$C$8,$D$8)))</f>
        <v/>
      </c>
      <c r="N75" s="34">
        <f>MIN(24,MAX(5,NORMINV(RAND(),$C$9,$D$9)))</f>
        <v/>
      </c>
      <c r="O75" s="41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7">
        <f>MAX(-0.05,NORMINV(RAND(),$C$6,$D$6))</f>
        <v/>
      </c>
      <c r="L76" s="27">
        <f>MAX(0.02,NORMINV(RAND(),$C$7,$D$7))</f>
        <v/>
      </c>
      <c r="M76" s="27">
        <f>MIN(0.16,MAX(0.05,NORMINV(RAND(),$C$8,$D$8)))</f>
        <v/>
      </c>
      <c r="N76" s="34">
        <f>MIN(24,MAX(5,NORMINV(RAND(),$C$9,$D$9)))</f>
        <v/>
      </c>
      <c r="O76" s="41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7">
        <f>MAX(-0.05,NORMINV(RAND(),$C$6,$D$6))</f>
        <v/>
      </c>
      <c r="L77" s="27">
        <f>MAX(0.02,NORMINV(RAND(),$C$7,$D$7))</f>
        <v/>
      </c>
      <c r="M77" s="27">
        <f>MIN(0.16,MAX(0.05,NORMINV(RAND(),$C$8,$D$8)))</f>
        <v/>
      </c>
      <c r="N77" s="34">
        <f>MIN(24,MAX(5,NORMINV(RAND(),$C$9,$D$9)))</f>
        <v/>
      </c>
      <c r="O77" s="41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7">
        <f>MAX(-0.05,NORMINV(RAND(),$C$6,$D$6))</f>
        <v/>
      </c>
      <c r="L78" s="27">
        <f>MAX(0.02,NORMINV(RAND(),$C$7,$D$7))</f>
        <v/>
      </c>
      <c r="M78" s="27">
        <f>MIN(0.16,MAX(0.05,NORMINV(RAND(),$C$8,$D$8)))</f>
        <v/>
      </c>
      <c r="N78" s="34">
        <f>MIN(24,MAX(5,NORMINV(RAND(),$C$9,$D$9)))</f>
        <v/>
      </c>
      <c r="O78" s="41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7">
        <f>MAX(-0.05,NORMINV(RAND(),$C$6,$D$6))</f>
        <v/>
      </c>
      <c r="L79" s="27">
        <f>MAX(0.02,NORMINV(RAND(),$C$7,$D$7))</f>
        <v/>
      </c>
      <c r="M79" s="27">
        <f>MIN(0.16,MAX(0.05,NORMINV(RAND(),$C$8,$D$8)))</f>
        <v/>
      </c>
      <c r="N79" s="34">
        <f>MIN(24,MAX(5,NORMINV(RAND(),$C$9,$D$9)))</f>
        <v/>
      </c>
      <c r="O79" s="41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7">
        <f>MAX(-0.05,NORMINV(RAND(),$C$6,$D$6))</f>
        <v/>
      </c>
      <c r="L80" s="27">
        <f>MAX(0.02,NORMINV(RAND(),$C$7,$D$7))</f>
        <v/>
      </c>
      <c r="M80" s="27">
        <f>MIN(0.16,MAX(0.05,NORMINV(RAND(),$C$8,$D$8)))</f>
        <v/>
      </c>
      <c r="N80" s="34">
        <f>MIN(24,MAX(5,NORMINV(RAND(),$C$9,$D$9)))</f>
        <v/>
      </c>
      <c r="O80" s="41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7">
        <f>MAX(-0.05,NORMINV(RAND(),$C$6,$D$6))</f>
        <v/>
      </c>
      <c r="L81" s="27">
        <f>MAX(0.02,NORMINV(RAND(),$C$7,$D$7))</f>
        <v/>
      </c>
      <c r="M81" s="27">
        <f>MIN(0.16,MAX(0.05,NORMINV(RAND(),$C$8,$D$8)))</f>
        <v/>
      </c>
      <c r="N81" s="34">
        <f>MIN(24,MAX(5,NORMINV(RAND(),$C$9,$D$9)))</f>
        <v/>
      </c>
      <c r="O81" s="41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7">
        <f>MAX(-0.05,NORMINV(RAND(),$C$6,$D$6))</f>
        <v/>
      </c>
      <c r="L82" s="27">
        <f>MAX(0.02,NORMINV(RAND(),$C$7,$D$7))</f>
        <v/>
      </c>
      <c r="M82" s="27">
        <f>MIN(0.16,MAX(0.05,NORMINV(RAND(),$C$8,$D$8)))</f>
        <v/>
      </c>
      <c r="N82" s="34">
        <f>MIN(24,MAX(5,NORMINV(RAND(),$C$9,$D$9)))</f>
        <v/>
      </c>
      <c r="O82" s="41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7">
        <f>MAX(-0.05,NORMINV(RAND(),$C$6,$D$6))</f>
        <v/>
      </c>
      <c r="L83" s="27">
        <f>MAX(0.02,NORMINV(RAND(),$C$7,$D$7))</f>
        <v/>
      </c>
      <c r="M83" s="27">
        <f>MIN(0.16,MAX(0.05,NORMINV(RAND(),$C$8,$D$8)))</f>
        <v/>
      </c>
      <c r="N83" s="34">
        <f>MIN(24,MAX(5,NORMINV(RAND(),$C$9,$D$9)))</f>
        <v/>
      </c>
      <c r="O83" s="41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7">
        <f>MAX(-0.05,NORMINV(RAND(),$C$6,$D$6))</f>
        <v/>
      </c>
      <c r="L84" s="27">
        <f>MAX(0.02,NORMINV(RAND(),$C$7,$D$7))</f>
        <v/>
      </c>
      <c r="M84" s="27">
        <f>MIN(0.16,MAX(0.05,NORMINV(RAND(),$C$8,$D$8)))</f>
        <v/>
      </c>
      <c r="N84" s="34">
        <f>MIN(24,MAX(5,NORMINV(RAND(),$C$9,$D$9)))</f>
        <v/>
      </c>
      <c r="O84" s="41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7">
        <f>MAX(-0.05,NORMINV(RAND(),$C$6,$D$6))</f>
        <v/>
      </c>
      <c r="L85" s="27">
        <f>MAX(0.02,NORMINV(RAND(),$C$7,$D$7))</f>
        <v/>
      </c>
      <c r="M85" s="27">
        <f>MIN(0.16,MAX(0.05,NORMINV(RAND(),$C$8,$D$8)))</f>
        <v/>
      </c>
      <c r="N85" s="34">
        <f>MIN(24,MAX(5,NORMINV(RAND(),$C$9,$D$9)))</f>
        <v/>
      </c>
      <c r="O85" s="41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7">
        <f>MAX(-0.05,NORMINV(RAND(),$C$6,$D$6))</f>
        <v/>
      </c>
      <c r="L86" s="27">
        <f>MAX(0.02,NORMINV(RAND(),$C$7,$D$7))</f>
        <v/>
      </c>
      <c r="M86" s="27">
        <f>MIN(0.16,MAX(0.05,NORMINV(RAND(),$C$8,$D$8)))</f>
        <v/>
      </c>
      <c r="N86" s="34">
        <f>MIN(24,MAX(5,NORMINV(RAND(),$C$9,$D$9)))</f>
        <v/>
      </c>
      <c r="O86" s="41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7">
        <f>MAX(-0.05,NORMINV(RAND(),$C$6,$D$6))</f>
        <v/>
      </c>
      <c r="L87" s="27">
        <f>MAX(0.02,NORMINV(RAND(),$C$7,$D$7))</f>
        <v/>
      </c>
      <c r="M87" s="27">
        <f>MIN(0.16,MAX(0.05,NORMINV(RAND(),$C$8,$D$8)))</f>
        <v/>
      </c>
      <c r="N87" s="34">
        <f>MIN(24,MAX(5,NORMINV(RAND(),$C$9,$D$9)))</f>
        <v/>
      </c>
      <c r="O87" s="41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7">
        <f>MAX(-0.05,NORMINV(RAND(),$C$6,$D$6))</f>
        <v/>
      </c>
      <c r="L88" s="27">
        <f>MAX(0.02,NORMINV(RAND(),$C$7,$D$7))</f>
        <v/>
      </c>
      <c r="M88" s="27">
        <f>MIN(0.16,MAX(0.05,NORMINV(RAND(),$C$8,$D$8)))</f>
        <v/>
      </c>
      <c r="N88" s="34">
        <f>MIN(24,MAX(5,NORMINV(RAND(),$C$9,$D$9)))</f>
        <v/>
      </c>
      <c r="O88" s="41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7">
        <f>MAX(-0.05,NORMINV(RAND(),$C$6,$D$6))</f>
        <v/>
      </c>
      <c r="L89" s="27">
        <f>MAX(0.02,NORMINV(RAND(),$C$7,$D$7))</f>
        <v/>
      </c>
      <c r="M89" s="27">
        <f>MIN(0.16,MAX(0.05,NORMINV(RAND(),$C$8,$D$8)))</f>
        <v/>
      </c>
      <c r="N89" s="34">
        <f>MIN(24,MAX(5,NORMINV(RAND(),$C$9,$D$9)))</f>
        <v/>
      </c>
      <c r="O89" s="41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7">
        <f>MAX(-0.05,NORMINV(RAND(),$C$6,$D$6))</f>
        <v/>
      </c>
      <c r="L90" s="27">
        <f>MAX(0.02,NORMINV(RAND(),$C$7,$D$7))</f>
        <v/>
      </c>
      <c r="M90" s="27">
        <f>MIN(0.16,MAX(0.05,NORMINV(RAND(),$C$8,$D$8)))</f>
        <v/>
      </c>
      <c r="N90" s="34">
        <f>MIN(24,MAX(5,NORMINV(RAND(),$C$9,$D$9)))</f>
        <v/>
      </c>
      <c r="O90" s="41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7">
        <f>MAX(-0.05,NORMINV(RAND(),$C$6,$D$6))</f>
        <v/>
      </c>
      <c r="L91" s="27">
        <f>MAX(0.02,NORMINV(RAND(),$C$7,$D$7))</f>
        <v/>
      </c>
      <c r="M91" s="27">
        <f>MIN(0.16,MAX(0.05,NORMINV(RAND(),$C$8,$D$8)))</f>
        <v/>
      </c>
      <c r="N91" s="34">
        <f>MIN(24,MAX(5,NORMINV(RAND(),$C$9,$D$9)))</f>
        <v/>
      </c>
      <c r="O91" s="41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7">
        <f>MAX(-0.05,NORMINV(RAND(),$C$6,$D$6))</f>
        <v/>
      </c>
      <c r="L92" s="27">
        <f>MAX(0.02,NORMINV(RAND(),$C$7,$D$7))</f>
        <v/>
      </c>
      <c r="M92" s="27">
        <f>MIN(0.16,MAX(0.05,NORMINV(RAND(),$C$8,$D$8)))</f>
        <v/>
      </c>
      <c r="N92" s="34">
        <f>MIN(24,MAX(5,NORMINV(RAND(),$C$9,$D$9)))</f>
        <v/>
      </c>
      <c r="O92" s="41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7">
        <f>MAX(-0.05,NORMINV(RAND(),$C$6,$D$6))</f>
        <v/>
      </c>
      <c r="L93" s="27">
        <f>MAX(0.02,NORMINV(RAND(),$C$7,$D$7))</f>
        <v/>
      </c>
      <c r="M93" s="27">
        <f>MIN(0.16,MAX(0.05,NORMINV(RAND(),$C$8,$D$8)))</f>
        <v/>
      </c>
      <c r="N93" s="34">
        <f>MIN(24,MAX(5,NORMINV(RAND(),$C$9,$D$9)))</f>
        <v/>
      </c>
      <c r="O93" s="41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7">
        <f>MAX(-0.05,NORMINV(RAND(),$C$6,$D$6))</f>
        <v/>
      </c>
      <c r="L94" s="27">
        <f>MAX(0.02,NORMINV(RAND(),$C$7,$D$7))</f>
        <v/>
      </c>
      <c r="M94" s="27">
        <f>MIN(0.16,MAX(0.05,NORMINV(RAND(),$C$8,$D$8)))</f>
        <v/>
      </c>
      <c r="N94" s="34">
        <f>MIN(24,MAX(5,NORMINV(RAND(),$C$9,$D$9)))</f>
        <v/>
      </c>
      <c r="O94" s="41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7">
        <f>MAX(-0.05,NORMINV(RAND(),$C$6,$D$6))</f>
        <v/>
      </c>
      <c r="L95" s="27">
        <f>MAX(0.02,NORMINV(RAND(),$C$7,$D$7))</f>
        <v/>
      </c>
      <c r="M95" s="27">
        <f>MIN(0.16,MAX(0.05,NORMINV(RAND(),$C$8,$D$8)))</f>
        <v/>
      </c>
      <c r="N95" s="34">
        <f>MIN(24,MAX(5,NORMINV(RAND(),$C$9,$D$9)))</f>
        <v/>
      </c>
      <c r="O95" s="41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7">
        <f>MAX(-0.05,NORMINV(RAND(),$C$6,$D$6))</f>
        <v/>
      </c>
      <c r="L96" s="27">
        <f>MAX(0.02,NORMINV(RAND(),$C$7,$D$7))</f>
        <v/>
      </c>
      <c r="M96" s="27">
        <f>MIN(0.16,MAX(0.05,NORMINV(RAND(),$C$8,$D$8)))</f>
        <v/>
      </c>
      <c r="N96" s="34">
        <f>MIN(24,MAX(5,NORMINV(RAND(),$C$9,$D$9)))</f>
        <v/>
      </c>
      <c r="O96" s="41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7">
        <f>MAX(-0.05,NORMINV(RAND(),$C$6,$D$6))</f>
        <v/>
      </c>
      <c r="L97" s="27">
        <f>MAX(0.02,NORMINV(RAND(),$C$7,$D$7))</f>
        <v/>
      </c>
      <c r="M97" s="27">
        <f>MIN(0.16,MAX(0.05,NORMINV(RAND(),$C$8,$D$8)))</f>
        <v/>
      </c>
      <c r="N97" s="34">
        <f>MIN(24,MAX(5,NORMINV(RAND(),$C$9,$D$9)))</f>
        <v/>
      </c>
      <c r="O97" s="41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7">
        <f>MAX(-0.05,NORMINV(RAND(),$C$6,$D$6))</f>
        <v/>
      </c>
      <c r="L98" s="27">
        <f>MAX(0.02,NORMINV(RAND(),$C$7,$D$7))</f>
        <v/>
      </c>
      <c r="M98" s="27">
        <f>MIN(0.16,MAX(0.05,NORMINV(RAND(),$C$8,$D$8)))</f>
        <v/>
      </c>
      <c r="N98" s="34">
        <f>MIN(24,MAX(5,NORMINV(RAND(),$C$9,$D$9)))</f>
        <v/>
      </c>
      <c r="O98" s="41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7">
        <f>MAX(-0.05,NORMINV(RAND(),$C$6,$D$6))</f>
        <v/>
      </c>
      <c r="L99" s="27">
        <f>MAX(0.02,NORMINV(RAND(),$C$7,$D$7))</f>
        <v/>
      </c>
      <c r="M99" s="27">
        <f>MIN(0.16,MAX(0.05,NORMINV(RAND(),$C$8,$D$8)))</f>
        <v/>
      </c>
      <c r="N99" s="34">
        <f>MIN(24,MAX(5,NORMINV(RAND(),$C$9,$D$9)))</f>
        <v/>
      </c>
      <c r="O99" s="41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7">
        <f>MAX(-0.05,NORMINV(RAND(),$C$6,$D$6))</f>
        <v/>
      </c>
      <c r="L100" s="27">
        <f>MAX(0.02,NORMINV(RAND(),$C$7,$D$7))</f>
        <v/>
      </c>
      <c r="M100" s="27">
        <f>MIN(0.16,MAX(0.05,NORMINV(RAND(),$C$8,$D$8)))</f>
        <v/>
      </c>
      <c r="N100" s="34">
        <f>MIN(24,MAX(5,NORMINV(RAND(),$C$9,$D$9)))</f>
        <v/>
      </c>
      <c r="O100" s="41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7">
        <f>MAX(-0.05,NORMINV(RAND(),$C$6,$D$6))</f>
        <v/>
      </c>
      <c r="L101" s="27">
        <f>MAX(0.02,NORMINV(RAND(),$C$7,$D$7))</f>
        <v/>
      </c>
      <c r="M101" s="27">
        <f>MIN(0.16,MAX(0.05,NORMINV(RAND(),$C$8,$D$8)))</f>
        <v/>
      </c>
      <c r="N101" s="34">
        <f>MIN(24,MAX(5,NORMINV(RAND(),$C$9,$D$9)))</f>
        <v/>
      </c>
      <c r="O101" s="41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7">
        <f>MAX(-0.05,NORMINV(RAND(),$C$6,$D$6))</f>
        <v/>
      </c>
      <c r="L102" s="27">
        <f>MAX(0.02,NORMINV(RAND(),$C$7,$D$7))</f>
        <v/>
      </c>
      <c r="M102" s="27">
        <f>MIN(0.16,MAX(0.05,NORMINV(RAND(),$C$8,$D$8)))</f>
        <v/>
      </c>
      <c r="N102" s="34">
        <f>MIN(24,MAX(5,NORMINV(RAND(),$C$9,$D$9)))</f>
        <v/>
      </c>
      <c r="O102" s="41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7">
        <f>MAX(-0.05,NORMINV(RAND(),$C$6,$D$6))</f>
        <v/>
      </c>
      <c r="L103" s="27">
        <f>MAX(0.02,NORMINV(RAND(),$C$7,$D$7))</f>
        <v/>
      </c>
      <c r="M103" s="27">
        <f>MIN(0.16,MAX(0.05,NORMINV(RAND(),$C$8,$D$8)))</f>
        <v/>
      </c>
      <c r="N103" s="34">
        <f>MIN(24,MAX(5,NORMINV(RAND(),$C$9,$D$9)))</f>
        <v/>
      </c>
      <c r="O103" s="41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7">
        <f>MAX(-0.05,NORMINV(RAND(),$C$6,$D$6))</f>
        <v/>
      </c>
      <c r="L104" s="27">
        <f>MAX(0.02,NORMINV(RAND(),$C$7,$D$7))</f>
        <v/>
      </c>
      <c r="M104" s="27">
        <f>MIN(0.16,MAX(0.05,NORMINV(RAND(),$C$8,$D$8)))</f>
        <v/>
      </c>
      <c r="N104" s="34">
        <f>MIN(24,MAX(5,NORMINV(RAND(),$C$9,$D$9)))</f>
        <v/>
      </c>
      <c r="O104" s="41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7">
        <f>MAX(-0.05,NORMINV(RAND(),$C$6,$D$6))</f>
        <v/>
      </c>
      <c r="L105" s="27">
        <f>MAX(0.02,NORMINV(RAND(),$C$7,$D$7))</f>
        <v/>
      </c>
      <c r="M105" s="27">
        <f>MIN(0.16,MAX(0.05,NORMINV(RAND(),$C$8,$D$8)))</f>
        <v/>
      </c>
      <c r="N105" s="34">
        <f>MIN(24,MAX(5,NORMINV(RAND(),$C$9,$D$9)))</f>
        <v/>
      </c>
      <c r="O105" s="41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7">
        <f>MAX(-0.05,NORMINV(RAND(),$C$6,$D$6))</f>
        <v/>
      </c>
      <c r="L106" s="27">
        <f>MAX(0.02,NORMINV(RAND(),$C$7,$D$7))</f>
        <v/>
      </c>
      <c r="M106" s="27">
        <f>MIN(0.16,MAX(0.05,NORMINV(RAND(),$C$8,$D$8)))</f>
        <v/>
      </c>
      <c r="N106" s="34">
        <f>MIN(24,MAX(5,NORMINV(RAND(),$C$9,$D$9)))</f>
        <v/>
      </c>
      <c r="O106" s="41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7">
        <f>MAX(-0.05,NORMINV(RAND(),$C$6,$D$6))</f>
        <v/>
      </c>
      <c r="L107" s="27">
        <f>MAX(0.02,NORMINV(RAND(),$C$7,$D$7))</f>
        <v/>
      </c>
      <c r="M107" s="27">
        <f>MIN(0.16,MAX(0.05,NORMINV(RAND(),$C$8,$D$8)))</f>
        <v/>
      </c>
      <c r="N107" s="34">
        <f>MIN(24,MAX(5,NORMINV(RAND(),$C$9,$D$9)))</f>
        <v/>
      </c>
      <c r="O107" s="41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7">
        <f>MAX(-0.05,NORMINV(RAND(),$C$6,$D$6))</f>
        <v/>
      </c>
      <c r="L108" s="27">
        <f>MAX(0.02,NORMINV(RAND(),$C$7,$D$7))</f>
        <v/>
      </c>
      <c r="M108" s="27">
        <f>MIN(0.16,MAX(0.05,NORMINV(RAND(),$C$8,$D$8)))</f>
        <v/>
      </c>
      <c r="N108" s="34">
        <f>MIN(24,MAX(5,NORMINV(RAND(),$C$9,$D$9)))</f>
        <v/>
      </c>
      <c r="O108" s="41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7">
        <f>MAX(-0.05,NORMINV(RAND(),$C$6,$D$6))</f>
        <v/>
      </c>
      <c r="L109" s="27">
        <f>MAX(0.02,NORMINV(RAND(),$C$7,$D$7))</f>
        <v/>
      </c>
      <c r="M109" s="27">
        <f>MIN(0.16,MAX(0.05,NORMINV(RAND(),$C$8,$D$8)))</f>
        <v/>
      </c>
      <c r="N109" s="34">
        <f>MIN(24,MAX(5,NORMINV(RAND(),$C$9,$D$9)))</f>
        <v/>
      </c>
      <c r="O109" s="41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7">
        <f>MAX(-0.05,NORMINV(RAND(),$C$6,$D$6))</f>
        <v/>
      </c>
      <c r="L110" s="27">
        <f>MAX(0.02,NORMINV(RAND(),$C$7,$D$7))</f>
        <v/>
      </c>
      <c r="M110" s="27">
        <f>MIN(0.16,MAX(0.05,NORMINV(RAND(),$C$8,$D$8)))</f>
        <v/>
      </c>
      <c r="N110" s="34">
        <f>MIN(24,MAX(5,NORMINV(RAND(),$C$9,$D$9)))</f>
        <v/>
      </c>
      <c r="O110" s="41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7">
        <f>MAX(-0.05,NORMINV(RAND(),$C$6,$D$6))</f>
        <v/>
      </c>
      <c r="L111" s="27">
        <f>MAX(0.02,NORMINV(RAND(),$C$7,$D$7))</f>
        <v/>
      </c>
      <c r="M111" s="27">
        <f>MIN(0.16,MAX(0.05,NORMINV(RAND(),$C$8,$D$8)))</f>
        <v/>
      </c>
      <c r="N111" s="34">
        <f>MIN(24,MAX(5,NORMINV(RAND(),$C$9,$D$9)))</f>
        <v/>
      </c>
      <c r="O111" s="41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7">
        <f>MAX(-0.05,NORMINV(RAND(),$C$6,$D$6))</f>
        <v/>
      </c>
      <c r="L112" s="27">
        <f>MAX(0.02,NORMINV(RAND(),$C$7,$D$7))</f>
        <v/>
      </c>
      <c r="M112" s="27">
        <f>MIN(0.16,MAX(0.05,NORMINV(RAND(),$C$8,$D$8)))</f>
        <v/>
      </c>
      <c r="N112" s="34">
        <f>MIN(24,MAX(5,NORMINV(RAND(),$C$9,$D$9)))</f>
        <v/>
      </c>
      <c r="O112" s="41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7">
        <f>MAX(-0.05,NORMINV(RAND(),$C$6,$D$6))</f>
        <v/>
      </c>
      <c r="L113" s="27">
        <f>MAX(0.02,NORMINV(RAND(),$C$7,$D$7))</f>
        <v/>
      </c>
      <c r="M113" s="27">
        <f>MIN(0.16,MAX(0.05,NORMINV(RAND(),$C$8,$D$8)))</f>
        <v/>
      </c>
      <c r="N113" s="34">
        <f>MIN(24,MAX(5,NORMINV(RAND(),$C$9,$D$9)))</f>
        <v/>
      </c>
      <c r="O113" s="41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7">
        <f>MAX(-0.05,NORMINV(RAND(),$C$6,$D$6))</f>
        <v/>
      </c>
      <c r="L114" s="27">
        <f>MAX(0.02,NORMINV(RAND(),$C$7,$D$7))</f>
        <v/>
      </c>
      <c r="M114" s="27">
        <f>MIN(0.16,MAX(0.05,NORMINV(RAND(),$C$8,$D$8)))</f>
        <v/>
      </c>
      <c r="N114" s="34">
        <f>MIN(24,MAX(5,NORMINV(RAND(),$C$9,$D$9)))</f>
        <v/>
      </c>
      <c r="O114" s="41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7">
        <f>MAX(-0.05,NORMINV(RAND(),$C$6,$D$6))</f>
        <v/>
      </c>
      <c r="L115" s="27">
        <f>MAX(0.02,NORMINV(RAND(),$C$7,$D$7))</f>
        <v/>
      </c>
      <c r="M115" s="27">
        <f>MIN(0.16,MAX(0.05,NORMINV(RAND(),$C$8,$D$8)))</f>
        <v/>
      </c>
      <c r="N115" s="34">
        <f>MIN(24,MAX(5,NORMINV(RAND(),$C$9,$D$9)))</f>
        <v/>
      </c>
      <c r="O115" s="41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7">
        <f>MAX(-0.05,NORMINV(RAND(),$C$6,$D$6))</f>
        <v/>
      </c>
      <c r="L116" s="27">
        <f>MAX(0.02,NORMINV(RAND(),$C$7,$D$7))</f>
        <v/>
      </c>
      <c r="M116" s="27">
        <f>MIN(0.16,MAX(0.05,NORMINV(RAND(),$C$8,$D$8)))</f>
        <v/>
      </c>
      <c r="N116" s="34">
        <f>MIN(24,MAX(5,NORMINV(RAND(),$C$9,$D$9)))</f>
        <v/>
      </c>
      <c r="O116" s="41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7">
        <f>MAX(-0.05,NORMINV(RAND(),$C$6,$D$6))</f>
        <v/>
      </c>
      <c r="L117" s="27">
        <f>MAX(0.02,NORMINV(RAND(),$C$7,$D$7))</f>
        <v/>
      </c>
      <c r="M117" s="27">
        <f>MIN(0.16,MAX(0.05,NORMINV(RAND(),$C$8,$D$8)))</f>
        <v/>
      </c>
      <c r="N117" s="34">
        <f>MIN(24,MAX(5,NORMINV(RAND(),$C$9,$D$9)))</f>
        <v/>
      </c>
      <c r="O117" s="41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7">
        <f>MAX(-0.05,NORMINV(RAND(),$C$6,$D$6))</f>
        <v/>
      </c>
      <c r="L118" s="27">
        <f>MAX(0.02,NORMINV(RAND(),$C$7,$D$7))</f>
        <v/>
      </c>
      <c r="M118" s="27">
        <f>MIN(0.16,MAX(0.05,NORMINV(RAND(),$C$8,$D$8)))</f>
        <v/>
      </c>
      <c r="N118" s="34">
        <f>MIN(24,MAX(5,NORMINV(RAND(),$C$9,$D$9)))</f>
        <v/>
      </c>
      <c r="O118" s="41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7">
        <f>MAX(-0.05,NORMINV(RAND(),$C$6,$D$6))</f>
        <v/>
      </c>
      <c r="L119" s="27">
        <f>MAX(0.02,NORMINV(RAND(),$C$7,$D$7))</f>
        <v/>
      </c>
      <c r="M119" s="27">
        <f>MIN(0.16,MAX(0.05,NORMINV(RAND(),$C$8,$D$8)))</f>
        <v/>
      </c>
      <c r="N119" s="34">
        <f>MIN(24,MAX(5,NORMINV(RAND(),$C$9,$D$9)))</f>
        <v/>
      </c>
      <c r="O119" s="41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7">
        <f>MAX(-0.05,NORMINV(RAND(),$C$6,$D$6))</f>
        <v/>
      </c>
      <c r="L120" s="27">
        <f>MAX(0.02,NORMINV(RAND(),$C$7,$D$7))</f>
        <v/>
      </c>
      <c r="M120" s="27">
        <f>MIN(0.16,MAX(0.05,NORMINV(RAND(),$C$8,$D$8)))</f>
        <v/>
      </c>
      <c r="N120" s="34">
        <f>MIN(24,MAX(5,NORMINV(RAND(),$C$9,$D$9)))</f>
        <v/>
      </c>
      <c r="O120" s="41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7">
        <f>MAX(-0.05,NORMINV(RAND(),$C$6,$D$6))</f>
        <v/>
      </c>
      <c r="L121" s="27">
        <f>MAX(0.02,NORMINV(RAND(),$C$7,$D$7))</f>
        <v/>
      </c>
      <c r="M121" s="27">
        <f>MIN(0.16,MAX(0.05,NORMINV(RAND(),$C$8,$D$8)))</f>
        <v/>
      </c>
      <c r="N121" s="34">
        <f>MIN(24,MAX(5,NORMINV(RAND(),$C$9,$D$9)))</f>
        <v/>
      </c>
      <c r="O121" s="41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7">
        <f>MAX(-0.05,NORMINV(RAND(),$C$6,$D$6))</f>
        <v/>
      </c>
      <c r="L122" s="27">
        <f>MAX(0.02,NORMINV(RAND(),$C$7,$D$7))</f>
        <v/>
      </c>
      <c r="M122" s="27">
        <f>MIN(0.16,MAX(0.05,NORMINV(RAND(),$C$8,$D$8)))</f>
        <v/>
      </c>
      <c r="N122" s="34">
        <f>MIN(24,MAX(5,NORMINV(RAND(),$C$9,$D$9)))</f>
        <v/>
      </c>
      <c r="O122" s="41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7">
        <f>MAX(-0.05,NORMINV(RAND(),$C$6,$D$6))</f>
        <v/>
      </c>
      <c r="L123" s="27">
        <f>MAX(0.02,NORMINV(RAND(),$C$7,$D$7))</f>
        <v/>
      </c>
      <c r="M123" s="27">
        <f>MIN(0.16,MAX(0.05,NORMINV(RAND(),$C$8,$D$8)))</f>
        <v/>
      </c>
      <c r="N123" s="34">
        <f>MIN(24,MAX(5,NORMINV(RAND(),$C$9,$D$9)))</f>
        <v/>
      </c>
      <c r="O123" s="41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7">
        <f>MAX(-0.05,NORMINV(RAND(),$C$6,$D$6))</f>
        <v/>
      </c>
      <c r="L124" s="27">
        <f>MAX(0.02,NORMINV(RAND(),$C$7,$D$7))</f>
        <v/>
      </c>
      <c r="M124" s="27">
        <f>MIN(0.16,MAX(0.05,NORMINV(RAND(),$C$8,$D$8)))</f>
        <v/>
      </c>
      <c r="N124" s="34">
        <f>MIN(24,MAX(5,NORMINV(RAND(),$C$9,$D$9)))</f>
        <v/>
      </c>
      <c r="O124" s="41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7">
        <f>MAX(-0.05,NORMINV(RAND(),$C$6,$D$6))</f>
        <v/>
      </c>
      <c r="L125" s="27">
        <f>MAX(0.02,NORMINV(RAND(),$C$7,$D$7))</f>
        <v/>
      </c>
      <c r="M125" s="27">
        <f>MIN(0.16,MAX(0.05,NORMINV(RAND(),$C$8,$D$8)))</f>
        <v/>
      </c>
      <c r="N125" s="34">
        <f>MIN(24,MAX(5,NORMINV(RAND(),$C$9,$D$9)))</f>
        <v/>
      </c>
      <c r="O125" s="41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7">
        <f>MAX(-0.05,NORMINV(RAND(),$C$6,$D$6))</f>
        <v/>
      </c>
      <c r="L126" s="27">
        <f>MAX(0.02,NORMINV(RAND(),$C$7,$D$7))</f>
        <v/>
      </c>
      <c r="M126" s="27">
        <f>MIN(0.16,MAX(0.05,NORMINV(RAND(),$C$8,$D$8)))</f>
        <v/>
      </c>
      <c r="N126" s="34">
        <f>MIN(24,MAX(5,NORMINV(RAND(),$C$9,$D$9)))</f>
        <v/>
      </c>
      <c r="O126" s="41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7">
        <f>MAX(-0.05,NORMINV(RAND(),$C$6,$D$6))</f>
        <v/>
      </c>
      <c r="L127" s="27">
        <f>MAX(0.02,NORMINV(RAND(),$C$7,$D$7))</f>
        <v/>
      </c>
      <c r="M127" s="27">
        <f>MIN(0.16,MAX(0.05,NORMINV(RAND(),$C$8,$D$8)))</f>
        <v/>
      </c>
      <c r="N127" s="34">
        <f>MIN(24,MAX(5,NORMINV(RAND(),$C$9,$D$9)))</f>
        <v/>
      </c>
      <c r="O127" s="41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7">
        <f>MAX(-0.05,NORMINV(RAND(),$C$6,$D$6))</f>
        <v/>
      </c>
      <c r="L128" s="27">
        <f>MAX(0.02,NORMINV(RAND(),$C$7,$D$7))</f>
        <v/>
      </c>
      <c r="M128" s="27">
        <f>MIN(0.16,MAX(0.05,NORMINV(RAND(),$C$8,$D$8)))</f>
        <v/>
      </c>
      <c r="N128" s="34">
        <f>MIN(24,MAX(5,NORMINV(RAND(),$C$9,$D$9)))</f>
        <v/>
      </c>
      <c r="O128" s="41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7">
        <f>MAX(-0.05,NORMINV(RAND(),$C$6,$D$6))</f>
        <v/>
      </c>
      <c r="L129" s="27">
        <f>MAX(0.02,NORMINV(RAND(),$C$7,$D$7))</f>
        <v/>
      </c>
      <c r="M129" s="27">
        <f>MIN(0.16,MAX(0.05,NORMINV(RAND(),$C$8,$D$8)))</f>
        <v/>
      </c>
      <c r="N129" s="34">
        <f>MIN(24,MAX(5,NORMINV(RAND(),$C$9,$D$9)))</f>
        <v/>
      </c>
      <c r="O129" s="41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7">
        <f>MAX(-0.05,NORMINV(RAND(),$C$6,$D$6))</f>
        <v/>
      </c>
      <c r="L130" s="27">
        <f>MAX(0.02,NORMINV(RAND(),$C$7,$D$7))</f>
        <v/>
      </c>
      <c r="M130" s="27">
        <f>MIN(0.16,MAX(0.05,NORMINV(RAND(),$C$8,$D$8)))</f>
        <v/>
      </c>
      <c r="N130" s="34">
        <f>MIN(24,MAX(5,NORMINV(RAND(),$C$9,$D$9)))</f>
        <v/>
      </c>
      <c r="O130" s="41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7">
        <f>MAX(-0.05,NORMINV(RAND(),$C$6,$D$6))</f>
        <v/>
      </c>
      <c r="L131" s="27">
        <f>MAX(0.02,NORMINV(RAND(),$C$7,$D$7))</f>
        <v/>
      </c>
      <c r="M131" s="27">
        <f>MIN(0.16,MAX(0.05,NORMINV(RAND(),$C$8,$D$8)))</f>
        <v/>
      </c>
      <c r="N131" s="34">
        <f>MIN(24,MAX(5,NORMINV(RAND(),$C$9,$D$9)))</f>
        <v/>
      </c>
      <c r="O131" s="41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7">
        <f>MAX(-0.05,NORMINV(RAND(),$C$6,$D$6))</f>
        <v/>
      </c>
      <c r="L132" s="27">
        <f>MAX(0.02,NORMINV(RAND(),$C$7,$D$7))</f>
        <v/>
      </c>
      <c r="M132" s="27">
        <f>MIN(0.16,MAX(0.05,NORMINV(RAND(),$C$8,$D$8)))</f>
        <v/>
      </c>
      <c r="N132" s="34">
        <f>MIN(24,MAX(5,NORMINV(RAND(),$C$9,$D$9)))</f>
        <v/>
      </c>
      <c r="O132" s="41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7">
        <f>MAX(-0.05,NORMINV(RAND(),$C$6,$D$6))</f>
        <v/>
      </c>
      <c r="L133" s="27">
        <f>MAX(0.02,NORMINV(RAND(),$C$7,$D$7))</f>
        <v/>
      </c>
      <c r="M133" s="27">
        <f>MIN(0.16,MAX(0.05,NORMINV(RAND(),$C$8,$D$8)))</f>
        <v/>
      </c>
      <c r="N133" s="34">
        <f>MIN(24,MAX(5,NORMINV(RAND(),$C$9,$D$9)))</f>
        <v/>
      </c>
      <c r="O133" s="41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7">
        <f>MAX(-0.05,NORMINV(RAND(),$C$6,$D$6))</f>
        <v/>
      </c>
      <c r="L134" s="27">
        <f>MAX(0.02,NORMINV(RAND(),$C$7,$D$7))</f>
        <v/>
      </c>
      <c r="M134" s="27">
        <f>MIN(0.16,MAX(0.05,NORMINV(RAND(),$C$8,$D$8)))</f>
        <v/>
      </c>
      <c r="N134" s="34">
        <f>MIN(24,MAX(5,NORMINV(RAND(),$C$9,$D$9)))</f>
        <v/>
      </c>
      <c r="O134" s="41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7">
        <f>MAX(-0.05,NORMINV(RAND(),$C$6,$D$6))</f>
        <v/>
      </c>
      <c r="L135" s="27">
        <f>MAX(0.02,NORMINV(RAND(),$C$7,$D$7))</f>
        <v/>
      </c>
      <c r="M135" s="27">
        <f>MIN(0.16,MAX(0.05,NORMINV(RAND(),$C$8,$D$8)))</f>
        <v/>
      </c>
      <c r="N135" s="34">
        <f>MIN(24,MAX(5,NORMINV(RAND(),$C$9,$D$9)))</f>
        <v/>
      </c>
      <c r="O135" s="41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7">
        <f>MAX(-0.05,NORMINV(RAND(),$C$6,$D$6))</f>
        <v/>
      </c>
      <c r="L136" s="27">
        <f>MAX(0.02,NORMINV(RAND(),$C$7,$D$7))</f>
        <v/>
      </c>
      <c r="M136" s="27">
        <f>MIN(0.16,MAX(0.05,NORMINV(RAND(),$C$8,$D$8)))</f>
        <v/>
      </c>
      <c r="N136" s="34">
        <f>MIN(24,MAX(5,NORMINV(RAND(),$C$9,$D$9)))</f>
        <v/>
      </c>
      <c r="O136" s="41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7">
        <f>MAX(-0.05,NORMINV(RAND(),$C$6,$D$6))</f>
        <v/>
      </c>
      <c r="L137" s="27">
        <f>MAX(0.02,NORMINV(RAND(),$C$7,$D$7))</f>
        <v/>
      </c>
      <c r="M137" s="27">
        <f>MIN(0.16,MAX(0.05,NORMINV(RAND(),$C$8,$D$8)))</f>
        <v/>
      </c>
      <c r="N137" s="34">
        <f>MIN(24,MAX(5,NORMINV(RAND(),$C$9,$D$9)))</f>
        <v/>
      </c>
      <c r="O137" s="41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7">
        <f>MAX(-0.05,NORMINV(RAND(),$C$6,$D$6))</f>
        <v/>
      </c>
      <c r="L138" s="27">
        <f>MAX(0.02,NORMINV(RAND(),$C$7,$D$7))</f>
        <v/>
      </c>
      <c r="M138" s="27">
        <f>MIN(0.16,MAX(0.05,NORMINV(RAND(),$C$8,$D$8)))</f>
        <v/>
      </c>
      <c r="N138" s="34">
        <f>MIN(24,MAX(5,NORMINV(RAND(),$C$9,$D$9)))</f>
        <v/>
      </c>
      <c r="O138" s="41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7">
        <f>MAX(-0.05,NORMINV(RAND(),$C$6,$D$6))</f>
        <v/>
      </c>
      <c r="L139" s="27">
        <f>MAX(0.02,NORMINV(RAND(),$C$7,$D$7))</f>
        <v/>
      </c>
      <c r="M139" s="27">
        <f>MIN(0.16,MAX(0.05,NORMINV(RAND(),$C$8,$D$8)))</f>
        <v/>
      </c>
      <c r="N139" s="34">
        <f>MIN(24,MAX(5,NORMINV(RAND(),$C$9,$D$9)))</f>
        <v/>
      </c>
      <c r="O139" s="41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7">
        <f>MAX(-0.05,NORMINV(RAND(),$C$6,$D$6))</f>
        <v/>
      </c>
      <c r="L140" s="27">
        <f>MAX(0.02,NORMINV(RAND(),$C$7,$D$7))</f>
        <v/>
      </c>
      <c r="M140" s="27">
        <f>MIN(0.16,MAX(0.05,NORMINV(RAND(),$C$8,$D$8)))</f>
        <v/>
      </c>
      <c r="N140" s="34">
        <f>MIN(24,MAX(5,NORMINV(RAND(),$C$9,$D$9)))</f>
        <v/>
      </c>
      <c r="O140" s="41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7">
        <f>MAX(-0.05,NORMINV(RAND(),$C$6,$D$6))</f>
        <v/>
      </c>
      <c r="L141" s="27">
        <f>MAX(0.02,NORMINV(RAND(),$C$7,$D$7))</f>
        <v/>
      </c>
      <c r="M141" s="27">
        <f>MIN(0.16,MAX(0.05,NORMINV(RAND(),$C$8,$D$8)))</f>
        <v/>
      </c>
      <c r="N141" s="34">
        <f>MIN(24,MAX(5,NORMINV(RAND(),$C$9,$D$9)))</f>
        <v/>
      </c>
      <c r="O141" s="41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7">
        <f>MAX(-0.05,NORMINV(RAND(),$C$6,$D$6))</f>
        <v/>
      </c>
      <c r="L142" s="27">
        <f>MAX(0.02,NORMINV(RAND(),$C$7,$D$7))</f>
        <v/>
      </c>
      <c r="M142" s="27">
        <f>MIN(0.16,MAX(0.05,NORMINV(RAND(),$C$8,$D$8)))</f>
        <v/>
      </c>
      <c r="N142" s="34">
        <f>MIN(24,MAX(5,NORMINV(RAND(),$C$9,$D$9)))</f>
        <v/>
      </c>
      <c r="O142" s="41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7">
        <f>MAX(-0.05,NORMINV(RAND(),$C$6,$D$6))</f>
        <v/>
      </c>
      <c r="L143" s="27">
        <f>MAX(0.02,NORMINV(RAND(),$C$7,$D$7))</f>
        <v/>
      </c>
      <c r="M143" s="27">
        <f>MIN(0.16,MAX(0.05,NORMINV(RAND(),$C$8,$D$8)))</f>
        <v/>
      </c>
      <c r="N143" s="34">
        <f>MIN(24,MAX(5,NORMINV(RAND(),$C$9,$D$9)))</f>
        <v/>
      </c>
      <c r="O143" s="41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7">
        <f>MAX(-0.05,NORMINV(RAND(),$C$6,$D$6))</f>
        <v/>
      </c>
      <c r="L144" s="27">
        <f>MAX(0.02,NORMINV(RAND(),$C$7,$D$7))</f>
        <v/>
      </c>
      <c r="M144" s="27">
        <f>MIN(0.16,MAX(0.05,NORMINV(RAND(),$C$8,$D$8)))</f>
        <v/>
      </c>
      <c r="N144" s="34">
        <f>MIN(24,MAX(5,NORMINV(RAND(),$C$9,$D$9)))</f>
        <v/>
      </c>
      <c r="O144" s="41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7">
        <f>MAX(-0.05,NORMINV(RAND(),$C$6,$D$6))</f>
        <v/>
      </c>
      <c r="L145" s="27">
        <f>MAX(0.02,NORMINV(RAND(),$C$7,$D$7))</f>
        <v/>
      </c>
      <c r="M145" s="27">
        <f>MIN(0.16,MAX(0.05,NORMINV(RAND(),$C$8,$D$8)))</f>
        <v/>
      </c>
      <c r="N145" s="34">
        <f>MIN(24,MAX(5,NORMINV(RAND(),$C$9,$D$9)))</f>
        <v/>
      </c>
      <c r="O145" s="41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7">
        <f>MAX(-0.05,NORMINV(RAND(),$C$6,$D$6))</f>
        <v/>
      </c>
      <c r="L146" s="27">
        <f>MAX(0.02,NORMINV(RAND(),$C$7,$D$7))</f>
        <v/>
      </c>
      <c r="M146" s="27">
        <f>MIN(0.16,MAX(0.05,NORMINV(RAND(),$C$8,$D$8)))</f>
        <v/>
      </c>
      <c r="N146" s="34">
        <f>MIN(24,MAX(5,NORMINV(RAND(),$C$9,$D$9)))</f>
        <v/>
      </c>
      <c r="O146" s="41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7">
        <f>MAX(-0.05,NORMINV(RAND(),$C$6,$D$6))</f>
        <v/>
      </c>
      <c r="L147" s="27">
        <f>MAX(0.02,NORMINV(RAND(),$C$7,$D$7))</f>
        <v/>
      </c>
      <c r="M147" s="27">
        <f>MIN(0.16,MAX(0.05,NORMINV(RAND(),$C$8,$D$8)))</f>
        <v/>
      </c>
      <c r="N147" s="34">
        <f>MIN(24,MAX(5,NORMINV(RAND(),$C$9,$D$9)))</f>
        <v/>
      </c>
      <c r="O147" s="41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7">
        <f>MAX(-0.05,NORMINV(RAND(),$C$6,$D$6))</f>
        <v/>
      </c>
      <c r="L148" s="27">
        <f>MAX(0.02,NORMINV(RAND(),$C$7,$D$7))</f>
        <v/>
      </c>
      <c r="M148" s="27">
        <f>MIN(0.16,MAX(0.05,NORMINV(RAND(),$C$8,$D$8)))</f>
        <v/>
      </c>
      <c r="N148" s="34">
        <f>MIN(24,MAX(5,NORMINV(RAND(),$C$9,$D$9)))</f>
        <v/>
      </c>
      <c r="O148" s="41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7">
        <f>MAX(-0.05,NORMINV(RAND(),$C$6,$D$6))</f>
        <v/>
      </c>
      <c r="L149" s="27">
        <f>MAX(0.02,NORMINV(RAND(),$C$7,$D$7))</f>
        <v/>
      </c>
      <c r="M149" s="27">
        <f>MIN(0.16,MAX(0.05,NORMINV(RAND(),$C$8,$D$8)))</f>
        <v/>
      </c>
      <c r="N149" s="34">
        <f>MIN(24,MAX(5,NORMINV(RAND(),$C$9,$D$9)))</f>
        <v/>
      </c>
      <c r="O149" s="41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7">
        <f>MAX(-0.05,NORMINV(RAND(),$C$6,$D$6))</f>
        <v/>
      </c>
      <c r="L150" s="27">
        <f>MAX(0.02,NORMINV(RAND(),$C$7,$D$7))</f>
        <v/>
      </c>
      <c r="M150" s="27">
        <f>MIN(0.16,MAX(0.05,NORMINV(RAND(),$C$8,$D$8)))</f>
        <v/>
      </c>
      <c r="N150" s="34">
        <f>MIN(24,MAX(5,NORMINV(RAND(),$C$9,$D$9)))</f>
        <v/>
      </c>
      <c r="O150" s="41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7">
        <f>MAX(-0.05,NORMINV(RAND(),$C$6,$D$6))</f>
        <v/>
      </c>
      <c r="L151" s="27">
        <f>MAX(0.02,NORMINV(RAND(),$C$7,$D$7))</f>
        <v/>
      </c>
      <c r="M151" s="27">
        <f>MIN(0.16,MAX(0.05,NORMINV(RAND(),$C$8,$D$8)))</f>
        <v/>
      </c>
      <c r="N151" s="34">
        <f>MIN(24,MAX(5,NORMINV(RAND(),$C$9,$D$9)))</f>
        <v/>
      </c>
      <c r="O151" s="41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7">
        <f>MAX(-0.05,NORMINV(RAND(),$C$6,$D$6))</f>
        <v/>
      </c>
      <c r="L152" s="27">
        <f>MAX(0.02,NORMINV(RAND(),$C$7,$D$7))</f>
        <v/>
      </c>
      <c r="M152" s="27">
        <f>MIN(0.16,MAX(0.05,NORMINV(RAND(),$C$8,$D$8)))</f>
        <v/>
      </c>
      <c r="N152" s="34">
        <f>MIN(24,MAX(5,NORMINV(RAND(),$C$9,$D$9)))</f>
        <v/>
      </c>
      <c r="O152" s="41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7">
        <f>MAX(-0.05,NORMINV(RAND(),$C$6,$D$6))</f>
        <v/>
      </c>
      <c r="L153" s="27">
        <f>MAX(0.02,NORMINV(RAND(),$C$7,$D$7))</f>
        <v/>
      </c>
      <c r="M153" s="27">
        <f>MIN(0.16,MAX(0.05,NORMINV(RAND(),$C$8,$D$8)))</f>
        <v/>
      </c>
      <c r="N153" s="34">
        <f>MIN(24,MAX(5,NORMINV(RAND(),$C$9,$D$9)))</f>
        <v/>
      </c>
      <c r="O153" s="41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7">
        <f>MAX(-0.05,NORMINV(RAND(),$C$6,$D$6))</f>
        <v/>
      </c>
      <c r="L154" s="27">
        <f>MAX(0.02,NORMINV(RAND(),$C$7,$D$7))</f>
        <v/>
      </c>
      <c r="M154" s="27">
        <f>MIN(0.16,MAX(0.05,NORMINV(RAND(),$C$8,$D$8)))</f>
        <v/>
      </c>
      <c r="N154" s="34">
        <f>MIN(24,MAX(5,NORMINV(RAND(),$C$9,$D$9)))</f>
        <v/>
      </c>
      <c r="O154" s="41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7">
        <f>MAX(-0.05,NORMINV(RAND(),$C$6,$D$6))</f>
        <v/>
      </c>
      <c r="L155" s="27">
        <f>MAX(0.02,NORMINV(RAND(),$C$7,$D$7))</f>
        <v/>
      </c>
      <c r="M155" s="27">
        <f>MIN(0.16,MAX(0.05,NORMINV(RAND(),$C$8,$D$8)))</f>
        <v/>
      </c>
      <c r="N155" s="34">
        <f>MIN(24,MAX(5,NORMINV(RAND(),$C$9,$D$9)))</f>
        <v/>
      </c>
      <c r="O155" s="41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7">
        <f>MAX(-0.05,NORMINV(RAND(),$C$6,$D$6))</f>
        <v/>
      </c>
      <c r="L156" s="27">
        <f>MAX(0.02,NORMINV(RAND(),$C$7,$D$7))</f>
        <v/>
      </c>
      <c r="M156" s="27">
        <f>MIN(0.16,MAX(0.05,NORMINV(RAND(),$C$8,$D$8)))</f>
        <v/>
      </c>
      <c r="N156" s="34">
        <f>MIN(24,MAX(5,NORMINV(RAND(),$C$9,$D$9)))</f>
        <v/>
      </c>
      <c r="O156" s="41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7">
        <f>MAX(-0.05,NORMINV(RAND(),$C$6,$D$6))</f>
        <v/>
      </c>
      <c r="L157" s="27">
        <f>MAX(0.02,NORMINV(RAND(),$C$7,$D$7))</f>
        <v/>
      </c>
      <c r="M157" s="27">
        <f>MIN(0.16,MAX(0.05,NORMINV(RAND(),$C$8,$D$8)))</f>
        <v/>
      </c>
      <c r="N157" s="34">
        <f>MIN(24,MAX(5,NORMINV(RAND(),$C$9,$D$9)))</f>
        <v/>
      </c>
      <c r="O157" s="41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7">
        <f>MAX(-0.05,NORMINV(RAND(),$C$6,$D$6))</f>
        <v/>
      </c>
      <c r="L158" s="27">
        <f>MAX(0.02,NORMINV(RAND(),$C$7,$D$7))</f>
        <v/>
      </c>
      <c r="M158" s="27">
        <f>MIN(0.16,MAX(0.05,NORMINV(RAND(),$C$8,$D$8)))</f>
        <v/>
      </c>
      <c r="N158" s="34">
        <f>MIN(24,MAX(5,NORMINV(RAND(),$C$9,$D$9)))</f>
        <v/>
      </c>
      <c r="O158" s="41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7">
        <f>MAX(-0.05,NORMINV(RAND(),$C$6,$D$6))</f>
        <v/>
      </c>
      <c r="L159" s="27">
        <f>MAX(0.02,NORMINV(RAND(),$C$7,$D$7))</f>
        <v/>
      </c>
      <c r="M159" s="27">
        <f>MIN(0.16,MAX(0.05,NORMINV(RAND(),$C$8,$D$8)))</f>
        <v/>
      </c>
      <c r="N159" s="34">
        <f>MIN(24,MAX(5,NORMINV(RAND(),$C$9,$D$9)))</f>
        <v/>
      </c>
      <c r="O159" s="41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7">
        <f>MAX(-0.05,NORMINV(RAND(),$C$6,$D$6))</f>
        <v/>
      </c>
      <c r="L160" s="27">
        <f>MAX(0.02,NORMINV(RAND(),$C$7,$D$7))</f>
        <v/>
      </c>
      <c r="M160" s="27">
        <f>MIN(0.16,MAX(0.05,NORMINV(RAND(),$C$8,$D$8)))</f>
        <v/>
      </c>
      <c r="N160" s="34">
        <f>MIN(24,MAX(5,NORMINV(RAND(),$C$9,$D$9)))</f>
        <v/>
      </c>
      <c r="O160" s="41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7">
        <f>MAX(-0.05,NORMINV(RAND(),$C$6,$D$6))</f>
        <v/>
      </c>
      <c r="L161" s="27">
        <f>MAX(0.02,NORMINV(RAND(),$C$7,$D$7))</f>
        <v/>
      </c>
      <c r="M161" s="27">
        <f>MIN(0.16,MAX(0.05,NORMINV(RAND(),$C$8,$D$8)))</f>
        <v/>
      </c>
      <c r="N161" s="34">
        <f>MIN(24,MAX(5,NORMINV(RAND(),$C$9,$D$9)))</f>
        <v/>
      </c>
      <c r="O161" s="41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7">
        <f>MAX(-0.05,NORMINV(RAND(),$C$6,$D$6))</f>
        <v/>
      </c>
      <c r="L162" s="27">
        <f>MAX(0.02,NORMINV(RAND(),$C$7,$D$7))</f>
        <v/>
      </c>
      <c r="M162" s="27">
        <f>MIN(0.16,MAX(0.05,NORMINV(RAND(),$C$8,$D$8)))</f>
        <v/>
      </c>
      <c r="N162" s="34">
        <f>MIN(24,MAX(5,NORMINV(RAND(),$C$9,$D$9)))</f>
        <v/>
      </c>
      <c r="O162" s="41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7">
        <f>MAX(-0.05,NORMINV(RAND(),$C$6,$D$6))</f>
        <v/>
      </c>
      <c r="L163" s="27">
        <f>MAX(0.02,NORMINV(RAND(),$C$7,$D$7))</f>
        <v/>
      </c>
      <c r="M163" s="27">
        <f>MIN(0.16,MAX(0.05,NORMINV(RAND(),$C$8,$D$8)))</f>
        <v/>
      </c>
      <c r="N163" s="34">
        <f>MIN(24,MAX(5,NORMINV(RAND(),$C$9,$D$9)))</f>
        <v/>
      </c>
      <c r="O163" s="41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7">
        <f>MAX(-0.05,NORMINV(RAND(),$C$6,$D$6))</f>
        <v/>
      </c>
      <c r="L164" s="27">
        <f>MAX(0.02,NORMINV(RAND(),$C$7,$D$7))</f>
        <v/>
      </c>
      <c r="M164" s="27">
        <f>MIN(0.16,MAX(0.05,NORMINV(RAND(),$C$8,$D$8)))</f>
        <v/>
      </c>
      <c r="N164" s="34">
        <f>MIN(24,MAX(5,NORMINV(RAND(),$C$9,$D$9)))</f>
        <v/>
      </c>
      <c r="O164" s="41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7">
        <f>MAX(-0.05,NORMINV(RAND(),$C$6,$D$6))</f>
        <v/>
      </c>
      <c r="L165" s="27">
        <f>MAX(0.02,NORMINV(RAND(),$C$7,$D$7))</f>
        <v/>
      </c>
      <c r="M165" s="27">
        <f>MIN(0.16,MAX(0.05,NORMINV(RAND(),$C$8,$D$8)))</f>
        <v/>
      </c>
      <c r="N165" s="34">
        <f>MIN(24,MAX(5,NORMINV(RAND(),$C$9,$D$9)))</f>
        <v/>
      </c>
      <c r="O165" s="41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7">
        <f>MAX(-0.05,NORMINV(RAND(),$C$6,$D$6))</f>
        <v/>
      </c>
      <c r="L166" s="27">
        <f>MAX(0.02,NORMINV(RAND(),$C$7,$D$7))</f>
        <v/>
      </c>
      <c r="M166" s="27">
        <f>MIN(0.16,MAX(0.05,NORMINV(RAND(),$C$8,$D$8)))</f>
        <v/>
      </c>
      <c r="N166" s="34">
        <f>MIN(24,MAX(5,NORMINV(RAND(),$C$9,$D$9)))</f>
        <v/>
      </c>
      <c r="O166" s="41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7">
        <f>MAX(-0.05,NORMINV(RAND(),$C$6,$D$6))</f>
        <v/>
      </c>
      <c r="L167" s="27">
        <f>MAX(0.02,NORMINV(RAND(),$C$7,$D$7))</f>
        <v/>
      </c>
      <c r="M167" s="27">
        <f>MIN(0.16,MAX(0.05,NORMINV(RAND(),$C$8,$D$8)))</f>
        <v/>
      </c>
      <c r="N167" s="34">
        <f>MIN(24,MAX(5,NORMINV(RAND(),$C$9,$D$9)))</f>
        <v/>
      </c>
      <c r="O167" s="41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7">
        <f>MAX(-0.05,NORMINV(RAND(),$C$6,$D$6))</f>
        <v/>
      </c>
      <c r="L168" s="27">
        <f>MAX(0.02,NORMINV(RAND(),$C$7,$D$7))</f>
        <v/>
      </c>
      <c r="M168" s="27">
        <f>MIN(0.16,MAX(0.05,NORMINV(RAND(),$C$8,$D$8)))</f>
        <v/>
      </c>
      <c r="N168" s="34">
        <f>MIN(24,MAX(5,NORMINV(RAND(),$C$9,$D$9)))</f>
        <v/>
      </c>
      <c r="O168" s="41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7">
        <f>MAX(-0.05,NORMINV(RAND(),$C$6,$D$6))</f>
        <v/>
      </c>
      <c r="L169" s="27">
        <f>MAX(0.02,NORMINV(RAND(),$C$7,$D$7))</f>
        <v/>
      </c>
      <c r="M169" s="27">
        <f>MIN(0.16,MAX(0.05,NORMINV(RAND(),$C$8,$D$8)))</f>
        <v/>
      </c>
      <c r="N169" s="34">
        <f>MIN(24,MAX(5,NORMINV(RAND(),$C$9,$D$9)))</f>
        <v/>
      </c>
      <c r="O169" s="41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7">
        <f>MAX(-0.05,NORMINV(RAND(),$C$6,$D$6))</f>
        <v/>
      </c>
      <c r="L170" s="27">
        <f>MAX(0.02,NORMINV(RAND(),$C$7,$D$7))</f>
        <v/>
      </c>
      <c r="M170" s="27">
        <f>MIN(0.16,MAX(0.05,NORMINV(RAND(),$C$8,$D$8)))</f>
        <v/>
      </c>
      <c r="N170" s="34">
        <f>MIN(24,MAX(5,NORMINV(RAND(),$C$9,$D$9)))</f>
        <v/>
      </c>
      <c r="O170" s="41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7">
        <f>MAX(-0.05,NORMINV(RAND(),$C$6,$D$6))</f>
        <v/>
      </c>
      <c r="L171" s="27">
        <f>MAX(0.02,NORMINV(RAND(),$C$7,$D$7))</f>
        <v/>
      </c>
      <c r="M171" s="27">
        <f>MIN(0.16,MAX(0.05,NORMINV(RAND(),$C$8,$D$8)))</f>
        <v/>
      </c>
      <c r="N171" s="34">
        <f>MIN(24,MAX(5,NORMINV(RAND(),$C$9,$D$9)))</f>
        <v/>
      </c>
      <c r="O171" s="41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7">
        <f>MAX(-0.05,NORMINV(RAND(),$C$6,$D$6))</f>
        <v/>
      </c>
      <c r="L172" s="27">
        <f>MAX(0.02,NORMINV(RAND(),$C$7,$D$7))</f>
        <v/>
      </c>
      <c r="M172" s="27">
        <f>MIN(0.16,MAX(0.05,NORMINV(RAND(),$C$8,$D$8)))</f>
        <v/>
      </c>
      <c r="N172" s="34">
        <f>MIN(24,MAX(5,NORMINV(RAND(),$C$9,$D$9)))</f>
        <v/>
      </c>
      <c r="O172" s="41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7">
        <f>MAX(-0.05,NORMINV(RAND(),$C$6,$D$6))</f>
        <v/>
      </c>
      <c r="L173" s="27">
        <f>MAX(0.02,NORMINV(RAND(),$C$7,$D$7))</f>
        <v/>
      </c>
      <c r="M173" s="27">
        <f>MIN(0.16,MAX(0.05,NORMINV(RAND(),$C$8,$D$8)))</f>
        <v/>
      </c>
      <c r="N173" s="34">
        <f>MIN(24,MAX(5,NORMINV(RAND(),$C$9,$D$9)))</f>
        <v/>
      </c>
      <c r="O173" s="41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7">
        <f>MAX(-0.05,NORMINV(RAND(),$C$6,$D$6))</f>
        <v/>
      </c>
      <c r="L174" s="27">
        <f>MAX(0.02,NORMINV(RAND(),$C$7,$D$7))</f>
        <v/>
      </c>
      <c r="M174" s="27">
        <f>MIN(0.16,MAX(0.05,NORMINV(RAND(),$C$8,$D$8)))</f>
        <v/>
      </c>
      <c r="N174" s="34">
        <f>MIN(24,MAX(5,NORMINV(RAND(),$C$9,$D$9)))</f>
        <v/>
      </c>
      <c r="O174" s="41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7">
        <f>MAX(-0.05,NORMINV(RAND(),$C$6,$D$6))</f>
        <v/>
      </c>
      <c r="L175" s="27">
        <f>MAX(0.02,NORMINV(RAND(),$C$7,$D$7))</f>
        <v/>
      </c>
      <c r="M175" s="27">
        <f>MIN(0.16,MAX(0.05,NORMINV(RAND(),$C$8,$D$8)))</f>
        <v/>
      </c>
      <c r="N175" s="34">
        <f>MIN(24,MAX(5,NORMINV(RAND(),$C$9,$D$9)))</f>
        <v/>
      </c>
      <c r="O175" s="41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7">
        <f>MAX(-0.05,NORMINV(RAND(),$C$6,$D$6))</f>
        <v/>
      </c>
      <c r="L176" s="27">
        <f>MAX(0.02,NORMINV(RAND(),$C$7,$D$7))</f>
        <v/>
      </c>
      <c r="M176" s="27">
        <f>MIN(0.16,MAX(0.05,NORMINV(RAND(),$C$8,$D$8)))</f>
        <v/>
      </c>
      <c r="N176" s="34">
        <f>MIN(24,MAX(5,NORMINV(RAND(),$C$9,$D$9)))</f>
        <v/>
      </c>
      <c r="O176" s="41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7">
        <f>MAX(-0.05,NORMINV(RAND(),$C$6,$D$6))</f>
        <v/>
      </c>
      <c r="L177" s="27">
        <f>MAX(0.02,NORMINV(RAND(),$C$7,$D$7))</f>
        <v/>
      </c>
      <c r="M177" s="27">
        <f>MIN(0.16,MAX(0.05,NORMINV(RAND(),$C$8,$D$8)))</f>
        <v/>
      </c>
      <c r="N177" s="34">
        <f>MIN(24,MAX(5,NORMINV(RAND(),$C$9,$D$9)))</f>
        <v/>
      </c>
      <c r="O177" s="41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7">
        <f>MAX(-0.05,NORMINV(RAND(),$C$6,$D$6))</f>
        <v/>
      </c>
      <c r="L178" s="27">
        <f>MAX(0.02,NORMINV(RAND(),$C$7,$D$7))</f>
        <v/>
      </c>
      <c r="M178" s="27">
        <f>MIN(0.16,MAX(0.05,NORMINV(RAND(),$C$8,$D$8)))</f>
        <v/>
      </c>
      <c r="N178" s="34">
        <f>MIN(24,MAX(5,NORMINV(RAND(),$C$9,$D$9)))</f>
        <v/>
      </c>
      <c r="O178" s="41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7">
        <f>MAX(-0.05,NORMINV(RAND(),$C$6,$D$6))</f>
        <v/>
      </c>
      <c r="L179" s="27">
        <f>MAX(0.02,NORMINV(RAND(),$C$7,$D$7))</f>
        <v/>
      </c>
      <c r="M179" s="27">
        <f>MIN(0.16,MAX(0.05,NORMINV(RAND(),$C$8,$D$8)))</f>
        <v/>
      </c>
      <c r="N179" s="34">
        <f>MIN(24,MAX(5,NORMINV(RAND(),$C$9,$D$9)))</f>
        <v/>
      </c>
      <c r="O179" s="41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7">
        <f>MAX(-0.05,NORMINV(RAND(),$C$6,$D$6))</f>
        <v/>
      </c>
      <c r="L180" s="27">
        <f>MAX(0.02,NORMINV(RAND(),$C$7,$D$7))</f>
        <v/>
      </c>
      <c r="M180" s="27">
        <f>MIN(0.16,MAX(0.05,NORMINV(RAND(),$C$8,$D$8)))</f>
        <v/>
      </c>
      <c r="N180" s="34">
        <f>MIN(24,MAX(5,NORMINV(RAND(),$C$9,$D$9)))</f>
        <v/>
      </c>
      <c r="O180" s="41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7">
        <f>MAX(-0.05,NORMINV(RAND(),$C$6,$D$6))</f>
        <v/>
      </c>
      <c r="L181" s="27">
        <f>MAX(0.02,NORMINV(RAND(),$C$7,$D$7))</f>
        <v/>
      </c>
      <c r="M181" s="27">
        <f>MIN(0.16,MAX(0.05,NORMINV(RAND(),$C$8,$D$8)))</f>
        <v/>
      </c>
      <c r="N181" s="34">
        <f>MIN(24,MAX(5,NORMINV(RAND(),$C$9,$D$9)))</f>
        <v/>
      </c>
      <c r="O181" s="41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7">
        <f>MAX(-0.05,NORMINV(RAND(),$C$6,$D$6))</f>
        <v/>
      </c>
      <c r="L182" s="27">
        <f>MAX(0.02,NORMINV(RAND(),$C$7,$D$7))</f>
        <v/>
      </c>
      <c r="M182" s="27">
        <f>MIN(0.16,MAX(0.05,NORMINV(RAND(),$C$8,$D$8)))</f>
        <v/>
      </c>
      <c r="N182" s="34">
        <f>MIN(24,MAX(5,NORMINV(RAND(),$C$9,$D$9)))</f>
        <v/>
      </c>
      <c r="O182" s="41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7">
        <f>MAX(-0.05,NORMINV(RAND(),$C$6,$D$6))</f>
        <v/>
      </c>
      <c r="L183" s="27">
        <f>MAX(0.02,NORMINV(RAND(),$C$7,$D$7))</f>
        <v/>
      </c>
      <c r="M183" s="27">
        <f>MIN(0.16,MAX(0.05,NORMINV(RAND(),$C$8,$D$8)))</f>
        <v/>
      </c>
      <c r="N183" s="34">
        <f>MIN(24,MAX(5,NORMINV(RAND(),$C$9,$D$9)))</f>
        <v/>
      </c>
      <c r="O183" s="41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7">
        <f>MAX(-0.05,NORMINV(RAND(),$C$6,$D$6))</f>
        <v/>
      </c>
      <c r="L184" s="27">
        <f>MAX(0.02,NORMINV(RAND(),$C$7,$D$7))</f>
        <v/>
      </c>
      <c r="M184" s="27">
        <f>MIN(0.16,MAX(0.05,NORMINV(RAND(),$C$8,$D$8)))</f>
        <v/>
      </c>
      <c r="N184" s="34">
        <f>MIN(24,MAX(5,NORMINV(RAND(),$C$9,$D$9)))</f>
        <v/>
      </c>
      <c r="O184" s="41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7">
        <f>MAX(-0.05,NORMINV(RAND(),$C$6,$D$6))</f>
        <v/>
      </c>
      <c r="L185" s="27">
        <f>MAX(0.02,NORMINV(RAND(),$C$7,$D$7))</f>
        <v/>
      </c>
      <c r="M185" s="27">
        <f>MIN(0.16,MAX(0.05,NORMINV(RAND(),$C$8,$D$8)))</f>
        <v/>
      </c>
      <c r="N185" s="34">
        <f>MIN(24,MAX(5,NORMINV(RAND(),$C$9,$D$9)))</f>
        <v/>
      </c>
      <c r="O185" s="41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7">
        <f>MAX(-0.05,NORMINV(RAND(),$C$6,$D$6))</f>
        <v/>
      </c>
      <c r="L186" s="27">
        <f>MAX(0.02,NORMINV(RAND(),$C$7,$D$7))</f>
        <v/>
      </c>
      <c r="M186" s="27">
        <f>MIN(0.16,MAX(0.05,NORMINV(RAND(),$C$8,$D$8)))</f>
        <v/>
      </c>
      <c r="N186" s="34">
        <f>MIN(24,MAX(5,NORMINV(RAND(),$C$9,$D$9)))</f>
        <v/>
      </c>
      <c r="O186" s="41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7">
        <f>MAX(-0.05,NORMINV(RAND(),$C$6,$D$6))</f>
        <v/>
      </c>
      <c r="L187" s="27">
        <f>MAX(0.02,NORMINV(RAND(),$C$7,$D$7))</f>
        <v/>
      </c>
      <c r="M187" s="27">
        <f>MIN(0.16,MAX(0.05,NORMINV(RAND(),$C$8,$D$8)))</f>
        <v/>
      </c>
      <c r="N187" s="34">
        <f>MIN(24,MAX(5,NORMINV(RAND(),$C$9,$D$9)))</f>
        <v/>
      </c>
      <c r="O187" s="41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7">
        <f>MAX(-0.05,NORMINV(RAND(),$C$6,$D$6))</f>
        <v/>
      </c>
      <c r="L188" s="27">
        <f>MAX(0.02,NORMINV(RAND(),$C$7,$D$7))</f>
        <v/>
      </c>
      <c r="M188" s="27">
        <f>MIN(0.16,MAX(0.05,NORMINV(RAND(),$C$8,$D$8)))</f>
        <v/>
      </c>
      <c r="N188" s="34">
        <f>MIN(24,MAX(5,NORMINV(RAND(),$C$9,$D$9)))</f>
        <v/>
      </c>
      <c r="O188" s="41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7">
        <f>MAX(-0.05,NORMINV(RAND(),$C$6,$D$6))</f>
        <v/>
      </c>
      <c r="L189" s="27">
        <f>MAX(0.02,NORMINV(RAND(),$C$7,$D$7))</f>
        <v/>
      </c>
      <c r="M189" s="27">
        <f>MIN(0.16,MAX(0.05,NORMINV(RAND(),$C$8,$D$8)))</f>
        <v/>
      </c>
      <c r="N189" s="34">
        <f>MIN(24,MAX(5,NORMINV(RAND(),$C$9,$D$9)))</f>
        <v/>
      </c>
      <c r="O189" s="41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7">
        <f>MAX(-0.05,NORMINV(RAND(),$C$6,$D$6))</f>
        <v/>
      </c>
      <c r="L190" s="27">
        <f>MAX(0.02,NORMINV(RAND(),$C$7,$D$7))</f>
        <v/>
      </c>
      <c r="M190" s="27">
        <f>MIN(0.16,MAX(0.05,NORMINV(RAND(),$C$8,$D$8)))</f>
        <v/>
      </c>
      <c r="N190" s="34">
        <f>MIN(24,MAX(5,NORMINV(RAND(),$C$9,$D$9)))</f>
        <v/>
      </c>
      <c r="O190" s="41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7">
        <f>MAX(-0.05,NORMINV(RAND(),$C$6,$D$6))</f>
        <v/>
      </c>
      <c r="L191" s="27">
        <f>MAX(0.02,NORMINV(RAND(),$C$7,$D$7))</f>
        <v/>
      </c>
      <c r="M191" s="27">
        <f>MIN(0.16,MAX(0.05,NORMINV(RAND(),$C$8,$D$8)))</f>
        <v/>
      </c>
      <c r="N191" s="34">
        <f>MIN(24,MAX(5,NORMINV(RAND(),$C$9,$D$9)))</f>
        <v/>
      </c>
      <c r="O191" s="41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7">
        <f>MAX(-0.05,NORMINV(RAND(),$C$6,$D$6))</f>
        <v/>
      </c>
      <c r="L192" s="27">
        <f>MAX(0.02,NORMINV(RAND(),$C$7,$D$7))</f>
        <v/>
      </c>
      <c r="M192" s="27">
        <f>MIN(0.16,MAX(0.05,NORMINV(RAND(),$C$8,$D$8)))</f>
        <v/>
      </c>
      <c r="N192" s="34">
        <f>MIN(24,MAX(5,NORMINV(RAND(),$C$9,$D$9)))</f>
        <v/>
      </c>
      <c r="O192" s="41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7">
        <f>MAX(-0.05,NORMINV(RAND(),$C$6,$D$6))</f>
        <v/>
      </c>
      <c r="L193" s="27">
        <f>MAX(0.02,NORMINV(RAND(),$C$7,$D$7))</f>
        <v/>
      </c>
      <c r="M193" s="27">
        <f>MIN(0.16,MAX(0.05,NORMINV(RAND(),$C$8,$D$8)))</f>
        <v/>
      </c>
      <c r="N193" s="34">
        <f>MIN(24,MAX(5,NORMINV(RAND(),$C$9,$D$9)))</f>
        <v/>
      </c>
      <c r="O193" s="41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7">
        <f>MAX(-0.05,NORMINV(RAND(),$C$6,$D$6))</f>
        <v/>
      </c>
      <c r="L194" s="27">
        <f>MAX(0.02,NORMINV(RAND(),$C$7,$D$7))</f>
        <v/>
      </c>
      <c r="M194" s="27">
        <f>MIN(0.16,MAX(0.05,NORMINV(RAND(),$C$8,$D$8)))</f>
        <v/>
      </c>
      <c r="N194" s="34">
        <f>MIN(24,MAX(5,NORMINV(RAND(),$C$9,$D$9)))</f>
        <v/>
      </c>
      <c r="O194" s="41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7">
        <f>MAX(-0.05,NORMINV(RAND(),$C$6,$D$6))</f>
        <v/>
      </c>
      <c r="L195" s="27">
        <f>MAX(0.02,NORMINV(RAND(),$C$7,$D$7))</f>
        <v/>
      </c>
      <c r="M195" s="27">
        <f>MIN(0.16,MAX(0.05,NORMINV(RAND(),$C$8,$D$8)))</f>
        <v/>
      </c>
      <c r="N195" s="34">
        <f>MIN(24,MAX(5,NORMINV(RAND(),$C$9,$D$9)))</f>
        <v/>
      </c>
      <c r="O195" s="41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7">
        <f>MAX(-0.05,NORMINV(RAND(),$C$6,$D$6))</f>
        <v/>
      </c>
      <c r="L196" s="27">
        <f>MAX(0.02,NORMINV(RAND(),$C$7,$D$7))</f>
        <v/>
      </c>
      <c r="M196" s="27">
        <f>MIN(0.16,MAX(0.05,NORMINV(RAND(),$C$8,$D$8)))</f>
        <v/>
      </c>
      <c r="N196" s="34">
        <f>MIN(24,MAX(5,NORMINV(RAND(),$C$9,$D$9)))</f>
        <v/>
      </c>
      <c r="O196" s="41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7">
        <f>MAX(-0.05,NORMINV(RAND(),$C$6,$D$6))</f>
        <v/>
      </c>
      <c r="L197" s="27">
        <f>MAX(0.02,NORMINV(RAND(),$C$7,$D$7))</f>
        <v/>
      </c>
      <c r="M197" s="27">
        <f>MIN(0.16,MAX(0.05,NORMINV(RAND(),$C$8,$D$8)))</f>
        <v/>
      </c>
      <c r="N197" s="34">
        <f>MIN(24,MAX(5,NORMINV(RAND(),$C$9,$D$9)))</f>
        <v/>
      </c>
      <c r="O197" s="41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7">
        <f>MAX(-0.05,NORMINV(RAND(),$C$6,$D$6))</f>
        <v/>
      </c>
      <c r="L198" s="27">
        <f>MAX(0.02,NORMINV(RAND(),$C$7,$D$7))</f>
        <v/>
      </c>
      <c r="M198" s="27">
        <f>MIN(0.16,MAX(0.05,NORMINV(RAND(),$C$8,$D$8)))</f>
        <v/>
      </c>
      <c r="N198" s="34">
        <f>MIN(24,MAX(5,NORMINV(RAND(),$C$9,$D$9)))</f>
        <v/>
      </c>
      <c r="O198" s="41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7">
        <f>MAX(-0.05,NORMINV(RAND(),$C$6,$D$6))</f>
        <v/>
      </c>
      <c r="L199" s="27">
        <f>MAX(0.02,NORMINV(RAND(),$C$7,$D$7))</f>
        <v/>
      </c>
      <c r="M199" s="27">
        <f>MIN(0.16,MAX(0.05,NORMINV(RAND(),$C$8,$D$8)))</f>
        <v/>
      </c>
      <c r="N199" s="34">
        <f>MIN(24,MAX(5,NORMINV(RAND(),$C$9,$D$9)))</f>
        <v/>
      </c>
      <c r="O199" s="41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7">
        <f>MAX(-0.05,NORMINV(RAND(),$C$6,$D$6))</f>
        <v/>
      </c>
      <c r="L200" s="27">
        <f>MAX(0.02,NORMINV(RAND(),$C$7,$D$7))</f>
        <v/>
      </c>
      <c r="M200" s="27">
        <f>MIN(0.16,MAX(0.05,NORMINV(RAND(),$C$8,$D$8)))</f>
        <v/>
      </c>
      <c r="N200" s="34">
        <f>MIN(24,MAX(5,NORMINV(RAND(),$C$9,$D$9)))</f>
        <v/>
      </c>
      <c r="O200" s="41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7">
        <f>MAX(-0.05,NORMINV(RAND(),$C$6,$D$6))</f>
        <v/>
      </c>
      <c r="L201" s="27">
        <f>MAX(0.02,NORMINV(RAND(),$C$7,$D$7))</f>
        <v/>
      </c>
      <c r="M201" s="27">
        <f>MIN(0.16,MAX(0.05,NORMINV(RAND(),$C$8,$D$8)))</f>
        <v/>
      </c>
      <c r="N201" s="34">
        <f>MIN(24,MAX(5,NORMINV(RAND(),$C$9,$D$9)))</f>
        <v/>
      </c>
      <c r="O201" s="41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7">
        <f>MAX(-0.05,NORMINV(RAND(),$C$6,$D$6))</f>
        <v/>
      </c>
      <c r="L202" s="27">
        <f>MAX(0.02,NORMINV(RAND(),$C$7,$D$7))</f>
        <v/>
      </c>
      <c r="M202" s="27">
        <f>MIN(0.16,MAX(0.05,NORMINV(RAND(),$C$8,$D$8)))</f>
        <v/>
      </c>
      <c r="N202" s="34">
        <f>MIN(24,MAX(5,NORMINV(RAND(),$C$9,$D$9)))</f>
        <v/>
      </c>
      <c r="O202" s="41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7">
        <f>MAX(-0.05,NORMINV(RAND(),$C$6,$D$6))</f>
        <v/>
      </c>
      <c r="L203" s="27">
        <f>MAX(0.02,NORMINV(RAND(),$C$7,$D$7))</f>
        <v/>
      </c>
      <c r="M203" s="27">
        <f>MIN(0.16,MAX(0.05,NORMINV(RAND(),$C$8,$D$8)))</f>
        <v/>
      </c>
      <c r="N203" s="34">
        <f>MIN(24,MAX(5,NORMINV(RAND(),$C$9,$D$9)))</f>
        <v/>
      </c>
      <c r="O203" s="41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7">
        <f>MAX(-0.05,NORMINV(RAND(),$C$6,$D$6))</f>
        <v/>
      </c>
      <c r="L204" s="27">
        <f>MAX(0.02,NORMINV(RAND(),$C$7,$D$7))</f>
        <v/>
      </c>
      <c r="M204" s="27">
        <f>MIN(0.16,MAX(0.05,NORMINV(RAND(),$C$8,$D$8)))</f>
        <v/>
      </c>
      <c r="N204" s="34">
        <f>MIN(24,MAX(5,NORMINV(RAND(),$C$9,$D$9)))</f>
        <v/>
      </c>
      <c r="O204" s="41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7">
        <f>MAX(-0.05,NORMINV(RAND(),$C$6,$D$6))</f>
        <v/>
      </c>
      <c r="L205" s="27">
        <f>MAX(0.02,NORMINV(RAND(),$C$7,$D$7))</f>
        <v/>
      </c>
      <c r="M205" s="27">
        <f>MIN(0.16,MAX(0.05,NORMINV(RAND(),$C$8,$D$8)))</f>
        <v/>
      </c>
      <c r="N205" s="34">
        <f>MIN(24,MAX(5,NORMINV(RAND(),$C$9,$D$9)))</f>
        <v/>
      </c>
      <c r="O205" s="41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7">
        <f>MAX(-0.05,NORMINV(RAND(),$C$6,$D$6))</f>
        <v/>
      </c>
      <c r="L206" s="27">
        <f>MAX(0.02,NORMINV(RAND(),$C$7,$D$7))</f>
        <v/>
      </c>
      <c r="M206" s="27">
        <f>MIN(0.16,MAX(0.05,NORMINV(RAND(),$C$8,$D$8)))</f>
        <v/>
      </c>
      <c r="N206" s="34">
        <f>MIN(24,MAX(5,NORMINV(RAND(),$C$9,$D$9)))</f>
        <v/>
      </c>
      <c r="O206" s="41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7">
        <f>MAX(-0.05,NORMINV(RAND(),$C$6,$D$6))</f>
        <v/>
      </c>
      <c r="L207" s="27">
        <f>MAX(0.02,NORMINV(RAND(),$C$7,$D$7))</f>
        <v/>
      </c>
      <c r="M207" s="27">
        <f>MIN(0.16,MAX(0.05,NORMINV(RAND(),$C$8,$D$8)))</f>
        <v/>
      </c>
      <c r="N207" s="34">
        <f>MIN(24,MAX(5,NORMINV(RAND(),$C$9,$D$9)))</f>
        <v/>
      </c>
      <c r="O207" s="41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7">
        <f>MAX(-0.05,NORMINV(RAND(),$C$6,$D$6))</f>
        <v/>
      </c>
      <c r="L208" s="27">
        <f>MAX(0.02,NORMINV(RAND(),$C$7,$D$7))</f>
        <v/>
      </c>
      <c r="M208" s="27">
        <f>MIN(0.16,MAX(0.05,NORMINV(RAND(),$C$8,$D$8)))</f>
        <v/>
      </c>
      <c r="N208" s="34">
        <f>MIN(24,MAX(5,NORMINV(RAND(),$C$9,$D$9)))</f>
        <v/>
      </c>
      <c r="O208" s="41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7">
        <f>MAX(-0.05,NORMINV(RAND(),$C$6,$D$6))</f>
        <v/>
      </c>
      <c r="L209" s="27">
        <f>MAX(0.02,NORMINV(RAND(),$C$7,$D$7))</f>
        <v/>
      </c>
      <c r="M209" s="27">
        <f>MIN(0.16,MAX(0.05,NORMINV(RAND(),$C$8,$D$8)))</f>
        <v/>
      </c>
      <c r="N209" s="34">
        <f>MIN(24,MAX(5,NORMINV(RAND(),$C$9,$D$9)))</f>
        <v/>
      </c>
      <c r="O209" s="41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7">
        <f>MAX(-0.05,NORMINV(RAND(),$C$6,$D$6))</f>
        <v/>
      </c>
      <c r="L210" s="27">
        <f>MAX(0.02,NORMINV(RAND(),$C$7,$D$7))</f>
        <v/>
      </c>
      <c r="M210" s="27">
        <f>MIN(0.16,MAX(0.05,NORMINV(RAND(),$C$8,$D$8)))</f>
        <v/>
      </c>
      <c r="N210" s="34">
        <f>MIN(24,MAX(5,NORMINV(RAND(),$C$9,$D$9)))</f>
        <v/>
      </c>
      <c r="O210" s="41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7">
        <f>MAX(-0.05,NORMINV(RAND(),$C$6,$D$6))</f>
        <v/>
      </c>
      <c r="L211" s="27">
        <f>MAX(0.02,NORMINV(RAND(),$C$7,$D$7))</f>
        <v/>
      </c>
      <c r="M211" s="27">
        <f>MIN(0.16,MAX(0.05,NORMINV(RAND(),$C$8,$D$8)))</f>
        <v/>
      </c>
      <c r="N211" s="34">
        <f>MIN(24,MAX(5,NORMINV(RAND(),$C$9,$D$9)))</f>
        <v/>
      </c>
      <c r="O211" s="41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7">
        <f>MAX(-0.05,NORMINV(RAND(),$C$6,$D$6))</f>
        <v/>
      </c>
      <c r="L212" s="27">
        <f>MAX(0.02,NORMINV(RAND(),$C$7,$D$7))</f>
        <v/>
      </c>
      <c r="M212" s="27">
        <f>MIN(0.16,MAX(0.05,NORMINV(RAND(),$C$8,$D$8)))</f>
        <v/>
      </c>
      <c r="N212" s="34">
        <f>MIN(24,MAX(5,NORMINV(RAND(),$C$9,$D$9)))</f>
        <v/>
      </c>
      <c r="O212" s="41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7">
        <f>MAX(-0.05,NORMINV(RAND(),$C$6,$D$6))</f>
        <v/>
      </c>
      <c r="L213" s="27">
        <f>MAX(0.02,NORMINV(RAND(),$C$7,$D$7))</f>
        <v/>
      </c>
      <c r="M213" s="27">
        <f>MIN(0.16,MAX(0.05,NORMINV(RAND(),$C$8,$D$8)))</f>
        <v/>
      </c>
      <c r="N213" s="34">
        <f>MIN(24,MAX(5,NORMINV(RAND(),$C$9,$D$9)))</f>
        <v/>
      </c>
      <c r="O213" s="41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7">
        <f>MAX(-0.05,NORMINV(RAND(),$C$6,$D$6))</f>
        <v/>
      </c>
      <c r="L214" s="27">
        <f>MAX(0.02,NORMINV(RAND(),$C$7,$D$7))</f>
        <v/>
      </c>
      <c r="M214" s="27">
        <f>MIN(0.16,MAX(0.05,NORMINV(RAND(),$C$8,$D$8)))</f>
        <v/>
      </c>
      <c r="N214" s="34">
        <f>MIN(24,MAX(5,NORMINV(RAND(),$C$9,$D$9)))</f>
        <v/>
      </c>
      <c r="O214" s="41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7">
        <f>MAX(-0.05,NORMINV(RAND(),$C$6,$D$6))</f>
        <v/>
      </c>
      <c r="L215" s="27">
        <f>MAX(0.02,NORMINV(RAND(),$C$7,$D$7))</f>
        <v/>
      </c>
      <c r="M215" s="27">
        <f>MIN(0.16,MAX(0.05,NORMINV(RAND(),$C$8,$D$8)))</f>
        <v/>
      </c>
      <c r="N215" s="34">
        <f>MIN(24,MAX(5,NORMINV(RAND(),$C$9,$D$9)))</f>
        <v/>
      </c>
      <c r="O215" s="41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7">
        <f>MAX(-0.05,NORMINV(RAND(),$C$6,$D$6))</f>
        <v/>
      </c>
      <c r="L216" s="27">
        <f>MAX(0.02,NORMINV(RAND(),$C$7,$D$7))</f>
        <v/>
      </c>
      <c r="M216" s="27">
        <f>MIN(0.16,MAX(0.05,NORMINV(RAND(),$C$8,$D$8)))</f>
        <v/>
      </c>
      <c r="N216" s="34">
        <f>MIN(24,MAX(5,NORMINV(RAND(),$C$9,$D$9)))</f>
        <v/>
      </c>
      <c r="O216" s="41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7">
        <f>MAX(-0.05,NORMINV(RAND(),$C$6,$D$6))</f>
        <v/>
      </c>
      <c r="L217" s="27">
        <f>MAX(0.02,NORMINV(RAND(),$C$7,$D$7))</f>
        <v/>
      </c>
      <c r="M217" s="27">
        <f>MIN(0.16,MAX(0.05,NORMINV(RAND(),$C$8,$D$8)))</f>
        <v/>
      </c>
      <c r="N217" s="34">
        <f>MIN(24,MAX(5,NORMINV(RAND(),$C$9,$D$9)))</f>
        <v/>
      </c>
      <c r="O217" s="41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7">
        <f>MAX(-0.05,NORMINV(RAND(),$C$6,$D$6))</f>
        <v/>
      </c>
      <c r="L218" s="27">
        <f>MAX(0.02,NORMINV(RAND(),$C$7,$D$7))</f>
        <v/>
      </c>
      <c r="M218" s="27">
        <f>MIN(0.16,MAX(0.05,NORMINV(RAND(),$C$8,$D$8)))</f>
        <v/>
      </c>
      <c r="N218" s="34">
        <f>MIN(24,MAX(5,NORMINV(RAND(),$C$9,$D$9)))</f>
        <v/>
      </c>
      <c r="O218" s="41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7">
        <f>MAX(-0.05,NORMINV(RAND(),$C$6,$D$6))</f>
        <v/>
      </c>
      <c r="L219" s="27">
        <f>MAX(0.02,NORMINV(RAND(),$C$7,$D$7))</f>
        <v/>
      </c>
      <c r="M219" s="27">
        <f>MIN(0.16,MAX(0.05,NORMINV(RAND(),$C$8,$D$8)))</f>
        <v/>
      </c>
      <c r="N219" s="34">
        <f>MIN(24,MAX(5,NORMINV(RAND(),$C$9,$D$9)))</f>
        <v/>
      </c>
      <c r="O219" s="41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7">
        <f>MAX(-0.05,NORMINV(RAND(),$C$6,$D$6))</f>
        <v/>
      </c>
      <c r="L220" s="27">
        <f>MAX(0.02,NORMINV(RAND(),$C$7,$D$7))</f>
        <v/>
      </c>
      <c r="M220" s="27">
        <f>MIN(0.16,MAX(0.05,NORMINV(RAND(),$C$8,$D$8)))</f>
        <v/>
      </c>
      <c r="N220" s="34">
        <f>MIN(24,MAX(5,NORMINV(RAND(),$C$9,$D$9)))</f>
        <v/>
      </c>
      <c r="O220" s="41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7">
        <f>MAX(-0.05,NORMINV(RAND(),$C$6,$D$6))</f>
        <v/>
      </c>
      <c r="L221" s="27">
        <f>MAX(0.02,NORMINV(RAND(),$C$7,$D$7))</f>
        <v/>
      </c>
      <c r="M221" s="27">
        <f>MIN(0.16,MAX(0.05,NORMINV(RAND(),$C$8,$D$8)))</f>
        <v/>
      </c>
      <c r="N221" s="34">
        <f>MIN(24,MAX(5,NORMINV(RAND(),$C$9,$D$9)))</f>
        <v/>
      </c>
      <c r="O221" s="41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7">
        <f>MAX(-0.05,NORMINV(RAND(),$C$6,$D$6))</f>
        <v/>
      </c>
      <c r="L222" s="27">
        <f>MAX(0.02,NORMINV(RAND(),$C$7,$D$7))</f>
        <v/>
      </c>
      <c r="M222" s="27">
        <f>MIN(0.16,MAX(0.05,NORMINV(RAND(),$C$8,$D$8)))</f>
        <v/>
      </c>
      <c r="N222" s="34">
        <f>MIN(24,MAX(5,NORMINV(RAND(),$C$9,$D$9)))</f>
        <v/>
      </c>
      <c r="O222" s="41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7">
        <f>MAX(-0.05,NORMINV(RAND(),$C$6,$D$6))</f>
        <v/>
      </c>
      <c r="L223" s="27">
        <f>MAX(0.02,NORMINV(RAND(),$C$7,$D$7))</f>
        <v/>
      </c>
      <c r="M223" s="27">
        <f>MIN(0.16,MAX(0.05,NORMINV(RAND(),$C$8,$D$8)))</f>
        <v/>
      </c>
      <c r="N223" s="34">
        <f>MIN(24,MAX(5,NORMINV(RAND(),$C$9,$D$9)))</f>
        <v/>
      </c>
      <c r="O223" s="41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7">
        <f>MAX(-0.05,NORMINV(RAND(),$C$6,$D$6))</f>
        <v/>
      </c>
      <c r="L224" s="27">
        <f>MAX(0.02,NORMINV(RAND(),$C$7,$D$7))</f>
        <v/>
      </c>
      <c r="M224" s="27">
        <f>MIN(0.16,MAX(0.05,NORMINV(RAND(),$C$8,$D$8)))</f>
        <v/>
      </c>
      <c r="N224" s="34">
        <f>MIN(24,MAX(5,NORMINV(RAND(),$C$9,$D$9)))</f>
        <v/>
      </c>
      <c r="O224" s="41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7">
        <f>MAX(-0.05,NORMINV(RAND(),$C$6,$D$6))</f>
        <v/>
      </c>
      <c r="L225" s="27">
        <f>MAX(0.02,NORMINV(RAND(),$C$7,$D$7))</f>
        <v/>
      </c>
      <c r="M225" s="27">
        <f>MIN(0.16,MAX(0.05,NORMINV(RAND(),$C$8,$D$8)))</f>
        <v/>
      </c>
      <c r="N225" s="34">
        <f>MIN(24,MAX(5,NORMINV(RAND(),$C$9,$D$9)))</f>
        <v/>
      </c>
      <c r="O225" s="41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7">
        <f>MAX(-0.05,NORMINV(RAND(),$C$6,$D$6))</f>
        <v/>
      </c>
      <c r="L226" s="27">
        <f>MAX(0.02,NORMINV(RAND(),$C$7,$D$7))</f>
        <v/>
      </c>
      <c r="M226" s="27">
        <f>MIN(0.16,MAX(0.05,NORMINV(RAND(),$C$8,$D$8)))</f>
        <v/>
      </c>
      <c r="N226" s="34">
        <f>MIN(24,MAX(5,NORMINV(RAND(),$C$9,$D$9)))</f>
        <v/>
      </c>
      <c r="O226" s="41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7">
        <f>MAX(-0.05,NORMINV(RAND(),$C$6,$D$6))</f>
        <v/>
      </c>
      <c r="L227" s="27">
        <f>MAX(0.02,NORMINV(RAND(),$C$7,$D$7))</f>
        <v/>
      </c>
      <c r="M227" s="27">
        <f>MIN(0.16,MAX(0.05,NORMINV(RAND(),$C$8,$D$8)))</f>
        <v/>
      </c>
      <c r="N227" s="34">
        <f>MIN(24,MAX(5,NORMINV(RAND(),$C$9,$D$9)))</f>
        <v/>
      </c>
      <c r="O227" s="41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7">
        <f>MAX(-0.05,NORMINV(RAND(),$C$6,$D$6))</f>
        <v/>
      </c>
      <c r="L228" s="27">
        <f>MAX(0.02,NORMINV(RAND(),$C$7,$D$7))</f>
        <v/>
      </c>
      <c r="M228" s="27">
        <f>MIN(0.16,MAX(0.05,NORMINV(RAND(),$C$8,$D$8)))</f>
        <v/>
      </c>
      <c r="N228" s="34">
        <f>MIN(24,MAX(5,NORMINV(RAND(),$C$9,$D$9)))</f>
        <v/>
      </c>
      <c r="O228" s="41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7">
        <f>MAX(-0.05,NORMINV(RAND(),$C$6,$D$6))</f>
        <v/>
      </c>
      <c r="L229" s="27">
        <f>MAX(0.02,NORMINV(RAND(),$C$7,$D$7))</f>
        <v/>
      </c>
      <c r="M229" s="27">
        <f>MIN(0.16,MAX(0.05,NORMINV(RAND(),$C$8,$D$8)))</f>
        <v/>
      </c>
      <c r="N229" s="34">
        <f>MIN(24,MAX(5,NORMINV(RAND(),$C$9,$D$9)))</f>
        <v/>
      </c>
      <c r="O229" s="41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7">
        <f>MAX(-0.05,NORMINV(RAND(),$C$6,$D$6))</f>
        <v/>
      </c>
      <c r="L230" s="27">
        <f>MAX(0.02,NORMINV(RAND(),$C$7,$D$7))</f>
        <v/>
      </c>
      <c r="M230" s="27">
        <f>MIN(0.16,MAX(0.05,NORMINV(RAND(),$C$8,$D$8)))</f>
        <v/>
      </c>
      <c r="N230" s="34">
        <f>MIN(24,MAX(5,NORMINV(RAND(),$C$9,$D$9)))</f>
        <v/>
      </c>
      <c r="O230" s="41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7">
        <f>MAX(-0.05,NORMINV(RAND(),$C$6,$D$6))</f>
        <v/>
      </c>
      <c r="L231" s="27">
        <f>MAX(0.02,NORMINV(RAND(),$C$7,$D$7))</f>
        <v/>
      </c>
      <c r="M231" s="27">
        <f>MIN(0.16,MAX(0.05,NORMINV(RAND(),$C$8,$D$8)))</f>
        <v/>
      </c>
      <c r="N231" s="34">
        <f>MIN(24,MAX(5,NORMINV(RAND(),$C$9,$D$9)))</f>
        <v/>
      </c>
      <c r="O231" s="41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7">
        <f>MAX(-0.05,NORMINV(RAND(),$C$6,$D$6))</f>
        <v/>
      </c>
      <c r="L232" s="27">
        <f>MAX(0.02,NORMINV(RAND(),$C$7,$D$7))</f>
        <v/>
      </c>
      <c r="M232" s="27">
        <f>MIN(0.16,MAX(0.05,NORMINV(RAND(),$C$8,$D$8)))</f>
        <v/>
      </c>
      <c r="N232" s="34">
        <f>MIN(24,MAX(5,NORMINV(RAND(),$C$9,$D$9)))</f>
        <v/>
      </c>
      <c r="O232" s="41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7">
        <f>MAX(-0.05,NORMINV(RAND(),$C$6,$D$6))</f>
        <v/>
      </c>
      <c r="L233" s="27">
        <f>MAX(0.02,NORMINV(RAND(),$C$7,$D$7))</f>
        <v/>
      </c>
      <c r="M233" s="27">
        <f>MIN(0.16,MAX(0.05,NORMINV(RAND(),$C$8,$D$8)))</f>
        <v/>
      </c>
      <c r="N233" s="34">
        <f>MIN(24,MAX(5,NORMINV(RAND(),$C$9,$D$9)))</f>
        <v/>
      </c>
      <c r="O233" s="41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7">
        <f>MAX(-0.05,NORMINV(RAND(),$C$6,$D$6))</f>
        <v/>
      </c>
      <c r="L234" s="27">
        <f>MAX(0.02,NORMINV(RAND(),$C$7,$D$7))</f>
        <v/>
      </c>
      <c r="M234" s="27">
        <f>MIN(0.16,MAX(0.05,NORMINV(RAND(),$C$8,$D$8)))</f>
        <v/>
      </c>
      <c r="N234" s="34">
        <f>MIN(24,MAX(5,NORMINV(RAND(),$C$9,$D$9)))</f>
        <v/>
      </c>
      <c r="O234" s="41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7">
        <f>MAX(-0.05,NORMINV(RAND(),$C$6,$D$6))</f>
        <v/>
      </c>
      <c r="L235" s="27">
        <f>MAX(0.02,NORMINV(RAND(),$C$7,$D$7))</f>
        <v/>
      </c>
      <c r="M235" s="27">
        <f>MIN(0.16,MAX(0.05,NORMINV(RAND(),$C$8,$D$8)))</f>
        <v/>
      </c>
      <c r="N235" s="34">
        <f>MIN(24,MAX(5,NORMINV(RAND(),$C$9,$D$9)))</f>
        <v/>
      </c>
      <c r="O235" s="41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7">
        <f>MAX(-0.05,NORMINV(RAND(),$C$6,$D$6))</f>
        <v/>
      </c>
      <c r="L236" s="27">
        <f>MAX(0.02,NORMINV(RAND(),$C$7,$D$7))</f>
        <v/>
      </c>
      <c r="M236" s="27">
        <f>MIN(0.16,MAX(0.05,NORMINV(RAND(),$C$8,$D$8)))</f>
        <v/>
      </c>
      <c r="N236" s="34">
        <f>MIN(24,MAX(5,NORMINV(RAND(),$C$9,$D$9)))</f>
        <v/>
      </c>
      <c r="O236" s="41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7">
        <f>MAX(-0.05,NORMINV(RAND(),$C$6,$D$6))</f>
        <v/>
      </c>
      <c r="L237" s="27">
        <f>MAX(0.02,NORMINV(RAND(),$C$7,$D$7))</f>
        <v/>
      </c>
      <c r="M237" s="27">
        <f>MIN(0.16,MAX(0.05,NORMINV(RAND(),$C$8,$D$8)))</f>
        <v/>
      </c>
      <c r="N237" s="34">
        <f>MIN(24,MAX(5,NORMINV(RAND(),$C$9,$D$9)))</f>
        <v/>
      </c>
      <c r="O237" s="41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7">
        <f>MAX(-0.05,NORMINV(RAND(),$C$6,$D$6))</f>
        <v/>
      </c>
      <c r="L238" s="27">
        <f>MAX(0.02,NORMINV(RAND(),$C$7,$D$7))</f>
        <v/>
      </c>
      <c r="M238" s="27">
        <f>MIN(0.16,MAX(0.05,NORMINV(RAND(),$C$8,$D$8)))</f>
        <v/>
      </c>
      <c r="N238" s="34">
        <f>MIN(24,MAX(5,NORMINV(RAND(),$C$9,$D$9)))</f>
        <v/>
      </c>
      <c r="O238" s="41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7">
        <f>MAX(-0.05,NORMINV(RAND(),$C$6,$D$6))</f>
        <v/>
      </c>
      <c r="L239" s="27">
        <f>MAX(0.02,NORMINV(RAND(),$C$7,$D$7))</f>
        <v/>
      </c>
      <c r="M239" s="27">
        <f>MIN(0.16,MAX(0.05,NORMINV(RAND(),$C$8,$D$8)))</f>
        <v/>
      </c>
      <c r="N239" s="34">
        <f>MIN(24,MAX(5,NORMINV(RAND(),$C$9,$D$9)))</f>
        <v/>
      </c>
      <c r="O239" s="41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7">
        <f>MAX(-0.05,NORMINV(RAND(),$C$6,$D$6))</f>
        <v/>
      </c>
      <c r="L240" s="27">
        <f>MAX(0.02,NORMINV(RAND(),$C$7,$D$7))</f>
        <v/>
      </c>
      <c r="M240" s="27">
        <f>MIN(0.16,MAX(0.05,NORMINV(RAND(),$C$8,$D$8)))</f>
        <v/>
      </c>
      <c r="N240" s="34">
        <f>MIN(24,MAX(5,NORMINV(RAND(),$C$9,$D$9)))</f>
        <v/>
      </c>
      <c r="O240" s="41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7">
        <f>MAX(-0.05,NORMINV(RAND(),$C$6,$D$6))</f>
        <v/>
      </c>
      <c r="L241" s="27">
        <f>MAX(0.02,NORMINV(RAND(),$C$7,$D$7))</f>
        <v/>
      </c>
      <c r="M241" s="27">
        <f>MIN(0.16,MAX(0.05,NORMINV(RAND(),$C$8,$D$8)))</f>
        <v/>
      </c>
      <c r="N241" s="34">
        <f>MIN(24,MAX(5,NORMINV(RAND(),$C$9,$D$9)))</f>
        <v/>
      </c>
      <c r="O241" s="41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7">
        <f>MAX(-0.05,NORMINV(RAND(),$C$6,$D$6))</f>
        <v/>
      </c>
      <c r="L242" s="27">
        <f>MAX(0.02,NORMINV(RAND(),$C$7,$D$7))</f>
        <v/>
      </c>
      <c r="M242" s="27">
        <f>MIN(0.16,MAX(0.05,NORMINV(RAND(),$C$8,$D$8)))</f>
        <v/>
      </c>
      <c r="N242" s="34">
        <f>MIN(24,MAX(5,NORMINV(RAND(),$C$9,$D$9)))</f>
        <v/>
      </c>
      <c r="O242" s="41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7">
        <f>MAX(-0.05,NORMINV(RAND(),$C$6,$D$6))</f>
        <v/>
      </c>
      <c r="L243" s="27">
        <f>MAX(0.02,NORMINV(RAND(),$C$7,$D$7))</f>
        <v/>
      </c>
      <c r="M243" s="27">
        <f>MIN(0.16,MAX(0.05,NORMINV(RAND(),$C$8,$D$8)))</f>
        <v/>
      </c>
      <c r="N243" s="34">
        <f>MIN(24,MAX(5,NORMINV(RAND(),$C$9,$D$9)))</f>
        <v/>
      </c>
      <c r="O243" s="41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7">
        <f>MAX(-0.05,NORMINV(RAND(),$C$6,$D$6))</f>
        <v/>
      </c>
      <c r="L244" s="27">
        <f>MAX(0.02,NORMINV(RAND(),$C$7,$D$7))</f>
        <v/>
      </c>
      <c r="M244" s="27">
        <f>MIN(0.16,MAX(0.05,NORMINV(RAND(),$C$8,$D$8)))</f>
        <v/>
      </c>
      <c r="N244" s="34">
        <f>MIN(24,MAX(5,NORMINV(RAND(),$C$9,$D$9)))</f>
        <v/>
      </c>
      <c r="O244" s="41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7">
        <f>MAX(-0.05,NORMINV(RAND(),$C$6,$D$6))</f>
        <v/>
      </c>
      <c r="L245" s="27">
        <f>MAX(0.02,NORMINV(RAND(),$C$7,$D$7))</f>
        <v/>
      </c>
      <c r="M245" s="27">
        <f>MIN(0.16,MAX(0.05,NORMINV(RAND(),$C$8,$D$8)))</f>
        <v/>
      </c>
      <c r="N245" s="34">
        <f>MIN(24,MAX(5,NORMINV(RAND(),$C$9,$D$9)))</f>
        <v/>
      </c>
      <c r="O245" s="41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7">
        <f>MAX(-0.05,NORMINV(RAND(),$C$6,$D$6))</f>
        <v/>
      </c>
      <c r="L246" s="27">
        <f>MAX(0.02,NORMINV(RAND(),$C$7,$D$7))</f>
        <v/>
      </c>
      <c r="M246" s="27">
        <f>MIN(0.16,MAX(0.05,NORMINV(RAND(),$C$8,$D$8)))</f>
        <v/>
      </c>
      <c r="N246" s="34">
        <f>MIN(24,MAX(5,NORMINV(RAND(),$C$9,$D$9)))</f>
        <v/>
      </c>
      <c r="O246" s="41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7">
        <f>MAX(-0.05,NORMINV(RAND(),$C$6,$D$6))</f>
        <v/>
      </c>
      <c r="L247" s="27">
        <f>MAX(0.02,NORMINV(RAND(),$C$7,$D$7))</f>
        <v/>
      </c>
      <c r="M247" s="27">
        <f>MIN(0.16,MAX(0.05,NORMINV(RAND(),$C$8,$D$8)))</f>
        <v/>
      </c>
      <c r="N247" s="34">
        <f>MIN(24,MAX(5,NORMINV(RAND(),$C$9,$D$9)))</f>
        <v/>
      </c>
      <c r="O247" s="41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7">
        <f>MAX(-0.05,NORMINV(RAND(),$C$6,$D$6))</f>
        <v/>
      </c>
      <c r="L248" s="27">
        <f>MAX(0.02,NORMINV(RAND(),$C$7,$D$7))</f>
        <v/>
      </c>
      <c r="M248" s="27">
        <f>MIN(0.16,MAX(0.05,NORMINV(RAND(),$C$8,$D$8)))</f>
        <v/>
      </c>
      <c r="N248" s="34">
        <f>MIN(24,MAX(5,NORMINV(RAND(),$C$9,$D$9)))</f>
        <v/>
      </c>
      <c r="O248" s="41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7">
        <f>MAX(-0.05,NORMINV(RAND(),$C$6,$D$6))</f>
        <v/>
      </c>
      <c r="L249" s="27">
        <f>MAX(0.02,NORMINV(RAND(),$C$7,$D$7))</f>
        <v/>
      </c>
      <c r="M249" s="27">
        <f>MIN(0.16,MAX(0.05,NORMINV(RAND(),$C$8,$D$8)))</f>
        <v/>
      </c>
      <c r="N249" s="34">
        <f>MIN(24,MAX(5,NORMINV(RAND(),$C$9,$D$9)))</f>
        <v/>
      </c>
      <c r="O249" s="41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7">
        <f>MAX(-0.05,NORMINV(RAND(),$C$6,$D$6))</f>
        <v/>
      </c>
      <c r="L250" s="27">
        <f>MAX(0.02,NORMINV(RAND(),$C$7,$D$7))</f>
        <v/>
      </c>
      <c r="M250" s="27">
        <f>MIN(0.16,MAX(0.05,NORMINV(RAND(),$C$8,$D$8)))</f>
        <v/>
      </c>
      <c r="N250" s="34">
        <f>MIN(24,MAX(5,NORMINV(RAND(),$C$9,$D$9)))</f>
        <v/>
      </c>
      <c r="O250" s="41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7">
        <f>MAX(-0.05,NORMINV(RAND(),$C$6,$D$6))</f>
        <v/>
      </c>
      <c r="L251" s="27">
        <f>MAX(0.02,NORMINV(RAND(),$C$7,$D$7))</f>
        <v/>
      </c>
      <c r="M251" s="27">
        <f>MIN(0.16,MAX(0.05,NORMINV(RAND(),$C$8,$D$8)))</f>
        <v/>
      </c>
      <c r="N251" s="34">
        <f>MIN(24,MAX(5,NORMINV(RAND(),$C$9,$D$9)))</f>
        <v/>
      </c>
      <c r="O251" s="41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7">
        <f>MAX(-0.05,NORMINV(RAND(),$C$6,$D$6))</f>
        <v/>
      </c>
      <c r="L252" s="27">
        <f>MAX(0.02,NORMINV(RAND(),$C$7,$D$7))</f>
        <v/>
      </c>
      <c r="M252" s="27">
        <f>MIN(0.16,MAX(0.05,NORMINV(RAND(),$C$8,$D$8)))</f>
        <v/>
      </c>
      <c r="N252" s="34">
        <f>MIN(24,MAX(5,NORMINV(RAND(),$C$9,$D$9)))</f>
        <v/>
      </c>
      <c r="O252" s="41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7">
        <f>MAX(-0.05,NORMINV(RAND(),$C$6,$D$6))</f>
        <v/>
      </c>
      <c r="L253" s="27">
        <f>MAX(0.02,NORMINV(RAND(),$C$7,$D$7))</f>
        <v/>
      </c>
      <c r="M253" s="27">
        <f>MIN(0.16,MAX(0.05,NORMINV(RAND(),$C$8,$D$8)))</f>
        <v/>
      </c>
      <c r="N253" s="34">
        <f>MIN(24,MAX(5,NORMINV(RAND(),$C$9,$D$9)))</f>
        <v/>
      </c>
      <c r="O253" s="41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7">
        <f>MAX(-0.05,NORMINV(RAND(),$C$6,$D$6))</f>
        <v/>
      </c>
      <c r="L254" s="27">
        <f>MAX(0.02,NORMINV(RAND(),$C$7,$D$7))</f>
        <v/>
      </c>
      <c r="M254" s="27">
        <f>MIN(0.16,MAX(0.05,NORMINV(RAND(),$C$8,$D$8)))</f>
        <v/>
      </c>
      <c r="N254" s="34">
        <f>MIN(24,MAX(5,NORMINV(RAND(),$C$9,$D$9)))</f>
        <v/>
      </c>
      <c r="O254" s="41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7">
        <f>MAX(-0.05,NORMINV(RAND(),$C$6,$D$6))</f>
        <v/>
      </c>
      <c r="L255" s="27">
        <f>MAX(0.02,NORMINV(RAND(),$C$7,$D$7))</f>
        <v/>
      </c>
      <c r="M255" s="27">
        <f>MIN(0.16,MAX(0.05,NORMINV(RAND(),$C$8,$D$8)))</f>
        <v/>
      </c>
      <c r="N255" s="34">
        <f>MIN(24,MAX(5,NORMINV(RAND(),$C$9,$D$9)))</f>
        <v/>
      </c>
      <c r="O255" s="41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7">
        <f>MAX(-0.05,NORMINV(RAND(),$C$6,$D$6))</f>
        <v/>
      </c>
      <c r="L256" s="27">
        <f>MAX(0.02,NORMINV(RAND(),$C$7,$D$7))</f>
        <v/>
      </c>
      <c r="M256" s="27">
        <f>MIN(0.16,MAX(0.05,NORMINV(RAND(),$C$8,$D$8)))</f>
        <v/>
      </c>
      <c r="N256" s="34">
        <f>MIN(24,MAX(5,NORMINV(RAND(),$C$9,$D$9)))</f>
        <v/>
      </c>
      <c r="O256" s="41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7">
        <f>MAX(-0.05,NORMINV(RAND(),$C$6,$D$6))</f>
        <v/>
      </c>
      <c r="L257" s="27">
        <f>MAX(0.02,NORMINV(RAND(),$C$7,$D$7))</f>
        <v/>
      </c>
      <c r="M257" s="27">
        <f>MIN(0.16,MAX(0.05,NORMINV(RAND(),$C$8,$D$8)))</f>
        <v/>
      </c>
      <c r="N257" s="34">
        <f>MIN(24,MAX(5,NORMINV(RAND(),$C$9,$D$9)))</f>
        <v/>
      </c>
      <c r="O257" s="41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7">
        <f>MAX(-0.05,NORMINV(RAND(),$C$6,$D$6))</f>
        <v/>
      </c>
      <c r="L258" s="27">
        <f>MAX(0.02,NORMINV(RAND(),$C$7,$D$7))</f>
        <v/>
      </c>
      <c r="M258" s="27">
        <f>MIN(0.16,MAX(0.05,NORMINV(RAND(),$C$8,$D$8)))</f>
        <v/>
      </c>
      <c r="N258" s="34">
        <f>MIN(24,MAX(5,NORMINV(RAND(),$C$9,$D$9)))</f>
        <v/>
      </c>
      <c r="O258" s="41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7">
        <f>MAX(-0.05,NORMINV(RAND(),$C$6,$D$6))</f>
        <v/>
      </c>
      <c r="L259" s="27">
        <f>MAX(0.02,NORMINV(RAND(),$C$7,$D$7))</f>
        <v/>
      </c>
      <c r="M259" s="27">
        <f>MIN(0.16,MAX(0.05,NORMINV(RAND(),$C$8,$D$8)))</f>
        <v/>
      </c>
      <c r="N259" s="34">
        <f>MIN(24,MAX(5,NORMINV(RAND(),$C$9,$D$9)))</f>
        <v/>
      </c>
      <c r="O259" s="41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7">
        <f>MAX(-0.05,NORMINV(RAND(),$C$6,$D$6))</f>
        <v/>
      </c>
      <c r="L260" s="27">
        <f>MAX(0.02,NORMINV(RAND(),$C$7,$D$7))</f>
        <v/>
      </c>
      <c r="M260" s="27">
        <f>MIN(0.16,MAX(0.05,NORMINV(RAND(),$C$8,$D$8)))</f>
        <v/>
      </c>
      <c r="N260" s="34">
        <f>MIN(24,MAX(5,NORMINV(RAND(),$C$9,$D$9)))</f>
        <v/>
      </c>
      <c r="O260" s="41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7">
        <f>MAX(-0.05,NORMINV(RAND(),$C$6,$D$6))</f>
        <v/>
      </c>
      <c r="L261" s="27">
        <f>MAX(0.02,NORMINV(RAND(),$C$7,$D$7))</f>
        <v/>
      </c>
      <c r="M261" s="27">
        <f>MIN(0.16,MAX(0.05,NORMINV(RAND(),$C$8,$D$8)))</f>
        <v/>
      </c>
      <c r="N261" s="34">
        <f>MIN(24,MAX(5,NORMINV(RAND(),$C$9,$D$9)))</f>
        <v/>
      </c>
      <c r="O261" s="41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7">
        <f>MAX(-0.05,NORMINV(RAND(),$C$6,$D$6))</f>
        <v/>
      </c>
      <c r="L262" s="27">
        <f>MAX(0.02,NORMINV(RAND(),$C$7,$D$7))</f>
        <v/>
      </c>
      <c r="M262" s="27">
        <f>MIN(0.16,MAX(0.05,NORMINV(RAND(),$C$8,$D$8)))</f>
        <v/>
      </c>
      <c r="N262" s="34">
        <f>MIN(24,MAX(5,NORMINV(RAND(),$C$9,$D$9)))</f>
        <v/>
      </c>
      <c r="O262" s="41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7">
        <f>MAX(-0.05,NORMINV(RAND(),$C$6,$D$6))</f>
        <v/>
      </c>
      <c r="L263" s="27">
        <f>MAX(0.02,NORMINV(RAND(),$C$7,$D$7))</f>
        <v/>
      </c>
      <c r="M263" s="27">
        <f>MIN(0.16,MAX(0.05,NORMINV(RAND(),$C$8,$D$8)))</f>
        <v/>
      </c>
      <c r="N263" s="34">
        <f>MIN(24,MAX(5,NORMINV(RAND(),$C$9,$D$9)))</f>
        <v/>
      </c>
      <c r="O263" s="41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7">
        <f>MAX(-0.05,NORMINV(RAND(),$C$6,$D$6))</f>
        <v/>
      </c>
      <c r="L264" s="27">
        <f>MAX(0.02,NORMINV(RAND(),$C$7,$D$7))</f>
        <v/>
      </c>
      <c r="M264" s="27">
        <f>MIN(0.16,MAX(0.05,NORMINV(RAND(),$C$8,$D$8)))</f>
        <v/>
      </c>
      <c r="N264" s="34">
        <f>MIN(24,MAX(5,NORMINV(RAND(),$C$9,$D$9)))</f>
        <v/>
      </c>
      <c r="O264" s="41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7">
        <f>MAX(-0.05,NORMINV(RAND(),$C$6,$D$6))</f>
        <v/>
      </c>
      <c r="L265" s="27">
        <f>MAX(0.02,NORMINV(RAND(),$C$7,$D$7))</f>
        <v/>
      </c>
      <c r="M265" s="27">
        <f>MIN(0.16,MAX(0.05,NORMINV(RAND(),$C$8,$D$8)))</f>
        <v/>
      </c>
      <c r="N265" s="34">
        <f>MIN(24,MAX(5,NORMINV(RAND(),$C$9,$D$9)))</f>
        <v/>
      </c>
      <c r="O265" s="41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7">
        <f>MAX(-0.05,NORMINV(RAND(),$C$6,$D$6))</f>
        <v/>
      </c>
      <c r="L266" s="27">
        <f>MAX(0.02,NORMINV(RAND(),$C$7,$D$7))</f>
        <v/>
      </c>
      <c r="M266" s="27">
        <f>MIN(0.16,MAX(0.05,NORMINV(RAND(),$C$8,$D$8)))</f>
        <v/>
      </c>
      <c r="N266" s="34">
        <f>MIN(24,MAX(5,NORMINV(RAND(),$C$9,$D$9)))</f>
        <v/>
      </c>
      <c r="O266" s="41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7">
        <f>MAX(-0.05,NORMINV(RAND(),$C$6,$D$6))</f>
        <v/>
      </c>
      <c r="L267" s="27">
        <f>MAX(0.02,NORMINV(RAND(),$C$7,$D$7))</f>
        <v/>
      </c>
      <c r="M267" s="27">
        <f>MIN(0.16,MAX(0.05,NORMINV(RAND(),$C$8,$D$8)))</f>
        <v/>
      </c>
      <c r="N267" s="34">
        <f>MIN(24,MAX(5,NORMINV(RAND(),$C$9,$D$9)))</f>
        <v/>
      </c>
      <c r="O267" s="41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7">
        <f>MAX(-0.05,NORMINV(RAND(),$C$6,$D$6))</f>
        <v/>
      </c>
      <c r="L268" s="27">
        <f>MAX(0.02,NORMINV(RAND(),$C$7,$D$7))</f>
        <v/>
      </c>
      <c r="M268" s="27">
        <f>MIN(0.16,MAX(0.05,NORMINV(RAND(),$C$8,$D$8)))</f>
        <v/>
      </c>
      <c r="N268" s="34">
        <f>MIN(24,MAX(5,NORMINV(RAND(),$C$9,$D$9)))</f>
        <v/>
      </c>
      <c r="O268" s="41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7">
        <f>MAX(-0.05,NORMINV(RAND(),$C$6,$D$6))</f>
        <v/>
      </c>
      <c r="L269" s="27">
        <f>MAX(0.02,NORMINV(RAND(),$C$7,$D$7))</f>
        <v/>
      </c>
      <c r="M269" s="27">
        <f>MIN(0.16,MAX(0.05,NORMINV(RAND(),$C$8,$D$8)))</f>
        <v/>
      </c>
      <c r="N269" s="34">
        <f>MIN(24,MAX(5,NORMINV(RAND(),$C$9,$D$9)))</f>
        <v/>
      </c>
      <c r="O269" s="41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7">
        <f>MAX(-0.05,NORMINV(RAND(),$C$6,$D$6))</f>
        <v/>
      </c>
      <c r="L270" s="27">
        <f>MAX(0.02,NORMINV(RAND(),$C$7,$D$7))</f>
        <v/>
      </c>
      <c r="M270" s="27">
        <f>MIN(0.16,MAX(0.05,NORMINV(RAND(),$C$8,$D$8)))</f>
        <v/>
      </c>
      <c r="N270" s="34">
        <f>MIN(24,MAX(5,NORMINV(RAND(),$C$9,$D$9)))</f>
        <v/>
      </c>
      <c r="O270" s="41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7">
        <f>MAX(-0.05,NORMINV(RAND(),$C$6,$D$6))</f>
        <v/>
      </c>
      <c r="L271" s="27">
        <f>MAX(0.02,NORMINV(RAND(),$C$7,$D$7))</f>
        <v/>
      </c>
      <c r="M271" s="27">
        <f>MIN(0.16,MAX(0.05,NORMINV(RAND(),$C$8,$D$8)))</f>
        <v/>
      </c>
      <c r="N271" s="34">
        <f>MIN(24,MAX(5,NORMINV(RAND(),$C$9,$D$9)))</f>
        <v/>
      </c>
      <c r="O271" s="41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7">
        <f>MAX(-0.05,NORMINV(RAND(),$C$6,$D$6))</f>
        <v/>
      </c>
      <c r="L272" s="27">
        <f>MAX(0.02,NORMINV(RAND(),$C$7,$D$7))</f>
        <v/>
      </c>
      <c r="M272" s="27">
        <f>MIN(0.16,MAX(0.05,NORMINV(RAND(),$C$8,$D$8)))</f>
        <v/>
      </c>
      <c r="N272" s="34">
        <f>MIN(24,MAX(5,NORMINV(RAND(),$C$9,$D$9)))</f>
        <v/>
      </c>
      <c r="O272" s="41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7">
        <f>MAX(-0.05,NORMINV(RAND(),$C$6,$D$6))</f>
        <v/>
      </c>
      <c r="L273" s="27">
        <f>MAX(0.02,NORMINV(RAND(),$C$7,$D$7))</f>
        <v/>
      </c>
      <c r="M273" s="27">
        <f>MIN(0.16,MAX(0.05,NORMINV(RAND(),$C$8,$D$8)))</f>
        <v/>
      </c>
      <c r="N273" s="34">
        <f>MIN(24,MAX(5,NORMINV(RAND(),$C$9,$D$9)))</f>
        <v/>
      </c>
      <c r="O273" s="41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7">
        <f>MAX(-0.05,NORMINV(RAND(),$C$6,$D$6))</f>
        <v/>
      </c>
      <c r="L274" s="27">
        <f>MAX(0.02,NORMINV(RAND(),$C$7,$D$7))</f>
        <v/>
      </c>
      <c r="M274" s="27">
        <f>MIN(0.16,MAX(0.05,NORMINV(RAND(),$C$8,$D$8)))</f>
        <v/>
      </c>
      <c r="N274" s="34">
        <f>MIN(24,MAX(5,NORMINV(RAND(),$C$9,$D$9)))</f>
        <v/>
      </c>
      <c r="O274" s="41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7">
        <f>MAX(-0.05,NORMINV(RAND(),$C$6,$D$6))</f>
        <v/>
      </c>
      <c r="L275" s="27">
        <f>MAX(0.02,NORMINV(RAND(),$C$7,$D$7))</f>
        <v/>
      </c>
      <c r="M275" s="27">
        <f>MIN(0.16,MAX(0.05,NORMINV(RAND(),$C$8,$D$8)))</f>
        <v/>
      </c>
      <c r="N275" s="34">
        <f>MIN(24,MAX(5,NORMINV(RAND(),$C$9,$D$9)))</f>
        <v/>
      </c>
      <c r="O275" s="41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7">
        <f>MAX(-0.05,NORMINV(RAND(),$C$6,$D$6))</f>
        <v/>
      </c>
      <c r="L276" s="27">
        <f>MAX(0.02,NORMINV(RAND(),$C$7,$D$7))</f>
        <v/>
      </c>
      <c r="M276" s="27">
        <f>MIN(0.16,MAX(0.05,NORMINV(RAND(),$C$8,$D$8)))</f>
        <v/>
      </c>
      <c r="N276" s="34">
        <f>MIN(24,MAX(5,NORMINV(RAND(),$C$9,$D$9)))</f>
        <v/>
      </c>
      <c r="O276" s="41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7">
        <f>MAX(-0.05,NORMINV(RAND(),$C$6,$D$6))</f>
        <v/>
      </c>
      <c r="L277" s="27">
        <f>MAX(0.02,NORMINV(RAND(),$C$7,$D$7))</f>
        <v/>
      </c>
      <c r="M277" s="27">
        <f>MIN(0.16,MAX(0.05,NORMINV(RAND(),$C$8,$D$8)))</f>
        <v/>
      </c>
      <c r="N277" s="34">
        <f>MIN(24,MAX(5,NORMINV(RAND(),$C$9,$D$9)))</f>
        <v/>
      </c>
      <c r="O277" s="41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7">
        <f>MAX(-0.05,NORMINV(RAND(),$C$6,$D$6))</f>
        <v/>
      </c>
      <c r="L278" s="27">
        <f>MAX(0.02,NORMINV(RAND(),$C$7,$D$7))</f>
        <v/>
      </c>
      <c r="M278" s="27">
        <f>MIN(0.16,MAX(0.05,NORMINV(RAND(),$C$8,$D$8)))</f>
        <v/>
      </c>
      <c r="N278" s="34">
        <f>MIN(24,MAX(5,NORMINV(RAND(),$C$9,$D$9)))</f>
        <v/>
      </c>
      <c r="O278" s="41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7">
        <f>MAX(-0.05,NORMINV(RAND(),$C$6,$D$6))</f>
        <v/>
      </c>
      <c r="L279" s="27">
        <f>MAX(0.02,NORMINV(RAND(),$C$7,$D$7))</f>
        <v/>
      </c>
      <c r="M279" s="27">
        <f>MIN(0.16,MAX(0.05,NORMINV(RAND(),$C$8,$D$8)))</f>
        <v/>
      </c>
      <c r="N279" s="34">
        <f>MIN(24,MAX(5,NORMINV(RAND(),$C$9,$D$9)))</f>
        <v/>
      </c>
      <c r="O279" s="41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7">
        <f>MAX(-0.05,NORMINV(RAND(),$C$6,$D$6))</f>
        <v/>
      </c>
      <c r="L280" s="27">
        <f>MAX(0.02,NORMINV(RAND(),$C$7,$D$7))</f>
        <v/>
      </c>
      <c r="M280" s="27">
        <f>MIN(0.16,MAX(0.05,NORMINV(RAND(),$C$8,$D$8)))</f>
        <v/>
      </c>
      <c r="N280" s="34">
        <f>MIN(24,MAX(5,NORMINV(RAND(),$C$9,$D$9)))</f>
        <v/>
      </c>
      <c r="O280" s="41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7">
        <f>MAX(-0.05,NORMINV(RAND(),$C$6,$D$6))</f>
        <v/>
      </c>
      <c r="L281" s="27">
        <f>MAX(0.02,NORMINV(RAND(),$C$7,$D$7))</f>
        <v/>
      </c>
      <c r="M281" s="27">
        <f>MIN(0.16,MAX(0.05,NORMINV(RAND(),$C$8,$D$8)))</f>
        <v/>
      </c>
      <c r="N281" s="34">
        <f>MIN(24,MAX(5,NORMINV(RAND(),$C$9,$D$9)))</f>
        <v/>
      </c>
      <c r="O281" s="41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7">
        <f>MAX(-0.05,NORMINV(RAND(),$C$6,$D$6))</f>
        <v/>
      </c>
      <c r="L282" s="27">
        <f>MAX(0.02,NORMINV(RAND(),$C$7,$D$7))</f>
        <v/>
      </c>
      <c r="M282" s="27">
        <f>MIN(0.16,MAX(0.05,NORMINV(RAND(),$C$8,$D$8)))</f>
        <v/>
      </c>
      <c r="N282" s="34">
        <f>MIN(24,MAX(5,NORMINV(RAND(),$C$9,$D$9)))</f>
        <v/>
      </c>
      <c r="O282" s="41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7">
        <f>MAX(-0.05,NORMINV(RAND(),$C$6,$D$6))</f>
        <v/>
      </c>
      <c r="L283" s="27">
        <f>MAX(0.02,NORMINV(RAND(),$C$7,$D$7))</f>
        <v/>
      </c>
      <c r="M283" s="27">
        <f>MIN(0.16,MAX(0.05,NORMINV(RAND(),$C$8,$D$8)))</f>
        <v/>
      </c>
      <c r="N283" s="34">
        <f>MIN(24,MAX(5,NORMINV(RAND(),$C$9,$D$9)))</f>
        <v/>
      </c>
      <c r="O283" s="41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7">
        <f>MAX(-0.05,NORMINV(RAND(),$C$6,$D$6))</f>
        <v/>
      </c>
      <c r="L284" s="27">
        <f>MAX(0.02,NORMINV(RAND(),$C$7,$D$7))</f>
        <v/>
      </c>
      <c r="M284" s="27">
        <f>MIN(0.16,MAX(0.05,NORMINV(RAND(),$C$8,$D$8)))</f>
        <v/>
      </c>
      <c r="N284" s="34">
        <f>MIN(24,MAX(5,NORMINV(RAND(),$C$9,$D$9)))</f>
        <v/>
      </c>
      <c r="O284" s="41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7">
        <f>MAX(-0.05,NORMINV(RAND(),$C$6,$D$6))</f>
        <v/>
      </c>
      <c r="L285" s="27">
        <f>MAX(0.02,NORMINV(RAND(),$C$7,$D$7))</f>
        <v/>
      </c>
      <c r="M285" s="27">
        <f>MIN(0.16,MAX(0.05,NORMINV(RAND(),$C$8,$D$8)))</f>
        <v/>
      </c>
      <c r="N285" s="34">
        <f>MIN(24,MAX(5,NORMINV(RAND(),$C$9,$D$9)))</f>
        <v/>
      </c>
      <c r="O285" s="41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7">
        <f>MAX(-0.05,NORMINV(RAND(),$C$6,$D$6))</f>
        <v/>
      </c>
      <c r="L286" s="27">
        <f>MAX(0.02,NORMINV(RAND(),$C$7,$D$7))</f>
        <v/>
      </c>
      <c r="M286" s="27">
        <f>MIN(0.16,MAX(0.05,NORMINV(RAND(),$C$8,$D$8)))</f>
        <v/>
      </c>
      <c r="N286" s="34">
        <f>MIN(24,MAX(5,NORMINV(RAND(),$C$9,$D$9)))</f>
        <v/>
      </c>
      <c r="O286" s="41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7">
        <f>MAX(-0.05,NORMINV(RAND(),$C$6,$D$6))</f>
        <v/>
      </c>
      <c r="L287" s="27">
        <f>MAX(0.02,NORMINV(RAND(),$C$7,$D$7))</f>
        <v/>
      </c>
      <c r="M287" s="27">
        <f>MIN(0.16,MAX(0.05,NORMINV(RAND(),$C$8,$D$8)))</f>
        <v/>
      </c>
      <c r="N287" s="34">
        <f>MIN(24,MAX(5,NORMINV(RAND(),$C$9,$D$9)))</f>
        <v/>
      </c>
      <c r="O287" s="41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7">
        <f>MAX(-0.05,NORMINV(RAND(),$C$6,$D$6))</f>
        <v/>
      </c>
      <c r="L288" s="27">
        <f>MAX(0.02,NORMINV(RAND(),$C$7,$D$7))</f>
        <v/>
      </c>
      <c r="M288" s="27">
        <f>MIN(0.16,MAX(0.05,NORMINV(RAND(),$C$8,$D$8)))</f>
        <v/>
      </c>
      <c r="N288" s="34">
        <f>MIN(24,MAX(5,NORMINV(RAND(),$C$9,$D$9)))</f>
        <v/>
      </c>
      <c r="O288" s="41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7">
        <f>MAX(-0.05,NORMINV(RAND(),$C$6,$D$6))</f>
        <v/>
      </c>
      <c r="L289" s="27">
        <f>MAX(0.02,NORMINV(RAND(),$C$7,$D$7))</f>
        <v/>
      </c>
      <c r="M289" s="27">
        <f>MIN(0.16,MAX(0.05,NORMINV(RAND(),$C$8,$D$8)))</f>
        <v/>
      </c>
      <c r="N289" s="34">
        <f>MIN(24,MAX(5,NORMINV(RAND(),$C$9,$D$9)))</f>
        <v/>
      </c>
      <c r="O289" s="41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7">
        <f>MAX(-0.05,NORMINV(RAND(),$C$6,$D$6))</f>
        <v/>
      </c>
      <c r="L290" s="27">
        <f>MAX(0.02,NORMINV(RAND(),$C$7,$D$7))</f>
        <v/>
      </c>
      <c r="M290" s="27">
        <f>MIN(0.16,MAX(0.05,NORMINV(RAND(),$C$8,$D$8)))</f>
        <v/>
      </c>
      <c r="N290" s="34">
        <f>MIN(24,MAX(5,NORMINV(RAND(),$C$9,$D$9)))</f>
        <v/>
      </c>
      <c r="O290" s="41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7">
        <f>MAX(-0.05,NORMINV(RAND(),$C$6,$D$6))</f>
        <v/>
      </c>
      <c r="L291" s="27">
        <f>MAX(0.02,NORMINV(RAND(),$C$7,$D$7))</f>
        <v/>
      </c>
      <c r="M291" s="27">
        <f>MIN(0.16,MAX(0.05,NORMINV(RAND(),$C$8,$D$8)))</f>
        <v/>
      </c>
      <c r="N291" s="34">
        <f>MIN(24,MAX(5,NORMINV(RAND(),$C$9,$D$9)))</f>
        <v/>
      </c>
      <c r="O291" s="41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7">
        <f>MAX(-0.05,NORMINV(RAND(),$C$6,$D$6))</f>
        <v/>
      </c>
      <c r="L292" s="27">
        <f>MAX(0.02,NORMINV(RAND(),$C$7,$D$7))</f>
        <v/>
      </c>
      <c r="M292" s="27">
        <f>MIN(0.16,MAX(0.05,NORMINV(RAND(),$C$8,$D$8)))</f>
        <v/>
      </c>
      <c r="N292" s="34">
        <f>MIN(24,MAX(5,NORMINV(RAND(),$C$9,$D$9)))</f>
        <v/>
      </c>
      <c r="O292" s="41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7">
        <f>MAX(-0.05,NORMINV(RAND(),$C$6,$D$6))</f>
        <v/>
      </c>
      <c r="L293" s="27">
        <f>MAX(0.02,NORMINV(RAND(),$C$7,$D$7))</f>
        <v/>
      </c>
      <c r="M293" s="27">
        <f>MIN(0.16,MAX(0.05,NORMINV(RAND(),$C$8,$D$8)))</f>
        <v/>
      </c>
      <c r="N293" s="34">
        <f>MIN(24,MAX(5,NORMINV(RAND(),$C$9,$D$9)))</f>
        <v/>
      </c>
      <c r="O293" s="41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7">
        <f>MAX(-0.05,NORMINV(RAND(),$C$6,$D$6))</f>
        <v/>
      </c>
      <c r="L294" s="27">
        <f>MAX(0.02,NORMINV(RAND(),$C$7,$D$7))</f>
        <v/>
      </c>
      <c r="M294" s="27">
        <f>MIN(0.16,MAX(0.05,NORMINV(RAND(),$C$8,$D$8)))</f>
        <v/>
      </c>
      <c r="N294" s="34">
        <f>MIN(24,MAX(5,NORMINV(RAND(),$C$9,$D$9)))</f>
        <v/>
      </c>
      <c r="O294" s="41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7">
        <f>MAX(-0.05,NORMINV(RAND(),$C$6,$D$6))</f>
        <v/>
      </c>
      <c r="L295" s="27">
        <f>MAX(0.02,NORMINV(RAND(),$C$7,$D$7))</f>
        <v/>
      </c>
      <c r="M295" s="27">
        <f>MIN(0.16,MAX(0.05,NORMINV(RAND(),$C$8,$D$8)))</f>
        <v/>
      </c>
      <c r="N295" s="34">
        <f>MIN(24,MAX(5,NORMINV(RAND(),$C$9,$D$9)))</f>
        <v/>
      </c>
      <c r="O295" s="41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7">
        <f>MAX(-0.05,NORMINV(RAND(),$C$6,$D$6))</f>
        <v/>
      </c>
      <c r="L296" s="27">
        <f>MAX(0.02,NORMINV(RAND(),$C$7,$D$7))</f>
        <v/>
      </c>
      <c r="M296" s="27">
        <f>MIN(0.16,MAX(0.05,NORMINV(RAND(),$C$8,$D$8)))</f>
        <v/>
      </c>
      <c r="N296" s="34">
        <f>MIN(24,MAX(5,NORMINV(RAND(),$C$9,$D$9)))</f>
        <v/>
      </c>
      <c r="O296" s="41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7">
        <f>MAX(-0.05,NORMINV(RAND(),$C$6,$D$6))</f>
        <v/>
      </c>
      <c r="L297" s="27">
        <f>MAX(0.02,NORMINV(RAND(),$C$7,$D$7))</f>
        <v/>
      </c>
      <c r="M297" s="27">
        <f>MIN(0.16,MAX(0.05,NORMINV(RAND(),$C$8,$D$8)))</f>
        <v/>
      </c>
      <c r="N297" s="34">
        <f>MIN(24,MAX(5,NORMINV(RAND(),$C$9,$D$9)))</f>
        <v/>
      </c>
      <c r="O297" s="41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7">
        <f>MAX(-0.05,NORMINV(RAND(),$C$6,$D$6))</f>
        <v/>
      </c>
      <c r="L298" s="27">
        <f>MAX(0.02,NORMINV(RAND(),$C$7,$D$7))</f>
        <v/>
      </c>
      <c r="M298" s="27">
        <f>MIN(0.16,MAX(0.05,NORMINV(RAND(),$C$8,$D$8)))</f>
        <v/>
      </c>
      <c r="N298" s="34">
        <f>MIN(24,MAX(5,NORMINV(RAND(),$C$9,$D$9)))</f>
        <v/>
      </c>
      <c r="O298" s="41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7">
        <f>MAX(-0.05,NORMINV(RAND(),$C$6,$D$6))</f>
        <v/>
      </c>
      <c r="L299" s="27">
        <f>MAX(0.02,NORMINV(RAND(),$C$7,$D$7))</f>
        <v/>
      </c>
      <c r="M299" s="27">
        <f>MIN(0.16,MAX(0.05,NORMINV(RAND(),$C$8,$D$8)))</f>
        <v/>
      </c>
      <c r="N299" s="34">
        <f>MIN(24,MAX(5,NORMINV(RAND(),$C$9,$D$9)))</f>
        <v/>
      </c>
      <c r="O299" s="41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7">
        <f>MAX(-0.05,NORMINV(RAND(),$C$6,$D$6))</f>
        <v/>
      </c>
      <c r="L300" s="27">
        <f>MAX(0.02,NORMINV(RAND(),$C$7,$D$7))</f>
        <v/>
      </c>
      <c r="M300" s="27">
        <f>MIN(0.16,MAX(0.05,NORMINV(RAND(),$C$8,$D$8)))</f>
        <v/>
      </c>
      <c r="N300" s="34">
        <f>MIN(24,MAX(5,NORMINV(RAND(),$C$9,$D$9)))</f>
        <v/>
      </c>
      <c r="O300" s="41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7">
        <f>MAX(-0.05,NORMINV(RAND(),$C$6,$D$6))</f>
        <v/>
      </c>
      <c r="L301" s="27">
        <f>MAX(0.02,NORMINV(RAND(),$C$7,$D$7))</f>
        <v/>
      </c>
      <c r="M301" s="27">
        <f>MIN(0.16,MAX(0.05,NORMINV(RAND(),$C$8,$D$8)))</f>
        <v/>
      </c>
      <c r="N301" s="34">
        <f>MIN(24,MAX(5,NORMINV(RAND(),$C$9,$D$9)))</f>
        <v/>
      </c>
      <c r="O301" s="41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7">
        <f>MAX(-0.05,NORMINV(RAND(),$C$6,$D$6))</f>
        <v/>
      </c>
      <c r="L302" s="27">
        <f>MAX(0.02,NORMINV(RAND(),$C$7,$D$7))</f>
        <v/>
      </c>
      <c r="M302" s="27">
        <f>MIN(0.16,MAX(0.05,NORMINV(RAND(),$C$8,$D$8)))</f>
        <v/>
      </c>
      <c r="N302" s="34">
        <f>MIN(24,MAX(5,NORMINV(RAND(),$C$9,$D$9)))</f>
        <v/>
      </c>
      <c r="O302" s="41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7">
        <f>MAX(-0.05,NORMINV(RAND(),$C$6,$D$6))</f>
        <v/>
      </c>
      <c r="L303" s="27">
        <f>MAX(0.02,NORMINV(RAND(),$C$7,$D$7))</f>
        <v/>
      </c>
      <c r="M303" s="27">
        <f>MIN(0.16,MAX(0.05,NORMINV(RAND(),$C$8,$D$8)))</f>
        <v/>
      </c>
      <c r="N303" s="34">
        <f>MIN(24,MAX(5,NORMINV(RAND(),$C$9,$D$9)))</f>
        <v/>
      </c>
      <c r="O303" s="41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7">
        <f>MAX(-0.05,NORMINV(RAND(),$C$6,$D$6))</f>
        <v/>
      </c>
      <c r="L304" s="27">
        <f>MAX(0.02,NORMINV(RAND(),$C$7,$D$7))</f>
        <v/>
      </c>
      <c r="M304" s="27">
        <f>MIN(0.16,MAX(0.05,NORMINV(RAND(),$C$8,$D$8)))</f>
        <v/>
      </c>
      <c r="N304" s="34">
        <f>MIN(24,MAX(5,NORMINV(RAND(),$C$9,$D$9)))</f>
        <v/>
      </c>
      <c r="O304" s="41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7">
        <f>MAX(-0.05,NORMINV(RAND(),$C$6,$D$6))</f>
        <v/>
      </c>
      <c r="L305" s="27">
        <f>MAX(0.02,NORMINV(RAND(),$C$7,$D$7))</f>
        <v/>
      </c>
      <c r="M305" s="27">
        <f>MIN(0.16,MAX(0.05,NORMINV(RAND(),$C$8,$D$8)))</f>
        <v/>
      </c>
      <c r="N305" s="34">
        <f>MIN(24,MAX(5,NORMINV(RAND(),$C$9,$D$9)))</f>
        <v/>
      </c>
      <c r="O305" s="41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7">
        <f>MAX(-0.05,NORMINV(RAND(),$C$6,$D$6))</f>
        <v/>
      </c>
      <c r="L306" s="27">
        <f>MAX(0.02,NORMINV(RAND(),$C$7,$D$7))</f>
        <v/>
      </c>
      <c r="M306" s="27">
        <f>MIN(0.16,MAX(0.05,NORMINV(RAND(),$C$8,$D$8)))</f>
        <v/>
      </c>
      <c r="N306" s="34">
        <f>MIN(24,MAX(5,NORMINV(RAND(),$C$9,$D$9)))</f>
        <v/>
      </c>
      <c r="O306" s="41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7">
        <f>MAX(-0.05,NORMINV(RAND(),$C$6,$D$6))</f>
        <v/>
      </c>
      <c r="L307" s="27">
        <f>MAX(0.02,NORMINV(RAND(),$C$7,$D$7))</f>
        <v/>
      </c>
      <c r="M307" s="27">
        <f>MIN(0.16,MAX(0.05,NORMINV(RAND(),$C$8,$D$8)))</f>
        <v/>
      </c>
      <c r="N307" s="34">
        <f>MIN(24,MAX(5,NORMINV(RAND(),$C$9,$D$9)))</f>
        <v/>
      </c>
      <c r="O307" s="41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7">
        <f>MAX(-0.05,NORMINV(RAND(),$C$6,$D$6))</f>
        <v/>
      </c>
      <c r="L308" s="27">
        <f>MAX(0.02,NORMINV(RAND(),$C$7,$D$7))</f>
        <v/>
      </c>
      <c r="M308" s="27">
        <f>MIN(0.16,MAX(0.05,NORMINV(RAND(),$C$8,$D$8)))</f>
        <v/>
      </c>
      <c r="N308" s="34">
        <f>MIN(24,MAX(5,NORMINV(RAND(),$C$9,$D$9)))</f>
        <v/>
      </c>
      <c r="O308" s="41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7">
        <f>MAX(-0.05,NORMINV(RAND(),$C$6,$D$6))</f>
        <v/>
      </c>
      <c r="L309" s="27">
        <f>MAX(0.02,NORMINV(RAND(),$C$7,$D$7))</f>
        <v/>
      </c>
      <c r="M309" s="27">
        <f>MIN(0.16,MAX(0.05,NORMINV(RAND(),$C$8,$D$8)))</f>
        <v/>
      </c>
      <c r="N309" s="34">
        <f>MIN(24,MAX(5,NORMINV(RAND(),$C$9,$D$9)))</f>
        <v/>
      </c>
      <c r="O309" s="41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7">
        <f>MAX(-0.05,NORMINV(RAND(),$C$6,$D$6))</f>
        <v/>
      </c>
      <c r="L310" s="27">
        <f>MAX(0.02,NORMINV(RAND(),$C$7,$D$7))</f>
        <v/>
      </c>
      <c r="M310" s="27">
        <f>MIN(0.16,MAX(0.05,NORMINV(RAND(),$C$8,$D$8)))</f>
        <v/>
      </c>
      <c r="N310" s="34">
        <f>MIN(24,MAX(5,NORMINV(RAND(),$C$9,$D$9)))</f>
        <v/>
      </c>
      <c r="O310" s="41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7">
        <f>MAX(-0.05,NORMINV(RAND(),$C$6,$D$6))</f>
        <v/>
      </c>
      <c r="L311" s="27">
        <f>MAX(0.02,NORMINV(RAND(),$C$7,$D$7))</f>
        <v/>
      </c>
      <c r="M311" s="27">
        <f>MIN(0.16,MAX(0.05,NORMINV(RAND(),$C$8,$D$8)))</f>
        <v/>
      </c>
      <c r="N311" s="34">
        <f>MIN(24,MAX(5,NORMINV(RAND(),$C$9,$D$9)))</f>
        <v/>
      </c>
      <c r="O311" s="41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7">
        <f>MAX(-0.05,NORMINV(RAND(),$C$6,$D$6))</f>
        <v/>
      </c>
      <c r="L312" s="27">
        <f>MAX(0.02,NORMINV(RAND(),$C$7,$D$7))</f>
        <v/>
      </c>
      <c r="M312" s="27">
        <f>MIN(0.16,MAX(0.05,NORMINV(RAND(),$C$8,$D$8)))</f>
        <v/>
      </c>
      <c r="N312" s="34">
        <f>MIN(24,MAX(5,NORMINV(RAND(),$C$9,$D$9)))</f>
        <v/>
      </c>
      <c r="O312" s="41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7">
        <f>MAX(-0.05,NORMINV(RAND(),$C$6,$D$6))</f>
        <v/>
      </c>
      <c r="L313" s="27">
        <f>MAX(0.02,NORMINV(RAND(),$C$7,$D$7))</f>
        <v/>
      </c>
      <c r="M313" s="27">
        <f>MIN(0.16,MAX(0.05,NORMINV(RAND(),$C$8,$D$8)))</f>
        <v/>
      </c>
      <c r="N313" s="34">
        <f>MIN(24,MAX(5,NORMINV(RAND(),$C$9,$D$9)))</f>
        <v/>
      </c>
      <c r="O313" s="41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7">
        <f>MAX(-0.05,NORMINV(RAND(),$C$6,$D$6))</f>
        <v/>
      </c>
      <c r="L314" s="27">
        <f>MAX(0.02,NORMINV(RAND(),$C$7,$D$7))</f>
        <v/>
      </c>
      <c r="M314" s="27">
        <f>MIN(0.16,MAX(0.05,NORMINV(RAND(),$C$8,$D$8)))</f>
        <v/>
      </c>
      <c r="N314" s="34">
        <f>MIN(24,MAX(5,NORMINV(RAND(),$C$9,$D$9)))</f>
        <v/>
      </c>
      <c r="O314" s="41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7">
        <f>MAX(-0.05,NORMINV(RAND(),$C$6,$D$6))</f>
        <v/>
      </c>
      <c r="L315" s="27">
        <f>MAX(0.02,NORMINV(RAND(),$C$7,$D$7))</f>
        <v/>
      </c>
      <c r="M315" s="27">
        <f>MIN(0.16,MAX(0.05,NORMINV(RAND(),$C$8,$D$8)))</f>
        <v/>
      </c>
      <c r="N315" s="34">
        <f>MIN(24,MAX(5,NORMINV(RAND(),$C$9,$D$9)))</f>
        <v/>
      </c>
      <c r="O315" s="41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7">
        <f>MAX(-0.05,NORMINV(RAND(),$C$6,$D$6))</f>
        <v/>
      </c>
      <c r="L316" s="27">
        <f>MAX(0.02,NORMINV(RAND(),$C$7,$D$7))</f>
        <v/>
      </c>
      <c r="M316" s="27">
        <f>MIN(0.16,MAX(0.05,NORMINV(RAND(),$C$8,$D$8)))</f>
        <v/>
      </c>
      <c r="N316" s="34">
        <f>MIN(24,MAX(5,NORMINV(RAND(),$C$9,$D$9)))</f>
        <v/>
      </c>
      <c r="O316" s="41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7">
        <f>MAX(-0.05,NORMINV(RAND(),$C$6,$D$6))</f>
        <v/>
      </c>
      <c r="L317" s="27">
        <f>MAX(0.02,NORMINV(RAND(),$C$7,$D$7))</f>
        <v/>
      </c>
      <c r="M317" s="27">
        <f>MIN(0.16,MAX(0.05,NORMINV(RAND(),$C$8,$D$8)))</f>
        <v/>
      </c>
      <c r="N317" s="34">
        <f>MIN(24,MAX(5,NORMINV(RAND(),$C$9,$D$9)))</f>
        <v/>
      </c>
      <c r="O317" s="41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7">
        <f>MAX(-0.05,NORMINV(RAND(),$C$6,$D$6))</f>
        <v/>
      </c>
      <c r="L318" s="27">
        <f>MAX(0.02,NORMINV(RAND(),$C$7,$D$7))</f>
        <v/>
      </c>
      <c r="M318" s="27">
        <f>MIN(0.16,MAX(0.05,NORMINV(RAND(),$C$8,$D$8)))</f>
        <v/>
      </c>
      <c r="N318" s="34">
        <f>MIN(24,MAX(5,NORMINV(RAND(),$C$9,$D$9)))</f>
        <v/>
      </c>
      <c r="O318" s="41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7">
        <f>MAX(-0.05,NORMINV(RAND(),$C$6,$D$6))</f>
        <v/>
      </c>
      <c r="L319" s="27">
        <f>MAX(0.02,NORMINV(RAND(),$C$7,$D$7))</f>
        <v/>
      </c>
      <c r="M319" s="27">
        <f>MIN(0.16,MAX(0.05,NORMINV(RAND(),$C$8,$D$8)))</f>
        <v/>
      </c>
      <c r="N319" s="34">
        <f>MIN(24,MAX(5,NORMINV(RAND(),$C$9,$D$9)))</f>
        <v/>
      </c>
      <c r="O319" s="41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7">
        <f>MAX(-0.05,NORMINV(RAND(),$C$6,$D$6))</f>
        <v/>
      </c>
      <c r="L320" s="27">
        <f>MAX(0.02,NORMINV(RAND(),$C$7,$D$7))</f>
        <v/>
      </c>
      <c r="M320" s="27">
        <f>MIN(0.16,MAX(0.05,NORMINV(RAND(),$C$8,$D$8)))</f>
        <v/>
      </c>
      <c r="N320" s="34">
        <f>MIN(24,MAX(5,NORMINV(RAND(),$C$9,$D$9)))</f>
        <v/>
      </c>
      <c r="O320" s="41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7">
        <f>MAX(-0.05,NORMINV(RAND(),$C$6,$D$6))</f>
        <v/>
      </c>
      <c r="L321" s="27">
        <f>MAX(0.02,NORMINV(RAND(),$C$7,$D$7))</f>
        <v/>
      </c>
      <c r="M321" s="27">
        <f>MIN(0.16,MAX(0.05,NORMINV(RAND(),$C$8,$D$8)))</f>
        <v/>
      </c>
      <c r="N321" s="34">
        <f>MIN(24,MAX(5,NORMINV(RAND(),$C$9,$D$9)))</f>
        <v/>
      </c>
      <c r="O321" s="41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7">
        <f>MAX(-0.05,NORMINV(RAND(),$C$6,$D$6))</f>
        <v/>
      </c>
      <c r="L322" s="27">
        <f>MAX(0.02,NORMINV(RAND(),$C$7,$D$7))</f>
        <v/>
      </c>
      <c r="M322" s="27">
        <f>MIN(0.16,MAX(0.05,NORMINV(RAND(),$C$8,$D$8)))</f>
        <v/>
      </c>
      <c r="N322" s="34">
        <f>MIN(24,MAX(5,NORMINV(RAND(),$C$9,$D$9)))</f>
        <v/>
      </c>
      <c r="O322" s="41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7">
        <f>MAX(-0.05,NORMINV(RAND(),$C$6,$D$6))</f>
        <v/>
      </c>
      <c r="L323" s="27">
        <f>MAX(0.02,NORMINV(RAND(),$C$7,$D$7))</f>
        <v/>
      </c>
      <c r="M323" s="27">
        <f>MIN(0.16,MAX(0.05,NORMINV(RAND(),$C$8,$D$8)))</f>
        <v/>
      </c>
      <c r="N323" s="34">
        <f>MIN(24,MAX(5,NORMINV(RAND(),$C$9,$D$9)))</f>
        <v/>
      </c>
      <c r="O323" s="41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7">
        <f>MAX(-0.05,NORMINV(RAND(),$C$6,$D$6))</f>
        <v/>
      </c>
      <c r="L324" s="27">
        <f>MAX(0.02,NORMINV(RAND(),$C$7,$D$7))</f>
        <v/>
      </c>
      <c r="M324" s="27">
        <f>MIN(0.16,MAX(0.05,NORMINV(RAND(),$C$8,$D$8)))</f>
        <v/>
      </c>
      <c r="N324" s="34">
        <f>MIN(24,MAX(5,NORMINV(RAND(),$C$9,$D$9)))</f>
        <v/>
      </c>
      <c r="O324" s="41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7">
        <f>MAX(-0.05,NORMINV(RAND(),$C$6,$D$6))</f>
        <v/>
      </c>
      <c r="L325" s="27">
        <f>MAX(0.02,NORMINV(RAND(),$C$7,$D$7))</f>
        <v/>
      </c>
      <c r="M325" s="27">
        <f>MIN(0.16,MAX(0.05,NORMINV(RAND(),$C$8,$D$8)))</f>
        <v/>
      </c>
      <c r="N325" s="34">
        <f>MIN(24,MAX(5,NORMINV(RAND(),$C$9,$D$9)))</f>
        <v/>
      </c>
      <c r="O325" s="41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7">
        <f>MAX(-0.05,NORMINV(RAND(),$C$6,$D$6))</f>
        <v/>
      </c>
      <c r="L326" s="27">
        <f>MAX(0.02,NORMINV(RAND(),$C$7,$D$7))</f>
        <v/>
      </c>
      <c r="M326" s="27">
        <f>MIN(0.16,MAX(0.05,NORMINV(RAND(),$C$8,$D$8)))</f>
        <v/>
      </c>
      <c r="N326" s="34">
        <f>MIN(24,MAX(5,NORMINV(RAND(),$C$9,$D$9)))</f>
        <v/>
      </c>
      <c r="O326" s="41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7">
        <f>MAX(-0.05,NORMINV(RAND(),$C$6,$D$6))</f>
        <v/>
      </c>
      <c r="L327" s="27">
        <f>MAX(0.02,NORMINV(RAND(),$C$7,$D$7))</f>
        <v/>
      </c>
      <c r="M327" s="27">
        <f>MIN(0.16,MAX(0.05,NORMINV(RAND(),$C$8,$D$8)))</f>
        <v/>
      </c>
      <c r="N327" s="34">
        <f>MIN(24,MAX(5,NORMINV(RAND(),$C$9,$D$9)))</f>
        <v/>
      </c>
      <c r="O327" s="41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7">
        <f>MAX(-0.05,NORMINV(RAND(),$C$6,$D$6))</f>
        <v/>
      </c>
      <c r="L328" s="27">
        <f>MAX(0.02,NORMINV(RAND(),$C$7,$D$7))</f>
        <v/>
      </c>
      <c r="M328" s="27">
        <f>MIN(0.16,MAX(0.05,NORMINV(RAND(),$C$8,$D$8)))</f>
        <v/>
      </c>
      <c r="N328" s="34">
        <f>MIN(24,MAX(5,NORMINV(RAND(),$C$9,$D$9)))</f>
        <v/>
      </c>
      <c r="O328" s="41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7">
        <f>MAX(-0.05,NORMINV(RAND(),$C$6,$D$6))</f>
        <v/>
      </c>
      <c r="L329" s="27">
        <f>MAX(0.02,NORMINV(RAND(),$C$7,$D$7))</f>
        <v/>
      </c>
      <c r="M329" s="27">
        <f>MIN(0.16,MAX(0.05,NORMINV(RAND(),$C$8,$D$8)))</f>
        <v/>
      </c>
      <c r="N329" s="34">
        <f>MIN(24,MAX(5,NORMINV(RAND(),$C$9,$D$9)))</f>
        <v/>
      </c>
      <c r="O329" s="41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7">
        <f>MAX(-0.05,NORMINV(RAND(),$C$6,$D$6))</f>
        <v/>
      </c>
      <c r="L330" s="27">
        <f>MAX(0.02,NORMINV(RAND(),$C$7,$D$7))</f>
        <v/>
      </c>
      <c r="M330" s="27">
        <f>MIN(0.16,MAX(0.05,NORMINV(RAND(),$C$8,$D$8)))</f>
        <v/>
      </c>
      <c r="N330" s="34">
        <f>MIN(24,MAX(5,NORMINV(RAND(),$C$9,$D$9)))</f>
        <v/>
      </c>
      <c r="O330" s="41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7">
        <f>MAX(-0.05,NORMINV(RAND(),$C$6,$D$6))</f>
        <v/>
      </c>
      <c r="L331" s="27">
        <f>MAX(0.02,NORMINV(RAND(),$C$7,$D$7))</f>
        <v/>
      </c>
      <c r="M331" s="27">
        <f>MIN(0.16,MAX(0.05,NORMINV(RAND(),$C$8,$D$8)))</f>
        <v/>
      </c>
      <c r="N331" s="34">
        <f>MIN(24,MAX(5,NORMINV(RAND(),$C$9,$D$9)))</f>
        <v/>
      </c>
      <c r="O331" s="41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7">
        <f>MAX(-0.05,NORMINV(RAND(),$C$6,$D$6))</f>
        <v/>
      </c>
      <c r="L332" s="27">
        <f>MAX(0.02,NORMINV(RAND(),$C$7,$D$7))</f>
        <v/>
      </c>
      <c r="M332" s="27">
        <f>MIN(0.16,MAX(0.05,NORMINV(RAND(),$C$8,$D$8)))</f>
        <v/>
      </c>
      <c r="N332" s="34">
        <f>MIN(24,MAX(5,NORMINV(RAND(),$C$9,$D$9)))</f>
        <v/>
      </c>
      <c r="O332" s="41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7">
        <f>MAX(-0.05,NORMINV(RAND(),$C$6,$D$6))</f>
        <v/>
      </c>
      <c r="L333" s="27">
        <f>MAX(0.02,NORMINV(RAND(),$C$7,$D$7))</f>
        <v/>
      </c>
      <c r="M333" s="27">
        <f>MIN(0.16,MAX(0.05,NORMINV(RAND(),$C$8,$D$8)))</f>
        <v/>
      </c>
      <c r="N333" s="34">
        <f>MIN(24,MAX(5,NORMINV(RAND(),$C$9,$D$9)))</f>
        <v/>
      </c>
      <c r="O333" s="41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7">
        <f>MAX(-0.05,NORMINV(RAND(),$C$6,$D$6))</f>
        <v/>
      </c>
      <c r="L334" s="27">
        <f>MAX(0.02,NORMINV(RAND(),$C$7,$D$7))</f>
        <v/>
      </c>
      <c r="M334" s="27">
        <f>MIN(0.16,MAX(0.05,NORMINV(RAND(),$C$8,$D$8)))</f>
        <v/>
      </c>
      <c r="N334" s="34">
        <f>MIN(24,MAX(5,NORMINV(RAND(),$C$9,$D$9)))</f>
        <v/>
      </c>
      <c r="O334" s="41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7">
        <f>MAX(-0.05,NORMINV(RAND(),$C$6,$D$6))</f>
        <v/>
      </c>
      <c r="L335" s="27">
        <f>MAX(0.02,NORMINV(RAND(),$C$7,$D$7))</f>
        <v/>
      </c>
      <c r="M335" s="27">
        <f>MIN(0.16,MAX(0.05,NORMINV(RAND(),$C$8,$D$8)))</f>
        <v/>
      </c>
      <c r="N335" s="34">
        <f>MIN(24,MAX(5,NORMINV(RAND(),$C$9,$D$9)))</f>
        <v/>
      </c>
      <c r="O335" s="41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7">
        <f>MAX(-0.05,NORMINV(RAND(),$C$6,$D$6))</f>
        <v/>
      </c>
      <c r="L336" s="27">
        <f>MAX(0.02,NORMINV(RAND(),$C$7,$D$7))</f>
        <v/>
      </c>
      <c r="M336" s="27">
        <f>MIN(0.16,MAX(0.05,NORMINV(RAND(),$C$8,$D$8)))</f>
        <v/>
      </c>
      <c r="N336" s="34">
        <f>MIN(24,MAX(5,NORMINV(RAND(),$C$9,$D$9)))</f>
        <v/>
      </c>
      <c r="O336" s="41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7">
        <f>MAX(-0.05,NORMINV(RAND(),$C$6,$D$6))</f>
        <v/>
      </c>
      <c r="L337" s="27">
        <f>MAX(0.02,NORMINV(RAND(),$C$7,$D$7))</f>
        <v/>
      </c>
      <c r="M337" s="27">
        <f>MIN(0.16,MAX(0.05,NORMINV(RAND(),$C$8,$D$8)))</f>
        <v/>
      </c>
      <c r="N337" s="34">
        <f>MIN(24,MAX(5,NORMINV(RAND(),$C$9,$D$9)))</f>
        <v/>
      </c>
      <c r="O337" s="41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7">
        <f>MAX(-0.05,NORMINV(RAND(),$C$6,$D$6))</f>
        <v/>
      </c>
      <c r="L338" s="27">
        <f>MAX(0.02,NORMINV(RAND(),$C$7,$D$7))</f>
        <v/>
      </c>
      <c r="M338" s="27">
        <f>MIN(0.16,MAX(0.05,NORMINV(RAND(),$C$8,$D$8)))</f>
        <v/>
      </c>
      <c r="N338" s="34">
        <f>MIN(24,MAX(5,NORMINV(RAND(),$C$9,$D$9)))</f>
        <v/>
      </c>
      <c r="O338" s="41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7">
        <f>MAX(-0.05,NORMINV(RAND(),$C$6,$D$6))</f>
        <v/>
      </c>
      <c r="L339" s="27">
        <f>MAX(0.02,NORMINV(RAND(),$C$7,$D$7))</f>
        <v/>
      </c>
      <c r="M339" s="27">
        <f>MIN(0.16,MAX(0.05,NORMINV(RAND(),$C$8,$D$8)))</f>
        <v/>
      </c>
      <c r="N339" s="34">
        <f>MIN(24,MAX(5,NORMINV(RAND(),$C$9,$D$9)))</f>
        <v/>
      </c>
      <c r="O339" s="41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7">
        <f>MAX(-0.05,NORMINV(RAND(),$C$6,$D$6))</f>
        <v/>
      </c>
      <c r="L340" s="27">
        <f>MAX(0.02,NORMINV(RAND(),$C$7,$D$7))</f>
        <v/>
      </c>
      <c r="M340" s="27">
        <f>MIN(0.16,MAX(0.05,NORMINV(RAND(),$C$8,$D$8)))</f>
        <v/>
      </c>
      <c r="N340" s="34">
        <f>MIN(24,MAX(5,NORMINV(RAND(),$C$9,$D$9)))</f>
        <v/>
      </c>
      <c r="O340" s="41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7">
        <f>MAX(-0.05,NORMINV(RAND(),$C$6,$D$6))</f>
        <v/>
      </c>
      <c r="L341" s="27">
        <f>MAX(0.02,NORMINV(RAND(),$C$7,$D$7))</f>
        <v/>
      </c>
      <c r="M341" s="27">
        <f>MIN(0.16,MAX(0.05,NORMINV(RAND(),$C$8,$D$8)))</f>
        <v/>
      </c>
      <c r="N341" s="34">
        <f>MIN(24,MAX(5,NORMINV(RAND(),$C$9,$D$9)))</f>
        <v/>
      </c>
      <c r="O341" s="41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7">
        <f>MAX(-0.05,NORMINV(RAND(),$C$6,$D$6))</f>
        <v/>
      </c>
      <c r="L342" s="27">
        <f>MAX(0.02,NORMINV(RAND(),$C$7,$D$7))</f>
        <v/>
      </c>
      <c r="M342" s="27">
        <f>MIN(0.16,MAX(0.05,NORMINV(RAND(),$C$8,$D$8)))</f>
        <v/>
      </c>
      <c r="N342" s="34">
        <f>MIN(24,MAX(5,NORMINV(RAND(),$C$9,$D$9)))</f>
        <v/>
      </c>
      <c r="O342" s="41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7">
        <f>MAX(-0.05,NORMINV(RAND(),$C$6,$D$6))</f>
        <v/>
      </c>
      <c r="L343" s="27">
        <f>MAX(0.02,NORMINV(RAND(),$C$7,$D$7))</f>
        <v/>
      </c>
      <c r="M343" s="27">
        <f>MIN(0.16,MAX(0.05,NORMINV(RAND(),$C$8,$D$8)))</f>
        <v/>
      </c>
      <c r="N343" s="34">
        <f>MIN(24,MAX(5,NORMINV(RAND(),$C$9,$D$9)))</f>
        <v/>
      </c>
      <c r="O343" s="41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7">
        <f>MAX(-0.05,NORMINV(RAND(),$C$6,$D$6))</f>
        <v/>
      </c>
      <c r="L344" s="27">
        <f>MAX(0.02,NORMINV(RAND(),$C$7,$D$7))</f>
        <v/>
      </c>
      <c r="M344" s="27">
        <f>MIN(0.16,MAX(0.05,NORMINV(RAND(),$C$8,$D$8)))</f>
        <v/>
      </c>
      <c r="N344" s="34">
        <f>MIN(24,MAX(5,NORMINV(RAND(),$C$9,$D$9)))</f>
        <v/>
      </c>
      <c r="O344" s="41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7">
        <f>MAX(-0.05,NORMINV(RAND(),$C$6,$D$6))</f>
        <v/>
      </c>
      <c r="L345" s="27">
        <f>MAX(0.02,NORMINV(RAND(),$C$7,$D$7))</f>
        <v/>
      </c>
      <c r="M345" s="27">
        <f>MIN(0.16,MAX(0.05,NORMINV(RAND(),$C$8,$D$8)))</f>
        <v/>
      </c>
      <c r="N345" s="34">
        <f>MIN(24,MAX(5,NORMINV(RAND(),$C$9,$D$9)))</f>
        <v/>
      </c>
      <c r="O345" s="41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7">
        <f>MAX(-0.05,NORMINV(RAND(),$C$6,$D$6))</f>
        <v/>
      </c>
      <c r="L346" s="27">
        <f>MAX(0.02,NORMINV(RAND(),$C$7,$D$7))</f>
        <v/>
      </c>
      <c r="M346" s="27">
        <f>MIN(0.16,MAX(0.05,NORMINV(RAND(),$C$8,$D$8)))</f>
        <v/>
      </c>
      <c r="N346" s="34">
        <f>MIN(24,MAX(5,NORMINV(RAND(),$C$9,$D$9)))</f>
        <v/>
      </c>
      <c r="O346" s="41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7">
        <f>MAX(-0.05,NORMINV(RAND(),$C$6,$D$6))</f>
        <v/>
      </c>
      <c r="L347" s="27">
        <f>MAX(0.02,NORMINV(RAND(),$C$7,$D$7))</f>
        <v/>
      </c>
      <c r="M347" s="27">
        <f>MIN(0.16,MAX(0.05,NORMINV(RAND(),$C$8,$D$8)))</f>
        <v/>
      </c>
      <c r="N347" s="34">
        <f>MIN(24,MAX(5,NORMINV(RAND(),$C$9,$D$9)))</f>
        <v/>
      </c>
      <c r="O347" s="41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7">
        <f>MAX(-0.05,NORMINV(RAND(),$C$6,$D$6))</f>
        <v/>
      </c>
      <c r="L348" s="27">
        <f>MAX(0.02,NORMINV(RAND(),$C$7,$D$7))</f>
        <v/>
      </c>
      <c r="M348" s="27">
        <f>MIN(0.16,MAX(0.05,NORMINV(RAND(),$C$8,$D$8)))</f>
        <v/>
      </c>
      <c r="N348" s="34">
        <f>MIN(24,MAX(5,NORMINV(RAND(),$C$9,$D$9)))</f>
        <v/>
      </c>
      <c r="O348" s="41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7">
        <f>MAX(-0.05,NORMINV(RAND(),$C$6,$D$6))</f>
        <v/>
      </c>
      <c r="L349" s="27">
        <f>MAX(0.02,NORMINV(RAND(),$C$7,$D$7))</f>
        <v/>
      </c>
      <c r="M349" s="27">
        <f>MIN(0.16,MAX(0.05,NORMINV(RAND(),$C$8,$D$8)))</f>
        <v/>
      </c>
      <c r="N349" s="34">
        <f>MIN(24,MAX(5,NORMINV(RAND(),$C$9,$D$9)))</f>
        <v/>
      </c>
      <c r="O349" s="41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7">
        <f>MAX(-0.05,NORMINV(RAND(),$C$6,$D$6))</f>
        <v/>
      </c>
      <c r="L350" s="27">
        <f>MAX(0.02,NORMINV(RAND(),$C$7,$D$7))</f>
        <v/>
      </c>
      <c r="M350" s="27">
        <f>MIN(0.16,MAX(0.05,NORMINV(RAND(),$C$8,$D$8)))</f>
        <v/>
      </c>
      <c r="N350" s="34">
        <f>MIN(24,MAX(5,NORMINV(RAND(),$C$9,$D$9)))</f>
        <v/>
      </c>
      <c r="O350" s="41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7">
        <f>MAX(-0.05,NORMINV(RAND(),$C$6,$D$6))</f>
        <v/>
      </c>
      <c r="L351" s="27">
        <f>MAX(0.02,NORMINV(RAND(),$C$7,$D$7))</f>
        <v/>
      </c>
      <c r="M351" s="27">
        <f>MIN(0.16,MAX(0.05,NORMINV(RAND(),$C$8,$D$8)))</f>
        <v/>
      </c>
      <c r="N351" s="34">
        <f>MIN(24,MAX(5,NORMINV(RAND(),$C$9,$D$9)))</f>
        <v/>
      </c>
      <c r="O351" s="41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7">
        <f>MAX(-0.05,NORMINV(RAND(),$C$6,$D$6))</f>
        <v/>
      </c>
      <c r="L352" s="27">
        <f>MAX(0.02,NORMINV(RAND(),$C$7,$D$7))</f>
        <v/>
      </c>
      <c r="M352" s="27">
        <f>MIN(0.16,MAX(0.05,NORMINV(RAND(),$C$8,$D$8)))</f>
        <v/>
      </c>
      <c r="N352" s="34">
        <f>MIN(24,MAX(5,NORMINV(RAND(),$C$9,$D$9)))</f>
        <v/>
      </c>
      <c r="O352" s="41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7">
        <f>MAX(-0.05,NORMINV(RAND(),$C$6,$D$6))</f>
        <v/>
      </c>
      <c r="L353" s="27">
        <f>MAX(0.02,NORMINV(RAND(),$C$7,$D$7))</f>
        <v/>
      </c>
      <c r="M353" s="27">
        <f>MIN(0.16,MAX(0.05,NORMINV(RAND(),$C$8,$D$8)))</f>
        <v/>
      </c>
      <c r="N353" s="34">
        <f>MIN(24,MAX(5,NORMINV(RAND(),$C$9,$D$9)))</f>
        <v/>
      </c>
      <c r="O353" s="41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7">
        <f>MAX(-0.05,NORMINV(RAND(),$C$6,$D$6))</f>
        <v/>
      </c>
      <c r="L354" s="27">
        <f>MAX(0.02,NORMINV(RAND(),$C$7,$D$7))</f>
        <v/>
      </c>
      <c r="M354" s="27">
        <f>MIN(0.16,MAX(0.05,NORMINV(RAND(),$C$8,$D$8)))</f>
        <v/>
      </c>
      <c r="N354" s="34">
        <f>MIN(24,MAX(5,NORMINV(RAND(),$C$9,$D$9)))</f>
        <v/>
      </c>
      <c r="O354" s="41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7">
        <f>MAX(-0.05,NORMINV(RAND(),$C$6,$D$6))</f>
        <v/>
      </c>
      <c r="L355" s="27">
        <f>MAX(0.02,NORMINV(RAND(),$C$7,$D$7))</f>
        <v/>
      </c>
      <c r="M355" s="27">
        <f>MIN(0.16,MAX(0.05,NORMINV(RAND(),$C$8,$D$8)))</f>
        <v/>
      </c>
      <c r="N355" s="34">
        <f>MIN(24,MAX(5,NORMINV(RAND(),$C$9,$D$9)))</f>
        <v/>
      </c>
      <c r="O355" s="41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7">
        <f>MAX(-0.05,NORMINV(RAND(),$C$6,$D$6))</f>
        <v/>
      </c>
      <c r="L356" s="27">
        <f>MAX(0.02,NORMINV(RAND(),$C$7,$D$7))</f>
        <v/>
      </c>
      <c r="M356" s="27">
        <f>MIN(0.16,MAX(0.05,NORMINV(RAND(),$C$8,$D$8)))</f>
        <v/>
      </c>
      <c r="N356" s="34">
        <f>MIN(24,MAX(5,NORMINV(RAND(),$C$9,$D$9)))</f>
        <v/>
      </c>
      <c r="O356" s="41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7">
        <f>MAX(-0.05,NORMINV(RAND(),$C$6,$D$6))</f>
        <v/>
      </c>
      <c r="L357" s="27">
        <f>MAX(0.02,NORMINV(RAND(),$C$7,$D$7))</f>
        <v/>
      </c>
      <c r="M357" s="27">
        <f>MIN(0.16,MAX(0.05,NORMINV(RAND(),$C$8,$D$8)))</f>
        <v/>
      </c>
      <c r="N357" s="34">
        <f>MIN(24,MAX(5,NORMINV(RAND(),$C$9,$D$9)))</f>
        <v/>
      </c>
      <c r="O357" s="41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7">
        <f>MAX(-0.05,NORMINV(RAND(),$C$6,$D$6))</f>
        <v/>
      </c>
      <c r="L358" s="27">
        <f>MAX(0.02,NORMINV(RAND(),$C$7,$D$7))</f>
        <v/>
      </c>
      <c r="M358" s="27">
        <f>MIN(0.16,MAX(0.05,NORMINV(RAND(),$C$8,$D$8)))</f>
        <v/>
      </c>
      <c r="N358" s="34">
        <f>MIN(24,MAX(5,NORMINV(RAND(),$C$9,$D$9)))</f>
        <v/>
      </c>
      <c r="O358" s="41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7">
        <f>MAX(-0.05,NORMINV(RAND(),$C$6,$D$6))</f>
        <v/>
      </c>
      <c r="L359" s="27">
        <f>MAX(0.02,NORMINV(RAND(),$C$7,$D$7))</f>
        <v/>
      </c>
      <c r="M359" s="27">
        <f>MIN(0.16,MAX(0.05,NORMINV(RAND(),$C$8,$D$8)))</f>
        <v/>
      </c>
      <c r="N359" s="34">
        <f>MIN(24,MAX(5,NORMINV(RAND(),$C$9,$D$9)))</f>
        <v/>
      </c>
      <c r="O359" s="41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7">
        <f>MAX(-0.05,NORMINV(RAND(),$C$6,$D$6))</f>
        <v/>
      </c>
      <c r="L360" s="27">
        <f>MAX(0.02,NORMINV(RAND(),$C$7,$D$7))</f>
        <v/>
      </c>
      <c r="M360" s="27">
        <f>MIN(0.16,MAX(0.05,NORMINV(RAND(),$C$8,$D$8)))</f>
        <v/>
      </c>
      <c r="N360" s="34">
        <f>MIN(24,MAX(5,NORMINV(RAND(),$C$9,$D$9)))</f>
        <v/>
      </c>
      <c r="O360" s="41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7">
        <f>MAX(-0.05,NORMINV(RAND(),$C$6,$D$6))</f>
        <v/>
      </c>
      <c r="L361" s="27">
        <f>MAX(0.02,NORMINV(RAND(),$C$7,$D$7))</f>
        <v/>
      </c>
      <c r="M361" s="27">
        <f>MIN(0.16,MAX(0.05,NORMINV(RAND(),$C$8,$D$8)))</f>
        <v/>
      </c>
      <c r="N361" s="34">
        <f>MIN(24,MAX(5,NORMINV(RAND(),$C$9,$D$9)))</f>
        <v/>
      </c>
      <c r="O361" s="41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7">
        <f>MAX(-0.05,NORMINV(RAND(),$C$6,$D$6))</f>
        <v/>
      </c>
      <c r="L362" s="27">
        <f>MAX(0.02,NORMINV(RAND(),$C$7,$D$7))</f>
        <v/>
      </c>
      <c r="M362" s="27">
        <f>MIN(0.16,MAX(0.05,NORMINV(RAND(),$C$8,$D$8)))</f>
        <v/>
      </c>
      <c r="N362" s="34">
        <f>MIN(24,MAX(5,NORMINV(RAND(),$C$9,$D$9)))</f>
        <v/>
      </c>
      <c r="O362" s="41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7">
        <f>MAX(-0.05,NORMINV(RAND(),$C$6,$D$6))</f>
        <v/>
      </c>
      <c r="L363" s="27">
        <f>MAX(0.02,NORMINV(RAND(),$C$7,$D$7))</f>
        <v/>
      </c>
      <c r="M363" s="27">
        <f>MIN(0.16,MAX(0.05,NORMINV(RAND(),$C$8,$D$8)))</f>
        <v/>
      </c>
      <c r="N363" s="34">
        <f>MIN(24,MAX(5,NORMINV(RAND(),$C$9,$D$9)))</f>
        <v/>
      </c>
      <c r="O363" s="41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7">
        <f>MAX(-0.05,NORMINV(RAND(),$C$6,$D$6))</f>
        <v/>
      </c>
      <c r="L364" s="27">
        <f>MAX(0.02,NORMINV(RAND(),$C$7,$D$7))</f>
        <v/>
      </c>
      <c r="M364" s="27">
        <f>MIN(0.16,MAX(0.05,NORMINV(RAND(),$C$8,$D$8)))</f>
        <v/>
      </c>
      <c r="N364" s="34">
        <f>MIN(24,MAX(5,NORMINV(RAND(),$C$9,$D$9)))</f>
        <v/>
      </c>
      <c r="O364" s="41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7">
        <f>MAX(-0.05,NORMINV(RAND(),$C$6,$D$6))</f>
        <v/>
      </c>
      <c r="L365" s="27">
        <f>MAX(0.02,NORMINV(RAND(),$C$7,$D$7))</f>
        <v/>
      </c>
      <c r="M365" s="27">
        <f>MIN(0.16,MAX(0.05,NORMINV(RAND(),$C$8,$D$8)))</f>
        <v/>
      </c>
      <c r="N365" s="34">
        <f>MIN(24,MAX(5,NORMINV(RAND(),$C$9,$D$9)))</f>
        <v/>
      </c>
      <c r="O365" s="41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7">
        <f>MAX(-0.05,NORMINV(RAND(),$C$6,$D$6))</f>
        <v/>
      </c>
      <c r="L366" s="27">
        <f>MAX(0.02,NORMINV(RAND(),$C$7,$D$7))</f>
        <v/>
      </c>
      <c r="M366" s="27">
        <f>MIN(0.16,MAX(0.05,NORMINV(RAND(),$C$8,$D$8)))</f>
        <v/>
      </c>
      <c r="N366" s="34">
        <f>MIN(24,MAX(5,NORMINV(RAND(),$C$9,$D$9)))</f>
        <v/>
      </c>
      <c r="O366" s="41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7">
        <f>MAX(-0.05,NORMINV(RAND(),$C$6,$D$6))</f>
        <v/>
      </c>
      <c r="L367" s="27">
        <f>MAX(0.02,NORMINV(RAND(),$C$7,$D$7))</f>
        <v/>
      </c>
      <c r="M367" s="27">
        <f>MIN(0.16,MAX(0.05,NORMINV(RAND(),$C$8,$D$8)))</f>
        <v/>
      </c>
      <c r="N367" s="34">
        <f>MIN(24,MAX(5,NORMINV(RAND(),$C$9,$D$9)))</f>
        <v/>
      </c>
      <c r="O367" s="41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7">
        <f>MAX(-0.05,NORMINV(RAND(),$C$6,$D$6))</f>
        <v/>
      </c>
      <c r="L368" s="27">
        <f>MAX(0.02,NORMINV(RAND(),$C$7,$D$7))</f>
        <v/>
      </c>
      <c r="M368" s="27">
        <f>MIN(0.16,MAX(0.05,NORMINV(RAND(),$C$8,$D$8)))</f>
        <v/>
      </c>
      <c r="N368" s="34">
        <f>MIN(24,MAX(5,NORMINV(RAND(),$C$9,$D$9)))</f>
        <v/>
      </c>
      <c r="O368" s="41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7">
        <f>MAX(-0.05,NORMINV(RAND(),$C$6,$D$6))</f>
        <v/>
      </c>
      <c r="L369" s="27">
        <f>MAX(0.02,NORMINV(RAND(),$C$7,$D$7))</f>
        <v/>
      </c>
      <c r="M369" s="27">
        <f>MIN(0.16,MAX(0.05,NORMINV(RAND(),$C$8,$D$8)))</f>
        <v/>
      </c>
      <c r="N369" s="34">
        <f>MIN(24,MAX(5,NORMINV(RAND(),$C$9,$D$9)))</f>
        <v/>
      </c>
      <c r="O369" s="41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7">
        <f>MAX(-0.05,NORMINV(RAND(),$C$6,$D$6))</f>
        <v/>
      </c>
      <c r="L370" s="27">
        <f>MAX(0.02,NORMINV(RAND(),$C$7,$D$7))</f>
        <v/>
      </c>
      <c r="M370" s="27">
        <f>MIN(0.16,MAX(0.05,NORMINV(RAND(),$C$8,$D$8)))</f>
        <v/>
      </c>
      <c r="N370" s="34">
        <f>MIN(24,MAX(5,NORMINV(RAND(),$C$9,$D$9)))</f>
        <v/>
      </c>
      <c r="O370" s="41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7">
        <f>MAX(-0.05,NORMINV(RAND(),$C$6,$D$6))</f>
        <v/>
      </c>
      <c r="L371" s="27">
        <f>MAX(0.02,NORMINV(RAND(),$C$7,$D$7))</f>
        <v/>
      </c>
      <c r="M371" s="27">
        <f>MIN(0.16,MAX(0.05,NORMINV(RAND(),$C$8,$D$8)))</f>
        <v/>
      </c>
      <c r="N371" s="34">
        <f>MIN(24,MAX(5,NORMINV(RAND(),$C$9,$D$9)))</f>
        <v/>
      </c>
      <c r="O371" s="41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7">
        <f>MAX(-0.05,NORMINV(RAND(),$C$6,$D$6))</f>
        <v/>
      </c>
      <c r="L372" s="27">
        <f>MAX(0.02,NORMINV(RAND(),$C$7,$D$7))</f>
        <v/>
      </c>
      <c r="M372" s="27">
        <f>MIN(0.16,MAX(0.05,NORMINV(RAND(),$C$8,$D$8)))</f>
        <v/>
      </c>
      <c r="N372" s="34">
        <f>MIN(24,MAX(5,NORMINV(RAND(),$C$9,$D$9)))</f>
        <v/>
      </c>
      <c r="O372" s="41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7">
        <f>MAX(-0.05,NORMINV(RAND(),$C$6,$D$6))</f>
        <v/>
      </c>
      <c r="L373" s="27">
        <f>MAX(0.02,NORMINV(RAND(),$C$7,$D$7))</f>
        <v/>
      </c>
      <c r="M373" s="27">
        <f>MIN(0.16,MAX(0.05,NORMINV(RAND(),$C$8,$D$8)))</f>
        <v/>
      </c>
      <c r="N373" s="34">
        <f>MIN(24,MAX(5,NORMINV(RAND(),$C$9,$D$9)))</f>
        <v/>
      </c>
      <c r="O373" s="41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7">
        <f>MAX(-0.05,NORMINV(RAND(),$C$6,$D$6))</f>
        <v/>
      </c>
      <c r="L374" s="27">
        <f>MAX(0.02,NORMINV(RAND(),$C$7,$D$7))</f>
        <v/>
      </c>
      <c r="M374" s="27">
        <f>MIN(0.16,MAX(0.05,NORMINV(RAND(),$C$8,$D$8)))</f>
        <v/>
      </c>
      <c r="N374" s="34">
        <f>MIN(24,MAX(5,NORMINV(RAND(),$C$9,$D$9)))</f>
        <v/>
      </c>
      <c r="O374" s="41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7">
        <f>MAX(-0.05,NORMINV(RAND(),$C$6,$D$6))</f>
        <v/>
      </c>
      <c r="L375" s="27">
        <f>MAX(0.02,NORMINV(RAND(),$C$7,$D$7))</f>
        <v/>
      </c>
      <c r="M375" s="27">
        <f>MIN(0.16,MAX(0.05,NORMINV(RAND(),$C$8,$D$8)))</f>
        <v/>
      </c>
      <c r="N375" s="34">
        <f>MIN(24,MAX(5,NORMINV(RAND(),$C$9,$D$9)))</f>
        <v/>
      </c>
      <c r="O375" s="41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7">
        <f>MAX(-0.05,NORMINV(RAND(),$C$6,$D$6))</f>
        <v/>
      </c>
      <c r="L376" s="27">
        <f>MAX(0.02,NORMINV(RAND(),$C$7,$D$7))</f>
        <v/>
      </c>
      <c r="M376" s="27">
        <f>MIN(0.16,MAX(0.05,NORMINV(RAND(),$C$8,$D$8)))</f>
        <v/>
      </c>
      <c r="N376" s="34">
        <f>MIN(24,MAX(5,NORMINV(RAND(),$C$9,$D$9)))</f>
        <v/>
      </c>
      <c r="O376" s="41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7">
        <f>MAX(-0.05,NORMINV(RAND(),$C$6,$D$6))</f>
        <v/>
      </c>
      <c r="L377" s="27">
        <f>MAX(0.02,NORMINV(RAND(),$C$7,$D$7))</f>
        <v/>
      </c>
      <c r="M377" s="27">
        <f>MIN(0.16,MAX(0.05,NORMINV(RAND(),$C$8,$D$8)))</f>
        <v/>
      </c>
      <c r="N377" s="34">
        <f>MIN(24,MAX(5,NORMINV(RAND(),$C$9,$D$9)))</f>
        <v/>
      </c>
      <c r="O377" s="41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7">
        <f>MAX(-0.05,NORMINV(RAND(),$C$6,$D$6))</f>
        <v/>
      </c>
      <c r="L378" s="27">
        <f>MAX(0.02,NORMINV(RAND(),$C$7,$D$7))</f>
        <v/>
      </c>
      <c r="M378" s="27">
        <f>MIN(0.16,MAX(0.05,NORMINV(RAND(),$C$8,$D$8)))</f>
        <v/>
      </c>
      <c r="N378" s="34">
        <f>MIN(24,MAX(5,NORMINV(RAND(),$C$9,$D$9)))</f>
        <v/>
      </c>
      <c r="O378" s="41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7">
        <f>MAX(-0.05,NORMINV(RAND(),$C$6,$D$6))</f>
        <v/>
      </c>
      <c r="L379" s="27">
        <f>MAX(0.02,NORMINV(RAND(),$C$7,$D$7))</f>
        <v/>
      </c>
      <c r="M379" s="27">
        <f>MIN(0.16,MAX(0.05,NORMINV(RAND(),$C$8,$D$8)))</f>
        <v/>
      </c>
      <c r="N379" s="34">
        <f>MIN(24,MAX(5,NORMINV(RAND(),$C$9,$D$9)))</f>
        <v/>
      </c>
      <c r="O379" s="41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7">
        <f>MAX(-0.05,NORMINV(RAND(),$C$6,$D$6))</f>
        <v/>
      </c>
      <c r="L380" s="27">
        <f>MAX(0.02,NORMINV(RAND(),$C$7,$D$7))</f>
        <v/>
      </c>
      <c r="M380" s="27">
        <f>MIN(0.16,MAX(0.05,NORMINV(RAND(),$C$8,$D$8)))</f>
        <v/>
      </c>
      <c r="N380" s="34">
        <f>MIN(24,MAX(5,NORMINV(RAND(),$C$9,$D$9)))</f>
        <v/>
      </c>
      <c r="O380" s="41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7">
        <f>MAX(-0.05,NORMINV(RAND(),$C$6,$D$6))</f>
        <v/>
      </c>
      <c r="L381" s="27">
        <f>MAX(0.02,NORMINV(RAND(),$C$7,$D$7))</f>
        <v/>
      </c>
      <c r="M381" s="27">
        <f>MIN(0.16,MAX(0.05,NORMINV(RAND(),$C$8,$D$8)))</f>
        <v/>
      </c>
      <c r="N381" s="34">
        <f>MIN(24,MAX(5,NORMINV(RAND(),$C$9,$D$9)))</f>
        <v/>
      </c>
      <c r="O381" s="41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7">
        <f>MAX(-0.05,NORMINV(RAND(),$C$6,$D$6))</f>
        <v/>
      </c>
      <c r="L382" s="27">
        <f>MAX(0.02,NORMINV(RAND(),$C$7,$D$7))</f>
        <v/>
      </c>
      <c r="M382" s="27">
        <f>MIN(0.16,MAX(0.05,NORMINV(RAND(),$C$8,$D$8)))</f>
        <v/>
      </c>
      <c r="N382" s="34">
        <f>MIN(24,MAX(5,NORMINV(RAND(),$C$9,$D$9)))</f>
        <v/>
      </c>
      <c r="O382" s="41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7">
        <f>MAX(-0.05,NORMINV(RAND(),$C$6,$D$6))</f>
        <v/>
      </c>
      <c r="L383" s="27">
        <f>MAX(0.02,NORMINV(RAND(),$C$7,$D$7))</f>
        <v/>
      </c>
      <c r="M383" s="27">
        <f>MIN(0.16,MAX(0.05,NORMINV(RAND(),$C$8,$D$8)))</f>
        <v/>
      </c>
      <c r="N383" s="34">
        <f>MIN(24,MAX(5,NORMINV(RAND(),$C$9,$D$9)))</f>
        <v/>
      </c>
      <c r="O383" s="41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7">
        <f>MAX(-0.05,NORMINV(RAND(),$C$6,$D$6))</f>
        <v/>
      </c>
      <c r="L384" s="27">
        <f>MAX(0.02,NORMINV(RAND(),$C$7,$D$7))</f>
        <v/>
      </c>
      <c r="M384" s="27">
        <f>MIN(0.16,MAX(0.05,NORMINV(RAND(),$C$8,$D$8)))</f>
        <v/>
      </c>
      <c r="N384" s="34">
        <f>MIN(24,MAX(5,NORMINV(RAND(),$C$9,$D$9)))</f>
        <v/>
      </c>
      <c r="O384" s="41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7">
        <f>MAX(-0.05,NORMINV(RAND(),$C$6,$D$6))</f>
        <v/>
      </c>
      <c r="L385" s="27">
        <f>MAX(0.02,NORMINV(RAND(),$C$7,$D$7))</f>
        <v/>
      </c>
      <c r="M385" s="27">
        <f>MIN(0.16,MAX(0.05,NORMINV(RAND(),$C$8,$D$8)))</f>
        <v/>
      </c>
      <c r="N385" s="34">
        <f>MIN(24,MAX(5,NORMINV(RAND(),$C$9,$D$9)))</f>
        <v/>
      </c>
      <c r="O385" s="41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7">
        <f>MAX(-0.05,NORMINV(RAND(),$C$6,$D$6))</f>
        <v/>
      </c>
      <c r="L386" s="27">
        <f>MAX(0.02,NORMINV(RAND(),$C$7,$D$7))</f>
        <v/>
      </c>
      <c r="M386" s="27">
        <f>MIN(0.16,MAX(0.05,NORMINV(RAND(),$C$8,$D$8)))</f>
        <v/>
      </c>
      <c r="N386" s="34">
        <f>MIN(24,MAX(5,NORMINV(RAND(),$C$9,$D$9)))</f>
        <v/>
      </c>
      <c r="O386" s="41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7">
        <f>MAX(-0.05,NORMINV(RAND(),$C$6,$D$6))</f>
        <v/>
      </c>
      <c r="L387" s="27">
        <f>MAX(0.02,NORMINV(RAND(),$C$7,$D$7))</f>
        <v/>
      </c>
      <c r="M387" s="27">
        <f>MIN(0.16,MAX(0.05,NORMINV(RAND(),$C$8,$D$8)))</f>
        <v/>
      </c>
      <c r="N387" s="34">
        <f>MIN(24,MAX(5,NORMINV(RAND(),$C$9,$D$9)))</f>
        <v/>
      </c>
      <c r="O387" s="41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7">
        <f>MAX(-0.05,NORMINV(RAND(),$C$6,$D$6))</f>
        <v/>
      </c>
      <c r="L388" s="27">
        <f>MAX(0.02,NORMINV(RAND(),$C$7,$D$7))</f>
        <v/>
      </c>
      <c r="M388" s="27">
        <f>MIN(0.16,MAX(0.05,NORMINV(RAND(),$C$8,$D$8)))</f>
        <v/>
      </c>
      <c r="N388" s="34">
        <f>MIN(24,MAX(5,NORMINV(RAND(),$C$9,$D$9)))</f>
        <v/>
      </c>
      <c r="O388" s="41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7">
        <f>MAX(-0.05,NORMINV(RAND(),$C$6,$D$6))</f>
        <v/>
      </c>
      <c r="L389" s="27">
        <f>MAX(0.02,NORMINV(RAND(),$C$7,$D$7))</f>
        <v/>
      </c>
      <c r="M389" s="27">
        <f>MIN(0.16,MAX(0.05,NORMINV(RAND(),$C$8,$D$8)))</f>
        <v/>
      </c>
      <c r="N389" s="34">
        <f>MIN(24,MAX(5,NORMINV(RAND(),$C$9,$D$9)))</f>
        <v/>
      </c>
      <c r="O389" s="41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7">
        <f>MAX(-0.05,NORMINV(RAND(),$C$6,$D$6))</f>
        <v/>
      </c>
      <c r="L390" s="27">
        <f>MAX(0.02,NORMINV(RAND(),$C$7,$D$7))</f>
        <v/>
      </c>
      <c r="M390" s="27">
        <f>MIN(0.16,MAX(0.05,NORMINV(RAND(),$C$8,$D$8)))</f>
        <v/>
      </c>
      <c r="N390" s="34">
        <f>MIN(24,MAX(5,NORMINV(RAND(),$C$9,$D$9)))</f>
        <v/>
      </c>
      <c r="O390" s="41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7">
        <f>MAX(-0.05,NORMINV(RAND(),$C$6,$D$6))</f>
        <v/>
      </c>
      <c r="L391" s="27">
        <f>MAX(0.02,NORMINV(RAND(),$C$7,$D$7))</f>
        <v/>
      </c>
      <c r="M391" s="27">
        <f>MIN(0.16,MAX(0.05,NORMINV(RAND(),$C$8,$D$8)))</f>
        <v/>
      </c>
      <c r="N391" s="34">
        <f>MIN(24,MAX(5,NORMINV(RAND(),$C$9,$D$9)))</f>
        <v/>
      </c>
      <c r="O391" s="41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7">
        <f>MAX(-0.05,NORMINV(RAND(),$C$6,$D$6))</f>
        <v/>
      </c>
      <c r="L392" s="27">
        <f>MAX(0.02,NORMINV(RAND(),$C$7,$D$7))</f>
        <v/>
      </c>
      <c r="M392" s="27">
        <f>MIN(0.16,MAX(0.05,NORMINV(RAND(),$C$8,$D$8)))</f>
        <v/>
      </c>
      <c r="N392" s="34">
        <f>MIN(24,MAX(5,NORMINV(RAND(),$C$9,$D$9)))</f>
        <v/>
      </c>
      <c r="O392" s="41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7">
        <f>MAX(-0.05,NORMINV(RAND(),$C$6,$D$6))</f>
        <v/>
      </c>
      <c r="L393" s="27">
        <f>MAX(0.02,NORMINV(RAND(),$C$7,$D$7))</f>
        <v/>
      </c>
      <c r="M393" s="27">
        <f>MIN(0.16,MAX(0.05,NORMINV(RAND(),$C$8,$D$8)))</f>
        <v/>
      </c>
      <c r="N393" s="34">
        <f>MIN(24,MAX(5,NORMINV(RAND(),$C$9,$D$9)))</f>
        <v/>
      </c>
      <c r="O393" s="41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7">
        <f>MAX(-0.05,NORMINV(RAND(),$C$6,$D$6))</f>
        <v/>
      </c>
      <c r="L394" s="27">
        <f>MAX(0.02,NORMINV(RAND(),$C$7,$D$7))</f>
        <v/>
      </c>
      <c r="M394" s="27">
        <f>MIN(0.16,MAX(0.05,NORMINV(RAND(),$C$8,$D$8)))</f>
        <v/>
      </c>
      <c r="N394" s="34">
        <f>MIN(24,MAX(5,NORMINV(RAND(),$C$9,$D$9)))</f>
        <v/>
      </c>
      <c r="O394" s="41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7">
        <f>MAX(-0.05,NORMINV(RAND(),$C$6,$D$6))</f>
        <v/>
      </c>
      <c r="L395" s="27">
        <f>MAX(0.02,NORMINV(RAND(),$C$7,$D$7))</f>
        <v/>
      </c>
      <c r="M395" s="27">
        <f>MIN(0.16,MAX(0.05,NORMINV(RAND(),$C$8,$D$8)))</f>
        <v/>
      </c>
      <c r="N395" s="34">
        <f>MIN(24,MAX(5,NORMINV(RAND(),$C$9,$D$9)))</f>
        <v/>
      </c>
      <c r="O395" s="41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7">
        <f>MAX(-0.05,NORMINV(RAND(),$C$6,$D$6))</f>
        <v/>
      </c>
      <c r="L396" s="27">
        <f>MAX(0.02,NORMINV(RAND(),$C$7,$D$7))</f>
        <v/>
      </c>
      <c r="M396" s="27">
        <f>MIN(0.16,MAX(0.05,NORMINV(RAND(),$C$8,$D$8)))</f>
        <v/>
      </c>
      <c r="N396" s="34">
        <f>MIN(24,MAX(5,NORMINV(RAND(),$C$9,$D$9)))</f>
        <v/>
      </c>
      <c r="O396" s="41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7">
        <f>MAX(-0.05,NORMINV(RAND(),$C$6,$D$6))</f>
        <v/>
      </c>
      <c r="L397" s="27">
        <f>MAX(0.02,NORMINV(RAND(),$C$7,$D$7))</f>
        <v/>
      </c>
      <c r="M397" s="27">
        <f>MIN(0.16,MAX(0.05,NORMINV(RAND(),$C$8,$D$8)))</f>
        <v/>
      </c>
      <c r="N397" s="34">
        <f>MIN(24,MAX(5,NORMINV(RAND(),$C$9,$D$9)))</f>
        <v/>
      </c>
      <c r="O397" s="41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7">
        <f>MAX(-0.05,NORMINV(RAND(),$C$6,$D$6))</f>
        <v/>
      </c>
      <c r="L398" s="27">
        <f>MAX(0.02,NORMINV(RAND(),$C$7,$D$7))</f>
        <v/>
      </c>
      <c r="M398" s="27">
        <f>MIN(0.16,MAX(0.05,NORMINV(RAND(),$C$8,$D$8)))</f>
        <v/>
      </c>
      <c r="N398" s="34">
        <f>MIN(24,MAX(5,NORMINV(RAND(),$C$9,$D$9)))</f>
        <v/>
      </c>
      <c r="O398" s="41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7">
        <f>MAX(-0.05,NORMINV(RAND(),$C$6,$D$6))</f>
        <v/>
      </c>
      <c r="L399" s="27">
        <f>MAX(0.02,NORMINV(RAND(),$C$7,$D$7))</f>
        <v/>
      </c>
      <c r="M399" s="27">
        <f>MIN(0.16,MAX(0.05,NORMINV(RAND(),$C$8,$D$8)))</f>
        <v/>
      </c>
      <c r="N399" s="34">
        <f>MIN(24,MAX(5,NORMINV(RAND(),$C$9,$D$9)))</f>
        <v/>
      </c>
      <c r="O399" s="41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7">
        <f>MAX(-0.05,NORMINV(RAND(),$C$6,$D$6))</f>
        <v/>
      </c>
      <c r="L400" s="27">
        <f>MAX(0.02,NORMINV(RAND(),$C$7,$D$7))</f>
        <v/>
      </c>
      <c r="M400" s="27">
        <f>MIN(0.16,MAX(0.05,NORMINV(RAND(),$C$8,$D$8)))</f>
        <v/>
      </c>
      <c r="N400" s="34">
        <f>MIN(24,MAX(5,NORMINV(RAND(),$C$9,$D$9)))</f>
        <v/>
      </c>
      <c r="O400" s="41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7">
        <f>MAX(-0.05,NORMINV(RAND(),$C$6,$D$6))</f>
        <v/>
      </c>
      <c r="L401" s="27">
        <f>MAX(0.02,NORMINV(RAND(),$C$7,$D$7))</f>
        <v/>
      </c>
      <c r="M401" s="27">
        <f>MIN(0.16,MAX(0.05,NORMINV(RAND(),$C$8,$D$8)))</f>
        <v/>
      </c>
      <c r="N401" s="34">
        <f>MIN(24,MAX(5,NORMINV(RAND(),$C$9,$D$9)))</f>
        <v/>
      </c>
      <c r="O401" s="41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7">
        <f>MAX(-0.05,NORMINV(RAND(),$C$6,$D$6))</f>
        <v/>
      </c>
      <c r="L402" s="27">
        <f>MAX(0.02,NORMINV(RAND(),$C$7,$D$7))</f>
        <v/>
      </c>
      <c r="M402" s="27">
        <f>MIN(0.16,MAX(0.05,NORMINV(RAND(),$C$8,$D$8)))</f>
        <v/>
      </c>
      <c r="N402" s="34">
        <f>MIN(24,MAX(5,NORMINV(RAND(),$C$9,$D$9)))</f>
        <v/>
      </c>
      <c r="O402" s="41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7">
        <f>MAX(-0.05,NORMINV(RAND(),$C$6,$D$6))</f>
        <v/>
      </c>
      <c r="L403" s="27">
        <f>MAX(0.02,NORMINV(RAND(),$C$7,$D$7))</f>
        <v/>
      </c>
      <c r="M403" s="27">
        <f>MIN(0.16,MAX(0.05,NORMINV(RAND(),$C$8,$D$8)))</f>
        <v/>
      </c>
      <c r="N403" s="34">
        <f>MIN(24,MAX(5,NORMINV(RAND(),$C$9,$D$9)))</f>
        <v/>
      </c>
      <c r="O403" s="41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7">
        <f>MAX(-0.05,NORMINV(RAND(),$C$6,$D$6))</f>
        <v/>
      </c>
      <c r="L404" s="27">
        <f>MAX(0.02,NORMINV(RAND(),$C$7,$D$7))</f>
        <v/>
      </c>
      <c r="M404" s="27">
        <f>MIN(0.16,MAX(0.05,NORMINV(RAND(),$C$8,$D$8)))</f>
        <v/>
      </c>
      <c r="N404" s="34">
        <f>MIN(24,MAX(5,NORMINV(RAND(),$C$9,$D$9)))</f>
        <v/>
      </c>
      <c r="O404" s="41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7">
        <f>MAX(-0.05,NORMINV(RAND(),$C$6,$D$6))</f>
        <v/>
      </c>
      <c r="L405" s="27">
        <f>MAX(0.02,NORMINV(RAND(),$C$7,$D$7))</f>
        <v/>
      </c>
      <c r="M405" s="27">
        <f>MIN(0.16,MAX(0.05,NORMINV(RAND(),$C$8,$D$8)))</f>
        <v/>
      </c>
      <c r="N405" s="34">
        <f>MIN(24,MAX(5,NORMINV(RAND(),$C$9,$D$9)))</f>
        <v/>
      </c>
      <c r="O405" s="41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7">
        <f>MAX(-0.05,NORMINV(RAND(),$C$6,$D$6))</f>
        <v/>
      </c>
      <c r="L406" s="27">
        <f>MAX(0.02,NORMINV(RAND(),$C$7,$D$7))</f>
        <v/>
      </c>
      <c r="M406" s="27">
        <f>MIN(0.16,MAX(0.05,NORMINV(RAND(),$C$8,$D$8)))</f>
        <v/>
      </c>
      <c r="N406" s="34">
        <f>MIN(24,MAX(5,NORMINV(RAND(),$C$9,$D$9)))</f>
        <v/>
      </c>
      <c r="O406" s="41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7">
        <f>MAX(-0.05,NORMINV(RAND(),$C$6,$D$6))</f>
        <v/>
      </c>
      <c r="L407" s="27">
        <f>MAX(0.02,NORMINV(RAND(),$C$7,$D$7))</f>
        <v/>
      </c>
      <c r="M407" s="27">
        <f>MIN(0.16,MAX(0.05,NORMINV(RAND(),$C$8,$D$8)))</f>
        <v/>
      </c>
      <c r="N407" s="34">
        <f>MIN(24,MAX(5,NORMINV(RAND(),$C$9,$D$9)))</f>
        <v/>
      </c>
      <c r="O407" s="41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7">
        <f>MAX(-0.05,NORMINV(RAND(),$C$6,$D$6))</f>
        <v/>
      </c>
      <c r="L408" s="27">
        <f>MAX(0.02,NORMINV(RAND(),$C$7,$D$7))</f>
        <v/>
      </c>
      <c r="M408" s="27">
        <f>MIN(0.16,MAX(0.05,NORMINV(RAND(),$C$8,$D$8)))</f>
        <v/>
      </c>
      <c r="N408" s="34">
        <f>MIN(24,MAX(5,NORMINV(RAND(),$C$9,$D$9)))</f>
        <v/>
      </c>
      <c r="O408" s="41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7">
        <f>MAX(-0.05,NORMINV(RAND(),$C$6,$D$6))</f>
        <v/>
      </c>
      <c r="L409" s="27">
        <f>MAX(0.02,NORMINV(RAND(),$C$7,$D$7))</f>
        <v/>
      </c>
      <c r="M409" s="27">
        <f>MIN(0.16,MAX(0.05,NORMINV(RAND(),$C$8,$D$8)))</f>
        <v/>
      </c>
      <c r="N409" s="34">
        <f>MIN(24,MAX(5,NORMINV(RAND(),$C$9,$D$9)))</f>
        <v/>
      </c>
      <c r="O409" s="41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7">
        <f>MAX(-0.05,NORMINV(RAND(),$C$6,$D$6))</f>
        <v/>
      </c>
      <c r="L410" s="27">
        <f>MAX(0.02,NORMINV(RAND(),$C$7,$D$7))</f>
        <v/>
      </c>
      <c r="M410" s="27">
        <f>MIN(0.16,MAX(0.05,NORMINV(RAND(),$C$8,$D$8)))</f>
        <v/>
      </c>
      <c r="N410" s="34">
        <f>MIN(24,MAX(5,NORMINV(RAND(),$C$9,$D$9)))</f>
        <v/>
      </c>
      <c r="O410" s="41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7">
        <f>MAX(-0.05,NORMINV(RAND(),$C$6,$D$6))</f>
        <v/>
      </c>
      <c r="L411" s="27">
        <f>MAX(0.02,NORMINV(RAND(),$C$7,$D$7))</f>
        <v/>
      </c>
      <c r="M411" s="27">
        <f>MIN(0.16,MAX(0.05,NORMINV(RAND(),$C$8,$D$8)))</f>
        <v/>
      </c>
      <c r="N411" s="34">
        <f>MIN(24,MAX(5,NORMINV(RAND(),$C$9,$D$9)))</f>
        <v/>
      </c>
      <c r="O411" s="41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7">
        <f>MAX(-0.05,NORMINV(RAND(),$C$6,$D$6))</f>
        <v/>
      </c>
      <c r="L412" s="27">
        <f>MAX(0.02,NORMINV(RAND(),$C$7,$D$7))</f>
        <v/>
      </c>
      <c r="M412" s="27">
        <f>MIN(0.16,MAX(0.05,NORMINV(RAND(),$C$8,$D$8)))</f>
        <v/>
      </c>
      <c r="N412" s="34">
        <f>MIN(24,MAX(5,NORMINV(RAND(),$C$9,$D$9)))</f>
        <v/>
      </c>
      <c r="O412" s="41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7">
        <f>MAX(-0.05,NORMINV(RAND(),$C$6,$D$6))</f>
        <v/>
      </c>
      <c r="L413" s="27">
        <f>MAX(0.02,NORMINV(RAND(),$C$7,$D$7))</f>
        <v/>
      </c>
      <c r="M413" s="27">
        <f>MIN(0.16,MAX(0.05,NORMINV(RAND(),$C$8,$D$8)))</f>
        <v/>
      </c>
      <c r="N413" s="34">
        <f>MIN(24,MAX(5,NORMINV(RAND(),$C$9,$D$9)))</f>
        <v/>
      </c>
      <c r="O413" s="41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7">
        <f>MAX(-0.05,NORMINV(RAND(),$C$6,$D$6))</f>
        <v/>
      </c>
      <c r="L414" s="27">
        <f>MAX(0.02,NORMINV(RAND(),$C$7,$D$7))</f>
        <v/>
      </c>
      <c r="M414" s="27">
        <f>MIN(0.16,MAX(0.05,NORMINV(RAND(),$C$8,$D$8)))</f>
        <v/>
      </c>
      <c r="N414" s="34">
        <f>MIN(24,MAX(5,NORMINV(RAND(),$C$9,$D$9)))</f>
        <v/>
      </c>
      <c r="O414" s="41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7">
        <f>MAX(-0.05,NORMINV(RAND(),$C$6,$D$6))</f>
        <v/>
      </c>
      <c r="L415" s="27">
        <f>MAX(0.02,NORMINV(RAND(),$C$7,$D$7))</f>
        <v/>
      </c>
      <c r="M415" s="27">
        <f>MIN(0.16,MAX(0.05,NORMINV(RAND(),$C$8,$D$8)))</f>
        <v/>
      </c>
      <c r="N415" s="34">
        <f>MIN(24,MAX(5,NORMINV(RAND(),$C$9,$D$9)))</f>
        <v/>
      </c>
      <c r="O415" s="41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7">
        <f>MAX(-0.05,NORMINV(RAND(),$C$6,$D$6))</f>
        <v/>
      </c>
      <c r="L416" s="27">
        <f>MAX(0.02,NORMINV(RAND(),$C$7,$D$7))</f>
        <v/>
      </c>
      <c r="M416" s="27">
        <f>MIN(0.16,MAX(0.05,NORMINV(RAND(),$C$8,$D$8)))</f>
        <v/>
      </c>
      <c r="N416" s="34">
        <f>MIN(24,MAX(5,NORMINV(RAND(),$C$9,$D$9)))</f>
        <v/>
      </c>
      <c r="O416" s="41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7">
        <f>MAX(-0.05,NORMINV(RAND(),$C$6,$D$6))</f>
        <v/>
      </c>
      <c r="L417" s="27">
        <f>MAX(0.02,NORMINV(RAND(),$C$7,$D$7))</f>
        <v/>
      </c>
      <c r="M417" s="27">
        <f>MIN(0.16,MAX(0.05,NORMINV(RAND(),$C$8,$D$8)))</f>
        <v/>
      </c>
      <c r="N417" s="34">
        <f>MIN(24,MAX(5,NORMINV(RAND(),$C$9,$D$9)))</f>
        <v/>
      </c>
      <c r="O417" s="41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7">
        <f>MAX(-0.05,NORMINV(RAND(),$C$6,$D$6))</f>
        <v/>
      </c>
      <c r="L418" s="27">
        <f>MAX(0.02,NORMINV(RAND(),$C$7,$D$7))</f>
        <v/>
      </c>
      <c r="M418" s="27">
        <f>MIN(0.16,MAX(0.05,NORMINV(RAND(),$C$8,$D$8)))</f>
        <v/>
      </c>
      <c r="N418" s="34">
        <f>MIN(24,MAX(5,NORMINV(RAND(),$C$9,$D$9)))</f>
        <v/>
      </c>
      <c r="O418" s="41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7">
        <f>MAX(-0.05,NORMINV(RAND(),$C$6,$D$6))</f>
        <v/>
      </c>
      <c r="L419" s="27">
        <f>MAX(0.02,NORMINV(RAND(),$C$7,$D$7))</f>
        <v/>
      </c>
      <c r="M419" s="27">
        <f>MIN(0.16,MAX(0.05,NORMINV(RAND(),$C$8,$D$8)))</f>
        <v/>
      </c>
      <c r="N419" s="34">
        <f>MIN(24,MAX(5,NORMINV(RAND(),$C$9,$D$9)))</f>
        <v/>
      </c>
      <c r="O419" s="41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7">
        <f>MAX(-0.05,NORMINV(RAND(),$C$6,$D$6))</f>
        <v/>
      </c>
      <c r="L420" s="27">
        <f>MAX(0.02,NORMINV(RAND(),$C$7,$D$7))</f>
        <v/>
      </c>
      <c r="M420" s="27">
        <f>MIN(0.16,MAX(0.05,NORMINV(RAND(),$C$8,$D$8)))</f>
        <v/>
      </c>
      <c r="N420" s="34">
        <f>MIN(24,MAX(5,NORMINV(RAND(),$C$9,$D$9)))</f>
        <v/>
      </c>
      <c r="O420" s="41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7">
        <f>MAX(-0.05,NORMINV(RAND(),$C$6,$D$6))</f>
        <v/>
      </c>
      <c r="L421" s="27">
        <f>MAX(0.02,NORMINV(RAND(),$C$7,$D$7))</f>
        <v/>
      </c>
      <c r="M421" s="27">
        <f>MIN(0.16,MAX(0.05,NORMINV(RAND(),$C$8,$D$8)))</f>
        <v/>
      </c>
      <c r="N421" s="34">
        <f>MIN(24,MAX(5,NORMINV(RAND(),$C$9,$D$9)))</f>
        <v/>
      </c>
      <c r="O421" s="41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7">
        <f>MAX(-0.05,NORMINV(RAND(),$C$6,$D$6))</f>
        <v/>
      </c>
      <c r="L422" s="27">
        <f>MAX(0.02,NORMINV(RAND(),$C$7,$D$7))</f>
        <v/>
      </c>
      <c r="M422" s="27">
        <f>MIN(0.16,MAX(0.05,NORMINV(RAND(),$C$8,$D$8)))</f>
        <v/>
      </c>
      <c r="N422" s="34">
        <f>MIN(24,MAX(5,NORMINV(RAND(),$C$9,$D$9)))</f>
        <v/>
      </c>
      <c r="O422" s="41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7">
        <f>MAX(-0.05,NORMINV(RAND(),$C$6,$D$6))</f>
        <v/>
      </c>
      <c r="L423" s="27">
        <f>MAX(0.02,NORMINV(RAND(),$C$7,$D$7))</f>
        <v/>
      </c>
      <c r="M423" s="27">
        <f>MIN(0.16,MAX(0.05,NORMINV(RAND(),$C$8,$D$8)))</f>
        <v/>
      </c>
      <c r="N423" s="34">
        <f>MIN(24,MAX(5,NORMINV(RAND(),$C$9,$D$9)))</f>
        <v/>
      </c>
      <c r="O423" s="41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7">
        <f>MAX(-0.05,NORMINV(RAND(),$C$6,$D$6))</f>
        <v/>
      </c>
      <c r="L424" s="27">
        <f>MAX(0.02,NORMINV(RAND(),$C$7,$D$7))</f>
        <v/>
      </c>
      <c r="M424" s="27">
        <f>MIN(0.16,MAX(0.05,NORMINV(RAND(),$C$8,$D$8)))</f>
        <v/>
      </c>
      <c r="N424" s="34">
        <f>MIN(24,MAX(5,NORMINV(RAND(),$C$9,$D$9)))</f>
        <v/>
      </c>
      <c r="O424" s="41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7">
        <f>MAX(-0.05,NORMINV(RAND(),$C$6,$D$6))</f>
        <v/>
      </c>
      <c r="L425" s="27">
        <f>MAX(0.02,NORMINV(RAND(),$C$7,$D$7))</f>
        <v/>
      </c>
      <c r="M425" s="27">
        <f>MIN(0.16,MAX(0.05,NORMINV(RAND(),$C$8,$D$8)))</f>
        <v/>
      </c>
      <c r="N425" s="34">
        <f>MIN(24,MAX(5,NORMINV(RAND(),$C$9,$D$9)))</f>
        <v/>
      </c>
      <c r="O425" s="41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7">
        <f>MAX(-0.05,NORMINV(RAND(),$C$6,$D$6))</f>
        <v/>
      </c>
      <c r="L426" s="27">
        <f>MAX(0.02,NORMINV(RAND(),$C$7,$D$7))</f>
        <v/>
      </c>
      <c r="M426" s="27">
        <f>MIN(0.16,MAX(0.05,NORMINV(RAND(),$C$8,$D$8)))</f>
        <v/>
      </c>
      <c r="N426" s="34">
        <f>MIN(24,MAX(5,NORMINV(RAND(),$C$9,$D$9)))</f>
        <v/>
      </c>
      <c r="O426" s="41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7">
        <f>MAX(-0.05,NORMINV(RAND(),$C$6,$D$6))</f>
        <v/>
      </c>
      <c r="L427" s="27">
        <f>MAX(0.02,NORMINV(RAND(),$C$7,$D$7))</f>
        <v/>
      </c>
      <c r="M427" s="27">
        <f>MIN(0.16,MAX(0.05,NORMINV(RAND(),$C$8,$D$8)))</f>
        <v/>
      </c>
      <c r="N427" s="34">
        <f>MIN(24,MAX(5,NORMINV(RAND(),$C$9,$D$9)))</f>
        <v/>
      </c>
      <c r="O427" s="41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7">
        <f>MAX(-0.05,NORMINV(RAND(),$C$6,$D$6))</f>
        <v/>
      </c>
      <c r="L428" s="27">
        <f>MAX(0.02,NORMINV(RAND(),$C$7,$D$7))</f>
        <v/>
      </c>
      <c r="M428" s="27">
        <f>MIN(0.16,MAX(0.05,NORMINV(RAND(),$C$8,$D$8)))</f>
        <v/>
      </c>
      <c r="N428" s="34">
        <f>MIN(24,MAX(5,NORMINV(RAND(),$C$9,$D$9)))</f>
        <v/>
      </c>
      <c r="O428" s="41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7">
        <f>MAX(-0.05,NORMINV(RAND(),$C$6,$D$6))</f>
        <v/>
      </c>
      <c r="L429" s="27">
        <f>MAX(0.02,NORMINV(RAND(),$C$7,$D$7))</f>
        <v/>
      </c>
      <c r="M429" s="27">
        <f>MIN(0.16,MAX(0.05,NORMINV(RAND(),$C$8,$D$8)))</f>
        <v/>
      </c>
      <c r="N429" s="34">
        <f>MIN(24,MAX(5,NORMINV(RAND(),$C$9,$D$9)))</f>
        <v/>
      </c>
      <c r="O429" s="41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7">
        <f>MAX(-0.05,NORMINV(RAND(),$C$6,$D$6))</f>
        <v/>
      </c>
      <c r="L430" s="27">
        <f>MAX(0.02,NORMINV(RAND(),$C$7,$D$7))</f>
        <v/>
      </c>
      <c r="M430" s="27">
        <f>MIN(0.16,MAX(0.05,NORMINV(RAND(),$C$8,$D$8)))</f>
        <v/>
      </c>
      <c r="N430" s="34">
        <f>MIN(24,MAX(5,NORMINV(RAND(),$C$9,$D$9)))</f>
        <v/>
      </c>
      <c r="O430" s="41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7">
        <f>MAX(-0.05,NORMINV(RAND(),$C$6,$D$6))</f>
        <v/>
      </c>
      <c r="L431" s="27">
        <f>MAX(0.02,NORMINV(RAND(),$C$7,$D$7))</f>
        <v/>
      </c>
      <c r="M431" s="27">
        <f>MIN(0.16,MAX(0.05,NORMINV(RAND(),$C$8,$D$8)))</f>
        <v/>
      </c>
      <c r="N431" s="34">
        <f>MIN(24,MAX(5,NORMINV(RAND(),$C$9,$D$9)))</f>
        <v/>
      </c>
      <c r="O431" s="41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7">
        <f>MAX(-0.05,NORMINV(RAND(),$C$6,$D$6))</f>
        <v/>
      </c>
      <c r="L432" s="27">
        <f>MAX(0.02,NORMINV(RAND(),$C$7,$D$7))</f>
        <v/>
      </c>
      <c r="M432" s="27">
        <f>MIN(0.16,MAX(0.05,NORMINV(RAND(),$C$8,$D$8)))</f>
        <v/>
      </c>
      <c r="N432" s="34">
        <f>MIN(24,MAX(5,NORMINV(RAND(),$C$9,$D$9)))</f>
        <v/>
      </c>
      <c r="O432" s="41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7">
        <f>MAX(-0.05,NORMINV(RAND(),$C$6,$D$6))</f>
        <v/>
      </c>
      <c r="L433" s="27">
        <f>MAX(0.02,NORMINV(RAND(),$C$7,$D$7))</f>
        <v/>
      </c>
      <c r="M433" s="27">
        <f>MIN(0.16,MAX(0.05,NORMINV(RAND(),$C$8,$D$8)))</f>
        <v/>
      </c>
      <c r="N433" s="34">
        <f>MIN(24,MAX(5,NORMINV(RAND(),$C$9,$D$9)))</f>
        <v/>
      </c>
      <c r="O433" s="41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7">
        <f>MAX(-0.05,NORMINV(RAND(),$C$6,$D$6))</f>
        <v/>
      </c>
      <c r="L434" s="27">
        <f>MAX(0.02,NORMINV(RAND(),$C$7,$D$7))</f>
        <v/>
      </c>
      <c r="M434" s="27">
        <f>MIN(0.16,MAX(0.05,NORMINV(RAND(),$C$8,$D$8)))</f>
        <v/>
      </c>
      <c r="N434" s="34">
        <f>MIN(24,MAX(5,NORMINV(RAND(),$C$9,$D$9)))</f>
        <v/>
      </c>
      <c r="O434" s="41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7">
        <f>MAX(-0.05,NORMINV(RAND(),$C$6,$D$6))</f>
        <v/>
      </c>
      <c r="L435" s="27">
        <f>MAX(0.02,NORMINV(RAND(),$C$7,$D$7))</f>
        <v/>
      </c>
      <c r="M435" s="27">
        <f>MIN(0.16,MAX(0.05,NORMINV(RAND(),$C$8,$D$8)))</f>
        <v/>
      </c>
      <c r="N435" s="34">
        <f>MIN(24,MAX(5,NORMINV(RAND(),$C$9,$D$9)))</f>
        <v/>
      </c>
      <c r="O435" s="41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7">
        <f>MAX(-0.05,NORMINV(RAND(),$C$6,$D$6))</f>
        <v/>
      </c>
      <c r="L436" s="27">
        <f>MAX(0.02,NORMINV(RAND(),$C$7,$D$7))</f>
        <v/>
      </c>
      <c r="M436" s="27">
        <f>MIN(0.16,MAX(0.05,NORMINV(RAND(),$C$8,$D$8)))</f>
        <v/>
      </c>
      <c r="N436" s="34">
        <f>MIN(24,MAX(5,NORMINV(RAND(),$C$9,$D$9)))</f>
        <v/>
      </c>
      <c r="O436" s="41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7">
        <f>MAX(-0.05,NORMINV(RAND(),$C$6,$D$6))</f>
        <v/>
      </c>
      <c r="L437" s="27">
        <f>MAX(0.02,NORMINV(RAND(),$C$7,$D$7))</f>
        <v/>
      </c>
      <c r="M437" s="27">
        <f>MIN(0.16,MAX(0.05,NORMINV(RAND(),$C$8,$D$8)))</f>
        <v/>
      </c>
      <c r="N437" s="34">
        <f>MIN(24,MAX(5,NORMINV(RAND(),$C$9,$D$9)))</f>
        <v/>
      </c>
      <c r="O437" s="41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7">
        <f>MAX(-0.05,NORMINV(RAND(),$C$6,$D$6))</f>
        <v/>
      </c>
      <c r="L438" s="27">
        <f>MAX(0.02,NORMINV(RAND(),$C$7,$D$7))</f>
        <v/>
      </c>
      <c r="M438" s="27">
        <f>MIN(0.16,MAX(0.05,NORMINV(RAND(),$C$8,$D$8)))</f>
        <v/>
      </c>
      <c r="N438" s="34">
        <f>MIN(24,MAX(5,NORMINV(RAND(),$C$9,$D$9)))</f>
        <v/>
      </c>
      <c r="O438" s="41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7">
        <f>MAX(-0.05,NORMINV(RAND(),$C$6,$D$6))</f>
        <v/>
      </c>
      <c r="L439" s="27">
        <f>MAX(0.02,NORMINV(RAND(),$C$7,$D$7))</f>
        <v/>
      </c>
      <c r="M439" s="27">
        <f>MIN(0.16,MAX(0.05,NORMINV(RAND(),$C$8,$D$8)))</f>
        <v/>
      </c>
      <c r="N439" s="34">
        <f>MIN(24,MAX(5,NORMINV(RAND(),$C$9,$D$9)))</f>
        <v/>
      </c>
      <c r="O439" s="41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7">
        <f>MAX(-0.05,NORMINV(RAND(),$C$6,$D$6))</f>
        <v/>
      </c>
      <c r="L440" s="27">
        <f>MAX(0.02,NORMINV(RAND(),$C$7,$D$7))</f>
        <v/>
      </c>
      <c r="M440" s="27">
        <f>MIN(0.16,MAX(0.05,NORMINV(RAND(),$C$8,$D$8)))</f>
        <v/>
      </c>
      <c r="N440" s="34">
        <f>MIN(24,MAX(5,NORMINV(RAND(),$C$9,$D$9)))</f>
        <v/>
      </c>
      <c r="O440" s="41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7">
        <f>MAX(-0.05,NORMINV(RAND(),$C$6,$D$6))</f>
        <v/>
      </c>
      <c r="L441" s="27">
        <f>MAX(0.02,NORMINV(RAND(),$C$7,$D$7))</f>
        <v/>
      </c>
      <c r="M441" s="27">
        <f>MIN(0.16,MAX(0.05,NORMINV(RAND(),$C$8,$D$8)))</f>
        <v/>
      </c>
      <c r="N441" s="34">
        <f>MIN(24,MAX(5,NORMINV(RAND(),$C$9,$D$9)))</f>
        <v/>
      </c>
      <c r="O441" s="41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7">
        <f>MAX(-0.05,NORMINV(RAND(),$C$6,$D$6))</f>
        <v/>
      </c>
      <c r="L442" s="27">
        <f>MAX(0.02,NORMINV(RAND(),$C$7,$D$7))</f>
        <v/>
      </c>
      <c r="M442" s="27">
        <f>MIN(0.16,MAX(0.05,NORMINV(RAND(),$C$8,$D$8)))</f>
        <v/>
      </c>
      <c r="N442" s="34">
        <f>MIN(24,MAX(5,NORMINV(RAND(),$C$9,$D$9)))</f>
        <v/>
      </c>
      <c r="O442" s="41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7">
        <f>MAX(-0.05,NORMINV(RAND(),$C$6,$D$6))</f>
        <v/>
      </c>
      <c r="L443" s="27">
        <f>MAX(0.02,NORMINV(RAND(),$C$7,$D$7))</f>
        <v/>
      </c>
      <c r="M443" s="27">
        <f>MIN(0.16,MAX(0.05,NORMINV(RAND(),$C$8,$D$8)))</f>
        <v/>
      </c>
      <c r="N443" s="34">
        <f>MIN(24,MAX(5,NORMINV(RAND(),$C$9,$D$9)))</f>
        <v/>
      </c>
      <c r="O443" s="41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7">
        <f>MAX(-0.05,NORMINV(RAND(),$C$6,$D$6))</f>
        <v/>
      </c>
      <c r="L444" s="27">
        <f>MAX(0.02,NORMINV(RAND(),$C$7,$D$7))</f>
        <v/>
      </c>
      <c r="M444" s="27">
        <f>MIN(0.16,MAX(0.05,NORMINV(RAND(),$C$8,$D$8)))</f>
        <v/>
      </c>
      <c r="N444" s="34">
        <f>MIN(24,MAX(5,NORMINV(RAND(),$C$9,$D$9)))</f>
        <v/>
      </c>
      <c r="O444" s="41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7">
        <f>MAX(-0.05,NORMINV(RAND(),$C$6,$D$6))</f>
        <v/>
      </c>
      <c r="L445" s="27">
        <f>MAX(0.02,NORMINV(RAND(),$C$7,$D$7))</f>
        <v/>
      </c>
      <c r="M445" s="27">
        <f>MIN(0.16,MAX(0.05,NORMINV(RAND(),$C$8,$D$8)))</f>
        <v/>
      </c>
      <c r="N445" s="34">
        <f>MIN(24,MAX(5,NORMINV(RAND(),$C$9,$D$9)))</f>
        <v/>
      </c>
      <c r="O445" s="41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7">
        <f>MAX(-0.05,NORMINV(RAND(),$C$6,$D$6))</f>
        <v/>
      </c>
      <c r="L446" s="27">
        <f>MAX(0.02,NORMINV(RAND(),$C$7,$D$7))</f>
        <v/>
      </c>
      <c r="M446" s="27">
        <f>MIN(0.16,MAX(0.05,NORMINV(RAND(),$C$8,$D$8)))</f>
        <v/>
      </c>
      <c r="N446" s="34">
        <f>MIN(24,MAX(5,NORMINV(RAND(),$C$9,$D$9)))</f>
        <v/>
      </c>
      <c r="O446" s="41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7">
        <f>MAX(-0.05,NORMINV(RAND(),$C$6,$D$6))</f>
        <v/>
      </c>
      <c r="L447" s="27">
        <f>MAX(0.02,NORMINV(RAND(),$C$7,$D$7))</f>
        <v/>
      </c>
      <c r="M447" s="27">
        <f>MIN(0.16,MAX(0.05,NORMINV(RAND(),$C$8,$D$8)))</f>
        <v/>
      </c>
      <c r="N447" s="34">
        <f>MIN(24,MAX(5,NORMINV(RAND(),$C$9,$D$9)))</f>
        <v/>
      </c>
      <c r="O447" s="41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7">
        <f>MAX(-0.05,NORMINV(RAND(),$C$6,$D$6))</f>
        <v/>
      </c>
      <c r="L448" s="27">
        <f>MAX(0.02,NORMINV(RAND(),$C$7,$D$7))</f>
        <v/>
      </c>
      <c r="M448" s="27">
        <f>MIN(0.16,MAX(0.05,NORMINV(RAND(),$C$8,$D$8)))</f>
        <v/>
      </c>
      <c r="N448" s="34">
        <f>MIN(24,MAX(5,NORMINV(RAND(),$C$9,$D$9)))</f>
        <v/>
      </c>
      <c r="O448" s="41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7">
        <f>MAX(-0.05,NORMINV(RAND(),$C$6,$D$6))</f>
        <v/>
      </c>
      <c r="L449" s="27">
        <f>MAX(0.02,NORMINV(RAND(),$C$7,$D$7))</f>
        <v/>
      </c>
      <c r="M449" s="27">
        <f>MIN(0.16,MAX(0.05,NORMINV(RAND(),$C$8,$D$8)))</f>
        <v/>
      </c>
      <c r="N449" s="34">
        <f>MIN(24,MAX(5,NORMINV(RAND(),$C$9,$D$9)))</f>
        <v/>
      </c>
      <c r="O449" s="41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7">
        <f>MAX(-0.05,NORMINV(RAND(),$C$6,$D$6))</f>
        <v/>
      </c>
      <c r="L450" s="27">
        <f>MAX(0.02,NORMINV(RAND(),$C$7,$D$7))</f>
        <v/>
      </c>
      <c r="M450" s="27">
        <f>MIN(0.16,MAX(0.05,NORMINV(RAND(),$C$8,$D$8)))</f>
        <v/>
      </c>
      <c r="N450" s="34">
        <f>MIN(24,MAX(5,NORMINV(RAND(),$C$9,$D$9)))</f>
        <v/>
      </c>
      <c r="O450" s="41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7">
        <f>MAX(-0.05,NORMINV(RAND(),$C$6,$D$6))</f>
        <v/>
      </c>
      <c r="L451" s="27">
        <f>MAX(0.02,NORMINV(RAND(),$C$7,$D$7))</f>
        <v/>
      </c>
      <c r="M451" s="27">
        <f>MIN(0.16,MAX(0.05,NORMINV(RAND(),$C$8,$D$8)))</f>
        <v/>
      </c>
      <c r="N451" s="34">
        <f>MIN(24,MAX(5,NORMINV(RAND(),$C$9,$D$9)))</f>
        <v/>
      </c>
      <c r="O451" s="41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7">
        <f>MAX(-0.05,NORMINV(RAND(),$C$6,$D$6))</f>
        <v/>
      </c>
      <c r="L452" s="27">
        <f>MAX(0.02,NORMINV(RAND(),$C$7,$D$7))</f>
        <v/>
      </c>
      <c r="M452" s="27">
        <f>MIN(0.16,MAX(0.05,NORMINV(RAND(),$C$8,$D$8)))</f>
        <v/>
      </c>
      <c r="N452" s="34">
        <f>MIN(24,MAX(5,NORMINV(RAND(),$C$9,$D$9)))</f>
        <v/>
      </c>
      <c r="O452" s="41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7">
        <f>MAX(-0.05,NORMINV(RAND(),$C$6,$D$6))</f>
        <v/>
      </c>
      <c r="L453" s="27">
        <f>MAX(0.02,NORMINV(RAND(),$C$7,$D$7))</f>
        <v/>
      </c>
      <c r="M453" s="27">
        <f>MIN(0.16,MAX(0.05,NORMINV(RAND(),$C$8,$D$8)))</f>
        <v/>
      </c>
      <c r="N453" s="34">
        <f>MIN(24,MAX(5,NORMINV(RAND(),$C$9,$D$9)))</f>
        <v/>
      </c>
      <c r="O453" s="41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7">
        <f>MAX(-0.05,NORMINV(RAND(),$C$6,$D$6))</f>
        <v/>
      </c>
      <c r="L454" s="27">
        <f>MAX(0.02,NORMINV(RAND(),$C$7,$D$7))</f>
        <v/>
      </c>
      <c r="M454" s="27">
        <f>MIN(0.16,MAX(0.05,NORMINV(RAND(),$C$8,$D$8)))</f>
        <v/>
      </c>
      <c r="N454" s="34">
        <f>MIN(24,MAX(5,NORMINV(RAND(),$C$9,$D$9)))</f>
        <v/>
      </c>
      <c r="O454" s="41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7">
        <f>MAX(-0.05,NORMINV(RAND(),$C$6,$D$6))</f>
        <v/>
      </c>
      <c r="L455" s="27">
        <f>MAX(0.02,NORMINV(RAND(),$C$7,$D$7))</f>
        <v/>
      </c>
      <c r="M455" s="27">
        <f>MIN(0.16,MAX(0.05,NORMINV(RAND(),$C$8,$D$8)))</f>
        <v/>
      </c>
      <c r="N455" s="34">
        <f>MIN(24,MAX(5,NORMINV(RAND(),$C$9,$D$9)))</f>
        <v/>
      </c>
      <c r="O455" s="41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7">
        <f>MAX(-0.05,NORMINV(RAND(),$C$6,$D$6))</f>
        <v/>
      </c>
      <c r="L456" s="27">
        <f>MAX(0.02,NORMINV(RAND(),$C$7,$D$7))</f>
        <v/>
      </c>
      <c r="M456" s="27">
        <f>MIN(0.16,MAX(0.05,NORMINV(RAND(),$C$8,$D$8)))</f>
        <v/>
      </c>
      <c r="N456" s="34">
        <f>MIN(24,MAX(5,NORMINV(RAND(),$C$9,$D$9)))</f>
        <v/>
      </c>
      <c r="O456" s="41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7">
        <f>MAX(-0.05,NORMINV(RAND(),$C$6,$D$6))</f>
        <v/>
      </c>
      <c r="L457" s="27">
        <f>MAX(0.02,NORMINV(RAND(),$C$7,$D$7))</f>
        <v/>
      </c>
      <c r="M457" s="27">
        <f>MIN(0.16,MAX(0.05,NORMINV(RAND(),$C$8,$D$8)))</f>
        <v/>
      </c>
      <c r="N457" s="34">
        <f>MIN(24,MAX(5,NORMINV(RAND(),$C$9,$D$9)))</f>
        <v/>
      </c>
      <c r="O457" s="41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7">
        <f>MAX(-0.05,NORMINV(RAND(),$C$6,$D$6))</f>
        <v/>
      </c>
      <c r="L458" s="27">
        <f>MAX(0.02,NORMINV(RAND(),$C$7,$D$7))</f>
        <v/>
      </c>
      <c r="M458" s="27">
        <f>MIN(0.16,MAX(0.05,NORMINV(RAND(),$C$8,$D$8)))</f>
        <v/>
      </c>
      <c r="N458" s="34">
        <f>MIN(24,MAX(5,NORMINV(RAND(),$C$9,$D$9)))</f>
        <v/>
      </c>
      <c r="O458" s="41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7">
        <f>MAX(-0.05,NORMINV(RAND(),$C$6,$D$6))</f>
        <v/>
      </c>
      <c r="L459" s="27">
        <f>MAX(0.02,NORMINV(RAND(),$C$7,$D$7))</f>
        <v/>
      </c>
      <c r="M459" s="27">
        <f>MIN(0.16,MAX(0.05,NORMINV(RAND(),$C$8,$D$8)))</f>
        <v/>
      </c>
      <c r="N459" s="34">
        <f>MIN(24,MAX(5,NORMINV(RAND(),$C$9,$D$9)))</f>
        <v/>
      </c>
      <c r="O459" s="41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7">
        <f>MAX(-0.05,NORMINV(RAND(),$C$6,$D$6))</f>
        <v/>
      </c>
      <c r="L460" s="27">
        <f>MAX(0.02,NORMINV(RAND(),$C$7,$D$7))</f>
        <v/>
      </c>
      <c r="M460" s="27">
        <f>MIN(0.16,MAX(0.05,NORMINV(RAND(),$C$8,$D$8)))</f>
        <v/>
      </c>
      <c r="N460" s="34">
        <f>MIN(24,MAX(5,NORMINV(RAND(),$C$9,$D$9)))</f>
        <v/>
      </c>
      <c r="O460" s="41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7">
        <f>MAX(-0.05,NORMINV(RAND(),$C$6,$D$6))</f>
        <v/>
      </c>
      <c r="L461" s="27">
        <f>MAX(0.02,NORMINV(RAND(),$C$7,$D$7))</f>
        <v/>
      </c>
      <c r="M461" s="27">
        <f>MIN(0.16,MAX(0.05,NORMINV(RAND(),$C$8,$D$8)))</f>
        <v/>
      </c>
      <c r="N461" s="34">
        <f>MIN(24,MAX(5,NORMINV(RAND(),$C$9,$D$9)))</f>
        <v/>
      </c>
      <c r="O461" s="41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7">
        <f>MAX(-0.05,NORMINV(RAND(),$C$6,$D$6))</f>
        <v/>
      </c>
      <c r="L462" s="27">
        <f>MAX(0.02,NORMINV(RAND(),$C$7,$D$7))</f>
        <v/>
      </c>
      <c r="M462" s="27">
        <f>MIN(0.16,MAX(0.05,NORMINV(RAND(),$C$8,$D$8)))</f>
        <v/>
      </c>
      <c r="N462" s="34">
        <f>MIN(24,MAX(5,NORMINV(RAND(),$C$9,$D$9)))</f>
        <v/>
      </c>
      <c r="O462" s="41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7">
        <f>MAX(-0.05,NORMINV(RAND(),$C$6,$D$6))</f>
        <v/>
      </c>
      <c r="L463" s="27">
        <f>MAX(0.02,NORMINV(RAND(),$C$7,$D$7))</f>
        <v/>
      </c>
      <c r="M463" s="27">
        <f>MIN(0.16,MAX(0.05,NORMINV(RAND(),$C$8,$D$8)))</f>
        <v/>
      </c>
      <c r="N463" s="34">
        <f>MIN(24,MAX(5,NORMINV(RAND(),$C$9,$D$9)))</f>
        <v/>
      </c>
      <c r="O463" s="41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7">
        <f>MAX(-0.05,NORMINV(RAND(),$C$6,$D$6))</f>
        <v/>
      </c>
      <c r="L464" s="27">
        <f>MAX(0.02,NORMINV(RAND(),$C$7,$D$7))</f>
        <v/>
      </c>
      <c r="M464" s="27">
        <f>MIN(0.16,MAX(0.05,NORMINV(RAND(),$C$8,$D$8)))</f>
        <v/>
      </c>
      <c r="N464" s="34">
        <f>MIN(24,MAX(5,NORMINV(RAND(),$C$9,$D$9)))</f>
        <v/>
      </c>
      <c r="O464" s="41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7">
        <f>MAX(-0.05,NORMINV(RAND(),$C$6,$D$6))</f>
        <v/>
      </c>
      <c r="L465" s="27">
        <f>MAX(0.02,NORMINV(RAND(),$C$7,$D$7))</f>
        <v/>
      </c>
      <c r="M465" s="27">
        <f>MIN(0.16,MAX(0.05,NORMINV(RAND(),$C$8,$D$8)))</f>
        <v/>
      </c>
      <c r="N465" s="34">
        <f>MIN(24,MAX(5,NORMINV(RAND(),$C$9,$D$9)))</f>
        <v/>
      </c>
      <c r="O465" s="41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7">
        <f>MAX(-0.05,NORMINV(RAND(),$C$6,$D$6))</f>
        <v/>
      </c>
      <c r="L466" s="27">
        <f>MAX(0.02,NORMINV(RAND(),$C$7,$D$7))</f>
        <v/>
      </c>
      <c r="M466" s="27">
        <f>MIN(0.16,MAX(0.05,NORMINV(RAND(),$C$8,$D$8)))</f>
        <v/>
      </c>
      <c r="N466" s="34">
        <f>MIN(24,MAX(5,NORMINV(RAND(),$C$9,$D$9)))</f>
        <v/>
      </c>
      <c r="O466" s="41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7">
        <f>MAX(-0.05,NORMINV(RAND(),$C$6,$D$6))</f>
        <v/>
      </c>
      <c r="L467" s="27">
        <f>MAX(0.02,NORMINV(RAND(),$C$7,$D$7))</f>
        <v/>
      </c>
      <c r="M467" s="27">
        <f>MIN(0.16,MAX(0.05,NORMINV(RAND(),$C$8,$D$8)))</f>
        <v/>
      </c>
      <c r="N467" s="34">
        <f>MIN(24,MAX(5,NORMINV(RAND(),$C$9,$D$9)))</f>
        <v/>
      </c>
      <c r="O467" s="41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7">
        <f>MAX(-0.05,NORMINV(RAND(),$C$6,$D$6))</f>
        <v/>
      </c>
      <c r="L468" s="27">
        <f>MAX(0.02,NORMINV(RAND(),$C$7,$D$7))</f>
        <v/>
      </c>
      <c r="M468" s="27">
        <f>MIN(0.16,MAX(0.05,NORMINV(RAND(),$C$8,$D$8)))</f>
        <v/>
      </c>
      <c r="N468" s="34">
        <f>MIN(24,MAX(5,NORMINV(RAND(),$C$9,$D$9)))</f>
        <v/>
      </c>
      <c r="O468" s="41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7">
        <f>MAX(-0.05,NORMINV(RAND(),$C$6,$D$6))</f>
        <v/>
      </c>
      <c r="L469" s="27">
        <f>MAX(0.02,NORMINV(RAND(),$C$7,$D$7))</f>
        <v/>
      </c>
      <c r="M469" s="27">
        <f>MIN(0.16,MAX(0.05,NORMINV(RAND(),$C$8,$D$8)))</f>
        <v/>
      </c>
      <c r="N469" s="34">
        <f>MIN(24,MAX(5,NORMINV(RAND(),$C$9,$D$9)))</f>
        <v/>
      </c>
      <c r="O469" s="41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7">
        <f>MAX(-0.05,NORMINV(RAND(),$C$6,$D$6))</f>
        <v/>
      </c>
      <c r="L470" s="27">
        <f>MAX(0.02,NORMINV(RAND(),$C$7,$D$7))</f>
        <v/>
      </c>
      <c r="M470" s="27">
        <f>MIN(0.16,MAX(0.05,NORMINV(RAND(),$C$8,$D$8)))</f>
        <v/>
      </c>
      <c r="N470" s="34">
        <f>MIN(24,MAX(5,NORMINV(RAND(),$C$9,$D$9)))</f>
        <v/>
      </c>
      <c r="O470" s="41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7">
        <f>MAX(-0.05,NORMINV(RAND(),$C$6,$D$6))</f>
        <v/>
      </c>
      <c r="L471" s="27">
        <f>MAX(0.02,NORMINV(RAND(),$C$7,$D$7))</f>
        <v/>
      </c>
      <c r="M471" s="27">
        <f>MIN(0.16,MAX(0.05,NORMINV(RAND(),$C$8,$D$8)))</f>
        <v/>
      </c>
      <c r="N471" s="34">
        <f>MIN(24,MAX(5,NORMINV(RAND(),$C$9,$D$9)))</f>
        <v/>
      </c>
      <c r="O471" s="41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7">
        <f>MAX(-0.05,NORMINV(RAND(),$C$6,$D$6))</f>
        <v/>
      </c>
      <c r="L472" s="27">
        <f>MAX(0.02,NORMINV(RAND(),$C$7,$D$7))</f>
        <v/>
      </c>
      <c r="M472" s="27">
        <f>MIN(0.16,MAX(0.05,NORMINV(RAND(),$C$8,$D$8)))</f>
        <v/>
      </c>
      <c r="N472" s="34">
        <f>MIN(24,MAX(5,NORMINV(RAND(),$C$9,$D$9)))</f>
        <v/>
      </c>
      <c r="O472" s="41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7">
        <f>MAX(-0.05,NORMINV(RAND(),$C$6,$D$6))</f>
        <v/>
      </c>
      <c r="L473" s="27">
        <f>MAX(0.02,NORMINV(RAND(),$C$7,$D$7))</f>
        <v/>
      </c>
      <c r="M473" s="27">
        <f>MIN(0.16,MAX(0.05,NORMINV(RAND(),$C$8,$D$8)))</f>
        <v/>
      </c>
      <c r="N473" s="34">
        <f>MIN(24,MAX(5,NORMINV(RAND(),$C$9,$D$9)))</f>
        <v/>
      </c>
      <c r="O473" s="41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7">
        <f>MAX(-0.05,NORMINV(RAND(),$C$6,$D$6))</f>
        <v/>
      </c>
      <c r="L474" s="27">
        <f>MAX(0.02,NORMINV(RAND(),$C$7,$D$7))</f>
        <v/>
      </c>
      <c r="M474" s="27">
        <f>MIN(0.16,MAX(0.05,NORMINV(RAND(),$C$8,$D$8)))</f>
        <v/>
      </c>
      <c r="N474" s="34">
        <f>MIN(24,MAX(5,NORMINV(RAND(),$C$9,$D$9)))</f>
        <v/>
      </c>
      <c r="O474" s="41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7">
        <f>MAX(-0.05,NORMINV(RAND(),$C$6,$D$6))</f>
        <v/>
      </c>
      <c r="L475" s="27">
        <f>MAX(0.02,NORMINV(RAND(),$C$7,$D$7))</f>
        <v/>
      </c>
      <c r="M475" s="27">
        <f>MIN(0.16,MAX(0.05,NORMINV(RAND(),$C$8,$D$8)))</f>
        <v/>
      </c>
      <c r="N475" s="34">
        <f>MIN(24,MAX(5,NORMINV(RAND(),$C$9,$D$9)))</f>
        <v/>
      </c>
      <c r="O475" s="41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7">
        <f>MAX(-0.05,NORMINV(RAND(),$C$6,$D$6))</f>
        <v/>
      </c>
      <c r="L476" s="27">
        <f>MAX(0.02,NORMINV(RAND(),$C$7,$D$7))</f>
        <v/>
      </c>
      <c r="M476" s="27">
        <f>MIN(0.16,MAX(0.05,NORMINV(RAND(),$C$8,$D$8)))</f>
        <v/>
      </c>
      <c r="N476" s="34">
        <f>MIN(24,MAX(5,NORMINV(RAND(),$C$9,$D$9)))</f>
        <v/>
      </c>
      <c r="O476" s="41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7">
        <f>MAX(-0.05,NORMINV(RAND(),$C$6,$D$6))</f>
        <v/>
      </c>
      <c r="L477" s="27">
        <f>MAX(0.02,NORMINV(RAND(),$C$7,$D$7))</f>
        <v/>
      </c>
      <c r="M477" s="27">
        <f>MIN(0.16,MAX(0.05,NORMINV(RAND(),$C$8,$D$8)))</f>
        <v/>
      </c>
      <c r="N477" s="34">
        <f>MIN(24,MAX(5,NORMINV(RAND(),$C$9,$D$9)))</f>
        <v/>
      </c>
      <c r="O477" s="41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7">
        <f>MAX(-0.05,NORMINV(RAND(),$C$6,$D$6))</f>
        <v/>
      </c>
      <c r="L478" s="27">
        <f>MAX(0.02,NORMINV(RAND(),$C$7,$D$7))</f>
        <v/>
      </c>
      <c r="M478" s="27">
        <f>MIN(0.16,MAX(0.05,NORMINV(RAND(),$C$8,$D$8)))</f>
        <v/>
      </c>
      <c r="N478" s="34">
        <f>MIN(24,MAX(5,NORMINV(RAND(),$C$9,$D$9)))</f>
        <v/>
      </c>
      <c r="O478" s="41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7">
        <f>MAX(-0.05,NORMINV(RAND(),$C$6,$D$6))</f>
        <v/>
      </c>
      <c r="L479" s="27">
        <f>MAX(0.02,NORMINV(RAND(),$C$7,$D$7))</f>
        <v/>
      </c>
      <c r="M479" s="27">
        <f>MIN(0.16,MAX(0.05,NORMINV(RAND(),$C$8,$D$8)))</f>
        <v/>
      </c>
      <c r="N479" s="34">
        <f>MIN(24,MAX(5,NORMINV(RAND(),$C$9,$D$9)))</f>
        <v/>
      </c>
      <c r="O479" s="41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7">
        <f>MAX(-0.05,NORMINV(RAND(),$C$6,$D$6))</f>
        <v/>
      </c>
      <c r="L480" s="27">
        <f>MAX(0.02,NORMINV(RAND(),$C$7,$D$7))</f>
        <v/>
      </c>
      <c r="M480" s="27">
        <f>MIN(0.16,MAX(0.05,NORMINV(RAND(),$C$8,$D$8)))</f>
        <v/>
      </c>
      <c r="N480" s="34">
        <f>MIN(24,MAX(5,NORMINV(RAND(),$C$9,$D$9)))</f>
        <v/>
      </c>
      <c r="O480" s="41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7">
        <f>MAX(-0.05,NORMINV(RAND(),$C$6,$D$6))</f>
        <v/>
      </c>
      <c r="L481" s="27">
        <f>MAX(0.02,NORMINV(RAND(),$C$7,$D$7))</f>
        <v/>
      </c>
      <c r="M481" s="27">
        <f>MIN(0.16,MAX(0.05,NORMINV(RAND(),$C$8,$D$8)))</f>
        <v/>
      </c>
      <c r="N481" s="34">
        <f>MIN(24,MAX(5,NORMINV(RAND(),$C$9,$D$9)))</f>
        <v/>
      </c>
      <c r="O481" s="41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7">
        <f>MAX(-0.05,NORMINV(RAND(),$C$6,$D$6))</f>
        <v/>
      </c>
      <c r="L482" s="27">
        <f>MAX(0.02,NORMINV(RAND(),$C$7,$D$7))</f>
        <v/>
      </c>
      <c r="M482" s="27">
        <f>MIN(0.16,MAX(0.05,NORMINV(RAND(),$C$8,$D$8)))</f>
        <v/>
      </c>
      <c r="N482" s="34">
        <f>MIN(24,MAX(5,NORMINV(RAND(),$C$9,$D$9)))</f>
        <v/>
      </c>
      <c r="O482" s="41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7">
        <f>MAX(-0.05,NORMINV(RAND(),$C$6,$D$6))</f>
        <v/>
      </c>
      <c r="L483" s="27">
        <f>MAX(0.02,NORMINV(RAND(),$C$7,$D$7))</f>
        <v/>
      </c>
      <c r="M483" s="27">
        <f>MIN(0.16,MAX(0.05,NORMINV(RAND(),$C$8,$D$8)))</f>
        <v/>
      </c>
      <c r="N483" s="34">
        <f>MIN(24,MAX(5,NORMINV(RAND(),$C$9,$D$9)))</f>
        <v/>
      </c>
      <c r="O483" s="41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7">
        <f>MAX(-0.05,NORMINV(RAND(),$C$6,$D$6))</f>
        <v/>
      </c>
      <c r="L484" s="27">
        <f>MAX(0.02,NORMINV(RAND(),$C$7,$D$7))</f>
        <v/>
      </c>
      <c r="M484" s="27">
        <f>MIN(0.16,MAX(0.05,NORMINV(RAND(),$C$8,$D$8)))</f>
        <v/>
      </c>
      <c r="N484" s="34">
        <f>MIN(24,MAX(5,NORMINV(RAND(),$C$9,$D$9)))</f>
        <v/>
      </c>
      <c r="O484" s="41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7">
        <f>MAX(-0.05,NORMINV(RAND(),$C$6,$D$6))</f>
        <v/>
      </c>
      <c r="L485" s="27">
        <f>MAX(0.02,NORMINV(RAND(),$C$7,$D$7))</f>
        <v/>
      </c>
      <c r="M485" s="27">
        <f>MIN(0.16,MAX(0.05,NORMINV(RAND(),$C$8,$D$8)))</f>
        <v/>
      </c>
      <c r="N485" s="34">
        <f>MIN(24,MAX(5,NORMINV(RAND(),$C$9,$D$9)))</f>
        <v/>
      </c>
      <c r="O485" s="41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7">
        <f>MAX(-0.05,NORMINV(RAND(),$C$6,$D$6))</f>
        <v/>
      </c>
      <c r="L486" s="27">
        <f>MAX(0.02,NORMINV(RAND(),$C$7,$D$7))</f>
        <v/>
      </c>
      <c r="M486" s="27">
        <f>MIN(0.16,MAX(0.05,NORMINV(RAND(),$C$8,$D$8)))</f>
        <v/>
      </c>
      <c r="N486" s="34">
        <f>MIN(24,MAX(5,NORMINV(RAND(),$C$9,$D$9)))</f>
        <v/>
      </c>
      <c r="O486" s="41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7">
        <f>MAX(-0.05,NORMINV(RAND(),$C$6,$D$6))</f>
        <v/>
      </c>
      <c r="L487" s="27">
        <f>MAX(0.02,NORMINV(RAND(),$C$7,$D$7))</f>
        <v/>
      </c>
      <c r="M487" s="27">
        <f>MIN(0.16,MAX(0.05,NORMINV(RAND(),$C$8,$D$8)))</f>
        <v/>
      </c>
      <c r="N487" s="34">
        <f>MIN(24,MAX(5,NORMINV(RAND(),$C$9,$D$9)))</f>
        <v/>
      </c>
      <c r="O487" s="41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7">
        <f>MAX(-0.05,NORMINV(RAND(),$C$6,$D$6))</f>
        <v/>
      </c>
      <c r="L488" s="27">
        <f>MAX(0.02,NORMINV(RAND(),$C$7,$D$7))</f>
        <v/>
      </c>
      <c r="M488" s="27">
        <f>MIN(0.16,MAX(0.05,NORMINV(RAND(),$C$8,$D$8)))</f>
        <v/>
      </c>
      <c r="N488" s="34">
        <f>MIN(24,MAX(5,NORMINV(RAND(),$C$9,$D$9)))</f>
        <v/>
      </c>
      <c r="O488" s="41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7">
        <f>MAX(-0.05,NORMINV(RAND(),$C$6,$D$6))</f>
        <v/>
      </c>
      <c r="L489" s="27">
        <f>MAX(0.02,NORMINV(RAND(),$C$7,$D$7))</f>
        <v/>
      </c>
      <c r="M489" s="27">
        <f>MIN(0.16,MAX(0.05,NORMINV(RAND(),$C$8,$D$8)))</f>
        <v/>
      </c>
      <c r="N489" s="34">
        <f>MIN(24,MAX(5,NORMINV(RAND(),$C$9,$D$9)))</f>
        <v/>
      </c>
      <c r="O489" s="41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7">
        <f>MAX(-0.05,NORMINV(RAND(),$C$6,$D$6))</f>
        <v/>
      </c>
      <c r="L490" s="27">
        <f>MAX(0.02,NORMINV(RAND(),$C$7,$D$7))</f>
        <v/>
      </c>
      <c r="M490" s="27">
        <f>MIN(0.16,MAX(0.05,NORMINV(RAND(),$C$8,$D$8)))</f>
        <v/>
      </c>
      <c r="N490" s="34">
        <f>MIN(24,MAX(5,NORMINV(RAND(),$C$9,$D$9)))</f>
        <v/>
      </c>
      <c r="O490" s="41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7">
        <f>MAX(-0.05,NORMINV(RAND(),$C$6,$D$6))</f>
        <v/>
      </c>
      <c r="L491" s="27">
        <f>MAX(0.02,NORMINV(RAND(),$C$7,$D$7))</f>
        <v/>
      </c>
      <c r="M491" s="27">
        <f>MIN(0.16,MAX(0.05,NORMINV(RAND(),$C$8,$D$8)))</f>
        <v/>
      </c>
      <c r="N491" s="34">
        <f>MIN(24,MAX(5,NORMINV(RAND(),$C$9,$D$9)))</f>
        <v/>
      </c>
      <c r="O491" s="41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7">
        <f>MAX(-0.05,NORMINV(RAND(),$C$6,$D$6))</f>
        <v/>
      </c>
      <c r="L492" s="27">
        <f>MAX(0.02,NORMINV(RAND(),$C$7,$D$7))</f>
        <v/>
      </c>
      <c r="M492" s="27">
        <f>MIN(0.16,MAX(0.05,NORMINV(RAND(),$C$8,$D$8)))</f>
        <v/>
      </c>
      <c r="N492" s="34">
        <f>MIN(24,MAX(5,NORMINV(RAND(),$C$9,$D$9)))</f>
        <v/>
      </c>
      <c r="O492" s="41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7">
        <f>MAX(-0.05,NORMINV(RAND(),$C$6,$D$6))</f>
        <v/>
      </c>
      <c r="L493" s="27">
        <f>MAX(0.02,NORMINV(RAND(),$C$7,$D$7))</f>
        <v/>
      </c>
      <c r="M493" s="27">
        <f>MIN(0.16,MAX(0.05,NORMINV(RAND(),$C$8,$D$8)))</f>
        <v/>
      </c>
      <c r="N493" s="34">
        <f>MIN(24,MAX(5,NORMINV(RAND(),$C$9,$D$9)))</f>
        <v/>
      </c>
      <c r="O493" s="41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7">
        <f>MAX(-0.05,NORMINV(RAND(),$C$6,$D$6))</f>
        <v/>
      </c>
      <c r="L494" s="27">
        <f>MAX(0.02,NORMINV(RAND(),$C$7,$D$7))</f>
        <v/>
      </c>
      <c r="M494" s="27">
        <f>MIN(0.16,MAX(0.05,NORMINV(RAND(),$C$8,$D$8)))</f>
        <v/>
      </c>
      <c r="N494" s="34">
        <f>MIN(24,MAX(5,NORMINV(RAND(),$C$9,$D$9)))</f>
        <v/>
      </c>
      <c r="O494" s="41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7">
        <f>MAX(-0.05,NORMINV(RAND(),$C$6,$D$6))</f>
        <v/>
      </c>
      <c r="L495" s="27">
        <f>MAX(0.02,NORMINV(RAND(),$C$7,$D$7))</f>
        <v/>
      </c>
      <c r="M495" s="27">
        <f>MIN(0.16,MAX(0.05,NORMINV(RAND(),$C$8,$D$8)))</f>
        <v/>
      </c>
      <c r="N495" s="34">
        <f>MIN(24,MAX(5,NORMINV(RAND(),$C$9,$D$9)))</f>
        <v/>
      </c>
      <c r="O495" s="41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7">
        <f>MAX(-0.05,NORMINV(RAND(),$C$6,$D$6))</f>
        <v/>
      </c>
      <c r="L496" s="27">
        <f>MAX(0.02,NORMINV(RAND(),$C$7,$D$7))</f>
        <v/>
      </c>
      <c r="M496" s="27">
        <f>MIN(0.16,MAX(0.05,NORMINV(RAND(),$C$8,$D$8)))</f>
        <v/>
      </c>
      <c r="N496" s="34">
        <f>MIN(24,MAX(5,NORMINV(RAND(),$C$9,$D$9)))</f>
        <v/>
      </c>
      <c r="O496" s="41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7">
        <f>MAX(-0.05,NORMINV(RAND(),$C$6,$D$6))</f>
        <v/>
      </c>
      <c r="L497" s="27">
        <f>MAX(0.02,NORMINV(RAND(),$C$7,$D$7))</f>
        <v/>
      </c>
      <c r="M497" s="27">
        <f>MIN(0.16,MAX(0.05,NORMINV(RAND(),$C$8,$D$8)))</f>
        <v/>
      </c>
      <c r="N497" s="34">
        <f>MIN(24,MAX(5,NORMINV(RAND(),$C$9,$D$9)))</f>
        <v/>
      </c>
      <c r="O497" s="41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7">
        <f>MAX(-0.05,NORMINV(RAND(),$C$6,$D$6))</f>
        <v/>
      </c>
      <c r="L498" s="27">
        <f>MAX(0.02,NORMINV(RAND(),$C$7,$D$7))</f>
        <v/>
      </c>
      <c r="M498" s="27">
        <f>MIN(0.16,MAX(0.05,NORMINV(RAND(),$C$8,$D$8)))</f>
        <v/>
      </c>
      <c r="N498" s="34">
        <f>MIN(24,MAX(5,NORMINV(RAND(),$C$9,$D$9)))</f>
        <v/>
      </c>
      <c r="O498" s="41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7">
        <f>MAX(-0.05,NORMINV(RAND(),$C$6,$D$6))</f>
        <v/>
      </c>
      <c r="L499" s="27">
        <f>MAX(0.02,NORMINV(RAND(),$C$7,$D$7))</f>
        <v/>
      </c>
      <c r="M499" s="27">
        <f>MIN(0.16,MAX(0.05,NORMINV(RAND(),$C$8,$D$8)))</f>
        <v/>
      </c>
      <c r="N499" s="34">
        <f>MIN(24,MAX(5,NORMINV(RAND(),$C$9,$D$9)))</f>
        <v/>
      </c>
      <c r="O499" s="41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7">
        <f>MAX(-0.05,NORMINV(RAND(),$C$6,$D$6))</f>
        <v/>
      </c>
      <c r="L500" s="27">
        <f>MAX(0.02,NORMINV(RAND(),$C$7,$D$7))</f>
        <v/>
      </c>
      <c r="M500" s="27">
        <f>MIN(0.16,MAX(0.05,NORMINV(RAND(),$C$8,$D$8)))</f>
        <v/>
      </c>
      <c r="N500" s="34">
        <f>MIN(24,MAX(5,NORMINV(RAND(),$C$9,$D$9)))</f>
        <v/>
      </c>
      <c r="O500" s="41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7">
        <f>MAX(-0.05,NORMINV(RAND(),$C$6,$D$6))</f>
        <v/>
      </c>
      <c r="L501" s="27">
        <f>MAX(0.02,NORMINV(RAND(),$C$7,$D$7))</f>
        <v/>
      </c>
      <c r="M501" s="27">
        <f>MIN(0.16,MAX(0.05,NORMINV(RAND(),$C$8,$D$8)))</f>
        <v/>
      </c>
      <c r="N501" s="34">
        <f>MIN(24,MAX(5,NORMINV(RAND(),$C$9,$D$9)))</f>
        <v/>
      </c>
      <c r="O501" s="41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7">
        <f>MAX(-0.05,NORMINV(RAND(),$C$6,$D$6))</f>
        <v/>
      </c>
      <c r="L502" s="27">
        <f>MAX(0.02,NORMINV(RAND(),$C$7,$D$7))</f>
        <v/>
      </c>
      <c r="M502" s="27">
        <f>MIN(0.16,MAX(0.05,NORMINV(RAND(),$C$8,$D$8)))</f>
        <v/>
      </c>
      <c r="N502" s="34">
        <f>MIN(24,MAX(5,NORMINV(RAND(),$C$9,$D$9)))</f>
        <v/>
      </c>
      <c r="O502" s="41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7">
        <f>MAX(-0.05,NORMINV(RAND(),$C$6,$D$6))</f>
        <v/>
      </c>
      <c r="L503" s="27">
        <f>MAX(0.02,NORMINV(RAND(),$C$7,$D$7))</f>
        <v/>
      </c>
      <c r="M503" s="27">
        <f>MIN(0.16,MAX(0.05,NORMINV(RAND(),$C$8,$D$8)))</f>
        <v/>
      </c>
      <c r="N503" s="34">
        <f>MIN(24,MAX(5,NORMINV(RAND(),$C$9,$D$9)))</f>
        <v/>
      </c>
      <c r="O503" s="41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7">
        <f>MAX(-0.05,NORMINV(RAND(),$C$6,$D$6))</f>
        <v/>
      </c>
      <c r="L504" s="27">
        <f>MAX(0.02,NORMINV(RAND(),$C$7,$D$7))</f>
        <v/>
      </c>
      <c r="M504" s="27">
        <f>MIN(0.16,MAX(0.05,NORMINV(RAND(),$C$8,$D$8)))</f>
        <v/>
      </c>
      <c r="N504" s="34">
        <f>MIN(24,MAX(5,NORMINV(RAND(),$C$9,$D$9)))</f>
        <v/>
      </c>
      <c r="O504" s="41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7">
        <f>MAX(-0.05,NORMINV(RAND(),$C$6,$D$6))</f>
        <v/>
      </c>
      <c r="L505" s="27">
        <f>MAX(0.02,NORMINV(RAND(),$C$7,$D$7))</f>
        <v/>
      </c>
      <c r="M505" s="27">
        <f>MIN(0.16,MAX(0.05,NORMINV(RAND(),$C$8,$D$8)))</f>
        <v/>
      </c>
      <c r="N505" s="34">
        <f>MIN(24,MAX(5,NORMINV(RAND(),$C$9,$D$9)))</f>
        <v/>
      </c>
      <c r="O505" s="41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7">
        <f>MAX(-0.05,NORMINV(RAND(),$C$6,$D$6))</f>
        <v/>
      </c>
      <c r="L506" s="27">
        <f>MAX(0.02,NORMINV(RAND(),$C$7,$D$7))</f>
        <v/>
      </c>
      <c r="M506" s="27">
        <f>MIN(0.16,MAX(0.05,NORMINV(RAND(),$C$8,$D$8)))</f>
        <v/>
      </c>
      <c r="N506" s="34">
        <f>MIN(24,MAX(5,NORMINV(RAND(),$C$9,$D$9)))</f>
        <v/>
      </c>
      <c r="O506" s="41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7">
        <f>MAX(-0.05,NORMINV(RAND(),$C$6,$D$6))</f>
        <v/>
      </c>
      <c r="L507" s="27">
        <f>MAX(0.02,NORMINV(RAND(),$C$7,$D$7))</f>
        <v/>
      </c>
      <c r="M507" s="27">
        <f>MIN(0.16,MAX(0.05,NORMINV(RAND(),$C$8,$D$8)))</f>
        <v/>
      </c>
      <c r="N507" s="34">
        <f>MIN(24,MAX(5,NORMINV(RAND(),$C$9,$D$9)))</f>
        <v/>
      </c>
      <c r="O507" s="41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7">
        <f>MAX(-0.05,NORMINV(RAND(),$C$6,$D$6))</f>
        <v/>
      </c>
      <c r="L508" s="27">
        <f>MAX(0.02,NORMINV(RAND(),$C$7,$D$7))</f>
        <v/>
      </c>
      <c r="M508" s="27">
        <f>MIN(0.16,MAX(0.05,NORMINV(RAND(),$C$8,$D$8)))</f>
        <v/>
      </c>
      <c r="N508" s="34">
        <f>MIN(24,MAX(5,NORMINV(RAND(),$C$9,$D$9)))</f>
        <v/>
      </c>
      <c r="O508" s="41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7">
        <f>MAX(-0.05,NORMINV(RAND(),$C$6,$D$6))</f>
        <v/>
      </c>
      <c r="L509" s="27">
        <f>MAX(0.02,NORMINV(RAND(),$C$7,$D$7))</f>
        <v/>
      </c>
      <c r="M509" s="27">
        <f>MIN(0.16,MAX(0.05,NORMINV(RAND(),$C$8,$D$8)))</f>
        <v/>
      </c>
      <c r="N509" s="34">
        <f>MIN(24,MAX(5,NORMINV(RAND(),$C$9,$D$9)))</f>
        <v/>
      </c>
      <c r="O509" s="41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7">
        <f>MAX(-0.05,NORMINV(RAND(),$C$6,$D$6))</f>
        <v/>
      </c>
      <c r="L510" s="27">
        <f>MAX(0.02,NORMINV(RAND(),$C$7,$D$7))</f>
        <v/>
      </c>
      <c r="M510" s="27">
        <f>MIN(0.16,MAX(0.05,NORMINV(RAND(),$C$8,$D$8)))</f>
        <v/>
      </c>
      <c r="N510" s="34">
        <f>MIN(24,MAX(5,NORMINV(RAND(),$C$9,$D$9)))</f>
        <v/>
      </c>
      <c r="O510" s="41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7">
        <f>MAX(-0.05,NORMINV(RAND(),$C$6,$D$6))</f>
        <v/>
      </c>
      <c r="L511" s="27">
        <f>MAX(0.02,NORMINV(RAND(),$C$7,$D$7))</f>
        <v/>
      </c>
      <c r="M511" s="27">
        <f>MIN(0.16,MAX(0.05,NORMINV(RAND(),$C$8,$D$8)))</f>
        <v/>
      </c>
      <c r="N511" s="34">
        <f>MIN(24,MAX(5,NORMINV(RAND(),$C$9,$D$9)))</f>
        <v/>
      </c>
      <c r="O511" s="41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7">
        <f>MAX(-0.05,NORMINV(RAND(),$C$6,$D$6))</f>
        <v/>
      </c>
      <c r="L512" s="27">
        <f>MAX(0.02,NORMINV(RAND(),$C$7,$D$7))</f>
        <v/>
      </c>
      <c r="M512" s="27">
        <f>MIN(0.16,MAX(0.05,NORMINV(RAND(),$C$8,$D$8)))</f>
        <v/>
      </c>
      <c r="N512" s="34">
        <f>MIN(24,MAX(5,NORMINV(RAND(),$C$9,$D$9)))</f>
        <v/>
      </c>
      <c r="O512" s="41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7">
        <f>MAX(-0.05,NORMINV(RAND(),$C$6,$D$6))</f>
        <v/>
      </c>
      <c r="L513" s="27">
        <f>MAX(0.02,NORMINV(RAND(),$C$7,$D$7))</f>
        <v/>
      </c>
      <c r="M513" s="27">
        <f>MIN(0.16,MAX(0.05,NORMINV(RAND(),$C$8,$D$8)))</f>
        <v/>
      </c>
      <c r="N513" s="34">
        <f>MIN(24,MAX(5,NORMINV(RAND(),$C$9,$D$9)))</f>
        <v/>
      </c>
      <c r="O513" s="41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7">
        <f>MAX(-0.05,NORMINV(RAND(),$C$6,$D$6))</f>
        <v/>
      </c>
      <c r="L514" s="27">
        <f>MAX(0.02,NORMINV(RAND(),$C$7,$D$7))</f>
        <v/>
      </c>
      <c r="M514" s="27">
        <f>MIN(0.16,MAX(0.05,NORMINV(RAND(),$C$8,$D$8)))</f>
        <v/>
      </c>
      <c r="N514" s="34">
        <f>MIN(24,MAX(5,NORMINV(RAND(),$C$9,$D$9)))</f>
        <v/>
      </c>
      <c r="O514" s="41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7">
        <f>MAX(-0.05,NORMINV(RAND(),$C$6,$D$6))</f>
        <v/>
      </c>
      <c r="L515" s="27">
        <f>MAX(0.02,NORMINV(RAND(),$C$7,$D$7))</f>
        <v/>
      </c>
      <c r="M515" s="27">
        <f>MIN(0.16,MAX(0.05,NORMINV(RAND(),$C$8,$D$8)))</f>
        <v/>
      </c>
      <c r="N515" s="34">
        <f>MIN(24,MAX(5,NORMINV(RAND(),$C$9,$D$9)))</f>
        <v/>
      </c>
      <c r="O515" s="41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7">
        <f>MAX(-0.05,NORMINV(RAND(),$C$6,$D$6))</f>
        <v/>
      </c>
      <c r="L516" s="27">
        <f>MAX(0.02,NORMINV(RAND(),$C$7,$D$7))</f>
        <v/>
      </c>
      <c r="M516" s="27">
        <f>MIN(0.16,MAX(0.05,NORMINV(RAND(),$C$8,$D$8)))</f>
        <v/>
      </c>
      <c r="N516" s="34">
        <f>MIN(24,MAX(5,NORMINV(RAND(),$C$9,$D$9)))</f>
        <v/>
      </c>
      <c r="O516" s="41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7">
        <f>MAX(-0.05,NORMINV(RAND(),$C$6,$D$6))</f>
        <v/>
      </c>
      <c r="L517" s="27">
        <f>MAX(0.02,NORMINV(RAND(),$C$7,$D$7))</f>
        <v/>
      </c>
      <c r="M517" s="27">
        <f>MIN(0.16,MAX(0.05,NORMINV(RAND(),$C$8,$D$8)))</f>
        <v/>
      </c>
      <c r="N517" s="34">
        <f>MIN(24,MAX(5,NORMINV(RAND(),$C$9,$D$9)))</f>
        <v/>
      </c>
      <c r="O517" s="41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7">
        <f>MAX(-0.05,NORMINV(RAND(),$C$6,$D$6))</f>
        <v/>
      </c>
      <c r="L518" s="27">
        <f>MAX(0.02,NORMINV(RAND(),$C$7,$D$7))</f>
        <v/>
      </c>
      <c r="M518" s="27">
        <f>MIN(0.16,MAX(0.05,NORMINV(RAND(),$C$8,$D$8)))</f>
        <v/>
      </c>
      <c r="N518" s="34">
        <f>MIN(24,MAX(5,NORMINV(RAND(),$C$9,$D$9)))</f>
        <v/>
      </c>
      <c r="O518" s="41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7">
        <f>MAX(-0.05,NORMINV(RAND(),$C$6,$D$6))</f>
        <v/>
      </c>
      <c r="L519" s="27">
        <f>MAX(0.02,NORMINV(RAND(),$C$7,$D$7))</f>
        <v/>
      </c>
      <c r="M519" s="27">
        <f>MIN(0.16,MAX(0.05,NORMINV(RAND(),$C$8,$D$8)))</f>
        <v/>
      </c>
      <c r="N519" s="34">
        <f>MIN(24,MAX(5,NORMINV(RAND(),$C$9,$D$9)))</f>
        <v/>
      </c>
      <c r="O519" s="41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7">
        <f>MAX(-0.05,NORMINV(RAND(),$C$6,$D$6))</f>
        <v/>
      </c>
      <c r="L520" s="27">
        <f>MAX(0.02,NORMINV(RAND(),$C$7,$D$7))</f>
        <v/>
      </c>
      <c r="M520" s="27">
        <f>MIN(0.16,MAX(0.05,NORMINV(RAND(),$C$8,$D$8)))</f>
        <v/>
      </c>
      <c r="N520" s="34">
        <f>MIN(24,MAX(5,NORMINV(RAND(),$C$9,$D$9)))</f>
        <v/>
      </c>
      <c r="O520" s="41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7">
        <f>MAX(-0.05,NORMINV(RAND(),$C$6,$D$6))</f>
        <v/>
      </c>
      <c r="L521" s="27">
        <f>MAX(0.02,NORMINV(RAND(),$C$7,$D$7))</f>
        <v/>
      </c>
      <c r="M521" s="27">
        <f>MIN(0.16,MAX(0.05,NORMINV(RAND(),$C$8,$D$8)))</f>
        <v/>
      </c>
      <c r="N521" s="34">
        <f>MIN(24,MAX(5,NORMINV(RAND(),$C$9,$D$9)))</f>
        <v/>
      </c>
      <c r="O521" s="41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7">
        <f>MAX(-0.05,NORMINV(RAND(),$C$6,$D$6))</f>
        <v/>
      </c>
      <c r="L522" s="27">
        <f>MAX(0.02,NORMINV(RAND(),$C$7,$D$7))</f>
        <v/>
      </c>
      <c r="M522" s="27">
        <f>MIN(0.16,MAX(0.05,NORMINV(RAND(),$C$8,$D$8)))</f>
        <v/>
      </c>
      <c r="N522" s="34">
        <f>MIN(24,MAX(5,NORMINV(RAND(),$C$9,$D$9)))</f>
        <v/>
      </c>
      <c r="O522" s="41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7">
        <f>MAX(-0.05,NORMINV(RAND(),$C$6,$D$6))</f>
        <v/>
      </c>
      <c r="L523" s="27">
        <f>MAX(0.02,NORMINV(RAND(),$C$7,$D$7))</f>
        <v/>
      </c>
      <c r="M523" s="27">
        <f>MIN(0.16,MAX(0.05,NORMINV(RAND(),$C$8,$D$8)))</f>
        <v/>
      </c>
      <c r="N523" s="34">
        <f>MIN(24,MAX(5,NORMINV(RAND(),$C$9,$D$9)))</f>
        <v/>
      </c>
      <c r="O523" s="41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7">
        <f>MAX(-0.05,NORMINV(RAND(),$C$6,$D$6))</f>
        <v/>
      </c>
      <c r="L524" s="27">
        <f>MAX(0.02,NORMINV(RAND(),$C$7,$D$7))</f>
        <v/>
      </c>
      <c r="M524" s="27">
        <f>MIN(0.16,MAX(0.05,NORMINV(RAND(),$C$8,$D$8)))</f>
        <v/>
      </c>
      <c r="N524" s="34">
        <f>MIN(24,MAX(5,NORMINV(RAND(),$C$9,$D$9)))</f>
        <v/>
      </c>
      <c r="O524" s="41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7">
        <f>MAX(-0.05,NORMINV(RAND(),$C$6,$D$6))</f>
        <v/>
      </c>
      <c r="L525" s="27">
        <f>MAX(0.02,NORMINV(RAND(),$C$7,$D$7))</f>
        <v/>
      </c>
      <c r="M525" s="27">
        <f>MIN(0.16,MAX(0.05,NORMINV(RAND(),$C$8,$D$8)))</f>
        <v/>
      </c>
      <c r="N525" s="34">
        <f>MIN(24,MAX(5,NORMINV(RAND(),$C$9,$D$9)))</f>
        <v/>
      </c>
      <c r="O525" s="41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7">
        <f>MAX(-0.05,NORMINV(RAND(),$C$6,$D$6))</f>
        <v/>
      </c>
      <c r="L526" s="27">
        <f>MAX(0.02,NORMINV(RAND(),$C$7,$D$7))</f>
        <v/>
      </c>
      <c r="M526" s="27">
        <f>MIN(0.16,MAX(0.05,NORMINV(RAND(),$C$8,$D$8)))</f>
        <v/>
      </c>
      <c r="N526" s="34">
        <f>MIN(24,MAX(5,NORMINV(RAND(),$C$9,$D$9)))</f>
        <v/>
      </c>
      <c r="O526" s="41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7">
        <f>MAX(-0.05,NORMINV(RAND(),$C$6,$D$6))</f>
        <v/>
      </c>
      <c r="L527" s="27">
        <f>MAX(0.02,NORMINV(RAND(),$C$7,$D$7))</f>
        <v/>
      </c>
      <c r="M527" s="27">
        <f>MIN(0.16,MAX(0.05,NORMINV(RAND(),$C$8,$D$8)))</f>
        <v/>
      </c>
      <c r="N527" s="34">
        <f>MIN(24,MAX(5,NORMINV(RAND(),$C$9,$D$9)))</f>
        <v/>
      </c>
      <c r="O527" s="41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7">
        <f>MAX(-0.05,NORMINV(RAND(),$C$6,$D$6))</f>
        <v/>
      </c>
      <c r="L528" s="27">
        <f>MAX(0.02,NORMINV(RAND(),$C$7,$D$7))</f>
        <v/>
      </c>
      <c r="M528" s="27">
        <f>MIN(0.16,MAX(0.05,NORMINV(RAND(),$C$8,$D$8)))</f>
        <v/>
      </c>
      <c r="N528" s="34">
        <f>MIN(24,MAX(5,NORMINV(RAND(),$C$9,$D$9)))</f>
        <v/>
      </c>
      <c r="O528" s="41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7">
        <f>MAX(-0.05,NORMINV(RAND(),$C$6,$D$6))</f>
        <v/>
      </c>
      <c r="L529" s="27">
        <f>MAX(0.02,NORMINV(RAND(),$C$7,$D$7))</f>
        <v/>
      </c>
      <c r="M529" s="27">
        <f>MIN(0.16,MAX(0.05,NORMINV(RAND(),$C$8,$D$8)))</f>
        <v/>
      </c>
      <c r="N529" s="34">
        <f>MIN(24,MAX(5,NORMINV(RAND(),$C$9,$D$9)))</f>
        <v/>
      </c>
      <c r="O529" s="41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7">
        <f>MAX(-0.05,NORMINV(RAND(),$C$6,$D$6))</f>
        <v/>
      </c>
      <c r="L530" s="27">
        <f>MAX(0.02,NORMINV(RAND(),$C$7,$D$7))</f>
        <v/>
      </c>
      <c r="M530" s="27">
        <f>MIN(0.16,MAX(0.05,NORMINV(RAND(),$C$8,$D$8)))</f>
        <v/>
      </c>
      <c r="N530" s="34">
        <f>MIN(24,MAX(5,NORMINV(RAND(),$C$9,$D$9)))</f>
        <v/>
      </c>
      <c r="O530" s="41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7">
        <f>MAX(-0.05,NORMINV(RAND(),$C$6,$D$6))</f>
        <v/>
      </c>
      <c r="L531" s="27">
        <f>MAX(0.02,NORMINV(RAND(),$C$7,$D$7))</f>
        <v/>
      </c>
      <c r="M531" s="27">
        <f>MIN(0.16,MAX(0.05,NORMINV(RAND(),$C$8,$D$8)))</f>
        <v/>
      </c>
      <c r="N531" s="34">
        <f>MIN(24,MAX(5,NORMINV(RAND(),$C$9,$D$9)))</f>
        <v/>
      </c>
      <c r="O531" s="41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7">
        <f>MAX(-0.05,NORMINV(RAND(),$C$6,$D$6))</f>
        <v/>
      </c>
      <c r="L532" s="27">
        <f>MAX(0.02,NORMINV(RAND(),$C$7,$D$7))</f>
        <v/>
      </c>
      <c r="M532" s="27">
        <f>MIN(0.16,MAX(0.05,NORMINV(RAND(),$C$8,$D$8)))</f>
        <v/>
      </c>
      <c r="N532" s="34">
        <f>MIN(24,MAX(5,NORMINV(RAND(),$C$9,$D$9)))</f>
        <v/>
      </c>
      <c r="O532" s="41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7">
        <f>MAX(-0.05,NORMINV(RAND(),$C$6,$D$6))</f>
        <v/>
      </c>
      <c r="L533" s="27">
        <f>MAX(0.02,NORMINV(RAND(),$C$7,$D$7))</f>
        <v/>
      </c>
      <c r="M533" s="27">
        <f>MIN(0.16,MAX(0.05,NORMINV(RAND(),$C$8,$D$8)))</f>
        <v/>
      </c>
      <c r="N533" s="34">
        <f>MIN(24,MAX(5,NORMINV(RAND(),$C$9,$D$9)))</f>
        <v/>
      </c>
      <c r="O533" s="41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7">
        <f>MAX(-0.05,NORMINV(RAND(),$C$6,$D$6))</f>
        <v/>
      </c>
      <c r="L534" s="27">
        <f>MAX(0.02,NORMINV(RAND(),$C$7,$D$7))</f>
        <v/>
      </c>
      <c r="M534" s="27">
        <f>MIN(0.16,MAX(0.05,NORMINV(RAND(),$C$8,$D$8)))</f>
        <v/>
      </c>
      <c r="N534" s="34">
        <f>MIN(24,MAX(5,NORMINV(RAND(),$C$9,$D$9)))</f>
        <v/>
      </c>
      <c r="O534" s="41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7">
        <f>MAX(-0.05,NORMINV(RAND(),$C$6,$D$6))</f>
        <v/>
      </c>
      <c r="L535" s="27">
        <f>MAX(0.02,NORMINV(RAND(),$C$7,$D$7))</f>
        <v/>
      </c>
      <c r="M535" s="27">
        <f>MIN(0.16,MAX(0.05,NORMINV(RAND(),$C$8,$D$8)))</f>
        <v/>
      </c>
      <c r="N535" s="34">
        <f>MIN(24,MAX(5,NORMINV(RAND(),$C$9,$D$9)))</f>
        <v/>
      </c>
      <c r="O535" s="41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7">
        <f>MAX(-0.05,NORMINV(RAND(),$C$6,$D$6))</f>
        <v/>
      </c>
      <c r="L536" s="27">
        <f>MAX(0.02,NORMINV(RAND(),$C$7,$D$7))</f>
        <v/>
      </c>
      <c r="M536" s="27">
        <f>MIN(0.16,MAX(0.05,NORMINV(RAND(),$C$8,$D$8)))</f>
        <v/>
      </c>
      <c r="N536" s="34">
        <f>MIN(24,MAX(5,NORMINV(RAND(),$C$9,$D$9)))</f>
        <v/>
      </c>
      <c r="O536" s="41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7">
        <f>MAX(-0.05,NORMINV(RAND(),$C$6,$D$6))</f>
        <v/>
      </c>
      <c r="L537" s="27">
        <f>MAX(0.02,NORMINV(RAND(),$C$7,$D$7))</f>
        <v/>
      </c>
      <c r="M537" s="27">
        <f>MIN(0.16,MAX(0.05,NORMINV(RAND(),$C$8,$D$8)))</f>
        <v/>
      </c>
      <c r="N537" s="34">
        <f>MIN(24,MAX(5,NORMINV(RAND(),$C$9,$D$9)))</f>
        <v/>
      </c>
      <c r="O537" s="41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7">
        <f>MAX(-0.05,NORMINV(RAND(),$C$6,$D$6))</f>
        <v/>
      </c>
      <c r="L538" s="27">
        <f>MAX(0.02,NORMINV(RAND(),$C$7,$D$7))</f>
        <v/>
      </c>
      <c r="M538" s="27">
        <f>MIN(0.16,MAX(0.05,NORMINV(RAND(),$C$8,$D$8)))</f>
        <v/>
      </c>
      <c r="N538" s="34">
        <f>MIN(24,MAX(5,NORMINV(RAND(),$C$9,$D$9)))</f>
        <v/>
      </c>
      <c r="O538" s="41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7">
        <f>MAX(-0.05,NORMINV(RAND(),$C$6,$D$6))</f>
        <v/>
      </c>
      <c r="L539" s="27">
        <f>MAX(0.02,NORMINV(RAND(),$C$7,$D$7))</f>
        <v/>
      </c>
      <c r="M539" s="27">
        <f>MIN(0.16,MAX(0.05,NORMINV(RAND(),$C$8,$D$8)))</f>
        <v/>
      </c>
      <c r="N539" s="34">
        <f>MIN(24,MAX(5,NORMINV(RAND(),$C$9,$D$9)))</f>
        <v/>
      </c>
      <c r="O539" s="41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7">
        <f>MAX(-0.05,NORMINV(RAND(),$C$6,$D$6))</f>
        <v/>
      </c>
      <c r="L540" s="27">
        <f>MAX(0.02,NORMINV(RAND(),$C$7,$D$7))</f>
        <v/>
      </c>
      <c r="M540" s="27">
        <f>MIN(0.16,MAX(0.05,NORMINV(RAND(),$C$8,$D$8)))</f>
        <v/>
      </c>
      <c r="N540" s="34">
        <f>MIN(24,MAX(5,NORMINV(RAND(),$C$9,$D$9)))</f>
        <v/>
      </c>
      <c r="O540" s="41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7">
        <f>MAX(-0.05,NORMINV(RAND(),$C$6,$D$6))</f>
        <v/>
      </c>
      <c r="L541" s="27">
        <f>MAX(0.02,NORMINV(RAND(),$C$7,$D$7))</f>
        <v/>
      </c>
      <c r="M541" s="27">
        <f>MIN(0.16,MAX(0.05,NORMINV(RAND(),$C$8,$D$8)))</f>
        <v/>
      </c>
      <c r="N541" s="34">
        <f>MIN(24,MAX(5,NORMINV(RAND(),$C$9,$D$9)))</f>
        <v/>
      </c>
      <c r="O541" s="41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7">
        <f>MAX(-0.05,NORMINV(RAND(),$C$6,$D$6))</f>
        <v/>
      </c>
      <c r="L542" s="27">
        <f>MAX(0.02,NORMINV(RAND(),$C$7,$D$7))</f>
        <v/>
      </c>
      <c r="M542" s="27">
        <f>MIN(0.16,MAX(0.05,NORMINV(RAND(),$C$8,$D$8)))</f>
        <v/>
      </c>
      <c r="N542" s="34">
        <f>MIN(24,MAX(5,NORMINV(RAND(),$C$9,$D$9)))</f>
        <v/>
      </c>
      <c r="O542" s="41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7">
        <f>MAX(-0.05,NORMINV(RAND(),$C$6,$D$6))</f>
        <v/>
      </c>
      <c r="L543" s="27">
        <f>MAX(0.02,NORMINV(RAND(),$C$7,$D$7))</f>
        <v/>
      </c>
      <c r="M543" s="27">
        <f>MIN(0.16,MAX(0.05,NORMINV(RAND(),$C$8,$D$8)))</f>
        <v/>
      </c>
      <c r="N543" s="34">
        <f>MIN(24,MAX(5,NORMINV(RAND(),$C$9,$D$9)))</f>
        <v/>
      </c>
      <c r="O543" s="41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7">
        <f>MAX(-0.05,NORMINV(RAND(),$C$6,$D$6))</f>
        <v/>
      </c>
      <c r="L544" s="27">
        <f>MAX(0.02,NORMINV(RAND(),$C$7,$D$7))</f>
        <v/>
      </c>
      <c r="M544" s="27">
        <f>MIN(0.16,MAX(0.05,NORMINV(RAND(),$C$8,$D$8)))</f>
        <v/>
      </c>
      <c r="N544" s="34">
        <f>MIN(24,MAX(5,NORMINV(RAND(),$C$9,$D$9)))</f>
        <v/>
      </c>
      <c r="O544" s="41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7">
        <f>MAX(-0.05,NORMINV(RAND(),$C$6,$D$6))</f>
        <v/>
      </c>
      <c r="L545" s="27">
        <f>MAX(0.02,NORMINV(RAND(),$C$7,$D$7))</f>
        <v/>
      </c>
      <c r="M545" s="27">
        <f>MIN(0.16,MAX(0.05,NORMINV(RAND(),$C$8,$D$8)))</f>
        <v/>
      </c>
      <c r="N545" s="34">
        <f>MIN(24,MAX(5,NORMINV(RAND(),$C$9,$D$9)))</f>
        <v/>
      </c>
      <c r="O545" s="41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7">
        <f>MAX(-0.05,NORMINV(RAND(),$C$6,$D$6))</f>
        <v/>
      </c>
      <c r="L546" s="27">
        <f>MAX(0.02,NORMINV(RAND(),$C$7,$D$7))</f>
        <v/>
      </c>
      <c r="M546" s="27">
        <f>MIN(0.16,MAX(0.05,NORMINV(RAND(),$C$8,$D$8)))</f>
        <v/>
      </c>
      <c r="N546" s="34">
        <f>MIN(24,MAX(5,NORMINV(RAND(),$C$9,$D$9)))</f>
        <v/>
      </c>
      <c r="O546" s="41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7">
        <f>MAX(-0.05,NORMINV(RAND(),$C$6,$D$6))</f>
        <v/>
      </c>
      <c r="L547" s="27">
        <f>MAX(0.02,NORMINV(RAND(),$C$7,$D$7))</f>
        <v/>
      </c>
      <c r="M547" s="27">
        <f>MIN(0.16,MAX(0.05,NORMINV(RAND(),$C$8,$D$8)))</f>
        <v/>
      </c>
      <c r="N547" s="34">
        <f>MIN(24,MAX(5,NORMINV(RAND(),$C$9,$D$9)))</f>
        <v/>
      </c>
      <c r="O547" s="41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7">
        <f>MAX(-0.05,NORMINV(RAND(),$C$6,$D$6))</f>
        <v/>
      </c>
      <c r="L548" s="27">
        <f>MAX(0.02,NORMINV(RAND(),$C$7,$D$7))</f>
        <v/>
      </c>
      <c r="M548" s="27">
        <f>MIN(0.16,MAX(0.05,NORMINV(RAND(),$C$8,$D$8)))</f>
        <v/>
      </c>
      <c r="N548" s="34">
        <f>MIN(24,MAX(5,NORMINV(RAND(),$C$9,$D$9)))</f>
        <v/>
      </c>
      <c r="O548" s="41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7">
        <f>MAX(-0.05,NORMINV(RAND(),$C$6,$D$6))</f>
        <v/>
      </c>
      <c r="L549" s="27">
        <f>MAX(0.02,NORMINV(RAND(),$C$7,$D$7))</f>
        <v/>
      </c>
      <c r="M549" s="27">
        <f>MIN(0.16,MAX(0.05,NORMINV(RAND(),$C$8,$D$8)))</f>
        <v/>
      </c>
      <c r="N549" s="34">
        <f>MIN(24,MAX(5,NORMINV(RAND(),$C$9,$D$9)))</f>
        <v/>
      </c>
      <c r="O549" s="41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7">
        <f>MAX(-0.05,NORMINV(RAND(),$C$6,$D$6))</f>
        <v/>
      </c>
      <c r="L550" s="27">
        <f>MAX(0.02,NORMINV(RAND(),$C$7,$D$7))</f>
        <v/>
      </c>
      <c r="M550" s="27">
        <f>MIN(0.16,MAX(0.05,NORMINV(RAND(),$C$8,$D$8)))</f>
        <v/>
      </c>
      <c r="N550" s="34">
        <f>MIN(24,MAX(5,NORMINV(RAND(),$C$9,$D$9)))</f>
        <v/>
      </c>
      <c r="O550" s="41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7">
        <f>MAX(-0.05,NORMINV(RAND(),$C$6,$D$6))</f>
        <v/>
      </c>
      <c r="L551" s="27">
        <f>MAX(0.02,NORMINV(RAND(),$C$7,$D$7))</f>
        <v/>
      </c>
      <c r="M551" s="27">
        <f>MIN(0.16,MAX(0.05,NORMINV(RAND(),$C$8,$D$8)))</f>
        <v/>
      </c>
      <c r="N551" s="34">
        <f>MIN(24,MAX(5,NORMINV(RAND(),$C$9,$D$9)))</f>
        <v/>
      </c>
      <c r="O551" s="41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7">
        <f>MAX(-0.05,NORMINV(RAND(),$C$6,$D$6))</f>
        <v/>
      </c>
      <c r="L552" s="27">
        <f>MAX(0.02,NORMINV(RAND(),$C$7,$D$7))</f>
        <v/>
      </c>
      <c r="M552" s="27">
        <f>MIN(0.16,MAX(0.05,NORMINV(RAND(),$C$8,$D$8)))</f>
        <v/>
      </c>
      <c r="N552" s="34">
        <f>MIN(24,MAX(5,NORMINV(RAND(),$C$9,$D$9)))</f>
        <v/>
      </c>
      <c r="O552" s="41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7">
        <f>MAX(-0.05,NORMINV(RAND(),$C$6,$D$6))</f>
        <v/>
      </c>
      <c r="L553" s="27">
        <f>MAX(0.02,NORMINV(RAND(),$C$7,$D$7))</f>
        <v/>
      </c>
      <c r="M553" s="27">
        <f>MIN(0.16,MAX(0.05,NORMINV(RAND(),$C$8,$D$8)))</f>
        <v/>
      </c>
      <c r="N553" s="34">
        <f>MIN(24,MAX(5,NORMINV(RAND(),$C$9,$D$9)))</f>
        <v/>
      </c>
      <c r="O553" s="41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7">
        <f>MAX(-0.05,NORMINV(RAND(),$C$6,$D$6))</f>
        <v/>
      </c>
      <c r="L554" s="27">
        <f>MAX(0.02,NORMINV(RAND(),$C$7,$D$7))</f>
        <v/>
      </c>
      <c r="M554" s="27">
        <f>MIN(0.16,MAX(0.05,NORMINV(RAND(),$C$8,$D$8)))</f>
        <v/>
      </c>
      <c r="N554" s="34">
        <f>MIN(24,MAX(5,NORMINV(RAND(),$C$9,$D$9)))</f>
        <v/>
      </c>
      <c r="O554" s="41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7">
        <f>MAX(-0.05,NORMINV(RAND(),$C$6,$D$6))</f>
        <v/>
      </c>
      <c r="L555" s="27">
        <f>MAX(0.02,NORMINV(RAND(),$C$7,$D$7))</f>
        <v/>
      </c>
      <c r="M555" s="27">
        <f>MIN(0.16,MAX(0.05,NORMINV(RAND(),$C$8,$D$8)))</f>
        <v/>
      </c>
      <c r="N555" s="34">
        <f>MIN(24,MAX(5,NORMINV(RAND(),$C$9,$D$9)))</f>
        <v/>
      </c>
      <c r="O555" s="41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7">
        <f>MAX(-0.05,NORMINV(RAND(),$C$6,$D$6))</f>
        <v/>
      </c>
      <c r="L556" s="27">
        <f>MAX(0.02,NORMINV(RAND(),$C$7,$D$7))</f>
        <v/>
      </c>
      <c r="M556" s="27">
        <f>MIN(0.16,MAX(0.05,NORMINV(RAND(),$C$8,$D$8)))</f>
        <v/>
      </c>
      <c r="N556" s="34">
        <f>MIN(24,MAX(5,NORMINV(RAND(),$C$9,$D$9)))</f>
        <v/>
      </c>
      <c r="O556" s="41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7">
        <f>MAX(-0.05,NORMINV(RAND(),$C$6,$D$6))</f>
        <v/>
      </c>
      <c r="L557" s="27">
        <f>MAX(0.02,NORMINV(RAND(),$C$7,$D$7))</f>
        <v/>
      </c>
      <c r="M557" s="27">
        <f>MIN(0.16,MAX(0.05,NORMINV(RAND(),$C$8,$D$8)))</f>
        <v/>
      </c>
      <c r="N557" s="34">
        <f>MIN(24,MAX(5,NORMINV(RAND(),$C$9,$D$9)))</f>
        <v/>
      </c>
      <c r="O557" s="41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7">
        <f>MAX(-0.05,NORMINV(RAND(),$C$6,$D$6))</f>
        <v/>
      </c>
      <c r="L558" s="27">
        <f>MAX(0.02,NORMINV(RAND(),$C$7,$D$7))</f>
        <v/>
      </c>
      <c r="M558" s="27">
        <f>MIN(0.16,MAX(0.05,NORMINV(RAND(),$C$8,$D$8)))</f>
        <v/>
      </c>
      <c r="N558" s="34">
        <f>MIN(24,MAX(5,NORMINV(RAND(),$C$9,$D$9)))</f>
        <v/>
      </c>
      <c r="O558" s="41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7">
        <f>MAX(-0.05,NORMINV(RAND(),$C$6,$D$6))</f>
        <v/>
      </c>
      <c r="L559" s="27">
        <f>MAX(0.02,NORMINV(RAND(),$C$7,$D$7))</f>
        <v/>
      </c>
      <c r="M559" s="27">
        <f>MIN(0.16,MAX(0.05,NORMINV(RAND(),$C$8,$D$8)))</f>
        <v/>
      </c>
      <c r="N559" s="34">
        <f>MIN(24,MAX(5,NORMINV(RAND(),$C$9,$D$9)))</f>
        <v/>
      </c>
      <c r="O559" s="41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7">
        <f>MAX(-0.05,NORMINV(RAND(),$C$6,$D$6))</f>
        <v/>
      </c>
      <c r="L560" s="27">
        <f>MAX(0.02,NORMINV(RAND(),$C$7,$D$7))</f>
        <v/>
      </c>
      <c r="M560" s="27">
        <f>MIN(0.16,MAX(0.05,NORMINV(RAND(),$C$8,$D$8)))</f>
        <v/>
      </c>
      <c r="N560" s="34">
        <f>MIN(24,MAX(5,NORMINV(RAND(),$C$9,$D$9)))</f>
        <v/>
      </c>
      <c r="O560" s="41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7">
        <f>MAX(-0.05,NORMINV(RAND(),$C$6,$D$6))</f>
        <v/>
      </c>
      <c r="L561" s="27">
        <f>MAX(0.02,NORMINV(RAND(),$C$7,$D$7))</f>
        <v/>
      </c>
      <c r="M561" s="27">
        <f>MIN(0.16,MAX(0.05,NORMINV(RAND(),$C$8,$D$8)))</f>
        <v/>
      </c>
      <c r="N561" s="34">
        <f>MIN(24,MAX(5,NORMINV(RAND(),$C$9,$D$9)))</f>
        <v/>
      </c>
      <c r="O561" s="41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7">
        <f>MAX(-0.05,NORMINV(RAND(),$C$6,$D$6))</f>
        <v/>
      </c>
      <c r="L562" s="27">
        <f>MAX(0.02,NORMINV(RAND(),$C$7,$D$7))</f>
        <v/>
      </c>
      <c r="M562" s="27">
        <f>MIN(0.16,MAX(0.05,NORMINV(RAND(),$C$8,$D$8)))</f>
        <v/>
      </c>
      <c r="N562" s="34">
        <f>MIN(24,MAX(5,NORMINV(RAND(),$C$9,$D$9)))</f>
        <v/>
      </c>
      <c r="O562" s="41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7">
        <f>MAX(-0.05,NORMINV(RAND(),$C$6,$D$6))</f>
        <v/>
      </c>
      <c r="L563" s="27">
        <f>MAX(0.02,NORMINV(RAND(),$C$7,$D$7))</f>
        <v/>
      </c>
      <c r="M563" s="27">
        <f>MIN(0.16,MAX(0.05,NORMINV(RAND(),$C$8,$D$8)))</f>
        <v/>
      </c>
      <c r="N563" s="34">
        <f>MIN(24,MAX(5,NORMINV(RAND(),$C$9,$D$9)))</f>
        <v/>
      </c>
      <c r="O563" s="41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7">
        <f>MAX(-0.05,NORMINV(RAND(),$C$6,$D$6))</f>
        <v/>
      </c>
      <c r="L564" s="27">
        <f>MAX(0.02,NORMINV(RAND(),$C$7,$D$7))</f>
        <v/>
      </c>
      <c r="M564" s="27">
        <f>MIN(0.16,MAX(0.05,NORMINV(RAND(),$C$8,$D$8)))</f>
        <v/>
      </c>
      <c r="N564" s="34">
        <f>MIN(24,MAX(5,NORMINV(RAND(),$C$9,$D$9)))</f>
        <v/>
      </c>
      <c r="O564" s="41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7">
        <f>MAX(-0.05,NORMINV(RAND(),$C$6,$D$6))</f>
        <v/>
      </c>
      <c r="L565" s="27">
        <f>MAX(0.02,NORMINV(RAND(),$C$7,$D$7))</f>
        <v/>
      </c>
      <c r="M565" s="27">
        <f>MIN(0.16,MAX(0.05,NORMINV(RAND(),$C$8,$D$8)))</f>
        <v/>
      </c>
      <c r="N565" s="34">
        <f>MIN(24,MAX(5,NORMINV(RAND(),$C$9,$D$9)))</f>
        <v/>
      </c>
      <c r="O565" s="41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7">
        <f>MAX(-0.05,NORMINV(RAND(),$C$6,$D$6))</f>
        <v/>
      </c>
      <c r="L566" s="27">
        <f>MAX(0.02,NORMINV(RAND(),$C$7,$D$7))</f>
        <v/>
      </c>
      <c r="M566" s="27">
        <f>MIN(0.16,MAX(0.05,NORMINV(RAND(),$C$8,$D$8)))</f>
        <v/>
      </c>
      <c r="N566" s="34">
        <f>MIN(24,MAX(5,NORMINV(RAND(),$C$9,$D$9)))</f>
        <v/>
      </c>
      <c r="O566" s="41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7">
        <f>MAX(-0.05,NORMINV(RAND(),$C$6,$D$6))</f>
        <v/>
      </c>
      <c r="L567" s="27">
        <f>MAX(0.02,NORMINV(RAND(),$C$7,$D$7))</f>
        <v/>
      </c>
      <c r="M567" s="27">
        <f>MIN(0.16,MAX(0.05,NORMINV(RAND(),$C$8,$D$8)))</f>
        <v/>
      </c>
      <c r="N567" s="34">
        <f>MIN(24,MAX(5,NORMINV(RAND(),$C$9,$D$9)))</f>
        <v/>
      </c>
      <c r="O567" s="41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7">
        <f>MAX(-0.05,NORMINV(RAND(),$C$6,$D$6))</f>
        <v/>
      </c>
      <c r="L568" s="27">
        <f>MAX(0.02,NORMINV(RAND(),$C$7,$D$7))</f>
        <v/>
      </c>
      <c r="M568" s="27">
        <f>MIN(0.16,MAX(0.05,NORMINV(RAND(),$C$8,$D$8)))</f>
        <v/>
      </c>
      <c r="N568" s="34">
        <f>MIN(24,MAX(5,NORMINV(RAND(),$C$9,$D$9)))</f>
        <v/>
      </c>
      <c r="O568" s="41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7">
        <f>MAX(-0.05,NORMINV(RAND(),$C$6,$D$6))</f>
        <v/>
      </c>
      <c r="L569" s="27">
        <f>MAX(0.02,NORMINV(RAND(),$C$7,$D$7))</f>
        <v/>
      </c>
      <c r="M569" s="27">
        <f>MIN(0.16,MAX(0.05,NORMINV(RAND(),$C$8,$D$8)))</f>
        <v/>
      </c>
      <c r="N569" s="34">
        <f>MIN(24,MAX(5,NORMINV(RAND(),$C$9,$D$9)))</f>
        <v/>
      </c>
      <c r="O569" s="41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7">
        <f>MAX(-0.05,NORMINV(RAND(),$C$6,$D$6))</f>
        <v/>
      </c>
      <c r="L570" s="27">
        <f>MAX(0.02,NORMINV(RAND(),$C$7,$D$7))</f>
        <v/>
      </c>
      <c r="M570" s="27">
        <f>MIN(0.16,MAX(0.05,NORMINV(RAND(),$C$8,$D$8)))</f>
        <v/>
      </c>
      <c r="N570" s="34">
        <f>MIN(24,MAX(5,NORMINV(RAND(),$C$9,$D$9)))</f>
        <v/>
      </c>
      <c r="O570" s="41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7">
        <f>MAX(-0.05,NORMINV(RAND(),$C$6,$D$6))</f>
        <v/>
      </c>
      <c r="L571" s="27">
        <f>MAX(0.02,NORMINV(RAND(),$C$7,$D$7))</f>
        <v/>
      </c>
      <c r="M571" s="27">
        <f>MIN(0.16,MAX(0.05,NORMINV(RAND(),$C$8,$D$8)))</f>
        <v/>
      </c>
      <c r="N571" s="34">
        <f>MIN(24,MAX(5,NORMINV(RAND(),$C$9,$D$9)))</f>
        <v/>
      </c>
      <c r="O571" s="41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7">
        <f>MAX(-0.05,NORMINV(RAND(),$C$6,$D$6))</f>
        <v/>
      </c>
      <c r="L572" s="27">
        <f>MAX(0.02,NORMINV(RAND(),$C$7,$D$7))</f>
        <v/>
      </c>
      <c r="M572" s="27">
        <f>MIN(0.16,MAX(0.05,NORMINV(RAND(),$C$8,$D$8)))</f>
        <v/>
      </c>
      <c r="N572" s="34">
        <f>MIN(24,MAX(5,NORMINV(RAND(),$C$9,$D$9)))</f>
        <v/>
      </c>
      <c r="O572" s="41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7">
        <f>MAX(-0.05,NORMINV(RAND(),$C$6,$D$6))</f>
        <v/>
      </c>
      <c r="L573" s="27">
        <f>MAX(0.02,NORMINV(RAND(),$C$7,$D$7))</f>
        <v/>
      </c>
      <c r="M573" s="27">
        <f>MIN(0.16,MAX(0.05,NORMINV(RAND(),$C$8,$D$8)))</f>
        <v/>
      </c>
      <c r="N573" s="34">
        <f>MIN(24,MAX(5,NORMINV(RAND(),$C$9,$D$9)))</f>
        <v/>
      </c>
      <c r="O573" s="41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7">
        <f>MAX(-0.05,NORMINV(RAND(),$C$6,$D$6))</f>
        <v/>
      </c>
      <c r="L574" s="27">
        <f>MAX(0.02,NORMINV(RAND(),$C$7,$D$7))</f>
        <v/>
      </c>
      <c r="M574" s="27">
        <f>MIN(0.16,MAX(0.05,NORMINV(RAND(),$C$8,$D$8)))</f>
        <v/>
      </c>
      <c r="N574" s="34">
        <f>MIN(24,MAX(5,NORMINV(RAND(),$C$9,$D$9)))</f>
        <v/>
      </c>
      <c r="O574" s="41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7">
        <f>MAX(-0.05,NORMINV(RAND(),$C$6,$D$6))</f>
        <v/>
      </c>
      <c r="L575" s="27">
        <f>MAX(0.02,NORMINV(RAND(),$C$7,$D$7))</f>
        <v/>
      </c>
      <c r="M575" s="27">
        <f>MIN(0.16,MAX(0.05,NORMINV(RAND(),$C$8,$D$8)))</f>
        <v/>
      </c>
      <c r="N575" s="34">
        <f>MIN(24,MAX(5,NORMINV(RAND(),$C$9,$D$9)))</f>
        <v/>
      </c>
      <c r="O575" s="41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7">
        <f>MAX(-0.05,NORMINV(RAND(),$C$6,$D$6))</f>
        <v/>
      </c>
      <c r="L576" s="27">
        <f>MAX(0.02,NORMINV(RAND(),$C$7,$D$7))</f>
        <v/>
      </c>
      <c r="M576" s="27">
        <f>MIN(0.16,MAX(0.05,NORMINV(RAND(),$C$8,$D$8)))</f>
        <v/>
      </c>
      <c r="N576" s="34">
        <f>MIN(24,MAX(5,NORMINV(RAND(),$C$9,$D$9)))</f>
        <v/>
      </c>
      <c r="O576" s="41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7">
        <f>MAX(-0.05,NORMINV(RAND(),$C$6,$D$6))</f>
        <v/>
      </c>
      <c r="L577" s="27">
        <f>MAX(0.02,NORMINV(RAND(),$C$7,$D$7))</f>
        <v/>
      </c>
      <c r="M577" s="27">
        <f>MIN(0.16,MAX(0.05,NORMINV(RAND(),$C$8,$D$8)))</f>
        <v/>
      </c>
      <c r="N577" s="34">
        <f>MIN(24,MAX(5,NORMINV(RAND(),$C$9,$D$9)))</f>
        <v/>
      </c>
      <c r="O577" s="41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7">
        <f>MAX(-0.05,NORMINV(RAND(),$C$6,$D$6))</f>
        <v/>
      </c>
      <c r="L578" s="27">
        <f>MAX(0.02,NORMINV(RAND(),$C$7,$D$7))</f>
        <v/>
      </c>
      <c r="M578" s="27">
        <f>MIN(0.16,MAX(0.05,NORMINV(RAND(),$C$8,$D$8)))</f>
        <v/>
      </c>
      <c r="N578" s="34">
        <f>MIN(24,MAX(5,NORMINV(RAND(),$C$9,$D$9)))</f>
        <v/>
      </c>
      <c r="O578" s="41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7">
        <f>MAX(-0.05,NORMINV(RAND(),$C$6,$D$6))</f>
        <v/>
      </c>
      <c r="L579" s="27">
        <f>MAX(0.02,NORMINV(RAND(),$C$7,$D$7))</f>
        <v/>
      </c>
      <c r="M579" s="27">
        <f>MIN(0.16,MAX(0.05,NORMINV(RAND(),$C$8,$D$8)))</f>
        <v/>
      </c>
      <c r="N579" s="34">
        <f>MIN(24,MAX(5,NORMINV(RAND(),$C$9,$D$9)))</f>
        <v/>
      </c>
      <c r="O579" s="41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7">
        <f>MAX(-0.05,NORMINV(RAND(),$C$6,$D$6))</f>
        <v/>
      </c>
      <c r="L580" s="27">
        <f>MAX(0.02,NORMINV(RAND(),$C$7,$D$7))</f>
        <v/>
      </c>
      <c r="M580" s="27">
        <f>MIN(0.16,MAX(0.05,NORMINV(RAND(),$C$8,$D$8)))</f>
        <v/>
      </c>
      <c r="N580" s="34">
        <f>MIN(24,MAX(5,NORMINV(RAND(),$C$9,$D$9)))</f>
        <v/>
      </c>
      <c r="O580" s="41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7">
        <f>MAX(-0.05,NORMINV(RAND(),$C$6,$D$6))</f>
        <v/>
      </c>
      <c r="L581" s="27">
        <f>MAX(0.02,NORMINV(RAND(),$C$7,$D$7))</f>
        <v/>
      </c>
      <c r="M581" s="27">
        <f>MIN(0.16,MAX(0.05,NORMINV(RAND(),$C$8,$D$8)))</f>
        <v/>
      </c>
      <c r="N581" s="34">
        <f>MIN(24,MAX(5,NORMINV(RAND(),$C$9,$D$9)))</f>
        <v/>
      </c>
      <c r="O581" s="41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7">
        <f>MAX(-0.05,NORMINV(RAND(),$C$6,$D$6))</f>
        <v/>
      </c>
      <c r="L582" s="27">
        <f>MAX(0.02,NORMINV(RAND(),$C$7,$D$7))</f>
        <v/>
      </c>
      <c r="M582" s="27">
        <f>MIN(0.16,MAX(0.05,NORMINV(RAND(),$C$8,$D$8)))</f>
        <v/>
      </c>
      <c r="N582" s="34">
        <f>MIN(24,MAX(5,NORMINV(RAND(),$C$9,$D$9)))</f>
        <v/>
      </c>
      <c r="O582" s="41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7">
        <f>MAX(-0.05,NORMINV(RAND(),$C$6,$D$6))</f>
        <v/>
      </c>
      <c r="L583" s="27">
        <f>MAX(0.02,NORMINV(RAND(),$C$7,$D$7))</f>
        <v/>
      </c>
      <c r="M583" s="27">
        <f>MIN(0.16,MAX(0.05,NORMINV(RAND(),$C$8,$D$8)))</f>
        <v/>
      </c>
      <c r="N583" s="34">
        <f>MIN(24,MAX(5,NORMINV(RAND(),$C$9,$D$9)))</f>
        <v/>
      </c>
      <c r="O583" s="41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7">
        <f>MAX(-0.05,NORMINV(RAND(),$C$6,$D$6))</f>
        <v/>
      </c>
      <c r="L584" s="27">
        <f>MAX(0.02,NORMINV(RAND(),$C$7,$D$7))</f>
        <v/>
      </c>
      <c r="M584" s="27">
        <f>MIN(0.16,MAX(0.05,NORMINV(RAND(),$C$8,$D$8)))</f>
        <v/>
      </c>
      <c r="N584" s="34">
        <f>MIN(24,MAX(5,NORMINV(RAND(),$C$9,$D$9)))</f>
        <v/>
      </c>
      <c r="O584" s="41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7">
        <f>MAX(-0.05,NORMINV(RAND(),$C$6,$D$6))</f>
        <v/>
      </c>
      <c r="L585" s="27">
        <f>MAX(0.02,NORMINV(RAND(),$C$7,$D$7))</f>
        <v/>
      </c>
      <c r="M585" s="27">
        <f>MIN(0.16,MAX(0.05,NORMINV(RAND(),$C$8,$D$8)))</f>
        <v/>
      </c>
      <c r="N585" s="34">
        <f>MIN(24,MAX(5,NORMINV(RAND(),$C$9,$D$9)))</f>
        <v/>
      </c>
      <c r="O585" s="41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7">
        <f>MAX(-0.05,NORMINV(RAND(),$C$6,$D$6))</f>
        <v/>
      </c>
      <c r="L586" s="27">
        <f>MAX(0.02,NORMINV(RAND(),$C$7,$D$7))</f>
        <v/>
      </c>
      <c r="M586" s="27">
        <f>MIN(0.16,MAX(0.05,NORMINV(RAND(),$C$8,$D$8)))</f>
        <v/>
      </c>
      <c r="N586" s="34">
        <f>MIN(24,MAX(5,NORMINV(RAND(),$C$9,$D$9)))</f>
        <v/>
      </c>
      <c r="O586" s="41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7">
        <f>MAX(-0.05,NORMINV(RAND(),$C$6,$D$6))</f>
        <v/>
      </c>
      <c r="L587" s="27">
        <f>MAX(0.02,NORMINV(RAND(),$C$7,$D$7))</f>
        <v/>
      </c>
      <c r="M587" s="27">
        <f>MIN(0.16,MAX(0.05,NORMINV(RAND(),$C$8,$D$8)))</f>
        <v/>
      </c>
      <c r="N587" s="34">
        <f>MIN(24,MAX(5,NORMINV(RAND(),$C$9,$D$9)))</f>
        <v/>
      </c>
      <c r="O587" s="41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7">
        <f>MAX(-0.05,NORMINV(RAND(),$C$6,$D$6))</f>
        <v/>
      </c>
      <c r="L588" s="27">
        <f>MAX(0.02,NORMINV(RAND(),$C$7,$D$7))</f>
        <v/>
      </c>
      <c r="M588" s="27">
        <f>MIN(0.16,MAX(0.05,NORMINV(RAND(),$C$8,$D$8)))</f>
        <v/>
      </c>
      <c r="N588" s="34">
        <f>MIN(24,MAX(5,NORMINV(RAND(),$C$9,$D$9)))</f>
        <v/>
      </c>
      <c r="O588" s="41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7">
        <f>MAX(-0.05,NORMINV(RAND(),$C$6,$D$6))</f>
        <v/>
      </c>
      <c r="L589" s="27">
        <f>MAX(0.02,NORMINV(RAND(),$C$7,$D$7))</f>
        <v/>
      </c>
      <c r="M589" s="27">
        <f>MIN(0.16,MAX(0.05,NORMINV(RAND(),$C$8,$D$8)))</f>
        <v/>
      </c>
      <c r="N589" s="34">
        <f>MIN(24,MAX(5,NORMINV(RAND(),$C$9,$D$9)))</f>
        <v/>
      </c>
      <c r="O589" s="41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7">
        <f>MAX(-0.05,NORMINV(RAND(),$C$6,$D$6))</f>
        <v/>
      </c>
      <c r="L590" s="27">
        <f>MAX(0.02,NORMINV(RAND(),$C$7,$D$7))</f>
        <v/>
      </c>
      <c r="M590" s="27">
        <f>MIN(0.16,MAX(0.05,NORMINV(RAND(),$C$8,$D$8)))</f>
        <v/>
      </c>
      <c r="N590" s="34">
        <f>MIN(24,MAX(5,NORMINV(RAND(),$C$9,$D$9)))</f>
        <v/>
      </c>
      <c r="O590" s="41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7">
        <f>MAX(-0.05,NORMINV(RAND(),$C$6,$D$6))</f>
        <v/>
      </c>
      <c r="L591" s="27">
        <f>MAX(0.02,NORMINV(RAND(),$C$7,$D$7))</f>
        <v/>
      </c>
      <c r="M591" s="27">
        <f>MIN(0.16,MAX(0.05,NORMINV(RAND(),$C$8,$D$8)))</f>
        <v/>
      </c>
      <c r="N591" s="34">
        <f>MIN(24,MAX(5,NORMINV(RAND(),$C$9,$D$9)))</f>
        <v/>
      </c>
      <c r="O591" s="41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7">
        <f>MAX(-0.05,NORMINV(RAND(),$C$6,$D$6))</f>
        <v/>
      </c>
      <c r="L592" s="27">
        <f>MAX(0.02,NORMINV(RAND(),$C$7,$D$7))</f>
        <v/>
      </c>
      <c r="M592" s="27">
        <f>MIN(0.16,MAX(0.05,NORMINV(RAND(),$C$8,$D$8)))</f>
        <v/>
      </c>
      <c r="N592" s="34">
        <f>MIN(24,MAX(5,NORMINV(RAND(),$C$9,$D$9)))</f>
        <v/>
      </c>
      <c r="O592" s="41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7">
        <f>MAX(-0.05,NORMINV(RAND(),$C$6,$D$6))</f>
        <v/>
      </c>
      <c r="L593" s="27">
        <f>MAX(0.02,NORMINV(RAND(),$C$7,$D$7))</f>
        <v/>
      </c>
      <c r="M593" s="27">
        <f>MIN(0.16,MAX(0.05,NORMINV(RAND(),$C$8,$D$8)))</f>
        <v/>
      </c>
      <c r="N593" s="34">
        <f>MIN(24,MAX(5,NORMINV(RAND(),$C$9,$D$9)))</f>
        <v/>
      </c>
      <c r="O593" s="41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7">
        <f>MAX(-0.05,NORMINV(RAND(),$C$6,$D$6))</f>
        <v/>
      </c>
      <c r="L594" s="27">
        <f>MAX(0.02,NORMINV(RAND(),$C$7,$D$7))</f>
        <v/>
      </c>
      <c r="M594" s="27">
        <f>MIN(0.16,MAX(0.05,NORMINV(RAND(),$C$8,$D$8)))</f>
        <v/>
      </c>
      <c r="N594" s="34">
        <f>MIN(24,MAX(5,NORMINV(RAND(),$C$9,$D$9)))</f>
        <v/>
      </c>
      <c r="O594" s="41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7">
        <f>MAX(-0.05,NORMINV(RAND(),$C$6,$D$6))</f>
        <v/>
      </c>
      <c r="L595" s="27">
        <f>MAX(0.02,NORMINV(RAND(),$C$7,$D$7))</f>
        <v/>
      </c>
      <c r="M595" s="27">
        <f>MIN(0.16,MAX(0.05,NORMINV(RAND(),$C$8,$D$8)))</f>
        <v/>
      </c>
      <c r="N595" s="34">
        <f>MIN(24,MAX(5,NORMINV(RAND(),$C$9,$D$9)))</f>
        <v/>
      </c>
      <c r="O595" s="41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7">
        <f>MAX(-0.05,NORMINV(RAND(),$C$6,$D$6))</f>
        <v/>
      </c>
      <c r="L596" s="27">
        <f>MAX(0.02,NORMINV(RAND(),$C$7,$D$7))</f>
        <v/>
      </c>
      <c r="M596" s="27">
        <f>MIN(0.16,MAX(0.05,NORMINV(RAND(),$C$8,$D$8)))</f>
        <v/>
      </c>
      <c r="N596" s="34">
        <f>MIN(24,MAX(5,NORMINV(RAND(),$C$9,$D$9)))</f>
        <v/>
      </c>
      <c r="O596" s="41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7">
        <f>MAX(-0.05,NORMINV(RAND(),$C$6,$D$6))</f>
        <v/>
      </c>
      <c r="L597" s="27">
        <f>MAX(0.02,NORMINV(RAND(),$C$7,$D$7))</f>
        <v/>
      </c>
      <c r="M597" s="27">
        <f>MIN(0.16,MAX(0.05,NORMINV(RAND(),$C$8,$D$8)))</f>
        <v/>
      </c>
      <c r="N597" s="34">
        <f>MIN(24,MAX(5,NORMINV(RAND(),$C$9,$D$9)))</f>
        <v/>
      </c>
      <c r="O597" s="41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7">
        <f>MAX(-0.05,NORMINV(RAND(),$C$6,$D$6))</f>
        <v/>
      </c>
      <c r="L598" s="27">
        <f>MAX(0.02,NORMINV(RAND(),$C$7,$D$7))</f>
        <v/>
      </c>
      <c r="M598" s="27">
        <f>MIN(0.16,MAX(0.05,NORMINV(RAND(),$C$8,$D$8)))</f>
        <v/>
      </c>
      <c r="N598" s="34">
        <f>MIN(24,MAX(5,NORMINV(RAND(),$C$9,$D$9)))</f>
        <v/>
      </c>
      <c r="O598" s="41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7">
        <f>MAX(-0.05,NORMINV(RAND(),$C$6,$D$6))</f>
        <v/>
      </c>
      <c r="L599" s="27">
        <f>MAX(0.02,NORMINV(RAND(),$C$7,$D$7))</f>
        <v/>
      </c>
      <c r="M599" s="27">
        <f>MIN(0.16,MAX(0.05,NORMINV(RAND(),$C$8,$D$8)))</f>
        <v/>
      </c>
      <c r="N599" s="34">
        <f>MIN(24,MAX(5,NORMINV(RAND(),$C$9,$D$9)))</f>
        <v/>
      </c>
      <c r="O599" s="41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7">
        <f>MAX(-0.05,NORMINV(RAND(),$C$6,$D$6))</f>
        <v/>
      </c>
      <c r="L600" s="27">
        <f>MAX(0.02,NORMINV(RAND(),$C$7,$D$7))</f>
        <v/>
      </c>
      <c r="M600" s="27">
        <f>MIN(0.16,MAX(0.05,NORMINV(RAND(),$C$8,$D$8)))</f>
        <v/>
      </c>
      <c r="N600" s="34">
        <f>MIN(24,MAX(5,NORMINV(RAND(),$C$9,$D$9)))</f>
        <v/>
      </c>
      <c r="O600" s="41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7">
        <f>MAX(-0.05,NORMINV(RAND(),$C$6,$D$6))</f>
        <v/>
      </c>
      <c r="L601" s="27">
        <f>MAX(0.02,NORMINV(RAND(),$C$7,$D$7))</f>
        <v/>
      </c>
      <c r="M601" s="27">
        <f>MIN(0.16,MAX(0.05,NORMINV(RAND(),$C$8,$D$8)))</f>
        <v/>
      </c>
      <c r="N601" s="34">
        <f>MIN(24,MAX(5,NORMINV(RAND(),$C$9,$D$9)))</f>
        <v/>
      </c>
      <c r="O601" s="41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7">
        <f>MAX(-0.05,NORMINV(RAND(),$C$6,$D$6))</f>
        <v/>
      </c>
      <c r="L602" s="27">
        <f>MAX(0.02,NORMINV(RAND(),$C$7,$D$7))</f>
        <v/>
      </c>
      <c r="M602" s="27">
        <f>MIN(0.16,MAX(0.05,NORMINV(RAND(),$C$8,$D$8)))</f>
        <v/>
      </c>
      <c r="N602" s="34">
        <f>MIN(24,MAX(5,NORMINV(RAND(),$C$9,$D$9)))</f>
        <v/>
      </c>
      <c r="O602" s="41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7">
        <f>MAX(-0.05,NORMINV(RAND(),$C$6,$D$6))</f>
        <v/>
      </c>
      <c r="L603" s="27">
        <f>MAX(0.02,NORMINV(RAND(),$C$7,$D$7))</f>
        <v/>
      </c>
      <c r="M603" s="27">
        <f>MIN(0.16,MAX(0.05,NORMINV(RAND(),$C$8,$D$8)))</f>
        <v/>
      </c>
      <c r="N603" s="34">
        <f>MIN(24,MAX(5,NORMINV(RAND(),$C$9,$D$9)))</f>
        <v/>
      </c>
      <c r="O603" s="41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7">
        <f>MAX(-0.05,NORMINV(RAND(),$C$6,$D$6))</f>
        <v/>
      </c>
      <c r="L604" s="27">
        <f>MAX(0.02,NORMINV(RAND(),$C$7,$D$7))</f>
        <v/>
      </c>
      <c r="M604" s="27">
        <f>MIN(0.16,MAX(0.05,NORMINV(RAND(),$C$8,$D$8)))</f>
        <v/>
      </c>
      <c r="N604" s="34">
        <f>MIN(24,MAX(5,NORMINV(RAND(),$C$9,$D$9)))</f>
        <v/>
      </c>
      <c r="O604" s="41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7">
        <f>MAX(-0.05,NORMINV(RAND(),$C$6,$D$6))</f>
        <v/>
      </c>
      <c r="L605" s="27">
        <f>MAX(0.02,NORMINV(RAND(),$C$7,$D$7))</f>
        <v/>
      </c>
      <c r="M605" s="27">
        <f>MIN(0.16,MAX(0.05,NORMINV(RAND(),$C$8,$D$8)))</f>
        <v/>
      </c>
      <c r="N605" s="34">
        <f>MIN(24,MAX(5,NORMINV(RAND(),$C$9,$D$9)))</f>
        <v/>
      </c>
      <c r="O605" s="41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7">
        <f>MAX(-0.05,NORMINV(RAND(),$C$6,$D$6))</f>
        <v/>
      </c>
      <c r="L606" s="27">
        <f>MAX(0.02,NORMINV(RAND(),$C$7,$D$7))</f>
        <v/>
      </c>
      <c r="M606" s="27">
        <f>MIN(0.16,MAX(0.05,NORMINV(RAND(),$C$8,$D$8)))</f>
        <v/>
      </c>
      <c r="N606" s="34">
        <f>MIN(24,MAX(5,NORMINV(RAND(),$C$9,$D$9)))</f>
        <v/>
      </c>
      <c r="O606" s="41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7">
        <f>MAX(-0.05,NORMINV(RAND(),$C$6,$D$6))</f>
        <v/>
      </c>
      <c r="L607" s="27">
        <f>MAX(0.02,NORMINV(RAND(),$C$7,$D$7))</f>
        <v/>
      </c>
      <c r="M607" s="27">
        <f>MIN(0.16,MAX(0.05,NORMINV(RAND(),$C$8,$D$8)))</f>
        <v/>
      </c>
      <c r="N607" s="34">
        <f>MIN(24,MAX(5,NORMINV(RAND(),$C$9,$D$9)))</f>
        <v/>
      </c>
      <c r="O607" s="41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7">
        <f>MAX(-0.05,NORMINV(RAND(),$C$6,$D$6))</f>
        <v/>
      </c>
      <c r="L608" s="27">
        <f>MAX(0.02,NORMINV(RAND(),$C$7,$D$7))</f>
        <v/>
      </c>
      <c r="M608" s="27">
        <f>MIN(0.16,MAX(0.05,NORMINV(RAND(),$C$8,$D$8)))</f>
        <v/>
      </c>
      <c r="N608" s="34">
        <f>MIN(24,MAX(5,NORMINV(RAND(),$C$9,$D$9)))</f>
        <v/>
      </c>
      <c r="O608" s="41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7">
        <f>MAX(-0.05,NORMINV(RAND(),$C$6,$D$6))</f>
        <v/>
      </c>
      <c r="L609" s="27">
        <f>MAX(0.02,NORMINV(RAND(),$C$7,$D$7))</f>
        <v/>
      </c>
      <c r="M609" s="27">
        <f>MIN(0.16,MAX(0.05,NORMINV(RAND(),$C$8,$D$8)))</f>
        <v/>
      </c>
      <c r="N609" s="34">
        <f>MIN(24,MAX(5,NORMINV(RAND(),$C$9,$D$9)))</f>
        <v/>
      </c>
      <c r="O609" s="41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7">
        <f>MAX(-0.05,NORMINV(RAND(),$C$6,$D$6))</f>
        <v/>
      </c>
      <c r="L610" s="27">
        <f>MAX(0.02,NORMINV(RAND(),$C$7,$D$7))</f>
        <v/>
      </c>
      <c r="M610" s="27">
        <f>MIN(0.16,MAX(0.05,NORMINV(RAND(),$C$8,$D$8)))</f>
        <v/>
      </c>
      <c r="N610" s="34">
        <f>MIN(24,MAX(5,NORMINV(RAND(),$C$9,$D$9)))</f>
        <v/>
      </c>
      <c r="O610" s="41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7">
        <f>MAX(-0.05,NORMINV(RAND(),$C$6,$D$6))</f>
        <v/>
      </c>
      <c r="L611" s="27">
        <f>MAX(0.02,NORMINV(RAND(),$C$7,$D$7))</f>
        <v/>
      </c>
      <c r="M611" s="27">
        <f>MIN(0.16,MAX(0.05,NORMINV(RAND(),$C$8,$D$8)))</f>
        <v/>
      </c>
      <c r="N611" s="34">
        <f>MIN(24,MAX(5,NORMINV(RAND(),$C$9,$D$9)))</f>
        <v/>
      </c>
      <c r="O611" s="41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7">
        <f>MAX(-0.05,NORMINV(RAND(),$C$6,$D$6))</f>
        <v/>
      </c>
      <c r="L612" s="27">
        <f>MAX(0.02,NORMINV(RAND(),$C$7,$D$7))</f>
        <v/>
      </c>
      <c r="M612" s="27">
        <f>MIN(0.16,MAX(0.05,NORMINV(RAND(),$C$8,$D$8)))</f>
        <v/>
      </c>
      <c r="N612" s="34">
        <f>MIN(24,MAX(5,NORMINV(RAND(),$C$9,$D$9)))</f>
        <v/>
      </c>
      <c r="O612" s="41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7">
        <f>MAX(-0.05,NORMINV(RAND(),$C$6,$D$6))</f>
        <v/>
      </c>
      <c r="L613" s="27">
        <f>MAX(0.02,NORMINV(RAND(),$C$7,$D$7))</f>
        <v/>
      </c>
      <c r="M613" s="27">
        <f>MIN(0.16,MAX(0.05,NORMINV(RAND(),$C$8,$D$8)))</f>
        <v/>
      </c>
      <c r="N613" s="34">
        <f>MIN(24,MAX(5,NORMINV(RAND(),$C$9,$D$9)))</f>
        <v/>
      </c>
      <c r="O613" s="41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7">
        <f>MAX(-0.05,NORMINV(RAND(),$C$6,$D$6))</f>
        <v/>
      </c>
      <c r="L614" s="27">
        <f>MAX(0.02,NORMINV(RAND(),$C$7,$D$7))</f>
        <v/>
      </c>
      <c r="M614" s="27">
        <f>MIN(0.16,MAX(0.05,NORMINV(RAND(),$C$8,$D$8)))</f>
        <v/>
      </c>
      <c r="N614" s="34">
        <f>MIN(24,MAX(5,NORMINV(RAND(),$C$9,$D$9)))</f>
        <v/>
      </c>
      <c r="O614" s="41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7">
        <f>MAX(-0.05,NORMINV(RAND(),$C$6,$D$6))</f>
        <v/>
      </c>
      <c r="L615" s="27">
        <f>MAX(0.02,NORMINV(RAND(),$C$7,$D$7))</f>
        <v/>
      </c>
      <c r="M615" s="27">
        <f>MIN(0.16,MAX(0.05,NORMINV(RAND(),$C$8,$D$8)))</f>
        <v/>
      </c>
      <c r="N615" s="34">
        <f>MIN(24,MAX(5,NORMINV(RAND(),$C$9,$D$9)))</f>
        <v/>
      </c>
      <c r="O615" s="41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7">
        <f>MAX(-0.05,NORMINV(RAND(),$C$6,$D$6))</f>
        <v/>
      </c>
      <c r="L616" s="27">
        <f>MAX(0.02,NORMINV(RAND(),$C$7,$D$7))</f>
        <v/>
      </c>
      <c r="M616" s="27">
        <f>MIN(0.16,MAX(0.05,NORMINV(RAND(),$C$8,$D$8)))</f>
        <v/>
      </c>
      <c r="N616" s="34">
        <f>MIN(24,MAX(5,NORMINV(RAND(),$C$9,$D$9)))</f>
        <v/>
      </c>
      <c r="O616" s="41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7">
        <f>MAX(-0.05,NORMINV(RAND(),$C$6,$D$6))</f>
        <v/>
      </c>
      <c r="L617" s="27">
        <f>MAX(0.02,NORMINV(RAND(),$C$7,$D$7))</f>
        <v/>
      </c>
      <c r="M617" s="27">
        <f>MIN(0.16,MAX(0.05,NORMINV(RAND(),$C$8,$D$8)))</f>
        <v/>
      </c>
      <c r="N617" s="34">
        <f>MIN(24,MAX(5,NORMINV(RAND(),$C$9,$D$9)))</f>
        <v/>
      </c>
      <c r="O617" s="41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7">
        <f>MAX(-0.05,NORMINV(RAND(),$C$6,$D$6))</f>
        <v/>
      </c>
      <c r="L618" s="27">
        <f>MAX(0.02,NORMINV(RAND(),$C$7,$D$7))</f>
        <v/>
      </c>
      <c r="M618" s="27">
        <f>MIN(0.16,MAX(0.05,NORMINV(RAND(),$C$8,$D$8)))</f>
        <v/>
      </c>
      <c r="N618" s="34">
        <f>MIN(24,MAX(5,NORMINV(RAND(),$C$9,$D$9)))</f>
        <v/>
      </c>
      <c r="O618" s="41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7">
        <f>MAX(-0.05,NORMINV(RAND(),$C$6,$D$6))</f>
        <v/>
      </c>
      <c r="L619" s="27">
        <f>MAX(0.02,NORMINV(RAND(),$C$7,$D$7))</f>
        <v/>
      </c>
      <c r="M619" s="27">
        <f>MIN(0.16,MAX(0.05,NORMINV(RAND(),$C$8,$D$8)))</f>
        <v/>
      </c>
      <c r="N619" s="34">
        <f>MIN(24,MAX(5,NORMINV(RAND(),$C$9,$D$9)))</f>
        <v/>
      </c>
      <c r="O619" s="41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7">
        <f>MAX(-0.05,NORMINV(RAND(),$C$6,$D$6))</f>
        <v/>
      </c>
      <c r="L620" s="27">
        <f>MAX(0.02,NORMINV(RAND(),$C$7,$D$7))</f>
        <v/>
      </c>
      <c r="M620" s="27">
        <f>MIN(0.16,MAX(0.05,NORMINV(RAND(),$C$8,$D$8)))</f>
        <v/>
      </c>
      <c r="N620" s="34">
        <f>MIN(24,MAX(5,NORMINV(RAND(),$C$9,$D$9)))</f>
        <v/>
      </c>
      <c r="O620" s="41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7">
        <f>MAX(-0.05,NORMINV(RAND(),$C$6,$D$6))</f>
        <v/>
      </c>
      <c r="L621" s="27">
        <f>MAX(0.02,NORMINV(RAND(),$C$7,$D$7))</f>
        <v/>
      </c>
      <c r="M621" s="27">
        <f>MIN(0.16,MAX(0.05,NORMINV(RAND(),$C$8,$D$8)))</f>
        <v/>
      </c>
      <c r="N621" s="34">
        <f>MIN(24,MAX(5,NORMINV(RAND(),$C$9,$D$9)))</f>
        <v/>
      </c>
      <c r="O621" s="41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7">
        <f>MAX(-0.05,NORMINV(RAND(),$C$6,$D$6))</f>
        <v/>
      </c>
      <c r="L622" s="27">
        <f>MAX(0.02,NORMINV(RAND(),$C$7,$D$7))</f>
        <v/>
      </c>
      <c r="M622" s="27">
        <f>MIN(0.16,MAX(0.05,NORMINV(RAND(),$C$8,$D$8)))</f>
        <v/>
      </c>
      <c r="N622" s="34">
        <f>MIN(24,MAX(5,NORMINV(RAND(),$C$9,$D$9)))</f>
        <v/>
      </c>
      <c r="O622" s="41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7">
        <f>MAX(-0.05,NORMINV(RAND(),$C$6,$D$6))</f>
        <v/>
      </c>
      <c r="L623" s="27">
        <f>MAX(0.02,NORMINV(RAND(),$C$7,$D$7))</f>
        <v/>
      </c>
      <c r="M623" s="27">
        <f>MIN(0.16,MAX(0.05,NORMINV(RAND(),$C$8,$D$8)))</f>
        <v/>
      </c>
      <c r="N623" s="34">
        <f>MIN(24,MAX(5,NORMINV(RAND(),$C$9,$D$9)))</f>
        <v/>
      </c>
      <c r="O623" s="41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7">
        <f>MAX(-0.05,NORMINV(RAND(),$C$6,$D$6))</f>
        <v/>
      </c>
      <c r="L624" s="27">
        <f>MAX(0.02,NORMINV(RAND(),$C$7,$D$7))</f>
        <v/>
      </c>
      <c r="M624" s="27">
        <f>MIN(0.16,MAX(0.05,NORMINV(RAND(),$C$8,$D$8)))</f>
        <v/>
      </c>
      <c r="N624" s="34">
        <f>MIN(24,MAX(5,NORMINV(RAND(),$C$9,$D$9)))</f>
        <v/>
      </c>
      <c r="O624" s="41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7">
        <f>MAX(-0.05,NORMINV(RAND(),$C$6,$D$6))</f>
        <v/>
      </c>
      <c r="L625" s="27">
        <f>MAX(0.02,NORMINV(RAND(),$C$7,$D$7))</f>
        <v/>
      </c>
      <c r="M625" s="27">
        <f>MIN(0.16,MAX(0.05,NORMINV(RAND(),$C$8,$D$8)))</f>
        <v/>
      </c>
      <c r="N625" s="34">
        <f>MIN(24,MAX(5,NORMINV(RAND(),$C$9,$D$9)))</f>
        <v/>
      </c>
      <c r="O625" s="41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7">
        <f>MAX(-0.05,NORMINV(RAND(),$C$6,$D$6))</f>
        <v/>
      </c>
      <c r="L626" s="27">
        <f>MAX(0.02,NORMINV(RAND(),$C$7,$D$7))</f>
        <v/>
      </c>
      <c r="M626" s="27">
        <f>MIN(0.16,MAX(0.05,NORMINV(RAND(),$C$8,$D$8)))</f>
        <v/>
      </c>
      <c r="N626" s="34">
        <f>MIN(24,MAX(5,NORMINV(RAND(),$C$9,$D$9)))</f>
        <v/>
      </c>
      <c r="O626" s="41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7">
        <f>MAX(-0.05,NORMINV(RAND(),$C$6,$D$6))</f>
        <v/>
      </c>
      <c r="L627" s="27">
        <f>MAX(0.02,NORMINV(RAND(),$C$7,$D$7))</f>
        <v/>
      </c>
      <c r="M627" s="27">
        <f>MIN(0.16,MAX(0.05,NORMINV(RAND(),$C$8,$D$8)))</f>
        <v/>
      </c>
      <c r="N627" s="34">
        <f>MIN(24,MAX(5,NORMINV(RAND(),$C$9,$D$9)))</f>
        <v/>
      </c>
      <c r="O627" s="41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7">
        <f>MAX(-0.05,NORMINV(RAND(),$C$6,$D$6))</f>
        <v/>
      </c>
      <c r="L628" s="27">
        <f>MAX(0.02,NORMINV(RAND(),$C$7,$D$7))</f>
        <v/>
      </c>
      <c r="M628" s="27">
        <f>MIN(0.16,MAX(0.05,NORMINV(RAND(),$C$8,$D$8)))</f>
        <v/>
      </c>
      <c r="N628" s="34">
        <f>MIN(24,MAX(5,NORMINV(RAND(),$C$9,$D$9)))</f>
        <v/>
      </c>
      <c r="O628" s="41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7">
        <f>MAX(-0.05,NORMINV(RAND(),$C$6,$D$6))</f>
        <v/>
      </c>
      <c r="L629" s="27">
        <f>MAX(0.02,NORMINV(RAND(),$C$7,$D$7))</f>
        <v/>
      </c>
      <c r="M629" s="27">
        <f>MIN(0.16,MAX(0.05,NORMINV(RAND(),$C$8,$D$8)))</f>
        <v/>
      </c>
      <c r="N629" s="34">
        <f>MIN(24,MAX(5,NORMINV(RAND(),$C$9,$D$9)))</f>
        <v/>
      </c>
      <c r="O629" s="41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7">
        <f>MAX(-0.05,NORMINV(RAND(),$C$6,$D$6))</f>
        <v/>
      </c>
      <c r="L630" s="27">
        <f>MAX(0.02,NORMINV(RAND(),$C$7,$D$7))</f>
        <v/>
      </c>
      <c r="M630" s="27">
        <f>MIN(0.16,MAX(0.05,NORMINV(RAND(),$C$8,$D$8)))</f>
        <v/>
      </c>
      <c r="N630" s="34">
        <f>MIN(24,MAX(5,NORMINV(RAND(),$C$9,$D$9)))</f>
        <v/>
      </c>
      <c r="O630" s="41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7">
        <f>MAX(-0.05,NORMINV(RAND(),$C$6,$D$6))</f>
        <v/>
      </c>
      <c r="L631" s="27">
        <f>MAX(0.02,NORMINV(RAND(),$C$7,$D$7))</f>
        <v/>
      </c>
      <c r="M631" s="27">
        <f>MIN(0.16,MAX(0.05,NORMINV(RAND(),$C$8,$D$8)))</f>
        <v/>
      </c>
      <c r="N631" s="34">
        <f>MIN(24,MAX(5,NORMINV(RAND(),$C$9,$D$9)))</f>
        <v/>
      </c>
      <c r="O631" s="41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7">
        <f>MAX(-0.05,NORMINV(RAND(),$C$6,$D$6))</f>
        <v/>
      </c>
      <c r="L632" s="27">
        <f>MAX(0.02,NORMINV(RAND(),$C$7,$D$7))</f>
        <v/>
      </c>
      <c r="M632" s="27">
        <f>MIN(0.16,MAX(0.05,NORMINV(RAND(),$C$8,$D$8)))</f>
        <v/>
      </c>
      <c r="N632" s="34">
        <f>MIN(24,MAX(5,NORMINV(RAND(),$C$9,$D$9)))</f>
        <v/>
      </c>
      <c r="O632" s="41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7">
        <f>MAX(-0.05,NORMINV(RAND(),$C$6,$D$6))</f>
        <v/>
      </c>
      <c r="L633" s="27">
        <f>MAX(0.02,NORMINV(RAND(),$C$7,$D$7))</f>
        <v/>
      </c>
      <c r="M633" s="27">
        <f>MIN(0.16,MAX(0.05,NORMINV(RAND(),$C$8,$D$8)))</f>
        <v/>
      </c>
      <c r="N633" s="34">
        <f>MIN(24,MAX(5,NORMINV(RAND(),$C$9,$D$9)))</f>
        <v/>
      </c>
      <c r="O633" s="41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7">
        <f>MAX(-0.05,NORMINV(RAND(),$C$6,$D$6))</f>
        <v/>
      </c>
      <c r="L634" s="27">
        <f>MAX(0.02,NORMINV(RAND(),$C$7,$D$7))</f>
        <v/>
      </c>
      <c r="M634" s="27">
        <f>MIN(0.16,MAX(0.05,NORMINV(RAND(),$C$8,$D$8)))</f>
        <v/>
      </c>
      <c r="N634" s="34">
        <f>MIN(24,MAX(5,NORMINV(RAND(),$C$9,$D$9)))</f>
        <v/>
      </c>
      <c r="O634" s="41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7">
        <f>MAX(-0.05,NORMINV(RAND(),$C$6,$D$6))</f>
        <v/>
      </c>
      <c r="L635" s="27">
        <f>MAX(0.02,NORMINV(RAND(),$C$7,$D$7))</f>
        <v/>
      </c>
      <c r="M635" s="27">
        <f>MIN(0.16,MAX(0.05,NORMINV(RAND(),$C$8,$D$8)))</f>
        <v/>
      </c>
      <c r="N635" s="34">
        <f>MIN(24,MAX(5,NORMINV(RAND(),$C$9,$D$9)))</f>
        <v/>
      </c>
      <c r="O635" s="41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7">
        <f>MAX(-0.05,NORMINV(RAND(),$C$6,$D$6))</f>
        <v/>
      </c>
      <c r="L636" s="27">
        <f>MAX(0.02,NORMINV(RAND(),$C$7,$D$7))</f>
        <v/>
      </c>
      <c r="M636" s="27">
        <f>MIN(0.16,MAX(0.05,NORMINV(RAND(),$C$8,$D$8)))</f>
        <v/>
      </c>
      <c r="N636" s="34">
        <f>MIN(24,MAX(5,NORMINV(RAND(),$C$9,$D$9)))</f>
        <v/>
      </c>
      <c r="O636" s="41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7">
        <f>MAX(-0.05,NORMINV(RAND(),$C$6,$D$6))</f>
        <v/>
      </c>
      <c r="L637" s="27">
        <f>MAX(0.02,NORMINV(RAND(),$C$7,$D$7))</f>
        <v/>
      </c>
      <c r="M637" s="27">
        <f>MIN(0.16,MAX(0.05,NORMINV(RAND(),$C$8,$D$8)))</f>
        <v/>
      </c>
      <c r="N637" s="34">
        <f>MIN(24,MAX(5,NORMINV(RAND(),$C$9,$D$9)))</f>
        <v/>
      </c>
      <c r="O637" s="41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7">
        <f>MAX(-0.05,NORMINV(RAND(),$C$6,$D$6))</f>
        <v/>
      </c>
      <c r="L638" s="27">
        <f>MAX(0.02,NORMINV(RAND(),$C$7,$D$7))</f>
        <v/>
      </c>
      <c r="M638" s="27">
        <f>MIN(0.16,MAX(0.05,NORMINV(RAND(),$C$8,$D$8)))</f>
        <v/>
      </c>
      <c r="N638" s="34">
        <f>MIN(24,MAX(5,NORMINV(RAND(),$C$9,$D$9)))</f>
        <v/>
      </c>
      <c r="O638" s="41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7">
        <f>MAX(-0.05,NORMINV(RAND(),$C$6,$D$6))</f>
        <v/>
      </c>
      <c r="L639" s="27">
        <f>MAX(0.02,NORMINV(RAND(),$C$7,$D$7))</f>
        <v/>
      </c>
      <c r="M639" s="27">
        <f>MIN(0.16,MAX(0.05,NORMINV(RAND(),$C$8,$D$8)))</f>
        <v/>
      </c>
      <c r="N639" s="34">
        <f>MIN(24,MAX(5,NORMINV(RAND(),$C$9,$D$9)))</f>
        <v/>
      </c>
      <c r="O639" s="41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7">
        <f>MAX(-0.05,NORMINV(RAND(),$C$6,$D$6))</f>
        <v/>
      </c>
      <c r="L640" s="27">
        <f>MAX(0.02,NORMINV(RAND(),$C$7,$D$7))</f>
        <v/>
      </c>
      <c r="M640" s="27">
        <f>MIN(0.16,MAX(0.05,NORMINV(RAND(),$C$8,$D$8)))</f>
        <v/>
      </c>
      <c r="N640" s="34">
        <f>MIN(24,MAX(5,NORMINV(RAND(),$C$9,$D$9)))</f>
        <v/>
      </c>
      <c r="O640" s="41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7">
        <f>MAX(-0.05,NORMINV(RAND(),$C$6,$D$6))</f>
        <v/>
      </c>
      <c r="L641" s="27">
        <f>MAX(0.02,NORMINV(RAND(),$C$7,$D$7))</f>
        <v/>
      </c>
      <c r="M641" s="27">
        <f>MIN(0.16,MAX(0.05,NORMINV(RAND(),$C$8,$D$8)))</f>
        <v/>
      </c>
      <c r="N641" s="34">
        <f>MIN(24,MAX(5,NORMINV(RAND(),$C$9,$D$9)))</f>
        <v/>
      </c>
      <c r="O641" s="41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7">
        <f>MAX(-0.05,NORMINV(RAND(),$C$6,$D$6))</f>
        <v/>
      </c>
      <c r="L642" s="27">
        <f>MAX(0.02,NORMINV(RAND(),$C$7,$D$7))</f>
        <v/>
      </c>
      <c r="M642" s="27">
        <f>MIN(0.16,MAX(0.05,NORMINV(RAND(),$C$8,$D$8)))</f>
        <v/>
      </c>
      <c r="N642" s="34">
        <f>MIN(24,MAX(5,NORMINV(RAND(),$C$9,$D$9)))</f>
        <v/>
      </c>
      <c r="O642" s="41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7">
        <f>MAX(-0.05,NORMINV(RAND(),$C$6,$D$6))</f>
        <v/>
      </c>
      <c r="L643" s="27">
        <f>MAX(0.02,NORMINV(RAND(),$C$7,$D$7))</f>
        <v/>
      </c>
      <c r="M643" s="27">
        <f>MIN(0.16,MAX(0.05,NORMINV(RAND(),$C$8,$D$8)))</f>
        <v/>
      </c>
      <c r="N643" s="34">
        <f>MIN(24,MAX(5,NORMINV(RAND(),$C$9,$D$9)))</f>
        <v/>
      </c>
      <c r="O643" s="41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7">
        <f>MAX(-0.05,NORMINV(RAND(),$C$6,$D$6))</f>
        <v/>
      </c>
      <c r="L644" s="27">
        <f>MAX(0.02,NORMINV(RAND(),$C$7,$D$7))</f>
        <v/>
      </c>
      <c r="M644" s="27">
        <f>MIN(0.16,MAX(0.05,NORMINV(RAND(),$C$8,$D$8)))</f>
        <v/>
      </c>
      <c r="N644" s="34">
        <f>MIN(24,MAX(5,NORMINV(RAND(),$C$9,$D$9)))</f>
        <v/>
      </c>
      <c r="O644" s="41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7">
        <f>MAX(-0.05,NORMINV(RAND(),$C$6,$D$6))</f>
        <v/>
      </c>
      <c r="L645" s="27">
        <f>MAX(0.02,NORMINV(RAND(),$C$7,$D$7))</f>
        <v/>
      </c>
      <c r="M645" s="27">
        <f>MIN(0.16,MAX(0.05,NORMINV(RAND(),$C$8,$D$8)))</f>
        <v/>
      </c>
      <c r="N645" s="34">
        <f>MIN(24,MAX(5,NORMINV(RAND(),$C$9,$D$9)))</f>
        <v/>
      </c>
      <c r="O645" s="41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7">
        <f>MAX(-0.05,NORMINV(RAND(),$C$6,$D$6))</f>
        <v/>
      </c>
      <c r="L646" s="27">
        <f>MAX(0.02,NORMINV(RAND(),$C$7,$D$7))</f>
        <v/>
      </c>
      <c r="M646" s="27">
        <f>MIN(0.16,MAX(0.05,NORMINV(RAND(),$C$8,$D$8)))</f>
        <v/>
      </c>
      <c r="N646" s="34">
        <f>MIN(24,MAX(5,NORMINV(RAND(),$C$9,$D$9)))</f>
        <v/>
      </c>
      <c r="O646" s="41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7">
        <f>MAX(-0.05,NORMINV(RAND(),$C$6,$D$6))</f>
        <v/>
      </c>
      <c r="L647" s="27">
        <f>MAX(0.02,NORMINV(RAND(),$C$7,$D$7))</f>
        <v/>
      </c>
      <c r="M647" s="27">
        <f>MIN(0.16,MAX(0.05,NORMINV(RAND(),$C$8,$D$8)))</f>
        <v/>
      </c>
      <c r="N647" s="34">
        <f>MIN(24,MAX(5,NORMINV(RAND(),$C$9,$D$9)))</f>
        <v/>
      </c>
      <c r="O647" s="41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7">
        <f>MAX(-0.05,NORMINV(RAND(),$C$6,$D$6))</f>
        <v/>
      </c>
      <c r="L648" s="27">
        <f>MAX(0.02,NORMINV(RAND(),$C$7,$D$7))</f>
        <v/>
      </c>
      <c r="M648" s="27">
        <f>MIN(0.16,MAX(0.05,NORMINV(RAND(),$C$8,$D$8)))</f>
        <v/>
      </c>
      <c r="N648" s="34">
        <f>MIN(24,MAX(5,NORMINV(RAND(),$C$9,$D$9)))</f>
        <v/>
      </c>
      <c r="O648" s="41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7">
        <f>MAX(-0.05,NORMINV(RAND(),$C$6,$D$6))</f>
        <v/>
      </c>
      <c r="L649" s="27">
        <f>MAX(0.02,NORMINV(RAND(),$C$7,$D$7))</f>
        <v/>
      </c>
      <c r="M649" s="27">
        <f>MIN(0.16,MAX(0.05,NORMINV(RAND(),$C$8,$D$8)))</f>
        <v/>
      </c>
      <c r="N649" s="34">
        <f>MIN(24,MAX(5,NORMINV(RAND(),$C$9,$D$9)))</f>
        <v/>
      </c>
      <c r="O649" s="41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7">
        <f>MAX(-0.05,NORMINV(RAND(),$C$6,$D$6))</f>
        <v/>
      </c>
      <c r="L650" s="27">
        <f>MAX(0.02,NORMINV(RAND(),$C$7,$D$7))</f>
        <v/>
      </c>
      <c r="M650" s="27">
        <f>MIN(0.16,MAX(0.05,NORMINV(RAND(),$C$8,$D$8)))</f>
        <v/>
      </c>
      <c r="N650" s="34">
        <f>MIN(24,MAX(5,NORMINV(RAND(),$C$9,$D$9)))</f>
        <v/>
      </c>
      <c r="O650" s="41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7">
        <f>MAX(-0.05,NORMINV(RAND(),$C$6,$D$6))</f>
        <v/>
      </c>
      <c r="L651" s="27">
        <f>MAX(0.02,NORMINV(RAND(),$C$7,$D$7))</f>
        <v/>
      </c>
      <c r="M651" s="27">
        <f>MIN(0.16,MAX(0.05,NORMINV(RAND(),$C$8,$D$8)))</f>
        <v/>
      </c>
      <c r="N651" s="34">
        <f>MIN(24,MAX(5,NORMINV(RAND(),$C$9,$D$9)))</f>
        <v/>
      </c>
      <c r="O651" s="41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7">
        <f>MAX(-0.05,NORMINV(RAND(),$C$6,$D$6))</f>
        <v/>
      </c>
      <c r="L652" s="27">
        <f>MAX(0.02,NORMINV(RAND(),$C$7,$D$7))</f>
        <v/>
      </c>
      <c r="M652" s="27">
        <f>MIN(0.16,MAX(0.05,NORMINV(RAND(),$C$8,$D$8)))</f>
        <v/>
      </c>
      <c r="N652" s="34">
        <f>MIN(24,MAX(5,NORMINV(RAND(),$C$9,$D$9)))</f>
        <v/>
      </c>
      <c r="O652" s="41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7">
        <f>MAX(-0.05,NORMINV(RAND(),$C$6,$D$6))</f>
        <v/>
      </c>
      <c r="L653" s="27">
        <f>MAX(0.02,NORMINV(RAND(),$C$7,$D$7))</f>
        <v/>
      </c>
      <c r="M653" s="27">
        <f>MIN(0.16,MAX(0.05,NORMINV(RAND(),$C$8,$D$8)))</f>
        <v/>
      </c>
      <c r="N653" s="34">
        <f>MIN(24,MAX(5,NORMINV(RAND(),$C$9,$D$9)))</f>
        <v/>
      </c>
      <c r="O653" s="41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7">
        <f>MAX(-0.05,NORMINV(RAND(),$C$6,$D$6))</f>
        <v/>
      </c>
      <c r="L654" s="27">
        <f>MAX(0.02,NORMINV(RAND(),$C$7,$D$7))</f>
        <v/>
      </c>
      <c r="M654" s="27">
        <f>MIN(0.16,MAX(0.05,NORMINV(RAND(),$C$8,$D$8)))</f>
        <v/>
      </c>
      <c r="N654" s="34">
        <f>MIN(24,MAX(5,NORMINV(RAND(),$C$9,$D$9)))</f>
        <v/>
      </c>
      <c r="O654" s="41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7">
        <f>MAX(-0.05,NORMINV(RAND(),$C$6,$D$6))</f>
        <v/>
      </c>
      <c r="L655" s="27">
        <f>MAX(0.02,NORMINV(RAND(),$C$7,$D$7))</f>
        <v/>
      </c>
      <c r="M655" s="27">
        <f>MIN(0.16,MAX(0.05,NORMINV(RAND(),$C$8,$D$8)))</f>
        <v/>
      </c>
      <c r="N655" s="34">
        <f>MIN(24,MAX(5,NORMINV(RAND(),$C$9,$D$9)))</f>
        <v/>
      </c>
      <c r="O655" s="41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7">
        <f>MAX(-0.05,NORMINV(RAND(),$C$6,$D$6))</f>
        <v/>
      </c>
      <c r="L656" s="27">
        <f>MAX(0.02,NORMINV(RAND(),$C$7,$D$7))</f>
        <v/>
      </c>
      <c r="M656" s="27">
        <f>MIN(0.16,MAX(0.05,NORMINV(RAND(),$C$8,$D$8)))</f>
        <v/>
      </c>
      <c r="N656" s="34">
        <f>MIN(24,MAX(5,NORMINV(RAND(),$C$9,$D$9)))</f>
        <v/>
      </c>
      <c r="O656" s="41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7">
        <f>MAX(-0.05,NORMINV(RAND(),$C$6,$D$6))</f>
        <v/>
      </c>
      <c r="L657" s="27">
        <f>MAX(0.02,NORMINV(RAND(),$C$7,$D$7))</f>
        <v/>
      </c>
      <c r="M657" s="27">
        <f>MIN(0.16,MAX(0.05,NORMINV(RAND(),$C$8,$D$8)))</f>
        <v/>
      </c>
      <c r="N657" s="34">
        <f>MIN(24,MAX(5,NORMINV(RAND(),$C$9,$D$9)))</f>
        <v/>
      </c>
      <c r="O657" s="41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7">
        <f>MAX(-0.05,NORMINV(RAND(),$C$6,$D$6))</f>
        <v/>
      </c>
      <c r="L658" s="27">
        <f>MAX(0.02,NORMINV(RAND(),$C$7,$D$7))</f>
        <v/>
      </c>
      <c r="M658" s="27">
        <f>MIN(0.16,MAX(0.05,NORMINV(RAND(),$C$8,$D$8)))</f>
        <v/>
      </c>
      <c r="N658" s="34">
        <f>MIN(24,MAX(5,NORMINV(RAND(),$C$9,$D$9)))</f>
        <v/>
      </c>
      <c r="O658" s="41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7">
        <f>MAX(-0.05,NORMINV(RAND(),$C$6,$D$6))</f>
        <v/>
      </c>
      <c r="L659" s="27">
        <f>MAX(0.02,NORMINV(RAND(),$C$7,$D$7))</f>
        <v/>
      </c>
      <c r="M659" s="27">
        <f>MIN(0.16,MAX(0.05,NORMINV(RAND(),$C$8,$D$8)))</f>
        <v/>
      </c>
      <c r="N659" s="34">
        <f>MIN(24,MAX(5,NORMINV(RAND(),$C$9,$D$9)))</f>
        <v/>
      </c>
      <c r="O659" s="41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7">
        <f>MAX(-0.05,NORMINV(RAND(),$C$6,$D$6))</f>
        <v/>
      </c>
      <c r="L660" s="27">
        <f>MAX(0.02,NORMINV(RAND(),$C$7,$D$7))</f>
        <v/>
      </c>
      <c r="M660" s="27">
        <f>MIN(0.16,MAX(0.05,NORMINV(RAND(),$C$8,$D$8)))</f>
        <v/>
      </c>
      <c r="N660" s="34">
        <f>MIN(24,MAX(5,NORMINV(RAND(),$C$9,$D$9)))</f>
        <v/>
      </c>
      <c r="O660" s="41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7">
        <f>MAX(-0.05,NORMINV(RAND(),$C$6,$D$6))</f>
        <v/>
      </c>
      <c r="L661" s="27">
        <f>MAX(0.02,NORMINV(RAND(),$C$7,$D$7))</f>
        <v/>
      </c>
      <c r="M661" s="27">
        <f>MIN(0.16,MAX(0.05,NORMINV(RAND(),$C$8,$D$8)))</f>
        <v/>
      </c>
      <c r="N661" s="34">
        <f>MIN(24,MAX(5,NORMINV(RAND(),$C$9,$D$9)))</f>
        <v/>
      </c>
      <c r="O661" s="41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7">
        <f>MAX(-0.05,NORMINV(RAND(),$C$6,$D$6))</f>
        <v/>
      </c>
      <c r="L662" s="27">
        <f>MAX(0.02,NORMINV(RAND(),$C$7,$D$7))</f>
        <v/>
      </c>
      <c r="M662" s="27">
        <f>MIN(0.16,MAX(0.05,NORMINV(RAND(),$C$8,$D$8)))</f>
        <v/>
      </c>
      <c r="N662" s="34">
        <f>MIN(24,MAX(5,NORMINV(RAND(),$C$9,$D$9)))</f>
        <v/>
      </c>
      <c r="O662" s="41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7">
        <f>MAX(-0.05,NORMINV(RAND(),$C$6,$D$6))</f>
        <v/>
      </c>
      <c r="L663" s="27">
        <f>MAX(0.02,NORMINV(RAND(),$C$7,$D$7))</f>
        <v/>
      </c>
      <c r="M663" s="27">
        <f>MIN(0.16,MAX(0.05,NORMINV(RAND(),$C$8,$D$8)))</f>
        <v/>
      </c>
      <c r="N663" s="34">
        <f>MIN(24,MAX(5,NORMINV(RAND(),$C$9,$D$9)))</f>
        <v/>
      </c>
      <c r="O663" s="41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7">
        <f>MAX(-0.05,NORMINV(RAND(),$C$6,$D$6))</f>
        <v/>
      </c>
      <c r="L664" s="27">
        <f>MAX(0.02,NORMINV(RAND(),$C$7,$D$7))</f>
        <v/>
      </c>
      <c r="M664" s="27">
        <f>MIN(0.16,MAX(0.05,NORMINV(RAND(),$C$8,$D$8)))</f>
        <v/>
      </c>
      <c r="N664" s="34">
        <f>MIN(24,MAX(5,NORMINV(RAND(),$C$9,$D$9)))</f>
        <v/>
      </c>
      <c r="O664" s="41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7">
        <f>MAX(-0.05,NORMINV(RAND(),$C$6,$D$6))</f>
        <v/>
      </c>
      <c r="L665" s="27">
        <f>MAX(0.02,NORMINV(RAND(),$C$7,$D$7))</f>
        <v/>
      </c>
      <c r="M665" s="27">
        <f>MIN(0.16,MAX(0.05,NORMINV(RAND(),$C$8,$D$8)))</f>
        <v/>
      </c>
      <c r="N665" s="34">
        <f>MIN(24,MAX(5,NORMINV(RAND(),$C$9,$D$9)))</f>
        <v/>
      </c>
      <c r="O665" s="41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7">
        <f>MAX(-0.05,NORMINV(RAND(),$C$6,$D$6))</f>
        <v/>
      </c>
      <c r="L666" s="27">
        <f>MAX(0.02,NORMINV(RAND(),$C$7,$D$7))</f>
        <v/>
      </c>
      <c r="M666" s="27">
        <f>MIN(0.16,MAX(0.05,NORMINV(RAND(),$C$8,$D$8)))</f>
        <v/>
      </c>
      <c r="N666" s="34">
        <f>MIN(24,MAX(5,NORMINV(RAND(),$C$9,$D$9)))</f>
        <v/>
      </c>
      <c r="O666" s="41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7">
        <f>MAX(-0.05,NORMINV(RAND(),$C$6,$D$6))</f>
        <v/>
      </c>
      <c r="L667" s="27">
        <f>MAX(0.02,NORMINV(RAND(),$C$7,$D$7))</f>
        <v/>
      </c>
      <c r="M667" s="27">
        <f>MIN(0.16,MAX(0.05,NORMINV(RAND(),$C$8,$D$8)))</f>
        <v/>
      </c>
      <c r="N667" s="34">
        <f>MIN(24,MAX(5,NORMINV(RAND(),$C$9,$D$9)))</f>
        <v/>
      </c>
      <c r="O667" s="41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7">
        <f>MAX(-0.05,NORMINV(RAND(),$C$6,$D$6))</f>
        <v/>
      </c>
      <c r="L668" s="27">
        <f>MAX(0.02,NORMINV(RAND(),$C$7,$D$7))</f>
        <v/>
      </c>
      <c r="M668" s="27">
        <f>MIN(0.16,MAX(0.05,NORMINV(RAND(),$C$8,$D$8)))</f>
        <v/>
      </c>
      <c r="N668" s="34">
        <f>MIN(24,MAX(5,NORMINV(RAND(),$C$9,$D$9)))</f>
        <v/>
      </c>
      <c r="O668" s="41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7">
        <f>MAX(-0.05,NORMINV(RAND(),$C$6,$D$6))</f>
        <v/>
      </c>
      <c r="L669" s="27">
        <f>MAX(0.02,NORMINV(RAND(),$C$7,$D$7))</f>
        <v/>
      </c>
      <c r="M669" s="27">
        <f>MIN(0.16,MAX(0.05,NORMINV(RAND(),$C$8,$D$8)))</f>
        <v/>
      </c>
      <c r="N669" s="34">
        <f>MIN(24,MAX(5,NORMINV(RAND(),$C$9,$D$9)))</f>
        <v/>
      </c>
      <c r="O669" s="41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7">
        <f>MAX(-0.05,NORMINV(RAND(),$C$6,$D$6))</f>
        <v/>
      </c>
      <c r="L670" s="27">
        <f>MAX(0.02,NORMINV(RAND(),$C$7,$D$7))</f>
        <v/>
      </c>
      <c r="M670" s="27">
        <f>MIN(0.16,MAX(0.05,NORMINV(RAND(),$C$8,$D$8)))</f>
        <v/>
      </c>
      <c r="N670" s="34">
        <f>MIN(24,MAX(5,NORMINV(RAND(),$C$9,$D$9)))</f>
        <v/>
      </c>
      <c r="O670" s="41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7">
        <f>MAX(-0.05,NORMINV(RAND(),$C$6,$D$6))</f>
        <v/>
      </c>
      <c r="L671" s="27">
        <f>MAX(0.02,NORMINV(RAND(),$C$7,$D$7))</f>
        <v/>
      </c>
      <c r="M671" s="27">
        <f>MIN(0.16,MAX(0.05,NORMINV(RAND(),$C$8,$D$8)))</f>
        <v/>
      </c>
      <c r="N671" s="34">
        <f>MIN(24,MAX(5,NORMINV(RAND(),$C$9,$D$9)))</f>
        <v/>
      </c>
      <c r="O671" s="41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7">
        <f>MAX(-0.05,NORMINV(RAND(),$C$6,$D$6))</f>
        <v/>
      </c>
      <c r="L672" s="27">
        <f>MAX(0.02,NORMINV(RAND(),$C$7,$D$7))</f>
        <v/>
      </c>
      <c r="M672" s="27">
        <f>MIN(0.16,MAX(0.05,NORMINV(RAND(),$C$8,$D$8)))</f>
        <v/>
      </c>
      <c r="N672" s="34">
        <f>MIN(24,MAX(5,NORMINV(RAND(),$C$9,$D$9)))</f>
        <v/>
      </c>
      <c r="O672" s="41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7">
        <f>MAX(-0.05,NORMINV(RAND(),$C$6,$D$6))</f>
        <v/>
      </c>
      <c r="L673" s="27">
        <f>MAX(0.02,NORMINV(RAND(),$C$7,$D$7))</f>
        <v/>
      </c>
      <c r="M673" s="27">
        <f>MIN(0.16,MAX(0.05,NORMINV(RAND(),$C$8,$D$8)))</f>
        <v/>
      </c>
      <c r="N673" s="34">
        <f>MIN(24,MAX(5,NORMINV(RAND(),$C$9,$D$9)))</f>
        <v/>
      </c>
      <c r="O673" s="41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7">
        <f>MAX(-0.05,NORMINV(RAND(),$C$6,$D$6))</f>
        <v/>
      </c>
      <c r="L674" s="27">
        <f>MAX(0.02,NORMINV(RAND(),$C$7,$D$7))</f>
        <v/>
      </c>
      <c r="M674" s="27">
        <f>MIN(0.16,MAX(0.05,NORMINV(RAND(),$C$8,$D$8)))</f>
        <v/>
      </c>
      <c r="N674" s="34">
        <f>MIN(24,MAX(5,NORMINV(RAND(),$C$9,$D$9)))</f>
        <v/>
      </c>
      <c r="O674" s="41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7">
        <f>MAX(-0.05,NORMINV(RAND(),$C$6,$D$6))</f>
        <v/>
      </c>
      <c r="L675" s="27">
        <f>MAX(0.02,NORMINV(RAND(),$C$7,$D$7))</f>
        <v/>
      </c>
      <c r="M675" s="27">
        <f>MIN(0.16,MAX(0.05,NORMINV(RAND(),$C$8,$D$8)))</f>
        <v/>
      </c>
      <c r="N675" s="34">
        <f>MIN(24,MAX(5,NORMINV(RAND(),$C$9,$D$9)))</f>
        <v/>
      </c>
      <c r="O675" s="41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7">
        <f>MAX(-0.05,NORMINV(RAND(),$C$6,$D$6))</f>
        <v/>
      </c>
      <c r="L676" s="27">
        <f>MAX(0.02,NORMINV(RAND(),$C$7,$D$7))</f>
        <v/>
      </c>
      <c r="M676" s="27">
        <f>MIN(0.16,MAX(0.05,NORMINV(RAND(),$C$8,$D$8)))</f>
        <v/>
      </c>
      <c r="N676" s="34">
        <f>MIN(24,MAX(5,NORMINV(RAND(),$C$9,$D$9)))</f>
        <v/>
      </c>
      <c r="O676" s="41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7">
        <f>MAX(-0.05,NORMINV(RAND(),$C$6,$D$6))</f>
        <v/>
      </c>
      <c r="L677" s="27">
        <f>MAX(0.02,NORMINV(RAND(),$C$7,$D$7))</f>
        <v/>
      </c>
      <c r="M677" s="27">
        <f>MIN(0.16,MAX(0.05,NORMINV(RAND(),$C$8,$D$8)))</f>
        <v/>
      </c>
      <c r="N677" s="34">
        <f>MIN(24,MAX(5,NORMINV(RAND(),$C$9,$D$9)))</f>
        <v/>
      </c>
      <c r="O677" s="41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7">
        <f>MAX(-0.05,NORMINV(RAND(),$C$6,$D$6))</f>
        <v/>
      </c>
      <c r="L678" s="27">
        <f>MAX(0.02,NORMINV(RAND(),$C$7,$D$7))</f>
        <v/>
      </c>
      <c r="M678" s="27">
        <f>MIN(0.16,MAX(0.05,NORMINV(RAND(),$C$8,$D$8)))</f>
        <v/>
      </c>
      <c r="N678" s="34">
        <f>MIN(24,MAX(5,NORMINV(RAND(),$C$9,$D$9)))</f>
        <v/>
      </c>
      <c r="O678" s="41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7">
        <f>MAX(-0.05,NORMINV(RAND(),$C$6,$D$6))</f>
        <v/>
      </c>
      <c r="L679" s="27">
        <f>MAX(0.02,NORMINV(RAND(),$C$7,$D$7))</f>
        <v/>
      </c>
      <c r="M679" s="27">
        <f>MIN(0.16,MAX(0.05,NORMINV(RAND(),$C$8,$D$8)))</f>
        <v/>
      </c>
      <c r="N679" s="34">
        <f>MIN(24,MAX(5,NORMINV(RAND(),$C$9,$D$9)))</f>
        <v/>
      </c>
      <c r="O679" s="41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7">
        <f>MAX(-0.05,NORMINV(RAND(),$C$6,$D$6))</f>
        <v/>
      </c>
      <c r="L680" s="27">
        <f>MAX(0.02,NORMINV(RAND(),$C$7,$D$7))</f>
        <v/>
      </c>
      <c r="M680" s="27">
        <f>MIN(0.16,MAX(0.05,NORMINV(RAND(),$C$8,$D$8)))</f>
        <v/>
      </c>
      <c r="N680" s="34">
        <f>MIN(24,MAX(5,NORMINV(RAND(),$C$9,$D$9)))</f>
        <v/>
      </c>
      <c r="O680" s="41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7">
        <f>MAX(-0.05,NORMINV(RAND(),$C$6,$D$6))</f>
        <v/>
      </c>
      <c r="L681" s="27">
        <f>MAX(0.02,NORMINV(RAND(),$C$7,$D$7))</f>
        <v/>
      </c>
      <c r="M681" s="27">
        <f>MIN(0.16,MAX(0.05,NORMINV(RAND(),$C$8,$D$8)))</f>
        <v/>
      </c>
      <c r="N681" s="34">
        <f>MIN(24,MAX(5,NORMINV(RAND(),$C$9,$D$9)))</f>
        <v/>
      </c>
      <c r="O681" s="41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7">
        <f>MAX(-0.05,NORMINV(RAND(),$C$6,$D$6))</f>
        <v/>
      </c>
      <c r="L682" s="27">
        <f>MAX(0.02,NORMINV(RAND(),$C$7,$D$7))</f>
        <v/>
      </c>
      <c r="M682" s="27">
        <f>MIN(0.16,MAX(0.05,NORMINV(RAND(),$C$8,$D$8)))</f>
        <v/>
      </c>
      <c r="N682" s="34">
        <f>MIN(24,MAX(5,NORMINV(RAND(),$C$9,$D$9)))</f>
        <v/>
      </c>
      <c r="O682" s="41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7">
        <f>MAX(-0.05,NORMINV(RAND(),$C$6,$D$6))</f>
        <v/>
      </c>
      <c r="L683" s="27">
        <f>MAX(0.02,NORMINV(RAND(),$C$7,$D$7))</f>
        <v/>
      </c>
      <c r="M683" s="27">
        <f>MIN(0.16,MAX(0.05,NORMINV(RAND(),$C$8,$D$8)))</f>
        <v/>
      </c>
      <c r="N683" s="34">
        <f>MIN(24,MAX(5,NORMINV(RAND(),$C$9,$D$9)))</f>
        <v/>
      </c>
      <c r="O683" s="41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7">
        <f>MAX(-0.05,NORMINV(RAND(),$C$6,$D$6))</f>
        <v/>
      </c>
      <c r="L684" s="27">
        <f>MAX(0.02,NORMINV(RAND(),$C$7,$D$7))</f>
        <v/>
      </c>
      <c r="M684" s="27">
        <f>MIN(0.16,MAX(0.05,NORMINV(RAND(),$C$8,$D$8)))</f>
        <v/>
      </c>
      <c r="N684" s="34">
        <f>MIN(24,MAX(5,NORMINV(RAND(),$C$9,$D$9)))</f>
        <v/>
      </c>
      <c r="O684" s="41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7">
        <f>MAX(-0.05,NORMINV(RAND(),$C$6,$D$6))</f>
        <v/>
      </c>
      <c r="L685" s="27">
        <f>MAX(0.02,NORMINV(RAND(),$C$7,$D$7))</f>
        <v/>
      </c>
      <c r="M685" s="27">
        <f>MIN(0.16,MAX(0.05,NORMINV(RAND(),$C$8,$D$8)))</f>
        <v/>
      </c>
      <c r="N685" s="34">
        <f>MIN(24,MAX(5,NORMINV(RAND(),$C$9,$D$9)))</f>
        <v/>
      </c>
      <c r="O685" s="41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7">
        <f>MAX(-0.05,NORMINV(RAND(),$C$6,$D$6))</f>
        <v/>
      </c>
      <c r="L686" s="27">
        <f>MAX(0.02,NORMINV(RAND(),$C$7,$D$7))</f>
        <v/>
      </c>
      <c r="M686" s="27">
        <f>MIN(0.16,MAX(0.05,NORMINV(RAND(),$C$8,$D$8)))</f>
        <v/>
      </c>
      <c r="N686" s="34">
        <f>MIN(24,MAX(5,NORMINV(RAND(),$C$9,$D$9)))</f>
        <v/>
      </c>
      <c r="O686" s="41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7">
        <f>MAX(-0.05,NORMINV(RAND(),$C$6,$D$6))</f>
        <v/>
      </c>
      <c r="L687" s="27">
        <f>MAX(0.02,NORMINV(RAND(),$C$7,$D$7))</f>
        <v/>
      </c>
      <c r="M687" s="27">
        <f>MIN(0.16,MAX(0.05,NORMINV(RAND(),$C$8,$D$8)))</f>
        <v/>
      </c>
      <c r="N687" s="34">
        <f>MIN(24,MAX(5,NORMINV(RAND(),$C$9,$D$9)))</f>
        <v/>
      </c>
      <c r="O687" s="41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7">
        <f>MAX(-0.05,NORMINV(RAND(),$C$6,$D$6))</f>
        <v/>
      </c>
      <c r="L688" s="27">
        <f>MAX(0.02,NORMINV(RAND(),$C$7,$D$7))</f>
        <v/>
      </c>
      <c r="M688" s="27">
        <f>MIN(0.16,MAX(0.05,NORMINV(RAND(),$C$8,$D$8)))</f>
        <v/>
      </c>
      <c r="N688" s="34">
        <f>MIN(24,MAX(5,NORMINV(RAND(),$C$9,$D$9)))</f>
        <v/>
      </c>
      <c r="O688" s="41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7">
        <f>MAX(-0.05,NORMINV(RAND(),$C$6,$D$6))</f>
        <v/>
      </c>
      <c r="L689" s="27">
        <f>MAX(0.02,NORMINV(RAND(),$C$7,$D$7))</f>
        <v/>
      </c>
      <c r="M689" s="27">
        <f>MIN(0.16,MAX(0.05,NORMINV(RAND(),$C$8,$D$8)))</f>
        <v/>
      </c>
      <c r="N689" s="34">
        <f>MIN(24,MAX(5,NORMINV(RAND(),$C$9,$D$9)))</f>
        <v/>
      </c>
      <c r="O689" s="41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7">
        <f>MAX(-0.05,NORMINV(RAND(),$C$6,$D$6))</f>
        <v/>
      </c>
      <c r="L690" s="27">
        <f>MAX(0.02,NORMINV(RAND(),$C$7,$D$7))</f>
        <v/>
      </c>
      <c r="M690" s="27">
        <f>MIN(0.16,MAX(0.05,NORMINV(RAND(),$C$8,$D$8)))</f>
        <v/>
      </c>
      <c r="N690" s="34">
        <f>MIN(24,MAX(5,NORMINV(RAND(),$C$9,$D$9)))</f>
        <v/>
      </c>
      <c r="O690" s="41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7">
        <f>MAX(-0.05,NORMINV(RAND(),$C$6,$D$6))</f>
        <v/>
      </c>
      <c r="L691" s="27">
        <f>MAX(0.02,NORMINV(RAND(),$C$7,$D$7))</f>
        <v/>
      </c>
      <c r="M691" s="27">
        <f>MIN(0.16,MAX(0.05,NORMINV(RAND(),$C$8,$D$8)))</f>
        <v/>
      </c>
      <c r="N691" s="34">
        <f>MIN(24,MAX(5,NORMINV(RAND(),$C$9,$D$9)))</f>
        <v/>
      </c>
      <c r="O691" s="41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7">
        <f>MAX(-0.05,NORMINV(RAND(),$C$6,$D$6))</f>
        <v/>
      </c>
      <c r="L692" s="27">
        <f>MAX(0.02,NORMINV(RAND(),$C$7,$D$7))</f>
        <v/>
      </c>
      <c r="M692" s="27">
        <f>MIN(0.16,MAX(0.05,NORMINV(RAND(),$C$8,$D$8)))</f>
        <v/>
      </c>
      <c r="N692" s="34">
        <f>MIN(24,MAX(5,NORMINV(RAND(),$C$9,$D$9)))</f>
        <v/>
      </c>
      <c r="O692" s="41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7">
        <f>MAX(-0.05,NORMINV(RAND(),$C$6,$D$6))</f>
        <v/>
      </c>
      <c r="L693" s="27">
        <f>MAX(0.02,NORMINV(RAND(),$C$7,$D$7))</f>
        <v/>
      </c>
      <c r="M693" s="27">
        <f>MIN(0.16,MAX(0.05,NORMINV(RAND(),$C$8,$D$8)))</f>
        <v/>
      </c>
      <c r="N693" s="34">
        <f>MIN(24,MAX(5,NORMINV(RAND(),$C$9,$D$9)))</f>
        <v/>
      </c>
      <c r="O693" s="41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7">
        <f>MAX(-0.05,NORMINV(RAND(),$C$6,$D$6))</f>
        <v/>
      </c>
      <c r="L694" s="27">
        <f>MAX(0.02,NORMINV(RAND(),$C$7,$D$7))</f>
        <v/>
      </c>
      <c r="M694" s="27">
        <f>MIN(0.16,MAX(0.05,NORMINV(RAND(),$C$8,$D$8)))</f>
        <v/>
      </c>
      <c r="N694" s="34">
        <f>MIN(24,MAX(5,NORMINV(RAND(),$C$9,$D$9)))</f>
        <v/>
      </c>
      <c r="O694" s="41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7">
        <f>MAX(-0.05,NORMINV(RAND(),$C$6,$D$6))</f>
        <v/>
      </c>
      <c r="L695" s="27">
        <f>MAX(0.02,NORMINV(RAND(),$C$7,$D$7))</f>
        <v/>
      </c>
      <c r="M695" s="27">
        <f>MIN(0.16,MAX(0.05,NORMINV(RAND(),$C$8,$D$8)))</f>
        <v/>
      </c>
      <c r="N695" s="34">
        <f>MIN(24,MAX(5,NORMINV(RAND(),$C$9,$D$9)))</f>
        <v/>
      </c>
      <c r="O695" s="41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7">
        <f>MAX(-0.05,NORMINV(RAND(),$C$6,$D$6))</f>
        <v/>
      </c>
      <c r="L696" s="27">
        <f>MAX(0.02,NORMINV(RAND(),$C$7,$D$7))</f>
        <v/>
      </c>
      <c r="M696" s="27">
        <f>MIN(0.16,MAX(0.05,NORMINV(RAND(),$C$8,$D$8)))</f>
        <v/>
      </c>
      <c r="N696" s="34">
        <f>MIN(24,MAX(5,NORMINV(RAND(),$C$9,$D$9)))</f>
        <v/>
      </c>
      <c r="O696" s="41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7">
        <f>MAX(-0.05,NORMINV(RAND(),$C$6,$D$6))</f>
        <v/>
      </c>
      <c r="L697" s="27">
        <f>MAX(0.02,NORMINV(RAND(),$C$7,$D$7))</f>
        <v/>
      </c>
      <c r="M697" s="27">
        <f>MIN(0.16,MAX(0.05,NORMINV(RAND(),$C$8,$D$8)))</f>
        <v/>
      </c>
      <c r="N697" s="34">
        <f>MIN(24,MAX(5,NORMINV(RAND(),$C$9,$D$9)))</f>
        <v/>
      </c>
      <c r="O697" s="41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7">
        <f>MAX(-0.05,NORMINV(RAND(),$C$6,$D$6))</f>
        <v/>
      </c>
      <c r="L698" s="27">
        <f>MAX(0.02,NORMINV(RAND(),$C$7,$D$7))</f>
        <v/>
      </c>
      <c r="M698" s="27">
        <f>MIN(0.16,MAX(0.05,NORMINV(RAND(),$C$8,$D$8)))</f>
        <v/>
      </c>
      <c r="N698" s="34">
        <f>MIN(24,MAX(5,NORMINV(RAND(),$C$9,$D$9)))</f>
        <v/>
      </c>
      <c r="O698" s="41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7">
        <f>MAX(-0.05,NORMINV(RAND(),$C$6,$D$6))</f>
        <v/>
      </c>
      <c r="L699" s="27">
        <f>MAX(0.02,NORMINV(RAND(),$C$7,$D$7))</f>
        <v/>
      </c>
      <c r="M699" s="27">
        <f>MIN(0.16,MAX(0.05,NORMINV(RAND(),$C$8,$D$8)))</f>
        <v/>
      </c>
      <c r="N699" s="34">
        <f>MIN(24,MAX(5,NORMINV(RAND(),$C$9,$D$9)))</f>
        <v/>
      </c>
      <c r="O699" s="41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7">
        <f>MAX(-0.05,NORMINV(RAND(),$C$6,$D$6))</f>
        <v/>
      </c>
      <c r="L700" s="27">
        <f>MAX(0.02,NORMINV(RAND(),$C$7,$D$7))</f>
        <v/>
      </c>
      <c r="M700" s="27">
        <f>MIN(0.16,MAX(0.05,NORMINV(RAND(),$C$8,$D$8)))</f>
        <v/>
      </c>
      <c r="N700" s="34">
        <f>MIN(24,MAX(5,NORMINV(RAND(),$C$9,$D$9)))</f>
        <v/>
      </c>
      <c r="O700" s="41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7">
        <f>MAX(-0.05,NORMINV(RAND(),$C$6,$D$6))</f>
        <v/>
      </c>
      <c r="L701" s="27">
        <f>MAX(0.02,NORMINV(RAND(),$C$7,$D$7))</f>
        <v/>
      </c>
      <c r="M701" s="27">
        <f>MIN(0.16,MAX(0.05,NORMINV(RAND(),$C$8,$D$8)))</f>
        <v/>
      </c>
      <c r="N701" s="34">
        <f>MIN(24,MAX(5,NORMINV(RAND(),$C$9,$D$9)))</f>
        <v/>
      </c>
      <c r="O701" s="41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7">
        <f>MAX(-0.05,NORMINV(RAND(),$C$6,$D$6))</f>
        <v/>
      </c>
      <c r="L702" s="27">
        <f>MAX(0.02,NORMINV(RAND(),$C$7,$D$7))</f>
        <v/>
      </c>
      <c r="M702" s="27">
        <f>MIN(0.16,MAX(0.05,NORMINV(RAND(),$C$8,$D$8)))</f>
        <v/>
      </c>
      <c r="N702" s="34">
        <f>MIN(24,MAX(5,NORMINV(RAND(),$C$9,$D$9)))</f>
        <v/>
      </c>
      <c r="O702" s="41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7">
        <f>MAX(-0.05,NORMINV(RAND(),$C$6,$D$6))</f>
        <v/>
      </c>
      <c r="L703" s="27">
        <f>MAX(0.02,NORMINV(RAND(),$C$7,$D$7))</f>
        <v/>
      </c>
      <c r="M703" s="27">
        <f>MIN(0.16,MAX(0.05,NORMINV(RAND(),$C$8,$D$8)))</f>
        <v/>
      </c>
      <c r="N703" s="34">
        <f>MIN(24,MAX(5,NORMINV(RAND(),$C$9,$D$9)))</f>
        <v/>
      </c>
      <c r="O703" s="41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7">
        <f>MAX(-0.05,NORMINV(RAND(),$C$6,$D$6))</f>
        <v/>
      </c>
      <c r="L704" s="27">
        <f>MAX(0.02,NORMINV(RAND(),$C$7,$D$7))</f>
        <v/>
      </c>
      <c r="M704" s="27">
        <f>MIN(0.16,MAX(0.05,NORMINV(RAND(),$C$8,$D$8)))</f>
        <v/>
      </c>
      <c r="N704" s="34">
        <f>MIN(24,MAX(5,NORMINV(RAND(),$C$9,$D$9)))</f>
        <v/>
      </c>
      <c r="O704" s="41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7">
        <f>MAX(-0.05,NORMINV(RAND(),$C$6,$D$6))</f>
        <v/>
      </c>
      <c r="L705" s="27">
        <f>MAX(0.02,NORMINV(RAND(),$C$7,$D$7))</f>
        <v/>
      </c>
      <c r="M705" s="27">
        <f>MIN(0.16,MAX(0.05,NORMINV(RAND(),$C$8,$D$8)))</f>
        <v/>
      </c>
      <c r="N705" s="34">
        <f>MIN(24,MAX(5,NORMINV(RAND(),$C$9,$D$9)))</f>
        <v/>
      </c>
      <c r="O705" s="41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7">
        <f>MAX(-0.05,NORMINV(RAND(),$C$6,$D$6))</f>
        <v/>
      </c>
      <c r="L706" s="27">
        <f>MAX(0.02,NORMINV(RAND(),$C$7,$D$7))</f>
        <v/>
      </c>
      <c r="M706" s="27">
        <f>MIN(0.16,MAX(0.05,NORMINV(RAND(),$C$8,$D$8)))</f>
        <v/>
      </c>
      <c r="N706" s="34">
        <f>MIN(24,MAX(5,NORMINV(RAND(),$C$9,$D$9)))</f>
        <v/>
      </c>
      <c r="O706" s="41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7">
        <f>MAX(-0.05,NORMINV(RAND(),$C$6,$D$6))</f>
        <v/>
      </c>
      <c r="L707" s="27">
        <f>MAX(0.02,NORMINV(RAND(),$C$7,$D$7))</f>
        <v/>
      </c>
      <c r="M707" s="27">
        <f>MIN(0.16,MAX(0.05,NORMINV(RAND(),$C$8,$D$8)))</f>
        <v/>
      </c>
      <c r="N707" s="34">
        <f>MIN(24,MAX(5,NORMINV(RAND(),$C$9,$D$9)))</f>
        <v/>
      </c>
      <c r="O707" s="41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7">
        <f>MAX(-0.05,NORMINV(RAND(),$C$6,$D$6))</f>
        <v/>
      </c>
      <c r="L708" s="27">
        <f>MAX(0.02,NORMINV(RAND(),$C$7,$D$7))</f>
        <v/>
      </c>
      <c r="M708" s="27">
        <f>MIN(0.16,MAX(0.05,NORMINV(RAND(),$C$8,$D$8)))</f>
        <v/>
      </c>
      <c r="N708" s="34">
        <f>MIN(24,MAX(5,NORMINV(RAND(),$C$9,$D$9)))</f>
        <v/>
      </c>
      <c r="O708" s="41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7">
        <f>MAX(-0.05,NORMINV(RAND(),$C$6,$D$6))</f>
        <v/>
      </c>
      <c r="L709" s="27">
        <f>MAX(0.02,NORMINV(RAND(),$C$7,$D$7))</f>
        <v/>
      </c>
      <c r="M709" s="27">
        <f>MIN(0.16,MAX(0.05,NORMINV(RAND(),$C$8,$D$8)))</f>
        <v/>
      </c>
      <c r="N709" s="34">
        <f>MIN(24,MAX(5,NORMINV(RAND(),$C$9,$D$9)))</f>
        <v/>
      </c>
      <c r="O709" s="41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7">
        <f>MAX(-0.05,NORMINV(RAND(),$C$6,$D$6))</f>
        <v/>
      </c>
      <c r="L710" s="27">
        <f>MAX(0.02,NORMINV(RAND(),$C$7,$D$7))</f>
        <v/>
      </c>
      <c r="M710" s="27">
        <f>MIN(0.16,MAX(0.05,NORMINV(RAND(),$C$8,$D$8)))</f>
        <v/>
      </c>
      <c r="N710" s="34">
        <f>MIN(24,MAX(5,NORMINV(RAND(),$C$9,$D$9)))</f>
        <v/>
      </c>
      <c r="O710" s="41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7">
        <f>MAX(-0.05,NORMINV(RAND(),$C$6,$D$6))</f>
        <v/>
      </c>
      <c r="L711" s="27">
        <f>MAX(0.02,NORMINV(RAND(),$C$7,$D$7))</f>
        <v/>
      </c>
      <c r="M711" s="27">
        <f>MIN(0.16,MAX(0.05,NORMINV(RAND(),$C$8,$D$8)))</f>
        <v/>
      </c>
      <c r="N711" s="34">
        <f>MIN(24,MAX(5,NORMINV(RAND(),$C$9,$D$9)))</f>
        <v/>
      </c>
      <c r="O711" s="41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7">
        <f>MAX(-0.05,NORMINV(RAND(),$C$6,$D$6))</f>
        <v/>
      </c>
      <c r="L712" s="27">
        <f>MAX(0.02,NORMINV(RAND(),$C$7,$D$7))</f>
        <v/>
      </c>
      <c r="M712" s="27">
        <f>MIN(0.16,MAX(0.05,NORMINV(RAND(),$C$8,$D$8)))</f>
        <v/>
      </c>
      <c r="N712" s="34">
        <f>MIN(24,MAX(5,NORMINV(RAND(),$C$9,$D$9)))</f>
        <v/>
      </c>
      <c r="O712" s="41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7">
        <f>MAX(-0.05,NORMINV(RAND(),$C$6,$D$6))</f>
        <v/>
      </c>
      <c r="L713" s="27">
        <f>MAX(0.02,NORMINV(RAND(),$C$7,$D$7))</f>
        <v/>
      </c>
      <c r="M713" s="27">
        <f>MIN(0.16,MAX(0.05,NORMINV(RAND(),$C$8,$D$8)))</f>
        <v/>
      </c>
      <c r="N713" s="34">
        <f>MIN(24,MAX(5,NORMINV(RAND(),$C$9,$D$9)))</f>
        <v/>
      </c>
      <c r="O713" s="41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7">
        <f>MAX(-0.05,NORMINV(RAND(),$C$6,$D$6))</f>
        <v/>
      </c>
      <c r="L714" s="27">
        <f>MAX(0.02,NORMINV(RAND(),$C$7,$D$7))</f>
        <v/>
      </c>
      <c r="M714" s="27">
        <f>MIN(0.16,MAX(0.05,NORMINV(RAND(),$C$8,$D$8)))</f>
        <v/>
      </c>
      <c r="N714" s="34">
        <f>MIN(24,MAX(5,NORMINV(RAND(),$C$9,$D$9)))</f>
        <v/>
      </c>
      <c r="O714" s="41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7">
        <f>MAX(-0.05,NORMINV(RAND(),$C$6,$D$6))</f>
        <v/>
      </c>
      <c r="L715" s="27">
        <f>MAX(0.02,NORMINV(RAND(),$C$7,$D$7))</f>
        <v/>
      </c>
      <c r="M715" s="27">
        <f>MIN(0.16,MAX(0.05,NORMINV(RAND(),$C$8,$D$8)))</f>
        <v/>
      </c>
      <c r="N715" s="34">
        <f>MIN(24,MAX(5,NORMINV(RAND(),$C$9,$D$9)))</f>
        <v/>
      </c>
      <c r="O715" s="41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7">
        <f>MAX(-0.05,NORMINV(RAND(),$C$6,$D$6))</f>
        <v/>
      </c>
      <c r="L716" s="27">
        <f>MAX(0.02,NORMINV(RAND(),$C$7,$D$7))</f>
        <v/>
      </c>
      <c r="M716" s="27">
        <f>MIN(0.16,MAX(0.05,NORMINV(RAND(),$C$8,$D$8)))</f>
        <v/>
      </c>
      <c r="N716" s="34">
        <f>MIN(24,MAX(5,NORMINV(RAND(),$C$9,$D$9)))</f>
        <v/>
      </c>
      <c r="O716" s="41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7">
        <f>MAX(-0.05,NORMINV(RAND(),$C$6,$D$6))</f>
        <v/>
      </c>
      <c r="L717" s="27">
        <f>MAX(0.02,NORMINV(RAND(),$C$7,$D$7))</f>
        <v/>
      </c>
      <c r="M717" s="27">
        <f>MIN(0.16,MAX(0.05,NORMINV(RAND(),$C$8,$D$8)))</f>
        <v/>
      </c>
      <c r="N717" s="34">
        <f>MIN(24,MAX(5,NORMINV(RAND(),$C$9,$D$9)))</f>
        <v/>
      </c>
      <c r="O717" s="41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7">
        <f>MAX(-0.05,NORMINV(RAND(),$C$6,$D$6))</f>
        <v/>
      </c>
      <c r="L718" s="27">
        <f>MAX(0.02,NORMINV(RAND(),$C$7,$D$7))</f>
        <v/>
      </c>
      <c r="M718" s="27">
        <f>MIN(0.16,MAX(0.05,NORMINV(RAND(),$C$8,$D$8)))</f>
        <v/>
      </c>
      <c r="N718" s="34">
        <f>MIN(24,MAX(5,NORMINV(RAND(),$C$9,$D$9)))</f>
        <v/>
      </c>
      <c r="O718" s="41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7">
        <f>MAX(-0.05,NORMINV(RAND(),$C$6,$D$6))</f>
        <v/>
      </c>
      <c r="L719" s="27">
        <f>MAX(0.02,NORMINV(RAND(),$C$7,$D$7))</f>
        <v/>
      </c>
      <c r="M719" s="27">
        <f>MIN(0.16,MAX(0.05,NORMINV(RAND(),$C$8,$D$8)))</f>
        <v/>
      </c>
      <c r="N719" s="34">
        <f>MIN(24,MAX(5,NORMINV(RAND(),$C$9,$D$9)))</f>
        <v/>
      </c>
      <c r="O719" s="41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7">
        <f>MAX(-0.05,NORMINV(RAND(),$C$6,$D$6))</f>
        <v/>
      </c>
      <c r="L720" s="27">
        <f>MAX(0.02,NORMINV(RAND(),$C$7,$D$7))</f>
        <v/>
      </c>
      <c r="M720" s="27">
        <f>MIN(0.16,MAX(0.05,NORMINV(RAND(),$C$8,$D$8)))</f>
        <v/>
      </c>
      <c r="N720" s="34">
        <f>MIN(24,MAX(5,NORMINV(RAND(),$C$9,$D$9)))</f>
        <v/>
      </c>
      <c r="O720" s="41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7">
        <f>MAX(-0.05,NORMINV(RAND(),$C$6,$D$6))</f>
        <v/>
      </c>
      <c r="L721" s="27">
        <f>MAX(0.02,NORMINV(RAND(),$C$7,$D$7))</f>
        <v/>
      </c>
      <c r="M721" s="27">
        <f>MIN(0.16,MAX(0.05,NORMINV(RAND(),$C$8,$D$8)))</f>
        <v/>
      </c>
      <c r="N721" s="34">
        <f>MIN(24,MAX(5,NORMINV(RAND(),$C$9,$D$9)))</f>
        <v/>
      </c>
      <c r="O721" s="41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7">
        <f>MAX(-0.05,NORMINV(RAND(),$C$6,$D$6))</f>
        <v/>
      </c>
      <c r="L722" s="27">
        <f>MAX(0.02,NORMINV(RAND(),$C$7,$D$7))</f>
        <v/>
      </c>
      <c r="M722" s="27">
        <f>MIN(0.16,MAX(0.05,NORMINV(RAND(),$C$8,$D$8)))</f>
        <v/>
      </c>
      <c r="N722" s="34">
        <f>MIN(24,MAX(5,NORMINV(RAND(),$C$9,$D$9)))</f>
        <v/>
      </c>
      <c r="O722" s="41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7">
        <f>MAX(-0.05,NORMINV(RAND(),$C$6,$D$6))</f>
        <v/>
      </c>
      <c r="L723" s="27">
        <f>MAX(0.02,NORMINV(RAND(),$C$7,$D$7))</f>
        <v/>
      </c>
      <c r="M723" s="27">
        <f>MIN(0.16,MAX(0.05,NORMINV(RAND(),$C$8,$D$8)))</f>
        <v/>
      </c>
      <c r="N723" s="34">
        <f>MIN(24,MAX(5,NORMINV(RAND(),$C$9,$D$9)))</f>
        <v/>
      </c>
      <c r="O723" s="41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7">
        <f>MAX(-0.05,NORMINV(RAND(),$C$6,$D$6))</f>
        <v/>
      </c>
      <c r="L724" s="27">
        <f>MAX(0.02,NORMINV(RAND(),$C$7,$D$7))</f>
        <v/>
      </c>
      <c r="M724" s="27">
        <f>MIN(0.16,MAX(0.05,NORMINV(RAND(),$C$8,$D$8)))</f>
        <v/>
      </c>
      <c r="N724" s="34">
        <f>MIN(24,MAX(5,NORMINV(RAND(),$C$9,$D$9)))</f>
        <v/>
      </c>
      <c r="O724" s="41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7">
        <f>MAX(-0.05,NORMINV(RAND(),$C$6,$D$6))</f>
        <v/>
      </c>
      <c r="L725" s="27">
        <f>MAX(0.02,NORMINV(RAND(),$C$7,$D$7))</f>
        <v/>
      </c>
      <c r="M725" s="27">
        <f>MIN(0.16,MAX(0.05,NORMINV(RAND(),$C$8,$D$8)))</f>
        <v/>
      </c>
      <c r="N725" s="34">
        <f>MIN(24,MAX(5,NORMINV(RAND(),$C$9,$D$9)))</f>
        <v/>
      </c>
      <c r="O725" s="41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7">
        <f>MAX(-0.05,NORMINV(RAND(),$C$6,$D$6))</f>
        <v/>
      </c>
      <c r="L726" s="27">
        <f>MAX(0.02,NORMINV(RAND(),$C$7,$D$7))</f>
        <v/>
      </c>
      <c r="M726" s="27">
        <f>MIN(0.16,MAX(0.05,NORMINV(RAND(),$C$8,$D$8)))</f>
        <v/>
      </c>
      <c r="N726" s="34">
        <f>MIN(24,MAX(5,NORMINV(RAND(),$C$9,$D$9)))</f>
        <v/>
      </c>
      <c r="O726" s="41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7">
        <f>MAX(-0.05,NORMINV(RAND(),$C$6,$D$6))</f>
        <v/>
      </c>
      <c r="L727" s="27">
        <f>MAX(0.02,NORMINV(RAND(),$C$7,$D$7))</f>
        <v/>
      </c>
      <c r="M727" s="27">
        <f>MIN(0.16,MAX(0.05,NORMINV(RAND(),$C$8,$D$8)))</f>
        <v/>
      </c>
      <c r="N727" s="34">
        <f>MIN(24,MAX(5,NORMINV(RAND(),$C$9,$D$9)))</f>
        <v/>
      </c>
      <c r="O727" s="41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7">
        <f>MAX(-0.05,NORMINV(RAND(),$C$6,$D$6))</f>
        <v/>
      </c>
      <c r="L728" s="27">
        <f>MAX(0.02,NORMINV(RAND(),$C$7,$D$7))</f>
        <v/>
      </c>
      <c r="M728" s="27">
        <f>MIN(0.16,MAX(0.05,NORMINV(RAND(),$C$8,$D$8)))</f>
        <v/>
      </c>
      <c r="N728" s="34">
        <f>MIN(24,MAX(5,NORMINV(RAND(),$C$9,$D$9)))</f>
        <v/>
      </c>
      <c r="O728" s="41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7">
        <f>MAX(-0.05,NORMINV(RAND(),$C$6,$D$6))</f>
        <v/>
      </c>
      <c r="L729" s="27">
        <f>MAX(0.02,NORMINV(RAND(),$C$7,$D$7))</f>
        <v/>
      </c>
      <c r="M729" s="27">
        <f>MIN(0.16,MAX(0.05,NORMINV(RAND(),$C$8,$D$8)))</f>
        <v/>
      </c>
      <c r="N729" s="34">
        <f>MIN(24,MAX(5,NORMINV(RAND(),$C$9,$D$9)))</f>
        <v/>
      </c>
      <c r="O729" s="41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7">
        <f>MAX(-0.05,NORMINV(RAND(),$C$6,$D$6))</f>
        <v/>
      </c>
      <c r="L730" s="27">
        <f>MAX(0.02,NORMINV(RAND(),$C$7,$D$7))</f>
        <v/>
      </c>
      <c r="M730" s="27">
        <f>MIN(0.16,MAX(0.05,NORMINV(RAND(),$C$8,$D$8)))</f>
        <v/>
      </c>
      <c r="N730" s="34">
        <f>MIN(24,MAX(5,NORMINV(RAND(),$C$9,$D$9)))</f>
        <v/>
      </c>
      <c r="O730" s="41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7">
        <f>MAX(-0.05,NORMINV(RAND(),$C$6,$D$6))</f>
        <v/>
      </c>
      <c r="L731" s="27">
        <f>MAX(0.02,NORMINV(RAND(),$C$7,$D$7))</f>
        <v/>
      </c>
      <c r="M731" s="27">
        <f>MIN(0.16,MAX(0.05,NORMINV(RAND(),$C$8,$D$8)))</f>
        <v/>
      </c>
      <c r="N731" s="34">
        <f>MIN(24,MAX(5,NORMINV(RAND(),$C$9,$D$9)))</f>
        <v/>
      </c>
      <c r="O731" s="41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7">
        <f>MAX(-0.05,NORMINV(RAND(),$C$6,$D$6))</f>
        <v/>
      </c>
      <c r="L732" s="27">
        <f>MAX(0.02,NORMINV(RAND(),$C$7,$D$7))</f>
        <v/>
      </c>
      <c r="M732" s="27">
        <f>MIN(0.16,MAX(0.05,NORMINV(RAND(),$C$8,$D$8)))</f>
        <v/>
      </c>
      <c r="N732" s="34">
        <f>MIN(24,MAX(5,NORMINV(RAND(),$C$9,$D$9)))</f>
        <v/>
      </c>
      <c r="O732" s="41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7">
        <f>MAX(-0.05,NORMINV(RAND(),$C$6,$D$6))</f>
        <v/>
      </c>
      <c r="L733" s="27">
        <f>MAX(0.02,NORMINV(RAND(),$C$7,$D$7))</f>
        <v/>
      </c>
      <c r="M733" s="27">
        <f>MIN(0.16,MAX(0.05,NORMINV(RAND(),$C$8,$D$8)))</f>
        <v/>
      </c>
      <c r="N733" s="34">
        <f>MIN(24,MAX(5,NORMINV(RAND(),$C$9,$D$9)))</f>
        <v/>
      </c>
      <c r="O733" s="41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7">
        <f>MAX(-0.05,NORMINV(RAND(),$C$6,$D$6))</f>
        <v/>
      </c>
      <c r="L734" s="27">
        <f>MAX(0.02,NORMINV(RAND(),$C$7,$D$7))</f>
        <v/>
      </c>
      <c r="M734" s="27">
        <f>MIN(0.16,MAX(0.05,NORMINV(RAND(),$C$8,$D$8)))</f>
        <v/>
      </c>
      <c r="N734" s="34">
        <f>MIN(24,MAX(5,NORMINV(RAND(),$C$9,$D$9)))</f>
        <v/>
      </c>
      <c r="O734" s="41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7">
        <f>MAX(-0.05,NORMINV(RAND(),$C$6,$D$6))</f>
        <v/>
      </c>
      <c r="L735" s="27">
        <f>MAX(0.02,NORMINV(RAND(),$C$7,$D$7))</f>
        <v/>
      </c>
      <c r="M735" s="27">
        <f>MIN(0.16,MAX(0.05,NORMINV(RAND(),$C$8,$D$8)))</f>
        <v/>
      </c>
      <c r="N735" s="34">
        <f>MIN(24,MAX(5,NORMINV(RAND(),$C$9,$D$9)))</f>
        <v/>
      </c>
      <c r="O735" s="41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7">
        <f>MAX(-0.05,NORMINV(RAND(),$C$6,$D$6))</f>
        <v/>
      </c>
      <c r="L736" s="27">
        <f>MAX(0.02,NORMINV(RAND(),$C$7,$D$7))</f>
        <v/>
      </c>
      <c r="M736" s="27">
        <f>MIN(0.16,MAX(0.05,NORMINV(RAND(),$C$8,$D$8)))</f>
        <v/>
      </c>
      <c r="N736" s="34">
        <f>MIN(24,MAX(5,NORMINV(RAND(),$C$9,$D$9)))</f>
        <v/>
      </c>
      <c r="O736" s="41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7">
        <f>MAX(-0.05,NORMINV(RAND(),$C$6,$D$6))</f>
        <v/>
      </c>
      <c r="L737" s="27">
        <f>MAX(0.02,NORMINV(RAND(),$C$7,$D$7))</f>
        <v/>
      </c>
      <c r="M737" s="27">
        <f>MIN(0.16,MAX(0.05,NORMINV(RAND(),$C$8,$D$8)))</f>
        <v/>
      </c>
      <c r="N737" s="34">
        <f>MIN(24,MAX(5,NORMINV(RAND(),$C$9,$D$9)))</f>
        <v/>
      </c>
      <c r="O737" s="41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7">
        <f>MAX(-0.05,NORMINV(RAND(),$C$6,$D$6))</f>
        <v/>
      </c>
      <c r="L738" s="27">
        <f>MAX(0.02,NORMINV(RAND(),$C$7,$D$7))</f>
        <v/>
      </c>
      <c r="M738" s="27">
        <f>MIN(0.16,MAX(0.05,NORMINV(RAND(),$C$8,$D$8)))</f>
        <v/>
      </c>
      <c r="N738" s="34">
        <f>MIN(24,MAX(5,NORMINV(RAND(),$C$9,$D$9)))</f>
        <v/>
      </c>
      <c r="O738" s="41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7">
        <f>MAX(-0.05,NORMINV(RAND(),$C$6,$D$6))</f>
        <v/>
      </c>
      <c r="L739" s="27">
        <f>MAX(0.02,NORMINV(RAND(),$C$7,$D$7))</f>
        <v/>
      </c>
      <c r="M739" s="27">
        <f>MIN(0.16,MAX(0.05,NORMINV(RAND(),$C$8,$D$8)))</f>
        <v/>
      </c>
      <c r="N739" s="34">
        <f>MIN(24,MAX(5,NORMINV(RAND(),$C$9,$D$9)))</f>
        <v/>
      </c>
      <c r="O739" s="41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7">
        <f>MAX(-0.05,NORMINV(RAND(),$C$6,$D$6))</f>
        <v/>
      </c>
      <c r="L740" s="27">
        <f>MAX(0.02,NORMINV(RAND(),$C$7,$D$7))</f>
        <v/>
      </c>
      <c r="M740" s="27">
        <f>MIN(0.16,MAX(0.05,NORMINV(RAND(),$C$8,$D$8)))</f>
        <v/>
      </c>
      <c r="N740" s="34">
        <f>MIN(24,MAX(5,NORMINV(RAND(),$C$9,$D$9)))</f>
        <v/>
      </c>
      <c r="O740" s="41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7">
        <f>MAX(-0.05,NORMINV(RAND(),$C$6,$D$6))</f>
        <v/>
      </c>
      <c r="L741" s="27">
        <f>MAX(0.02,NORMINV(RAND(),$C$7,$D$7))</f>
        <v/>
      </c>
      <c r="M741" s="27">
        <f>MIN(0.16,MAX(0.05,NORMINV(RAND(),$C$8,$D$8)))</f>
        <v/>
      </c>
      <c r="N741" s="34">
        <f>MIN(24,MAX(5,NORMINV(RAND(),$C$9,$D$9)))</f>
        <v/>
      </c>
      <c r="O741" s="41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7">
        <f>MAX(-0.05,NORMINV(RAND(),$C$6,$D$6))</f>
        <v/>
      </c>
      <c r="L742" s="27">
        <f>MAX(0.02,NORMINV(RAND(),$C$7,$D$7))</f>
        <v/>
      </c>
      <c r="M742" s="27">
        <f>MIN(0.16,MAX(0.05,NORMINV(RAND(),$C$8,$D$8)))</f>
        <v/>
      </c>
      <c r="N742" s="34">
        <f>MIN(24,MAX(5,NORMINV(RAND(),$C$9,$D$9)))</f>
        <v/>
      </c>
      <c r="O742" s="41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7">
        <f>MAX(-0.05,NORMINV(RAND(),$C$6,$D$6))</f>
        <v/>
      </c>
      <c r="L743" s="27">
        <f>MAX(0.02,NORMINV(RAND(),$C$7,$D$7))</f>
        <v/>
      </c>
      <c r="M743" s="27">
        <f>MIN(0.16,MAX(0.05,NORMINV(RAND(),$C$8,$D$8)))</f>
        <v/>
      </c>
      <c r="N743" s="34">
        <f>MIN(24,MAX(5,NORMINV(RAND(),$C$9,$D$9)))</f>
        <v/>
      </c>
      <c r="O743" s="41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7">
        <f>MAX(-0.05,NORMINV(RAND(),$C$6,$D$6))</f>
        <v/>
      </c>
      <c r="L744" s="27">
        <f>MAX(0.02,NORMINV(RAND(),$C$7,$D$7))</f>
        <v/>
      </c>
      <c r="M744" s="27">
        <f>MIN(0.16,MAX(0.05,NORMINV(RAND(),$C$8,$D$8)))</f>
        <v/>
      </c>
      <c r="N744" s="34">
        <f>MIN(24,MAX(5,NORMINV(RAND(),$C$9,$D$9)))</f>
        <v/>
      </c>
      <c r="O744" s="41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7">
        <f>MAX(-0.05,NORMINV(RAND(),$C$6,$D$6))</f>
        <v/>
      </c>
      <c r="L745" s="27">
        <f>MAX(0.02,NORMINV(RAND(),$C$7,$D$7))</f>
        <v/>
      </c>
      <c r="M745" s="27">
        <f>MIN(0.16,MAX(0.05,NORMINV(RAND(),$C$8,$D$8)))</f>
        <v/>
      </c>
      <c r="N745" s="34">
        <f>MIN(24,MAX(5,NORMINV(RAND(),$C$9,$D$9)))</f>
        <v/>
      </c>
      <c r="O745" s="41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7">
        <f>MAX(-0.05,NORMINV(RAND(),$C$6,$D$6))</f>
        <v/>
      </c>
      <c r="L746" s="27">
        <f>MAX(0.02,NORMINV(RAND(),$C$7,$D$7))</f>
        <v/>
      </c>
      <c r="M746" s="27">
        <f>MIN(0.16,MAX(0.05,NORMINV(RAND(),$C$8,$D$8)))</f>
        <v/>
      </c>
      <c r="N746" s="34">
        <f>MIN(24,MAX(5,NORMINV(RAND(),$C$9,$D$9)))</f>
        <v/>
      </c>
      <c r="O746" s="41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7">
        <f>MAX(-0.05,NORMINV(RAND(),$C$6,$D$6))</f>
        <v/>
      </c>
      <c r="L747" s="27">
        <f>MAX(0.02,NORMINV(RAND(),$C$7,$D$7))</f>
        <v/>
      </c>
      <c r="M747" s="27">
        <f>MIN(0.16,MAX(0.05,NORMINV(RAND(),$C$8,$D$8)))</f>
        <v/>
      </c>
      <c r="N747" s="34">
        <f>MIN(24,MAX(5,NORMINV(RAND(),$C$9,$D$9)))</f>
        <v/>
      </c>
      <c r="O747" s="41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7">
        <f>MAX(-0.05,NORMINV(RAND(),$C$6,$D$6))</f>
        <v/>
      </c>
      <c r="L748" s="27">
        <f>MAX(0.02,NORMINV(RAND(),$C$7,$D$7))</f>
        <v/>
      </c>
      <c r="M748" s="27">
        <f>MIN(0.16,MAX(0.05,NORMINV(RAND(),$C$8,$D$8)))</f>
        <v/>
      </c>
      <c r="N748" s="34">
        <f>MIN(24,MAX(5,NORMINV(RAND(),$C$9,$D$9)))</f>
        <v/>
      </c>
      <c r="O748" s="41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7">
        <f>MAX(-0.05,NORMINV(RAND(),$C$6,$D$6))</f>
        <v/>
      </c>
      <c r="L749" s="27">
        <f>MAX(0.02,NORMINV(RAND(),$C$7,$D$7))</f>
        <v/>
      </c>
      <c r="M749" s="27">
        <f>MIN(0.16,MAX(0.05,NORMINV(RAND(),$C$8,$D$8)))</f>
        <v/>
      </c>
      <c r="N749" s="34">
        <f>MIN(24,MAX(5,NORMINV(RAND(),$C$9,$D$9)))</f>
        <v/>
      </c>
      <c r="O749" s="41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7">
        <f>MAX(-0.05,NORMINV(RAND(),$C$6,$D$6))</f>
        <v/>
      </c>
      <c r="L750" s="27">
        <f>MAX(0.02,NORMINV(RAND(),$C$7,$D$7))</f>
        <v/>
      </c>
      <c r="M750" s="27">
        <f>MIN(0.16,MAX(0.05,NORMINV(RAND(),$C$8,$D$8)))</f>
        <v/>
      </c>
      <c r="N750" s="34">
        <f>MIN(24,MAX(5,NORMINV(RAND(),$C$9,$D$9)))</f>
        <v/>
      </c>
      <c r="O750" s="41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7">
        <f>MAX(-0.05,NORMINV(RAND(),$C$6,$D$6))</f>
        <v/>
      </c>
      <c r="L751" s="27">
        <f>MAX(0.02,NORMINV(RAND(),$C$7,$D$7))</f>
        <v/>
      </c>
      <c r="M751" s="27">
        <f>MIN(0.16,MAX(0.05,NORMINV(RAND(),$C$8,$D$8)))</f>
        <v/>
      </c>
      <c r="N751" s="34">
        <f>MIN(24,MAX(5,NORMINV(RAND(),$C$9,$D$9)))</f>
        <v/>
      </c>
      <c r="O751" s="41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7">
        <f>MAX(-0.05,NORMINV(RAND(),$C$6,$D$6))</f>
        <v/>
      </c>
      <c r="L752" s="27">
        <f>MAX(0.02,NORMINV(RAND(),$C$7,$D$7))</f>
        <v/>
      </c>
      <c r="M752" s="27">
        <f>MIN(0.16,MAX(0.05,NORMINV(RAND(),$C$8,$D$8)))</f>
        <v/>
      </c>
      <c r="N752" s="34">
        <f>MIN(24,MAX(5,NORMINV(RAND(),$C$9,$D$9)))</f>
        <v/>
      </c>
      <c r="O752" s="41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7">
        <f>MAX(-0.05,NORMINV(RAND(),$C$6,$D$6))</f>
        <v/>
      </c>
      <c r="L753" s="27">
        <f>MAX(0.02,NORMINV(RAND(),$C$7,$D$7))</f>
        <v/>
      </c>
      <c r="M753" s="27">
        <f>MIN(0.16,MAX(0.05,NORMINV(RAND(),$C$8,$D$8)))</f>
        <v/>
      </c>
      <c r="N753" s="34">
        <f>MIN(24,MAX(5,NORMINV(RAND(),$C$9,$D$9)))</f>
        <v/>
      </c>
      <c r="O753" s="41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7">
        <f>MAX(-0.05,NORMINV(RAND(),$C$6,$D$6))</f>
        <v/>
      </c>
      <c r="L754" s="27">
        <f>MAX(0.02,NORMINV(RAND(),$C$7,$D$7))</f>
        <v/>
      </c>
      <c r="M754" s="27">
        <f>MIN(0.16,MAX(0.05,NORMINV(RAND(),$C$8,$D$8)))</f>
        <v/>
      </c>
      <c r="N754" s="34">
        <f>MIN(24,MAX(5,NORMINV(RAND(),$C$9,$D$9)))</f>
        <v/>
      </c>
      <c r="O754" s="41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7">
        <f>MAX(-0.05,NORMINV(RAND(),$C$6,$D$6))</f>
        <v/>
      </c>
      <c r="L755" s="27">
        <f>MAX(0.02,NORMINV(RAND(),$C$7,$D$7))</f>
        <v/>
      </c>
      <c r="M755" s="27">
        <f>MIN(0.16,MAX(0.05,NORMINV(RAND(),$C$8,$D$8)))</f>
        <v/>
      </c>
      <c r="N755" s="34">
        <f>MIN(24,MAX(5,NORMINV(RAND(),$C$9,$D$9)))</f>
        <v/>
      </c>
      <c r="O755" s="41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7">
        <f>MAX(-0.05,NORMINV(RAND(),$C$6,$D$6))</f>
        <v/>
      </c>
      <c r="L756" s="27">
        <f>MAX(0.02,NORMINV(RAND(),$C$7,$D$7))</f>
        <v/>
      </c>
      <c r="M756" s="27">
        <f>MIN(0.16,MAX(0.05,NORMINV(RAND(),$C$8,$D$8)))</f>
        <v/>
      </c>
      <c r="N756" s="34">
        <f>MIN(24,MAX(5,NORMINV(RAND(),$C$9,$D$9)))</f>
        <v/>
      </c>
      <c r="O756" s="41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7">
        <f>MAX(-0.05,NORMINV(RAND(),$C$6,$D$6))</f>
        <v/>
      </c>
      <c r="L757" s="27">
        <f>MAX(0.02,NORMINV(RAND(),$C$7,$D$7))</f>
        <v/>
      </c>
      <c r="M757" s="27">
        <f>MIN(0.16,MAX(0.05,NORMINV(RAND(),$C$8,$D$8)))</f>
        <v/>
      </c>
      <c r="N757" s="34">
        <f>MIN(24,MAX(5,NORMINV(RAND(),$C$9,$D$9)))</f>
        <v/>
      </c>
      <c r="O757" s="41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7">
        <f>MAX(-0.05,NORMINV(RAND(),$C$6,$D$6))</f>
        <v/>
      </c>
      <c r="L758" s="27">
        <f>MAX(0.02,NORMINV(RAND(),$C$7,$D$7))</f>
        <v/>
      </c>
      <c r="M758" s="27">
        <f>MIN(0.16,MAX(0.05,NORMINV(RAND(),$C$8,$D$8)))</f>
        <v/>
      </c>
      <c r="N758" s="34">
        <f>MIN(24,MAX(5,NORMINV(RAND(),$C$9,$D$9)))</f>
        <v/>
      </c>
      <c r="O758" s="41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7">
        <f>MAX(-0.05,NORMINV(RAND(),$C$6,$D$6))</f>
        <v/>
      </c>
      <c r="L759" s="27">
        <f>MAX(0.02,NORMINV(RAND(),$C$7,$D$7))</f>
        <v/>
      </c>
      <c r="M759" s="27">
        <f>MIN(0.16,MAX(0.05,NORMINV(RAND(),$C$8,$D$8)))</f>
        <v/>
      </c>
      <c r="N759" s="34">
        <f>MIN(24,MAX(5,NORMINV(RAND(),$C$9,$D$9)))</f>
        <v/>
      </c>
      <c r="O759" s="41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7">
        <f>MAX(-0.05,NORMINV(RAND(),$C$6,$D$6))</f>
        <v/>
      </c>
      <c r="L760" s="27">
        <f>MAX(0.02,NORMINV(RAND(),$C$7,$D$7))</f>
        <v/>
      </c>
      <c r="M760" s="27">
        <f>MIN(0.16,MAX(0.05,NORMINV(RAND(),$C$8,$D$8)))</f>
        <v/>
      </c>
      <c r="N760" s="34">
        <f>MIN(24,MAX(5,NORMINV(RAND(),$C$9,$D$9)))</f>
        <v/>
      </c>
      <c r="O760" s="41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7">
        <f>MAX(-0.05,NORMINV(RAND(),$C$6,$D$6))</f>
        <v/>
      </c>
      <c r="L761" s="27">
        <f>MAX(0.02,NORMINV(RAND(),$C$7,$D$7))</f>
        <v/>
      </c>
      <c r="M761" s="27">
        <f>MIN(0.16,MAX(0.05,NORMINV(RAND(),$C$8,$D$8)))</f>
        <v/>
      </c>
      <c r="N761" s="34">
        <f>MIN(24,MAX(5,NORMINV(RAND(),$C$9,$D$9)))</f>
        <v/>
      </c>
      <c r="O761" s="41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7">
        <f>MAX(-0.05,NORMINV(RAND(),$C$6,$D$6))</f>
        <v/>
      </c>
      <c r="L762" s="27">
        <f>MAX(0.02,NORMINV(RAND(),$C$7,$D$7))</f>
        <v/>
      </c>
      <c r="M762" s="27">
        <f>MIN(0.16,MAX(0.05,NORMINV(RAND(),$C$8,$D$8)))</f>
        <v/>
      </c>
      <c r="N762" s="34">
        <f>MIN(24,MAX(5,NORMINV(RAND(),$C$9,$D$9)))</f>
        <v/>
      </c>
      <c r="O762" s="41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7">
        <f>MAX(-0.05,NORMINV(RAND(),$C$6,$D$6))</f>
        <v/>
      </c>
      <c r="L763" s="27">
        <f>MAX(0.02,NORMINV(RAND(),$C$7,$D$7))</f>
        <v/>
      </c>
      <c r="M763" s="27">
        <f>MIN(0.16,MAX(0.05,NORMINV(RAND(),$C$8,$D$8)))</f>
        <v/>
      </c>
      <c r="N763" s="34">
        <f>MIN(24,MAX(5,NORMINV(RAND(),$C$9,$D$9)))</f>
        <v/>
      </c>
      <c r="O763" s="41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7">
        <f>MAX(-0.05,NORMINV(RAND(),$C$6,$D$6))</f>
        <v/>
      </c>
      <c r="L764" s="27">
        <f>MAX(0.02,NORMINV(RAND(),$C$7,$D$7))</f>
        <v/>
      </c>
      <c r="M764" s="27">
        <f>MIN(0.16,MAX(0.05,NORMINV(RAND(),$C$8,$D$8)))</f>
        <v/>
      </c>
      <c r="N764" s="34">
        <f>MIN(24,MAX(5,NORMINV(RAND(),$C$9,$D$9)))</f>
        <v/>
      </c>
      <c r="O764" s="41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7">
        <f>MAX(-0.05,NORMINV(RAND(),$C$6,$D$6))</f>
        <v/>
      </c>
      <c r="L765" s="27">
        <f>MAX(0.02,NORMINV(RAND(),$C$7,$D$7))</f>
        <v/>
      </c>
      <c r="M765" s="27">
        <f>MIN(0.16,MAX(0.05,NORMINV(RAND(),$C$8,$D$8)))</f>
        <v/>
      </c>
      <c r="N765" s="34">
        <f>MIN(24,MAX(5,NORMINV(RAND(),$C$9,$D$9)))</f>
        <v/>
      </c>
      <c r="O765" s="41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7">
        <f>MAX(-0.05,NORMINV(RAND(),$C$6,$D$6))</f>
        <v/>
      </c>
      <c r="L766" s="27">
        <f>MAX(0.02,NORMINV(RAND(),$C$7,$D$7))</f>
        <v/>
      </c>
      <c r="M766" s="27">
        <f>MIN(0.16,MAX(0.05,NORMINV(RAND(),$C$8,$D$8)))</f>
        <v/>
      </c>
      <c r="N766" s="34">
        <f>MIN(24,MAX(5,NORMINV(RAND(),$C$9,$D$9)))</f>
        <v/>
      </c>
      <c r="O766" s="41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7">
        <f>MAX(-0.05,NORMINV(RAND(),$C$6,$D$6))</f>
        <v/>
      </c>
      <c r="L767" s="27">
        <f>MAX(0.02,NORMINV(RAND(),$C$7,$D$7))</f>
        <v/>
      </c>
      <c r="M767" s="27">
        <f>MIN(0.16,MAX(0.05,NORMINV(RAND(),$C$8,$D$8)))</f>
        <v/>
      </c>
      <c r="N767" s="34">
        <f>MIN(24,MAX(5,NORMINV(RAND(),$C$9,$D$9)))</f>
        <v/>
      </c>
      <c r="O767" s="41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7">
        <f>MAX(-0.05,NORMINV(RAND(),$C$6,$D$6))</f>
        <v/>
      </c>
      <c r="L768" s="27">
        <f>MAX(0.02,NORMINV(RAND(),$C$7,$D$7))</f>
        <v/>
      </c>
      <c r="M768" s="27">
        <f>MIN(0.16,MAX(0.05,NORMINV(RAND(),$C$8,$D$8)))</f>
        <v/>
      </c>
      <c r="N768" s="34">
        <f>MIN(24,MAX(5,NORMINV(RAND(),$C$9,$D$9)))</f>
        <v/>
      </c>
      <c r="O768" s="41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7">
        <f>MAX(-0.05,NORMINV(RAND(),$C$6,$D$6))</f>
        <v/>
      </c>
      <c r="L769" s="27">
        <f>MAX(0.02,NORMINV(RAND(),$C$7,$D$7))</f>
        <v/>
      </c>
      <c r="M769" s="27">
        <f>MIN(0.16,MAX(0.05,NORMINV(RAND(),$C$8,$D$8)))</f>
        <v/>
      </c>
      <c r="N769" s="34">
        <f>MIN(24,MAX(5,NORMINV(RAND(),$C$9,$D$9)))</f>
        <v/>
      </c>
      <c r="O769" s="41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7">
        <f>MAX(-0.05,NORMINV(RAND(),$C$6,$D$6))</f>
        <v/>
      </c>
      <c r="L770" s="27">
        <f>MAX(0.02,NORMINV(RAND(),$C$7,$D$7))</f>
        <v/>
      </c>
      <c r="M770" s="27">
        <f>MIN(0.16,MAX(0.05,NORMINV(RAND(),$C$8,$D$8)))</f>
        <v/>
      </c>
      <c r="N770" s="34">
        <f>MIN(24,MAX(5,NORMINV(RAND(),$C$9,$D$9)))</f>
        <v/>
      </c>
      <c r="O770" s="41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7">
        <f>MAX(-0.05,NORMINV(RAND(),$C$6,$D$6))</f>
        <v/>
      </c>
      <c r="L771" s="27">
        <f>MAX(0.02,NORMINV(RAND(),$C$7,$D$7))</f>
        <v/>
      </c>
      <c r="M771" s="27">
        <f>MIN(0.16,MAX(0.05,NORMINV(RAND(),$C$8,$D$8)))</f>
        <v/>
      </c>
      <c r="N771" s="34">
        <f>MIN(24,MAX(5,NORMINV(RAND(),$C$9,$D$9)))</f>
        <v/>
      </c>
      <c r="O771" s="41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7">
        <f>MAX(-0.05,NORMINV(RAND(),$C$6,$D$6))</f>
        <v/>
      </c>
      <c r="L772" s="27">
        <f>MAX(0.02,NORMINV(RAND(),$C$7,$D$7))</f>
        <v/>
      </c>
      <c r="M772" s="27">
        <f>MIN(0.16,MAX(0.05,NORMINV(RAND(),$C$8,$D$8)))</f>
        <v/>
      </c>
      <c r="N772" s="34">
        <f>MIN(24,MAX(5,NORMINV(RAND(),$C$9,$D$9)))</f>
        <v/>
      </c>
      <c r="O772" s="41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7">
        <f>MAX(-0.05,NORMINV(RAND(),$C$6,$D$6))</f>
        <v/>
      </c>
      <c r="L773" s="27">
        <f>MAX(0.02,NORMINV(RAND(),$C$7,$D$7))</f>
        <v/>
      </c>
      <c r="M773" s="27">
        <f>MIN(0.16,MAX(0.05,NORMINV(RAND(),$C$8,$D$8)))</f>
        <v/>
      </c>
      <c r="N773" s="34">
        <f>MIN(24,MAX(5,NORMINV(RAND(),$C$9,$D$9)))</f>
        <v/>
      </c>
      <c r="O773" s="41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7">
        <f>MAX(-0.05,NORMINV(RAND(),$C$6,$D$6))</f>
        <v/>
      </c>
      <c r="L774" s="27">
        <f>MAX(0.02,NORMINV(RAND(),$C$7,$D$7))</f>
        <v/>
      </c>
      <c r="M774" s="27">
        <f>MIN(0.16,MAX(0.05,NORMINV(RAND(),$C$8,$D$8)))</f>
        <v/>
      </c>
      <c r="N774" s="34">
        <f>MIN(24,MAX(5,NORMINV(RAND(),$C$9,$D$9)))</f>
        <v/>
      </c>
      <c r="O774" s="41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7">
        <f>MAX(-0.05,NORMINV(RAND(),$C$6,$D$6))</f>
        <v/>
      </c>
      <c r="L775" s="27">
        <f>MAX(0.02,NORMINV(RAND(),$C$7,$D$7))</f>
        <v/>
      </c>
      <c r="M775" s="27">
        <f>MIN(0.16,MAX(0.05,NORMINV(RAND(),$C$8,$D$8)))</f>
        <v/>
      </c>
      <c r="N775" s="34">
        <f>MIN(24,MAX(5,NORMINV(RAND(),$C$9,$D$9)))</f>
        <v/>
      </c>
      <c r="O775" s="41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7">
        <f>MAX(-0.05,NORMINV(RAND(),$C$6,$D$6))</f>
        <v/>
      </c>
      <c r="L776" s="27">
        <f>MAX(0.02,NORMINV(RAND(),$C$7,$D$7))</f>
        <v/>
      </c>
      <c r="M776" s="27">
        <f>MIN(0.16,MAX(0.05,NORMINV(RAND(),$C$8,$D$8)))</f>
        <v/>
      </c>
      <c r="N776" s="34">
        <f>MIN(24,MAX(5,NORMINV(RAND(),$C$9,$D$9)))</f>
        <v/>
      </c>
      <c r="O776" s="41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7">
        <f>MAX(-0.05,NORMINV(RAND(),$C$6,$D$6))</f>
        <v/>
      </c>
      <c r="L777" s="27">
        <f>MAX(0.02,NORMINV(RAND(),$C$7,$D$7))</f>
        <v/>
      </c>
      <c r="M777" s="27">
        <f>MIN(0.16,MAX(0.05,NORMINV(RAND(),$C$8,$D$8)))</f>
        <v/>
      </c>
      <c r="N777" s="34">
        <f>MIN(24,MAX(5,NORMINV(RAND(),$C$9,$D$9)))</f>
        <v/>
      </c>
      <c r="O777" s="41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7">
        <f>MAX(-0.05,NORMINV(RAND(),$C$6,$D$6))</f>
        <v/>
      </c>
      <c r="L778" s="27">
        <f>MAX(0.02,NORMINV(RAND(),$C$7,$D$7))</f>
        <v/>
      </c>
      <c r="M778" s="27">
        <f>MIN(0.16,MAX(0.05,NORMINV(RAND(),$C$8,$D$8)))</f>
        <v/>
      </c>
      <c r="N778" s="34">
        <f>MIN(24,MAX(5,NORMINV(RAND(),$C$9,$D$9)))</f>
        <v/>
      </c>
      <c r="O778" s="41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7">
        <f>MAX(-0.05,NORMINV(RAND(),$C$6,$D$6))</f>
        <v/>
      </c>
      <c r="L779" s="27">
        <f>MAX(0.02,NORMINV(RAND(),$C$7,$D$7))</f>
        <v/>
      </c>
      <c r="M779" s="27">
        <f>MIN(0.16,MAX(0.05,NORMINV(RAND(),$C$8,$D$8)))</f>
        <v/>
      </c>
      <c r="N779" s="34">
        <f>MIN(24,MAX(5,NORMINV(RAND(),$C$9,$D$9)))</f>
        <v/>
      </c>
      <c r="O779" s="41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7">
        <f>MAX(-0.05,NORMINV(RAND(),$C$6,$D$6))</f>
        <v/>
      </c>
      <c r="L780" s="27">
        <f>MAX(0.02,NORMINV(RAND(),$C$7,$D$7))</f>
        <v/>
      </c>
      <c r="M780" s="27">
        <f>MIN(0.16,MAX(0.05,NORMINV(RAND(),$C$8,$D$8)))</f>
        <v/>
      </c>
      <c r="N780" s="34">
        <f>MIN(24,MAX(5,NORMINV(RAND(),$C$9,$D$9)))</f>
        <v/>
      </c>
      <c r="O780" s="41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7">
        <f>MAX(-0.05,NORMINV(RAND(),$C$6,$D$6))</f>
        <v/>
      </c>
      <c r="L781" s="27">
        <f>MAX(0.02,NORMINV(RAND(),$C$7,$D$7))</f>
        <v/>
      </c>
      <c r="M781" s="27">
        <f>MIN(0.16,MAX(0.05,NORMINV(RAND(),$C$8,$D$8)))</f>
        <v/>
      </c>
      <c r="N781" s="34">
        <f>MIN(24,MAX(5,NORMINV(RAND(),$C$9,$D$9)))</f>
        <v/>
      </c>
      <c r="O781" s="41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7">
        <f>MAX(-0.05,NORMINV(RAND(),$C$6,$D$6))</f>
        <v/>
      </c>
      <c r="L782" s="27">
        <f>MAX(0.02,NORMINV(RAND(),$C$7,$D$7))</f>
        <v/>
      </c>
      <c r="M782" s="27">
        <f>MIN(0.16,MAX(0.05,NORMINV(RAND(),$C$8,$D$8)))</f>
        <v/>
      </c>
      <c r="N782" s="34">
        <f>MIN(24,MAX(5,NORMINV(RAND(),$C$9,$D$9)))</f>
        <v/>
      </c>
      <c r="O782" s="41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7">
        <f>MAX(-0.05,NORMINV(RAND(),$C$6,$D$6))</f>
        <v/>
      </c>
      <c r="L783" s="27">
        <f>MAX(0.02,NORMINV(RAND(),$C$7,$D$7))</f>
        <v/>
      </c>
      <c r="M783" s="27">
        <f>MIN(0.16,MAX(0.05,NORMINV(RAND(),$C$8,$D$8)))</f>
        <v/>
      </c>
      <c r="N783" s="34">
        <f>MIN(24,MAX(5,NORMINV(RAND(),$C$9,$D$9)))</f>
        <v/>
      </c>
      <c r="O783" s="41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7">
        <f>MAX(-0.05,NORMINV(RAND(),$C$6,$D$6))</f>
        <v/>
      </c>
      <c r="L784" s="27">
        <f>MAX(0.02,NORMINV(RAND(),$C$7,$D$7))</f>
        <v/>
      </c>
      <c r="M784" s="27">
        <f>MIN(0.16,MAX(0.05,NORMINV(RAND(),$C$8,$D$8)))</f>
        <v/>
      </c>
      <c r="N784" s="34">
        <f>MIN(24,MAX(5,NORMINV(RAND(),$C$9,$D$9)))</f>
        <v/>
      </c>
      <c r="O784" s="41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7">
        <f>MAX(-0.05,NORMINV(RAND(),$C$6,$D$6))</f>
        <v/>
      </c>
      <c r="L785" s="27">
        <f>MAX(0.02,NORMINV(RAND(),$C$7,$D$7))</f>
        <v/>
      </c>
      <c r="M785" s="27">
        <f>MIN(0.16,MAX(0.05,NORMINV(RAND(),$C$8,$D$8)))</f>
        <v/>
      </c>
      <c r="N785" s="34">
        <f>MIN(24,MAX(5,NORMINV(RAND(),$C$9,$D$9)))</f>
        <v/>
      </c>
      <c r="O785" s="41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7">
        <f>MAX(-0.05,NORMINV(RAND(),$C$6,$D$6))</f>
        <v/>
      </c>
      <c r="L786" s="27">
        <f>MAX(0.02,NORMINV(RAND(),$C$7,$D$7))</f>
        <v/>
      </c>
      <c r="M786" s="27">
        <f>MIN(0.16,MAX(0.05,NORMINV(RAND(),$C$8,$D$8)))</f>
        <v/>
      </c>
      <c r="N786" s="34">
        <f>MIN(24,MAX(5,NORMINV(RAND(),$C$9,$D$9)))</f>
        <v/>
      </c>
      <c r="O786" s="41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7">
        <f>MAX(-0.05,NORMINV(RAND(),$C$6,$D$6))</f>
        <v/>
      </c>
      <c r="L787" s="27">
        <f>MAX(0.02,NORMINV(RAND(),$C$7,$D$7))</f>
        <v/>
      </c>
      <c r="M787" s="27">
        <f>MIN(0.16,MAX(0.05,NORMINV(RAND(),$C$8,$D$8)))</f>
        <v/>
      </c>
      <c r="N787" s="34">
        <f>MIN(24,MAX(5,NORMINV(RAND(),$C$9,$D$9)))</f>
        <v/>
      </c>
      <c r="O787" s="41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7">
        <f>MAX(-0.05,NORMINV(RAND(),$C$6,$D$6))</f>
        <v/>
      </c>
      <c r="L788" s="27">
        <f>MAX(0.02,NORMINV(RAND(),$C$7,$D$7))</f>
        <v/>
      </c>
      <c r="M788" s="27">
        <f>MIN(0.16,MAX(0.05,NORMINV(RAND(),$C$8,$D$8)))</f>
        <v/>
      </c>
      <c r="N788" s="34">
        <f>MIN(24,MAX(5,NORMINV(RAND(),$C$9,$D$9)))</f>
        <v/>
      </c>
      <c r="O788" s="41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7">
        <f>MAX(-0.05,NORMINV(RAND(),$C$6,$D$6))</f>
        <v/>
      </c>
      <c r="L789" s="27">
        <f>MAX(0.02,NORMINV(RAND(),$C$7,$D$7))</f>
        <v/>
      </c>
      <c r="M789" s="27">
        <f>MIN(0.16,MAX(0.05,NORMINV(RAND(),$C$8,$D$8)))</f>
        <v/>
      </c>
      <c r="N789" s="34">
        <f>MIN(24,MAX(5,NORMINV(RAND(),$C$9,$D$9)))</f>
        <v/>
      </c>
      <c r="O789" s="41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7">
        <f>MAX(-0.05,NORMINV(RAND(),$C$6,$D$6))</f>
        <v/>
      </c>
      <c r="L790" s="27">
        <f>MAX(0.02,NORMINV(RAND(),$C$7,$D$7))</f>
        <v/>
      </c>
      <c r="M790" s="27">
        <f>MIN(0.16,MAX(0.05,NORMINV(RAND(),$C$8,$D$8)))</f>
        <v/>
      </c>
      <c r="N790" s="34">
        <f>MIN(24,MAX(5,NORMINV(RAND(),$C$9,$D$9)))</f>
        <v/>
      </c>
      <c r="O790" s="41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7">
        <f>MAX(-0.05,NORMINV(RAND(),$C$6,$D$6))</f>
        <v/>
      </c>
      <c r="L791" s="27">
        <f>MAX(0.02,NORMINV(RAND(),$C$7,$D$7))</f>
        <v/>
      </c>
      <c r="M791" s="27">
        <f>MIN(0.16,MAX(0.05,NORMINV(RAND(),$C$8,$D$8)))</f>
        <v/>
      </c>
      <c r="N791" s="34">
        <f>MIN(24,MAX(5,NORMINV(RAND(),$C$9,$D$9)))</f>
        <v/>
      </c>
      <c r="O791" s="41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7">
        <f>MAX(-0.05,NORMINV(RAND(),$C$6,$D$6))</f>
        <v/>
      </c>
      <c r="L792" s="27">
        <f>MAX(0.02,NORMINV(RAND(),$C$7,$D$7))</f>
        <v/>
      </c>
      <c r="M792" s="27">
        <f>MIN(0.16,MAX(0.05,NORMINV(RAND(),$C$8,$D$8)))</f>
        <v/>
      </c>
      <c r="N792" s="34">
        <f>MIN(24,MAX(5,NORMINV(RAND(),$C$9,$D$9)))</f>
        <v/>
      </c>
      <c r="O792" s="41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7">
        <f>MAX(-0.05,NORMINV(RAND(),$C$6,$D$6))</f>
        <v/>
      </c>
      <c r="L793" s="27">
        <f>MAX(0.02,NORMINV(RAND(),$C$7,$D$7))</f>
        <v/>
      </c>
      <c r="M793" s="27">
        <f>MIN(0.16,MAX(0.05,NORMINV(RAND(),$C$8,$D$8)))</f>
        <v/>
      </c>
      <c r="N793" s="34">
        <f>MIN(24,MAX(5,NORMINV(RAND(),$C$9,$D$9)))</f>
        <v/>
      </c>
      <c r="O793" s="41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7">
        <f>MAX(-0.05,NORMINV(RAND(),$C$6,$D$6))</f>
        <v/>
      </c>
      <c r="L794" s="27">
        <f>MAX(0.02,NORMINV(RAND(),$C$7,$D$7))</f>
        <v/>
      </c>
      <c r="M794" s="27">
        <f>MIN(0.16,MAX(0.05,NORMINV(RAND(),$C$8,$D$8)))</f>
        <v/>
      </c>
      <c r="N794" s="34">
        <f>MIN(24,MAX(5,NORMINV(RAND(),$C$9,$D$9)))</f>
        <v/>
      </c>
      <c r="O794" s="41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7">
        <f>MAX(-0.05,NORMINV(RAND(),$C$6,$D$6))</f>
        <v/>
      </c>
      <c r="L795" s="27">
        <f>MAX(0.02,NORMINV(RAND(),$C$7,$D$7))</f>
        <v/>
      </c>
      <c r="M795" s="27">
        <f>MIN(0.16,MAX(0.05,NORMINV(RAND(),$C$8,$D$8)))</f>
        <v/>
      </c>
      <c r="N795" s="34">
        <f>MIN(24,MAX(5,NORMINV(RAND(),$C$9,$D$9)))</f>
        <v/>
      </c>
      <c r="O795" s="41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7">
        <f>MAX(-0.05,NORMINV(RAND(),$C$6,$D$6))</f>
        <v/>
      </c>
      <c r="L796" s="27">
        <f>MAX(0.02,NORMINV(RAND(),$C$7,$D$7))</f>
        <v/>
      </c>
      <c r="M796" s="27">
        <f>MIN(0.16,MAX(0.05,NORMINV(RAND(),$C$8,$D$8)))</f>
        <v/>
      </c>
      <c r="N796" s="34">
        <f>MIN(24,MAX(5,NORMINV(RAND(),$C$9,$D$9)))</f>
        <v/>
      </c>
      <c r="O796" s="41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7">
        <f>MAX(-0.05,NORMINV(RAND(),$C$6,$D$6))</f>
        <v/>
      </c>
      <c r="L797" s="27">
        <f>MAX(0.02,NORMINV(RAND(),$C$7,$D$7))</f>
        <v/>
      </c>
      <c r="M797" s="27">
        <f>MIN(0.16,MAX(0.05,NORMINV(RAND(),$C$8,$D$8)))</f>
        <v/>
      </c>
      <c r="N797" s="34">
        <f>MIN(24,MAX(5,NORMINV(RAND(),$C$9,$D$9)))</f>
        <v/>
      </c>
      <c r="O797" s="41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7">
        <f>MAX(-0.05,NORMINV(RAND(),$C$6,$D$6))</f>
        <v/>
      </c>
      <c r="L798" s="27">
        <f>MAX(0.02,NORMINV(RAND(),$C$7,$D$7))</f>
        <v/>
      </c>
      <c r="M798" s="27">
        <f>MIN(0.16,MAX(0.05,NORMINV(RAND(),$C$8,$D$8)))</f>
        <v/>
      </c>
      <c r="N798" s="34">
        <f>MIN(24,MAX(5,NORMINV(RAND(),$C$9,$D$9)))</f>
        <v/>
      </c>
      <c r="O798" s="41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7">
        <f>MAX(-0.05,NORMINV(RAND(),$C$6,$D$6))</f>
        <v/>
      </c>
      <c r="L799" s="27">
        <f>MAX(0.02,NORMINV(RAND(),$C$7,$D$7))</f>
        <v/>
      </c>
      <c r="M799" s="27">
        <f>MIN(0.16,MAX(0.05,NORMINV(RAND(),$C$8,$D$8)))</f>
        <v/>
      </c>
      <c r="N799" s="34">
        <f>MIN(24,MAX(5,NORMINV(RAND(),$C$9,$D$9)))</f>
        <v/>
      </c>
      <c r="O799" s="41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7">
        <f>MAX(-0.05,NORMINV(RAND(),$C$6,$D$6))</f>
        <v/>
      </c>
      <c r="L800" s="27">
        <f>MAX(0.02,NORMINV(RAND(),$C$7,$D$7))</f>
        <v/>
      </c>
      <c r="M800" s="27">
        <f>MIN(0.16,MAX(0.05,NORMINV(RAND(),$C$8,$D$8)))</f>
        <v/>
      </c>
      <c r="N800" s="34">
        <f>MIN(24,MAX(5,NORMINV(RAND(),$C$9,$D$9)))</f>
        <v/>
      </c>
      <c r="O800" s="41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7">
        <f>MAX(-0.05,NORMINV(RAND(),$C$6,$D$6))</f>
        <v/>
      </c>
      <c r="L801" s="27">
        <f>MAX(0.02,NORMINV(RAND(),$C$7,$D$7))</f>
        <v/>
      </c>
      <c r="M801" s="27">
        <f>MIN(0.16,MAX(0.05,NORMINV(RAND(),$C$8,$D$8)))</f>
        <v/>
      </c>
      <c r="N801" s="34">
        <f>MIN(24,MAX(5,NORMINV(RAND(),$C$9,$D$9)))</f>
        <v/>
      </c>
      <c r="O801" s="41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7">
        <f>MAX(-0.05,NORMINV(RAND(),$C$6,$D$6))</f>
        <v/>
      </c>
      <c r="L802" s="27">
        <f>MAX(0.02,NORMINV(RAND(),$C$7,$D$7))</f>
        <v/>
      </c>
      <c r="M802" s="27">
        <f>MIN(0.16,MAX(0.05,NORMINV(RAND(),$C$8,$D$8)))</f>
        <v/>
      </c>
      <c r="N802" s="34">
        <f>MIN(24,MAX(5,NORMINV(RAND(),$C$9,$D$9)))</f>
        <v/>
      </c>
      <c r="O802" s="41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7">
        <f>MAX(-0.05,NORMINV(RAND(),$C$6,$D$6))</f>
        <v/>
      </c>
      <c r="L803" s="27">
        <f>MAX(0.02,NORMINV(RAND(),$C$7,$D$7))</f>
        <v/>
      </c>
      <c r="M803" s="27">
        <f>MIN(0.16,MAX(0.05,NORMINV(RAND(),$C$8,$D$8)))</f>
        <v/>
      </c>
      <c r="N803" s="34">
        <f>MIN(24,MAX(5,NORMINV(RAND(),$C$9,$D$9)))</f>
        <v/>
      </c>
      <c r="O803" s="41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7">
        <f>MAX(-0.05,NORMINV(RAND(),$C$6,$D$6))</f>
        <v/>
      </c>
      <c r="L804" s="27">
        <f>MAX(0.02,NORMINV(RAND(),$C$7,$D$7))</f>
        <v/>
      </c>
      <c r="M804" s="27">
        <f>MIN(0.16,MAX(0.05,NORMINV(RAND(),$C$8,$D$8)))</f>
        <v/>
      </c>
      <c r="N804" s="34">
        <f>MIN(24,MAX(5,NORMINV(RAND(),$C$9,$D$9)))</f>
        <v/>
      </c>
      <c r="O804" s="41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7">
        <f>MAX(-0.05,NORMINV(RAND(),$C$6,$D$6))</f>
        <v/>
      </c>
      <c r="L805" s="27">
        <f>MAX(0.02,NORMINV(RAND(),$C$7,$D$7))</f>
        <v/>
      </c>
      <c r="M805" s="27">
        <f>MIN(0.16,MAX(0.05,NORMINV(RAND(),$C$8,$D$8)))</f>
        <v/>
      </c>
      <c r="N805" s="34">
        <f>MIN(24,MAX(5,NORMINV(RAND(),$C$9,$D$9)))</f>
        <v/>
      </c>
      <c r="O805" s="41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7">
        <f>MAX(-0.05,NORMINV(RAND(),$C$6,$D$6))</f>
        <v/>
      </c>
      <c r="L806" s="27">
        <f>MAX(0.02,NORMINV(RAND(),$C$7,$D$7))</f>
        <v/>
      </c>
      <c r="M806" s="27">
        <f>MIN(0.16,MAX(0.05,NORMINV(RAND(),$C$8,$D$8)))</f>
        <v/>
      </c>
      <c r="N806" s="34">
        <f>MIN(24,MAX(5,NORMINV(RAND(),$C$9,$D$9)))</f>
        <v/>
      </c>
      <c r="O806" s="41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7">
        <f>MAX(-0.05,NORMINV(RAND(),$C$6,$D$6))</f>
        <v/>
      </c>
      <c r="L807" s="27">
        <f>MAX(0.02,NORMINV(RAND(),$C$7,$D$7))</f>
        <v/>
      </c>
      <c r="M807" s="27">
        <f>MIN(0.16,MAX(0.05,NORMINV(RAND(),$C$8,$D$8)))</f>
        <v/>
      </c>
      <c r="N807" s="34">
        <f>MIN(24,MAX(5,NORMINV(RAND(),$C$9,$D$9)))</f>
        <v/>
      </c>
      <c r="O807" s="41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7">
        <f>MAX(-0.05,NORMINV(RAND(),$C$6,$D$6))</f>
        <v/>
      </c>
      <c r="L808" s="27">
        <f>MAX(0.02,NORMINV(RAND(),$C$7,$D$7))</f>
        <v/>
      </c>
      <c r="M808" s="27">
        <f>MIN(0.16,MAX(0.05,NORMINV(RAND(),$C$8,$D$8)))</f>
        <v/>
      </c>
      <c r="N808" s="34">
        <f>MIN(24,MAX(5,NORMINV(RAND(),$C$9,$D$9)))</f>
        <v/>
      </c>
      <c r="O808" s="41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7">
        <f>MAX(-0.05,NORMINV(RAND(),$C$6,$D$6))</f>
        <v/>
      </c>
      <c r="L809" s="27">
        <f>MAX(0.02,NORMINV(RAND(),$C$7,$D$7))</f>
        <v/>
      </c>
      <c r="M809" s="27">
        <f>MIN(0.16,MAX(0.05,NORMINV(RAND(),$C$8,$D$8)))</f>
        <v/>
      </c>
      <c r="N809" s="34">
        <f>MIN(24,MAX(5,NORMINV(RAND(),$C$9,$D$9)))</f>
        <v/>
      </c>
      <c r="O809" s="41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7">
        <f>MAX(-0.05,NORMINV(RAND(),$C$6,$D$6))</f>
        <v/>
      </c>
      <c r="L810" s="27">
        <f>MAX(0.02,NORMINV(RAND(),$C$7,$D$7))</f>
        <v/>
      </c>
      <c r="M810" s="27">
        <f>MIN(0.16,MAX(0.05,NORMINV(RAND(),$C$8,$D$8)))</f>
        <v/>
      </c>
      <c r="N810" s="34">
        <f>MIN(24,MAX(5,NORMINV(RAND(),$C$9,$D$9)))</f>
        <v/>
      </c>
      <c r="O810" s="41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7">
        <f>MAX(-0.05,NORMINV(RAND(),$C$6,$D$6))</f>
        <v/>
      </c>
      <c r="L811" s="27">
        <f>MAX(0.02,NORMINV(RAND(),$C$7,$D$7))</f>
        <v/>
      </c>
      <c r="M811" s="27">
        <f>MIN(0.16,MAX(0.05,NORMINV(RAND(),$C$8,$D$8)))</f>
        <v/>
      </c>
      <c r="N811" s="34">
        <f>MIN(24,MAX(5,NORMINV(RAND(),$C$9,$D$9)))</f>
        <v/>
      </c>
      <c r="O811" s="41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7">
        <f>MAX(-0.05,NORMINV(RAND(),$C$6,$D$6))</f>
        <v/>
      </c>
      <c r="L812" s="27">
        <f>MAX(0.02,NORMINV(RAND(),$C$7,$D$7))</f>
        <v/>
      </c>
      <c r="M812" s="27">
        <f>MIN(0.16,MAX(0.05,NORMINV(RAND(),$C$8,$D$8)))</f>
        <v/>
      </c>
      <c r="N812" s="34">
        <f>MIN(24,MAX(5,NORMINV(RAND(),$C$9,$D$9)))</f>
        <v/>
      </c>
      <c r="O812" s="41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7">
        <f>MAX(-0.05,NORMINV(RAND(),$C$6,$D$6))</f>
        <v/>
      </c>
      <c r="L813" s="27">
        <f>MAX(0.02,NORMINV(RAND(),$C$7,$D$7))</f>
        <v/>
      </c>
      <c r="M813" s="27">
        <f>MIN(0.16,MAX(0.05,NORMINV(RAND(),$C$8,$D$8)))</f>
        <v/>
      </c>
      <c r="N813" s="34">
        <f>MIN(24,MAX(5,NORMINV(RAND(),$C$9,$D$9)))</f>
        <v/>
      </c>
      <c r="O813" s="41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7">
        <f>MAX(-0.05,NORMINV(RAND(),$C$6,$D$6))</f>
        <v/>
      </c>
      <c r="L814" s="27">
        <f>MAX(0.02,NORMINV(RAND(),$C$7,$D$7))</f>
        <v/>
      </c>
      <c r="M814" s="27">
        <f>MIN(0.16,MAX(0.05,NORMINV(RAND(),$C$8,$D$8)))</f>
        <v/>
      </c>
      <c r="N814" s="34">
        <f>MIN(24,MAX(5,NORMINV(RAND(),$C$9,$D$9)))</f>
        <v/>
      </c>
      <c r="O814" s="41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7">
        <f>MAX(-0.05,NORMINV(RAND(),$C$6,$D$6))</f>
        <v/>
      </c>
      <c r="L815" s="27">
        <f>MAX(0.02,NORMINV(RAND(),$C$7,$D$7))</f>
        <v/>
      </c>
      <c r="M815" s="27">
        <f>MIN(0.16,MAX(0.05,NORMINV(RAND(),$C$8,$D$8)))</f>
        <v/>
      </c>
      <c r="N815" s="34">
        <f>MIN(24,MAX(5,NORMINV(RAND(),$C$9,$D$9)))</f>
        <v/>
      </c>
      <c r="O815" s="41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7">
        <f>MAX(-0.05,NORMINV(RAND(),$C$6,$D$6))</f>
        <v/>
      </c>
      <c r="L816" s="27">
        <f>MAX(0.02,NORMINV(RAND(),$C$7,$D$7))</f>
        <v/>
      </c>
      <c r="M816" s="27">
        <f>MIN(0.16,MAX(0.05,NORMINV(RAND(),$C$8,$D$8)))</f>
        <v/>
      </c>
      <c r="N816" s="34">
        <f>MIN(24,MAX(5,NORMINV(RAND(),$C$9,$D$9)))</f>
        <v/>
      </c>
      <c r="O816" s="41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7">
        <f>MAX(-0.05,NORMINV(RAND(),$C$6,$D$6))</f>
        <v/>
      </c>
      <c r="L817" s="27">
        <f>MAX(0.02,NORMINV(RAND(),$C$7,$D$7))</f>
        <v/>
      </c>
      <c r="M817" s="27">
        <f>MIN(0.16,MAX(0.05,NORMINV(RAND(),$C$8,$D$8)))</f>
        <v/>
      </c>
      <c r="N817" s="34">
        <f>MIN(24,MAX(5,NORMINV(RAND(),$C$9,$D$9)))</f>
        <v/>
      </c>
      <c r="O817" s="41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7">
        <f>MAX(-0.05,NORMINV(RAND(),$C$6,$D$6))</f>
        <v/>
      </c>
      <c r="L818" s="27">
        <f>MAX(0.02,NORMINV(RAND(),$C$7,$D$7))</f>
        <v/>
      </c>
      <c r="M818" s="27">
        <f>MIN(0.16,MAX(0.05,NORMINV(RAND(),$C$8,$D$8)))</f>
        <v/>
      </c>
      <c r="N818" s="34">
        <f>MIN(24,MAX(5,NORMINV(RAND(),$C$9,$D$9)))</f>
        <v/>
      </c>
      <c r="O818" s="41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7">
        <f>MAX(-0.05,NORMINV(RAND(),$C$6,$D$6))</f>
        <v/>
      </c>
      <c r="L819" s="27">
        <f>MAX(0.02,NORMINV(RAND(),$C$7,$D$7))</f>
        <v/>
      </c>
      <c r="M819" s="27">
        <f>MIN(0.16,MAX(0.05,NORMINV(RAND(),$C$8,$D$8)))</f>
        <v/>
      </c>
      <c r="N819" s="34">
        <f>MIN(24,MAX(5,NORMINV(RAND(),$C$9,$D$9)))</f>
        <v/>
      </c>
      <c r="O819" s="41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7">
        <f>MAX(-0.05,NORMINV(RAND(),$C$6,$D$6))</f>
        <v/>
      </c>
      <c r="L820" s="27">
        <f>MAX(0.02,NORMINV(RAND(),$C$7,$D$7))</f>
        <v/>
      </c>
      <c r="M820" s="27">
        <f>MIN(0.16,MAX(0.05,NORMINV(RAND(),$C$8,$D$8)))</f>
        <v/>
      </c>
      <c r="N820" s="34">
        <f>MIN(24,MAX(5,NORMINV(RAND(),$C$9,$D$9)))</f>
        <v/>
      </c>
      <c r="O820" s="41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7">
        <f>MAX(-0.05,NORMINV(RAND(),$C$6,$D$6))</f>
        <v/>
      </c>
      <c r="L821" s="27">
        <f>MAX(0.02,NORMINV(RAND(),$C$7,$D$7))</f>
        <v/>
      </c>
      <c r="M821" s="27">
        <f>MIN(0.16,MAX(0.05,NORMINV(RAND(),$C$8,$D$8)))</f>
        <v/>
      </c>
      <c r="N821" s="34">
        <f>MIN(24,MAX(5,NORMINV(RAND(),$C$9,$D$9)))</f>
        <v/>
      </c>
      <c r="O821" s="41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7">
        <f>MAX(-0.05,NORMINV(RAND(),$C$6,$D$6))</f>
        <v/>
      </c>
      <c r="L822" s="27">
        <f>MAX(0.02,NORMINV(RAND(),$C$7,$D$7))</f>
        <v/>
      </c>
      <c r="M822" s="27">
        <f>MIN(0.16,MAX(0.05,NORMINV(RAND(),$C$8,$D$8)))</f>
        <v/>
      </c>
      <c r="N822" s="34">
        <f>MIN(24,MAX(5,NORMINV(RAND(),$C$9,$D$9)))</f>
        <v/>
      </c>
      <c r="O822" s="41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7">
        <f>MAX(-0.05,NORMINV(RAND(),$C$6,$D$6))</f>
        <v/>
      </c>
      <c r="L823" s="27">
        <f>MAX(0.02,NORMINV(RAND(),$C$7,$D$7))</f>
        <v/>
      </c>
      <c r="M823" s="27">
        <f>MIN(0.16,MAX(0.05,NORMINV(RAND(),$C$8,$D$8)))</f>
        <v/>
      </c>
      <c r="N823" s="34">
        <f>MIN(24,MAX(5,NORMINV(RAND(),$C$9,$D$9)))</f>
        <v/>
      </c>
      <c r="O823" s="41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7">
        <f>MAX(-0.05,NORMINV(RAND(),$C$6,$D$6))</f>
        <v/>
      </c>
      <c r="L824" s="27">
        <f>MAX(0.02,NORMINV(RAND(),$C$7,$D$7))</f>
        <v/>
      </c>
      <c r="M824" s="27">
        <f>MIN(0.16,MAX(0.05,NORMINV(RAND(),$C$8,$D$8)))</f>
        <v/>
      </c>
      <c r="N824" s="34">
        <f>MIN(24,MAX(5,NORMINV(RAND(),$C$9,$D$9)))</f>
        <v/>
      </c>
      <c r="O824" s="41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7">
        <f>MAX(-0.05,NORMINV(RAND(),$C$6,$D$6))</f>
        <v/>
      </c>
      <c r="L825" s="27">
        <f>MAX(0.02,NORMINV(RAND(),$C$7,$D$7))</f>
        <v/>
      </c>
      <c r="M825" s="27">
        <f>MIN(0.16,MAX(0.05,NORMINV(RAND(),$C$8,$D$8)))</f>
        <v/>
      </c>
      <c r="N825" s="34">
        <f>MIN(24,MAX(5,NORMINV(RAND(),$C$9,$D$9)))</f>
        <v/>
      </c>
      <c r="O825" s="41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7">
        <f>MAX(-0.05,NORMINV(RAND(),$C$6,$D$6))</f>
        <v/>
      </c>
      <c r="L826" s="27">
        <f>MAX(0.02,NORMINV(RAND(),$C$7,$D$7))</f>
        <v/>
      </c>
      <c r="M826" s="27">
        <f>MIN(0.16,MAX(0.05,NORMINV(RAND(),$C$8,$D$8)))</f>
        <v/>
      </c>
      <c r="N826" s="34">
        <f>MIN(24,MAX(5,NORMINV(RAND(),$C$9,$D$9)))</f>
        <v/>
      </c>
      <c r="O826" s="41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7">
        <f>MAX(-0.05,NORMINV(RAND(),$C$6,$D$6))</f>
        <v/>
      </c>
      <c r="L827" s="27">
        <f>MAX(0.02,NORMINV(RAND(),$C$7,$D$7))</f>
        <v/>
      </c>
      <c r="M827" s="27">
        <f>MIN(0.16,MAX(0.05,NORMINV(RAND(),$C$8,$D$8)))</f>
        <v/>
      </c>
      <c r="N827" s="34">
        <f>MIN(24,MAX(5,NORMINV(RAND(),$C$9,$D$9)))</f>
        <v/>
      </c>
      <c r="O827" s="41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7">
        <f>MAX(-0.05,NORMINV(RAND(),$C$6,$D$6))</f>
        <v/>
      </c>
      <c r="L828" s="27">
        <f>MAX(0.02,NORMINV(RAND(),$C$7,$D$7))</f>
        <v/>
      </c>
      <c r="M828" s="27">
        <f>MIN(0.16,MAX(0.05,NORMINV(RAND(),$C$8,$D$8)))</f>
        <v/>
      </c>
      <c r="N828" s="34">
        <f>MIN(24,MAX(5,NORMINV(RAND(),$C$9,$D$9)))</f>
        <v/>
      </c>
      <c r="O828" s="41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7">
        <f>MAX(-0.05,NORMINV(RAND(),$C$6,$D$6))</f>
        <v/>
      </c>
      <c r="L829" s="27">
        <f>MAX(0.02,NORMINV(RAND(),$C$7,$D$7))</f>
        <v/>
      </c>
      <c r="M829" s="27">
        <f>MIN(0.16,MAX(0.05,NORMINV(RAND(),$C$8,$D$8)))</f>
        <v/>
      </c>
      <c r="N829" s="34">
        <f>MIN(24,MAX(5,NORMINV(RAND(),$C$9,$D$9)))</f>
        <v/>
      </c>
      <c r="O829" s="41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7">
        <f>MAX(-0.05,NORMINV(RAND(),$C$6,$D$6))</f>
        <v/>
      </c>
      <c r="L830" s="27">
        <f>MAX(0.02,NORMINV(RAND(),$C$7,$D$7))</f>
        <v/>
      </c>
      <c r="M830" s="27">
        <f>MIN(0.16,MAX(0.05,NORMINV(RAND(),$C$8,$D$8)))</f>
        <v/>
      </c>
      <c r="N830" s="34">
        <f>MIN(24,MAX(5,NORMINV(RAND(),$C$9,$D$9)))</f>
        <v/>
      </c>
      <c r="O830" s="41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7">
        <f>MAX(-0.05,NORMINV(RAND(),$C$6,$D$6))</f>
        <v/>
      </c>
      <c r="L831" s="27">
        <f>MAX(0.02,NORMINV(RAND(),$C$7,$D$7))</f>
        <v/>
      </c>
      <c r="M831" s="27">
        <f>MIN(0.16,MAX(0.05,NORMINV(RAND(),$C$8,$D$8)))</f>
        <v/>
      </c>
      <c r="N831" s="34">
        <f>MIN(24,MAX(5,NORMINV(RAND(),$C$9,$D$9)))</f>
        <v/>
      </c>
      <c r="O831" s="41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7">
        <f>MAX(-0.05,NORMINV(RAND(),$C$6,$D$6))</f>
        <v/>
      </c>
      <c r="L832" s="27">
        <f>MAX(0.02,NORMINV(RAND(),$C$7,$D$7))</f>
        <v/>
      </c>
      <c r="M832" s="27">
        <f>MIN(0.16,MAX(0.05,NORMINV(RAND(),$C$8,$D$8)))</f>
        <v/>
      </c>
      <c r="N832" s="34">
        <f>MIN(24,MAX(5,NORMINV(RAND(),$C$9,$D$9)))</f>
        <v/>
      </c>
      <c r="O832" s="41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7">
        <f>MAX(-0.05,NORMINV(RAND(),$C$6,$D$6))</f>
        <v/>
      </c>
      <c r="L833" s="27">
        <f>MAX(0.02,NORMINV(RAND(),$C$7,$D$7))</f>
        <v/>
      </c>
      <c r="M833" s="27">
        <f>MIN(0.16,MAX(0.05,NORMINV(RAND(),$C$8,$D$8)))</f>
        <v/>
      </c>
      <c r="N833" s="34">
        <f>MIN(24,MAX(5,NORMINV(RAND(),$C$9,$D$9)))</f>
        <v/>
      </c>
      <c r="O833" s="41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7">
        <f>MAX(-0.05,NORMINV(RAND(),$C$6,$D$6))</f>
        <v/>
      </c>
      <c r="L834" s="27">
        <f>MAX(0.02,NORMINV(RAND(),$C$7,$D$7))</f>
        <v/>
      </c>
      <c r="M834" s="27">
        <f>MIN(0.16,MAX(0.05,NORMINV(RAND(),$C$8,$D$8)))</f>
        <v/>
      </c>
      <c r="N834" s="34">
        <f>MIN(24,MAX(5,NORMINV(RAND(),$C$9,$D$9)))</f>
        <v/>
      </c>
      <c r="O834" s="41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7">
        <f>MAX(-0.05,NORMINV(RAND(),$C$6,$D$6))</f>
        <v/>
      </c>
      <c r="L835" s="27">
        <f>MAX(0.02,NORMINV(RAND(),$C$7,$D$7))</f>
        <v/>
      </c>
      <c r="M835" s="27">
        <f>MIN(0.16,MAX(0.05,NORMINV(RAND(),$C$8,$D$8)))</f>
        <v/>
      </c>
      <c r="N835" s="34">
        <f>MIN(24,MAX(5,NORMINV(RAND(),$C$9,$D$9)))</f>
        <v/>
      </c>
      <c r="O835" s="41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7">
        <f>MAX(-0.05,NORMINV(RAND(),$C$6,$D$6))</f>
        <v/>
      </c>
      <c r="L836" s="27">
        <f>MAX(0.02,NORMINV(RAND(),$C$7,$D$7))</f>
        <v/>
      </c>
      <c r="M836" s="27">
        <f>MIN(0.16,MAX(0.05,NORMINV(RAND(),$C$8,$D$8)))</f>
        <v/>
      </c>
      <c r="N836" s="34">
        <f>MIN(24,MAX(5,NORMINV(RAND(),$C$9,$D$9)))</f>
        <v/>
      </c>
      <c r="O836" s="41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7">
        <f>MAX(-0.05,NORMINV(RAND(),$C$6,$D$6))</f>
        <v/>
      </c>
      <c r="L837" s="27">
        <f>MAX(0.02,NORMINV(RAND(),$C$7,$D$7))</f>
        <v/>
      </c>
      <c r="M837" s="27">
        <f>MIN(0.16,MAX(0.05,NORMINV(RAND(),$C$8,$D$8)))</f>
        <v/>
      </c>
      <c r="N837" s="34">
        <f>MIN(24,MAX(5,NORMINV(RAND(),$C$9,$D$9)))</f>
        <v/>
      </c>
      <c r="O837" s="41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7">
        <f>MAX(-0.05,NORMINV(RAND(),$C$6,$D$6))</f>
        <v/>
      </c>
      <c r="L838" s="27">
        <f>MAX(0.02,NORMINV(RAND(),$C$7,$D$7))</f>
        <v/>
      </c>
      <c r="M838" s="27">
        <f>MIN(0.16,MAX(0.05,NORMINV(RAND(),$C$8,$D$8)))</f>
        <v/>
      </c>
      <c r="N838" s="34">
        <f>MIN(24,MAX(5,NORMINV(RAND(),$C$9,$D$9)))</f>
        <v/>
      </c>
      <c r="O838" s="41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7">
        <f>MAX(-0.05,NORMINV(RAND(),$C$6,$D$6))</f>
        <v/>
      </c>
      <c r="L839" s="27">
        <f>MAX(0.02,NORMINV(RAND(),$C$7,$D$7))</f>
        <v/>
      </c>
      <c r="M839" s="27">
        <f>MIN(0.16,MAX(0.05,NORMINV(RAND(),$C$8,$D$8)))</f>
        <v/>
      </c>
      <c r="N839" s="34">
        <f>MIN(24,MAX(5,NORMINV(RAND(),$C$9,$D$9)))</f>
        <v/>
      </c>
      <c r="O839" s="41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7">
        <f>MAX(-0.05,NORMINV(RAND(),$C$6,$D$6))</f>
        <v/>
      </c>
      <c r="L840" s="27">
        <f>MAX(0.02,NORMINV(RAND(),$C$7,$D$7))</f>
        <v/>
      </c>
      <c r="M840" s="27">
        <f>MIN(0.16,MAX(0.05,NORMINV(RAND(),$C$8,$D$8)))</f>
        <v/>
      </c>
      <c r="N840" s="34">
        <f>MIN(24,MAX(5,NORMINV(RAND(),$C$9,$D$9)))</f>
        <v/>
      </c>
      <c r="O840" s="41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7">
        <f>MAX(-0.05,NORMINV(RAND(),$C$6,$D$6))</f>
        <v/>
      </c>
      <c r="L841" s="27">
        <f>MAX(0.02,NORMINV(RAND(),$C$7,$D$7))</f>
        <v/>
      </c>
      <c r="M841" s="27">
        <f>MIN(0.16,MAX(0.05,NORMINV(RAND(),$C$8,$D$8)))</f>
        <v/>
      </c>
      <c r="N841" s="34">
        <f>MIN(24,MAX(5,NORMINV(RAND(),$C$9,$D$9)))</f>
        <v/>
      </c>
      <c r="O841" s="41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7">
        <f>MAX(-0.05,NORMINV(RAND(),$C$6,$D$6))</f>
        <v/>
      </c>
      <c r="L842" s="27">
        <f>MAX(0.02,NORMINV(RAND(),$C$7,$D$7))</f>
        <v/>
      </c>
      <c r="M842" s="27">
        <f>MIN(0.16,MAX(0.05,NORMINV(RAND(),$C$8,$D$8)))</f>
        <v/>
      </c>
      <c r="N842" s="34">
        <f>MIN(24,MAX(5,NORMINV(RAND(),$C$9,$D$9)))</f>
        <v/>
      </c>
      <c r="O842" s="41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7">
        <f>MAX(-0.05,NORMINV(RAND(),$C$6,$D$6))</f>
        <v/>
      </c>
      <c r="L843" s="27">
        <f>MAX(0.02,NORMINV(RAND(),$C$7,$D$7))</f>
        <v/>
      </c>
      <c r="M843" s="27">
        <f>MIN(0.16,MAX(0.05,NORMINV(RAND(),$C$8,$D$8)))</f>
        <v/>
      </c>
      <c r="N843" s="34">
        <f>MIN(24,MAX(5,NORMINV(RAND(),$C$9,$D$9)))</f>
        <v/>
      </c>
      <c r="O843" s="41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7">
        <f>MAX(-0.05,NORMINV(RAND(),$C$6,$D$6))</f>
        <v/>
      </c>
      <c r="L844" s="27">
        <f>MAX(0.02,NORMINV(RAND(),$C$7,$D$7))</f>
        <v/>
      </c>
      <c r="M844" s="27">
        <f>MIN(0.16,MAX(0.05,NORMINV(RAND(),$C$8,$D$8)))</f>
        <v/>
      </c>
      <c r="N844" s="34">
        <f>MIN(24,MAX(5,NORMINV(RAND(),$C$9,$D$9)))</f>
        <v/>
      </c>
      <c r="O844" s="41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7">
        <f>MAX(-0.05,NORMINV(RAND(),$C$6,$D$6))</f>
        <v/>
      </c>
      <c r="L845" s="27">
        <f>MAX(0.02,NORMINV(RAND(),$C$7,$D$7))</f>
        <v/>
      </c>
      <c r="M845" s="27">
        <f>MIN(0.16,MAX(0.05,NORMINV(RAND(),$C$8,$D$8)))</f>
        <v/>
      </c>
      <c r="N845" s="34">
        <f>MIN(24,MAX(5,NORMINV(RAND(),$C$9,$D$9)))</f>
        <v/>
      </c>
      <c r="O845" s="41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7">
        <f>MAX(-0.05,NORMINV(RAND(),$C$6,$D$6))</f>
        <v/>
      </c>
      <c r="L846" s="27">
        <f>MAX(0.02,NORMINV(RAND(),$C$7,$D$7))</f>
        <v/>
      </c>
      <c r="M846" s="27">
        <f>MIN(0.16,MAX(0.05,NORMINV(RAND(),$C$8,$D$8)))</f>
        <v/>
      </c>
      <c r="N846" s="34">
        <f>MIN(24,MAX(5,NORMINV(RAND(),$C$9,$D$9)))</f>
        <v/>
      </c>
      <c r="O846" s="41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7">
        <f>MAX(-0.05,NORMINV(RAND(),$C$6,$D$6))</f>
        <v/>
      </c>
      <c r="L847" s="27">
        <f>MAX(0.02,NORMINV(RAND(),$C$7,$D$7))</f>
        <v/>
      </c>
      <c r="M847" s="27">
        <f>MIN(0.16,MAX(0.05,NORMINV(RAND(),$C$8,$D$8)))</f>
        <v/>
      </c>
      <c r="N847" s="34">
        <f>MIN(24,MAX(5,NORMINV(RAND(),$C$9,$D$9)))</f>
        <v/>
      </c>
      <c r="O847" s="41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7">
        <f>MAX(-0.05,NORMINV(RAND(),$C$6,$D$6))</f>
        <v/>
      </c>
      <c r="L848" s="27">
        <f>MAX(0.02,NORMINV(RAND(),$C$7,$D$7))</f>
        <v/>
      </c>
      <c r="M848" s="27">
        <f>MIN(0.16,MAX(0.05,NORMINV(RAND(),$C$8,$D$8)))</f>
        <v/>
      </c>
      <c r="N848" s="34">
        <f>MIN(24,MAX(5,NORMINV(RAND(),$C$9,$D$9)))</f>
        <v/>
      </c>
      <c r="O848" s="41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7">
        <f>MAX(-0.05,NORMINV(RAND(),$C$6,$D$6))</f>
        <v/>
      </c>
      <c r="L849" s="27">
        <f>MAX(0.02,NORMINV(RAND(),$C$7,$D$7))</f>
        <v/>
      </c>
      <c r="M849" s="27">
        <f>MIN(0.16,MAX(0.05,NORMINV(RAND(),$C$8,$D$8)))</f>
        <v/>
      </c>
      <c r="N849" s="34">
        <f>MIN(24,MAX(5,NORMINV(RAND(),$C$9,$D$9)))</f>
        <v/>
      </c>
      <c r="O849" s="41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7">
        <f>MAX(-0.05,NORMINV(RAND(),$C$6,$D$6))</f>
        <v/>
      </c>
      <c r="L850" s="27">
        <f>MAX(0.02,NORMINV(RAND(),$C$7,$D$7))</f>
        <v/>
      </c>
      <c r="M850" s="27">
        <f>MIN(0.16,MAX(0.05,NORMINV(RAND(),$C$8,$D$8)))</f>
        <v/>
      </c>
      <c r="N850" s="34">
        <f>MIN(24,MAX(5,NORMINV(RAND(),$C$9,$D$9)))</f>
        <v/>
      </c>
      <c r="O850" s="41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7">
        <f>MAX(-0.05,NORMINV(RAND(),$C$6,$D$6))</f>
        <v/>
      </c>
      <c r="L851" s="27">
        <f>MAX(0.02,NORMINV(RAND(),$C$7,$D$7))</f>
        <v/>
      </c>
      <c r="M851" s="27">
        <f>MIN(0.16,MAX(0.05,NORMINV(RAND(),$C$8,$D$8)))</f>
        <v/>
      </c>
      <c r="N851" s="34">
        <f>MIN(24,MAX(5,NORMINV(RAND(),$C$9,$D$9)))</f>
        <v/>
      </c>
      <c r="O851" s="41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7">
        <f>MAX(-0.05,NORMINV(RAND(),$C$6,$D$6))</f>
        <v/>
      </c>
      <c r="L852" s="27">
        <f>MAX(0.02,NORMINV(RAND(),$C$7,$D$7))</f>
        <v/>
      </c>
      <c r="M852" s="27">
        <f>MIN(0.16,MAX(0.05,NORMINV(RAND(),$C$8,$D$8)))</f>
        <v/>
      </c>
      <c r="N852" s="34">
        <f>MIN(24,MAX(5,NORMINV(RAND(),$C$9,$D$9)))</f>
        <v/>
      </c>
      <c r="O852" s="41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7">
        <f>MAX(-0.05,NORMINV(RAND(),$C$6,$D$6))</f>
        <v/>
      </c>
      <c r="L853" s="27">
        <f>MAX(0.02,NORMINV(RAND(),$C$7,$D$7))</f>
        <v/>
      </c>
      <c r="M853" s="27">
        <f>MIN(0.16,MAX(0.05,NORMINV(RAND(),$C$8,$D$8)))</f>
        <v/>
      </c>
      <c r="N853" s="34">
        <f>MIN(24,MAX(5,NORMINV(RAND(),$C$9,$D$9)))</f>
        <v/>
      </c>
      <c r="O853" s="41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7">
        <f>MAX(-0.05,NORMINV(RAND(),$C$6,$D$6))</f>
        <v/>
      </c>
      <c r="L854" s="27">
        <f>MAX(0.02,NORMINV(RAND(),$C$7,$D$7))</f>
        <v/>
      </c>
      <c r="M854" s="27">
        <f>MIN(0.16,MAX(0.05,NORMINV(RAND(),$C$8,$D$8)))</f>
        <v/>
      </c>
      <c r="N854" s="34">
        <f>MIN(24,MAX(5,NORMINV(RAND(),$C$9,$D$9)))</f>
        <v/>
      </c>
      <c r="O854" s="41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7">
        <f>MAX(-0.05,NORMINV(RAND(),$C$6,$D$6))</f>
        <v/>
      </c>
      <c r="L855" s="27">
        <f>MAX(0.02,NORMINV(RAND(),$C$7,$D$7))</f>
        <v/>
      </c>
      <c r="M855" s="27">
        <f>MIN(0.16,MAX(0.05,NORMINV(RAND(),$C$8,$D$8)))</f>
        <v/>
      </c>
      <c r="N855" s="34">
        <f>MIN(24,MAX(5,NORMINV(RAND(),$C$9,$D$9)))</f>
        <v/>
      </c>
      <c r="O855" s="41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7">
        <f>MAX(-0.05,NORMINV(RAND(),$C$6,$D$6))</f>
        <v/>
      </c>
      <c r="L856" s="27">
        <f>MAX(0.02,NORMINV(RAND(),$C$7,$D$7))</f>
        <v/>
      </c>
      <c r="M856" s="27">
        <f>MIN(0.16,MAX(0.05,NORMINV(RAND(),$C$8,$D$8)))</f>
        <v/>
      </c>
      <c r="N856" s="34">
        <f>MIN(24,MAX(5,NORMINV(RAND(),$C$9,$D$9)))</f>
        <v/>
      </c>
      <c r="O856" s="41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7">
        <f>MAX(-0.05,NORMINV(RAND(),$C$6,$D$6))</f>
        <v/>
      </c>
      <c r="L857" s="27">
        <f>MAX(0.02,NORMINV(RAND(),$C$7,$D$7))</f>
        <v/>
      </c>
      <c r="M857" s="27">
        <f>MIN(0.16,MAX(0.05,NORMINV(RAND(),$C$8,$D$8)))</f>
        <v/>
      </c>
      <c r="N857" s="34">
        <f>MIN(24,MAX(5,NORMINV(RAND(),$C$9,$D$9)))</f>
        <v/>
      </c>
      <c r="O857" s="41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7">
        <f>MAX(-0.05,NORMINV(RAND(),$C$6,$D$6))</f>
        <v/>
      </c>
      <c r="L858" s="27">
        <f>MAX(0.02,NORMINV(RAND(),$C$7,$D$7))</f>
        <v/>
      </c>
      <c r="M858" s="27">
        <f>MIN(0.16,MAX(0.05,NORMINV(RAND(),$C$8,$D$8)))</f>
        <v/>
      </c>
      <c r="N858" s="34">
        <f>MIN(24,MAX(5,NORMINV(RAND(),$C$9,$D$9)))</f>
        <v/>
      </c>
      <c r="O858" s="41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7">
        <f>MAX(-0.05,NORMINV(RAND(),$C$6,$D$6))</f>
        <v/>
      </c>
      <c r="L859" s="27">
        <f>MAX(0.02,NORMINV(RAND(),$C$7,$D$7))</f>
        <v/>
      </c>
      <c r="M859" s="27">
        <f>MIN(0.16,MAX(0.05,NORMINV(RAND(),$C$8,$D$8)))</f>
        <v/>
      </c>
      <c r="N859" s="34">
        <f>MIN(24,MAX(5,NORMINV(RAND(),$C$9,$D$9)))</f>
        <v/>
      </c>
      <c r="O859" s="41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7">
        <f>MAX(-0.05,NORMINV(RAND(),$C$6,$D$6))</f>
        <v/>
      </c>
      <c r="L860" s="27">
        <f>MAX(0.02,NORMINV(RAND(),$C$7,$D$7))</f>
        <v/>
      </c>
      <c r="M860" s="27">
        <f>MIN(0.16,MAX(0.05,NORMINV(RAND(),$C$8,$D$8)))</f>
        <v/>
      </c>
      <c r="N860" s="34">
        <f>MIN(24,MAX(5,NORMINV(RAND(),$C$9,$D$9)))</f>
        <v/>
      </c>
      <c r="O860" s="41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7">
        <f>MAX(-0.05,NORMINV(RAND(),$C$6,$D$6))</f>
        <v/>
      </c>
      <c r="L861" s="27">
        <f>MAX(0.02,NORMINV(RAND(),$C$7,$D$7))</f>
        <v/>
      </c>
      <c r="M861" s="27">
        <f>MIN(0.16,MAX(0.05,NORMINV(RAND(),$C$8,$D$8)))</f>
        <v/>
      </c>
      <c r="N861" s="34">
        <f>MIN(24,MAX(5,NORMINV(RAND(),$C$9,$D$9)))</f>
        <v/>
      </c>
      <c r="O861" s="41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7">
        <f>MAX(-0.05,NORMINV(RAND(),$C$6,$D$6))</f>
        <v/>
      </c>
      <c r="L862" s="27">
        <f>MAX(0.02,NORMINV(RAND(),$C$7,$D$7))</f>
        <v/>
      </c>
      <c r="M862" s="27">
        <f>MIN(0.16,MAX(0.05,NORMINV(RAND(),$C$8,$D$8)))</f>
        <v/>
      </c>
      <c r="N862" s="34">
        <f>MIN(24,MAX(5,NORMINV(RAND(),$C$9,$D$9)))</f>
        <v/>
      </c>
      <c r="O862" s="41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7">
        <f>MAX(-0.05,NORMINV(RAND(),$C$6,$D$6))</f>
        <v/>
      </c>
      <c r="L863" s="27">
        <f>MAX(0.02,NORMINV(RAND(),$C$7,$D$7))</f>
        <v/>
      </c>
      <c r="M863" s="27">
        <f>MIN(0.16,MAX(0.05,NORMINV(RAND(),$C$8,$D$8)))</f>
        <v/>
      </c>
      <c r="N863" s="34">
        <f>MIN(24,MAX(5,NORMINV(RAND(),$C$9,$D$9)))</f>
        <v/>
      </c>
      <c r="O863" s="41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7">
        <f>MAX(-0.05,NORMINV(RAND(),$C$6,$D$6))</f>
        <v/>
      </c>
      <c r="L864" s="27">
        <f>MAX(0.02,NORMINV(RAND(),$C$7,$D$7))</f>
        <v/>
      </c>
      <c r="M864" s="27">
        <f>MIN(0.16,MAX(0.05,NORMINV(RAND(),$C$8,$D$8)))</f>
        <v/>
      </c>
      <c r="N864" s="34">
        <f>MIN(24,MAX(5,NORMINV(RAND(),$C$9,$D$9)))</f>
        <v/>
      </c>
      <c r="O864" s="41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7">
        <f>MAX(-0.05,NORMINV(RAND(),$C$6,$D$6))</f>
        <v/>
      </c>
      <c r="L865" s="27">
        <f>MAX(0.02,NORMINV(RAND(),$C$7,$D$7))</f>
        <v/>
      </c>
      <c r="M865" s="27">
        <f>MIN(0.16,MAX(0.05,NORMINV(RAND(),$C$8,$D$8)))</f>
        <v/>
      </c>
      <c r="N865" s="34">
        <f>MIN(24,MAX(5,NORMINV(RAND(),$C$9,$D$9)))</f>
        <v/>
      </c>
      <c r="O865" s="41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7">
        <f>MAX(-0.05,NORMINV(RAND(),$C$6,$D$6))</f>
        <v/>
      </c>
      <c r="L866" s="27">
        <f>MAX(0.02,NORMINV(RAND(),$C$7,$D$7))</f>
        <v/>
      </c>
      <c r="M866" s="27">
        <f>MIN(0.16,MAX(0.05,NORMINV(RAND(),$C$8,$D$8)))</f>
        <v/>
      </c>
      <c r="N866" s="34">
        <f>MIN(24,MAX(5,NORMINV(RAND(),$C$9,$D$9)))</f>
        <v/>
      </c>
      <c r="O866" s="41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7">
        <f>MAX(-0.05,NORMINV(RAND(),$C$6,$D$6))</f>
        <v/>
      </c>
      <c r="L867" s="27">
        <f>MAX(0.02,NORMINV(RAND(),$C$7,$D$7))</f>
        <v/>
      </c>
      <c r="M867" s="27">
        <f>MIN(0.16,MAX(0.05,NORMINV(RAND(),$C$8,$D$8)))</f>
        <v/>
      </c>
      <c r="N867" s="34">
        <f>MIN(24,MAX(5,NORMINV(RAND(),$C$9,$D$9)))</f>
        <v/>
      </c>
      <c r="O867" s="41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7">
        <f>MAX(-0.05,NORMINV(RAND(),$C$6,$D$6))</f>
        <v/>
      </c>
      <c r="L868" s="27">
        <f>MAX(0.02,NORMINV(RAND(),$C$7,$D$7))</f>
        <v/>
      </c>
      <c r="M868" s="27">
        <f>MIN(0.16,MAX(0.05,NORMINV(RAND(),$C$8,$D$8)))</f>
        <v/>
      </c>
      <c r="N868" s="34">
        <f>MIN(24,MAX(5,NORMINV(RAND(),$C$9,$D$9)))</f>
        <v/>
      </c>
      <c r="O868" s="41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7">
        <f>MAX(-0.05,NORMINV(RAND(),$C$6,$D$6))</f>
        <v/>
      </c>
      <c r="L869" s="27">
        <f>MAX(0.02,NORMINV(RAND(),$C$7,$D$7))</f>
        <v/>
      </c>
      <c r="M869" s="27">
        <f>MIN(0.16,MAX(0.05,NORMINV(RAND(),$C$8,$D$8)))</f>
        <v/>
      </c>
      <c r="N869" s="34">
        <f>MIN(24,MAX(5,NORMINV(RAND(),$C$9,$D$9)))</f>
        <v/>
      </c>
      <c r="O869" s="41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7">
        <f>MAX(-0.05,NORMINV(RAND(),$C$6,$D$6))</f>
        <v/>
      </c>
      <c r="L870" s="27">
        <f>MAX(0.02,NORMINV(RAND(),$C$7,$D$7))</f>
        <v/>
      </c>
      <c r="M870" s="27">
        <f>MIN(0.16,MAX(0.05,NORMINV(RAND(),$C$8,$D$8)))</f>
        <v/>
      </c>
      <c r="N870" s="34">
        <f>MIN(24,MAX(5,NORMINV(RAND(),$C$9,$D$9)))</f>
        <v/>
      </c>
      <c r="O870" s="41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7">
        <f>MAX(-0.05,NORMINV(RAND(),$C$6,$D$6))</f>
        <v/>
      </c>
      <c r="L871" s="27">
        <f>MAX(0.02,NORMINV(RAND(),$C$7,$D$7))</f>
        <v/>
      </c>
      <c r="M871" s="27">
        <f>MIN(0.16,MAX(0.05,NORMINV(RAND(),$C$8,$D$8)))</f>
        <v/>
      </c>
      <c r="N871" s="34">
        <f>MIN(24,MAX(5,NORMINV(RAND(),$C$9,$D$9)))</f>
        <v/>
      </c>
      <c r="O871" s="41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7">
        <f>MAX(-0.05,NORMINV(RAND(),$C$6,$D$6))</f>
        <v/>
      </c>
      <c r="L872" s="27">
        <f>MAX(0.02,NORMINV(RAND(),$C$7,$D$7))</f>
        <v/>
      </c>
      <c r="M872" s="27">
        <f>MIN(0.16,MAX(0.05,NORMINV(RAND(),$C$8,$D$8)))</f>
        <v/>
      </c>
      <c r="N872" s="34">
        <f>MIN(24,MAX(5,NORMINV(RAND(),$C$9,$D$9)))</f>
        <v/>
      </c>
      <c r="O872" s="41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7">
        <f>MAX(-0.05,NORMINV(RAND(),$C$6,$D$6))</f>
        <v/>
      </c>
      <c r="L873" s="27">
        <f>MAX(0.02,NORMINV(RAND(),$C$7,$D$7))</f>
        <v/>
      </c>
      <c r="M873" s="27">
        <f>MIN(0.16,MAX(0.05,NORMINV(RAND(),$C$8,$D$8)))</f>
        <v/>
      </c>
      <c r="N873" s="34">
        <f>MIN(24,MAX(5,NORMINV(RAND(),$C$9,$D$9)))</f>
        <v/>
      </c>
      <c r="O873" s="41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7">
        <f>MAX(-0.05,NORMINV(RAND(),$C$6,$D$6))</f>
        <v/>
      </c>
      <c r="L874" s="27">
        <f>MAX(0.02,NORMINV(RAND(),$C$7,$D$7))</f>
        <v/>
      </c>
      <c r="M874" s="27">
        <f>MIN(0.16,MAX(0.05,NORMINV(RAND(),$C$8,$D$8)))</f>
        <v/>
      </c>
      <c r="N874" s="34">
        <f>MIN(24,MAX(5,NORMINV(RAND(),$C$9,$D$9)))</f>
        <v/>
      </c>
      <c r="O874" s="41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7">
        <f>MAX(-0.05,NORMINV(RAND(),$C$6,$D$6))</f>
        <v/>
      </c>
      <c r="L875" s="27">
        <f>MAX(0.02,NORMINV(RAND(),$C$7,$D$7))</f>
        <v/>
      </c>
      <c r="M875" s="27">
        <f>MIN(0.16,MAX(0.05,NORMINV(RAND(),$C$8,$D$8)))</f>
        <v/>
      </c>
      <c r="N875" s="34">
        <f>MIN(24,MAX(5,NORMINV(RAND(),$C$9,$D$9)))</f>
        <v/>
      </c>
      <c r="O875" s="41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7">
        <f>MAX(-0.05,NORMINV(RAND(),$C$6,$D$6))</f>
        <v/>
      </c>
      <c r="L876" s="27">
        <f>MAX(0.02,NORMINV(RAND(),$C$7,$D$7))</f>
        <v/>
      </c>
      <c r="M876" s="27">
        <f>MIN(0.16,MAX(0.05,NORMINV(RAND(),$C$8,$D$8)))</f>
        <v/>
      </c>
      <c r="N876" s="34">
        <f>MIN(24,MAX(5,NORMINV(RAND(),$C$9,$D$9)))</f>
        <v/>
      </c>
      <c r="O876" s="41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7">
        <f>MAX(-0.05,NORMINV(RAND(),$C$6,$D$6))</f>
        <v/>
      </c>
      <c r="L877" s="27">
        <f>MAX(0.02,NORMINV(RAND(),$C$7,$D$7))</f>
        <v/>
      </c>
      <c r="M877" s="27">
        <f>MIN(0.16,MAX(0.05,NORMINV(RAND(),$C$8,$D$8)))</f>
        <v/>
      </c>
      <c r="N877" s="34">
        <f>MIN(24,MAX(5,NORMINV(RAND(),$C$9,$D$9)))</f>
        <v/>
      </c>
      <c r="O877" s="41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7">
        <f>MAX(-0.05,NORMINV(RAND(),$C$6,$D$6))</f>
        <v/>
      </c>
      <c r="L878" s="27">
        <f>MAX(0.02,NORMINV(RAND(),$C$7,$D$7))</f>
        <v/>
      </c>
      <c r="M878" s="27">
        <f>MIN(0.16,MAX(0.05,NORMINV(RAND(),$C$8,$D$8)))</f>
        <v/>
      </c>
      <c r="N878" s="34">
        <f>MIN(24,MAX(5,NORMINV(RAND(),$C$9,$D$9)))</f>
        <v/>
      </c>
      <c r="O878" s="41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7">
        <f>MAX(-0.05,NORMINV(RAND(),$C$6,$D$6))</f>
        <v/>
      </c>
      <c r="L879" s="27">
        <f>MAX(0.02,NORMINV(RAND(),$C$7,$D$7))</f>
        <v/>
      </c>
      <c r="M879" s="27">
        <f>MIN(0.16,MAX(0.05,NORMINV(RAND(),$C$8,$D$8)))</f>
        <v/>
      </c>
      <c r="N879" s="34">
        <f>MIN(24,MAX(5,NORMINV(RAND(),$C$9,$D$9)))</f>
        <v/>
      </c>
      <c r="O879" s="41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7">
        <f>MAX(-0.05,NORMINV(RAND(),$C$6,$D$6))</f>
        <v/>
      </c>
      <c r="L880" s="27">
        <f>MAX(0.02,NORMINV(RAND(),$C$7,$D$7))</f>
        <v/>
      </c>
      <c r="M880" s="27">
        <f>MIN(0.16,MAX(0.05,NORMINV(RAND(),$C$8,$D$8)))</f>
        <v/>
      </c>
      <c r="N880" s="34">
        <f>MIN(24,MAX(5,NORMINV(RAND(),$C$9,$D$9)))</f>
        <v/>
      </c>
      <c r="O880" s="41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7">
        <f>MAX(-0.05,NORMINV(RAND(),$C$6,$D$6))</f>
        <v/>
      </c>
      <c r="L881" s="27">
        <f>MAX(0.02,NORMINV(RAND(),$C$7,$D$7))</f>
        <v/>
      </c>
      <c r="M881" s="27">
        <f>MIN(0.16,MAX(0.05,NORMINV(RAND(),$C$8,$D$8)))</f>
        <v/>
      </c>
      <c r="N881" s="34">
        <f>MIN(24,MAX(5,NORMINV(RAND(),$C$9,$D$9)))</f>
        <v/>
      </c>
      <c r="O881" s="41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7">
        <f>MAX(-0.05,NORMINV(RAND(),$C$6,$D$6))</f>
        <v/>
      </c>
      <c r="L882" s="27">
        <f>MAX(0.02,NORMINV(RAND(),$C$7,$D$7))</f>
        <v/>
      </c>
      <c r="M882" s="27">
        <f>MIN(0.16,MAX(0.05,NORMINV(RAND(),$C$8,$D$8)))</f>
        <v/>
      </c>
      <c r="N882" s="34">
        <f>MIN(24,MAX(5,NORMINV(RAND(),$C$9,$D$9)))</f>
        <v/>
      </c>
      <c r="O882" s="41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7">
        <f>MAX(-0.05,NORMINV(RAND(),$C$6,$D$6))</f>
        <v/>
      </c>
      <c r="L883" s="27">
        <f>MAX(0.02,NORMINV(RAND(),$C$7,$D$7))</f>
        <v/>
      </c>
      <c r="M883" s="27">
        <f>MIN(0.16,MAX(0.05,NORMINV(RAND(),$C$8,$D$8)))</f>
        <v/>
      </c>
      <c r="N883" s="34">
        <f>MIN(24,MAX(5,NORMINV(RAND(),$C$9,$D$9)))</f>
        <v/>
      </c>
      <c r="O883" s="41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7">
        <f>MAX(-0.05,NORMINV(RAND(),$C$6,$D$6))</f>
        <v/>
      </c>
      <c r="L884" s="27">
        <f>MAX(0.02,NORMINV(RAND(),$C$7,$D$7))</f>
        <v/>
      </c>
      <c r="M884" s="27">
        <f>MIN(0.16,MAX(0.05,NORMINV(RAND(),$C$8,$D$8)))</f>
        <v/>
      </c>
      <c r="N884" s="34">
        <f>MIN(24,MAX(5,NORMINV(RAND(),$C$9,$D$9)))</f>
        <v/>
      </c>
      <c r="O884" s="41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7">
        <f>MAX(-0.05,NORMINV(RAND(),$C$6,$D$6))</f>
        <v/>
      </c>
      <c r="L885" s="27">
        <f>MAX(0.02,NORMINV(RAND(),$C$7,$D$7))</f>
        <v/>
      </c>
      <c r="M885" s="27">
        <f>MIN(0.16,MAX(0.05,NORMINV(RAND(),$C$8,$D$8)))</f>
        <v/>
      </c>
      <c r="N885" s="34">
        <f>MIN(24,MAX(5,NORMINV(RAND(),$C$9,$D$9)))</f>
        <v/>
      </c>
      <c r="O885" s="41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7">
        <f>MAX(-0.05,NORMINV(RAND(),$C$6,$D$6))</f>
        <v/>
      </c>
      <c r="L886" s="27">
        <f>MAX(0.02,NORMINV(RAND(),$C$7,$D$7))</f>
        <v/>
      </c>
      <c r="M886" s="27">
        <f>MIN(0.16,MAX(0.05,NORMINV(RAND(),$C$8,$D$8)))</f>
        <v/>
      </c>
      <c r="N886" s="34">
        <f>MIN(24,MAX(5,NORMINV(RAND(),$C$9,$D$9)))</f>
        <v/>
      </c>
      <c r="O886" s="41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7">
        <f>MAX(-0.05,NORMINV(RAND(),$C$6,$D$6))</f>
        <v/>
      </c>
      <c r="L887" s="27">
        <f>MAX(0.02,NORMINV(RAND(),$C$7,$D$7))</f>
        <v/>
      </c>
      <c r="M887" s="27">
        <f>MIN(0.16,MAX(0.05,NORMINV(RAND(),$C$8,$D$8)))</f>
        <v/>
      </c>
      <c r="N887" s="34">
        <f>MIN(24,MAX(5,NORMINV(RAND(),$C$9,$D$9)))</f>
        <v/>
      </c>
      <c r="O887" s="41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7">
        <f>MAX(-0.05,NORMINV(RAND(),$C$6,$D$6))</f>
        <v/>
      </c>
      <c r="L888" s="27">
        <f>MAX(0.02,NORMINV(RAND(),$C$7,$D$7))</f>
        <v/>
      </c>
      <c r="M888" s="27">
        <f>MIN(0.16,MAX(0.05,NORMINV(RAND(),$C$8,$D$8)))</f>
        <v/>
      </c>
      <c r="N888" s="34">
        <f>MIN(24,MAX(5,NORMINV(RAND(),$C$9,$D$9)))</f>
        <v/>
      </c>
      <c r="O888" s="41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7">
        <f>MAX(-0.05,NORMINV(RAND(),$C$6,$D$6))</f>
        <v/>
      </c>
      <c r="L889" s="27">
        <f>MAX(0.02,NORMINV(RAND(),$C$7,$D$7))</f>
        <v/>
      </c>
      <c r="M889" s="27">
        <f>MIN(0.16,MAX(0.05,NORMINV(RAND(),$C$8,$D$8)))</f>
        <v/>
      </c>
      <c r="N889" s="34">
        <f>MIN(24,MAX(5,NORMINV(RAND(),$C$9,$D$9)))</f>
        <v/>
      </c>
      <c r="O889" s="41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7">
        <f>MAX(-0.05,NORMINV(RAND(),$C$6,$D$6))</f>
        <v/>
      </c>
      <c r="L890" s="27">
        <f>MAX(0.02,NORMINV(RAND(),$C$7,$D$7))</f>
        <v/>
      </c>
      <c r="M890" s="27">
        <f>MIN(0.16,MAX(0.05,NORMINV(RAND(),$C$8,$D$8)))</f>
        <v/>
      </c>
      <c r="N890" s="34">
        <f>MIN(24,MAX(5,NORMINV(RAND(),$C$9,$D$9)))</f>
        <v/>
      </c>
      <c r="O890" s="41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7">
        <f>MAX(-0.05,NORMINV(RAND(),$C$6,$D$6))</f>
        <v/>
      </c>
      <c r="L891" s="27">
        <f>MAX(0.02,NORMINV(RAND(),$C$7,$D$7))</f>
        <v/>
      </c>
      <c r="M891" s="27">
        <f>MIN(0.16,MAX(0.05,NORMINV(RAND(),$C$8,$D$8)))</f>
        <v/>
      </c>
      <c r="N891" s="34">
        <f>MIN(24,MAX(5,NORMINV(RAND(),$C$9,$D$9)))</f>
        <v/>
      </c>
      <c r="O891" s="41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7">
        <f>MAX(-0.05,NORMINV(RAND(),$C$6,$D$6))</f>
        <v/>
      </c>
      <c r="L892" s="27">
        <f>MAX(0.02,NORMINV(RAND(),$C$7,$D$7))</f>
        <v/>
      </c>
      <c r="M892" s="27">
        <f>MIN(0.16,MAX(0.05,NORMINV(RAND(),$C$8,$D$8)))</f>
        <v/>
      </c>
      <c r="N892" s="34">
        <f>MIN(24,MAX(5,NORMINV(RAND(),$C$9,$D$9)))</f>
        <v/>
      </c>
      <c r="O892" s="41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7">
        <f>MAX(-0.05,NORMINV(RAND(),$C$6,$D$6))</f>
        <v/>
      </c>
      <c r="L893" s="27">
        <f>MAX(0.02,NORMINV(RAND(),$C$7,$D$7))</f>
        <v/>
      </c>
      <c r="M893" s="27">
        <f>MIN(0.16,MAX(0.05,NORMINV(RAND(),$C$8,$D$8)))</f>
        <v/>
      </c>
      <c r="N893" s="34">
        <f>MIN(24,MAX(5,NORMINV(RAND(),$C$9,$D$9)))</f>
        <v/>
      </c>
      <c r="O893" s="41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7">
        <f>MAX(-0.05,NORMINV(RAND(),$C$6,$D$6))</f>
        <v/>
      </c>
      <c r="L894" s="27">
        <f>MAX(0.02,NORMINV(RAND(),$C$7,$D$7))</f>
        <v/>
      </c>
      <c r="M894" s="27">
        <f>MIN(0.16,MAX(0.05,NORMINV(RAND(),$C$8,$D$8)))</f>
        <v/>
      </c>
      <c r="N894" s="34">
        <f>MIN(24,MAX(5,NORMINV(RAND(),$C$9,$D$9)))</f>
        <v/>
      </c>
      <c r="O894" s="41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7">
        <f>MAX(-0.05,NORMINV(RAND(),$C$6,$D$6))</f>
        <v/>
      </c>
      <c r="L895" s="27">
        <f>MAX(0.02,NORMINV(RAND(),$C$7,$D$7))</f>
        <v/>
      </c>
      <c r="M895" s="27">
        <f>MIN(0.16,MAX(0.05,NORMINV(RAND(),$C$8,$D$8)))</f>
        <v/>
      </c>
      <c r="N895" s="34">
        <f>MIN(24,MAX(5,NORMINV(RAND(),$C$9,$D$9)))</f>
        <v/>
      </c>
      <c r="O895" s="41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7">
        <f>MAX(-0.05,NORMINV(RAND(),$C$6,$D$6))</f>
        <v/>
      </c>
      <c r="L896" s="27">
        <f>MAX(0.02,NORMINV(RAND(),$C$7,$D$7))</f>
        <v/>
      </c>
      <c r="M896" s="27">
        <f>MIN(0.16,MAX(0.05,NORMINV(RAND(),$C$8,$D$8)))</f>
        <v/>
      </c>
      <c r="N896" s="34">
        <f>MIN(24,MAX(5,NORMINV(RAND(),$C$9,$D$9)))</f>
        <v/>
      </c>
      <c r="O896" s="41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7">
        <f>MAX(-0.05,NORMINV(RAND(),$C$6,$D$6))</f>
        <v/>
      </c>
      <c r="L897" s="27">
        <f>MAX(0.02,NORMINV(RAND(),$C$7,$D$7))</f>
        <v/>
      </c>
      <c r="M897" s="27">
        <f>MIN(0.16,MAX(0.05,NORMINV(RAND(),$C$8,$D$8)))</f>
        <v/>
      </c>
      <c r="N897" s="34">
        <f>MIN(24,MAX(5,NORMINV(RAND(),$C$9,$D$9)))</f>
        <v/>
      </c>
      <c r="O897" s="41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7">
        <f>MAX(-0.05,NORMINV(RAND(),$C$6,$D$6))</f>
        <v/>
      </c>
      <c r="L898" s="27">
        <f>MAX(0.02,NORMINV(RAND(),$C$7,$D$7))</f>
        <v/>
      </c>
      <c r="M898" s="27">
        <f>MIN(0.16,MAX(0.05,NORMINV(RAND(),$C$8,$D$8)))</f>
        <v/>
      </c>
      <c r="N898" s="34">
        <f>MIN(24,MAX(5,NORMINV(RAND(),$C$9,$D$9)))</f>
        <v/>
      </c>
      <c r="O898" s="41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7">
        <f>MAX(-0.05,NORMINV(RAND(),$C$6,$D$6))</f>
        <v/>
      </c>
      <c r="L899" s="27">
        <f>MAX(0.02,NORMINV(RAND(),$C$7,$D$7))</f>
        <v/>
      </c>
      <c r="M899" s="27">
        <f>MIN(0.16,MAX(0.05,NORMINV(RAND(),$C$8,$D$8)))</f>
        <v/>
      </c>
      <c r="N899" s="34">
        <f>MIN(24,MAX(5,NORMINV(RAND(),$C$9,$D$9)))</f>
        <v/>
      </c>
      <c r="O899" s="41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7">
        <f>MAX(-0.05,NORMINV(RAND(),$C$6,$D$6))</f>
        <v/>
      </c>
      <c r="L900" s="27">
        <f>MAX(0.02,NORMINV(RAND(),$C$7,$D$7))</f>
        <v/>
      </c>
      <c r="M900" s="27">
        <f>MIN(0.16,MAX(0.05,NORMINV(RAND(),$C$8,$D$8)))</f>
        <v/>
      </c>
      <c r="N900" s="34">
        <f>MIN(24,MAX(5,NORMINV(RAND(),$C$9,$D$9)))</f>
        <v/>
      </c>
      <c r="O900" s="41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7">
        <f>MAX(-0.05,NORMINV(RAND(),$C$6,$D$6))</f>
        <v/>
      </c>
      <c r="L901" s="27">
        <f>MAX(0.02,NORMINV(RAND(),$C$7,$D$7))</f>
        <v/>
      </c>
      <c r="M901" s="27">
        <f>MIN(0.16,MAX(0.05,NORMINV(RAND(),$C$8,$D$8)))</f>
        <v/>
      </c>
      <c r="N901" s="34">
        <f>MIN(24,MAX(5,NORMINV(RAND(),$C$9,$D$9)))</f>
        <v/>
      </c>
      <c r="O901" s="41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7">
        <f>MAX(-0.05,NORMINV(RAND(),$C$6,$D$6))</f>
        <v/>
      </c>
      <c r="L902" s="27">
        <f>MAX(0.02,NORMINV(RAND(),$C$7,$D$7))</f>
        <v/>
      </c>
      <c r="M902" s="27">
        <f>MIN(0.16,MAX(0.05,NORMINV(RAND(),$C$8,$D$8)))</f>
        <v/>
      </c>
      <c r="N902" s="34">
        <f>MIN(24,MAX(5,NORMINV(RAND(),$C$9,$D$9)))</f>
        <v/>
      </c>
      <c r="O902" s="41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7">
        <f>MAX(-0.05,NORMINV(RAND(),$C$6,$D$6))</f>
        <v/>
      </c>
      <c r="L903" s="27">
        <f>MAX(0.02,NORMINV(RAND(),$C$7,$D$7))</f>
        <v/>
      </c>
      <c r="M903" s="27">
        <f>MIN(0.16,MAX(0.05,NORMINV(RAND(),$C$8,$D$8)))</f>
        <v/>
      </c>
      <c r="N903" s="34">
        <f>MIN(24,MAX(5,NORMINV(RAND(),$C$9,$D$9)))</f>
        <v/>
      </c>
      <c r="O903" s="41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7">
        <f>MAX(-0.05,NORMINV(RAND(),$C$6,$D$6))</f>
        <v/>
      </c>
      <c r="L904" s="27">
        <f>MAX(0.02,NORMINV(RAND(),$C$7,$D$7))</f>
        <v/>
      </c>
      <c r="M904" s="27">
        <f>MIN(0.16,MAX(0.05,NORMINV(RAND(),$C$8,$D$8)))</f>
        <v/>
      </c>
      <c r="N904" s="34">
        <f>MIN(24,MAX(5,NORMINV(RAND(),$C$9,$D$9)))</f>
        <v/>
      </c>
      <c r="O904" s="41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7">
        <f>MAX(-0.05,NORMINV(RAND(),$C$6,$D$6))</f>
        <v/>
      </c>
      <c r="L905" s="27">
        <f>MAX(0.02,NORMINV(RAND(),$C$7,$D$7))</f>
        <v/>
      </c>
      <c r="M905" s="27">
        <f>MIN(0.16,MAX(0.05,NORMINV(RAND(),$C$8,$D$8)))</f>
        <v/>
      </c>
      <c r="N905" s="34">
        <f>MIN(24,MAX(5,NORMINV(RAND(),$C$9,$D$9)))</f>
        <v/>
      </c>
      <c r="O905" s="41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7">
        <f>MAX(-0.05,NORMINV(RAND(),$C$6,$D$6))</f>
        <v/>
      </c>
      <c r="L906" s="27">
        <f>MAX(0.02,NORMINV(RAND(),$C$7,$D$7))</f>
        <v/>
      </c>
      <c r="M906" s="27">
        <f>MIN(0.16,MAX(0.05,NORMINV(RAND(),$C$8,$D$8)))</f>
        <v/>
      </c>
      <c r="N906" s="34">
        <f>MIN(24,MAX(5,NORMINV(RAND(),$C$9,$D$9)))</f>
        <v/>
      </c>
      <c r="O906" s="41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7">
        <f>MAX(-0.05,NORMINV(RAND(),$C$6,$D$6))</f>
        <v/>
      </c>
      <c r="L907" s="27">
        <f>MAX(0.02,NORMINV(RAND(),$C$7,$D$7))</f>
        <v/>
      </c>
      <c r="M907" s="27">
        <f>MIN(0.16,MAX(0.05,NORMINV(RAND(),$C$8,$D$8)))</f>
        <v/>
      </c>
      <c r="N907" s="34">
        <f>MIN(24,MAX(5,NORMINV(RAND(),$C$9,$D$9)))</f>
        <v/>
      </c>
      <c r="O907" s="41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7">
        <f>MAX(-0.05,NORMINV(RAND(),$C$6,$D$6))</f>
        <v/>
      </c>
      <c r="L908" s="27">
        <f>MAX(0.02,NORMINV(RAND(),$C$7,$D$7))</f>
        <v/>
      </c>
      <c r="M908" s="27">
        <f>MIN(0.16,MAX(0.05,NORMINV(RAND(),$C$8,$D$8)))</f>
        <v/>
      </c>
      <c r="N908" s="34">
        <f>MIN(24,MAX(5,NORMINV(RAND(),$C$9,$D$9)))</f>
        <v/>
      </c>
      <c r="O908" s="41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7">
        <f>MAX(-0.05,NORMINV(RAND(),$C$6,$D$6))</f>
        <v/>
      </c>
      <c r="L909" s="27">
        <f>MAX(0.02,NORMINV(RAND(),$C$7,$D$7))</f>
        <v/>
      </c>
      <c r="M909" s="27">
        <f>MIN(0.16,MAX(0.05,NORMINV(RAND(),$C$8,$D$8)))</f>
        <v/>
      </c>
      <c r="N909" s="34">
        <f>MIN(24,MAX(5,NORMINV(RAND(),$C$9,$D$9)))</f>
        <v/>
      </c>
      <c r="O909" s="41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7">
        <f>MAX(-0.05,NORMINV(RAND(),$C$6,$D$6))</f>
        <v/>
      </c>
      <c r="L910" s="27">
        <f>MAX(0.02,NORMINV(RAND(),$C$7,$D$7))</f>
        <v/>
      </c>
      <c r="M910" s="27">
        <f>MIN(0.16,MAX(0.05,NORMINV(RAND(),$C$8,$D$8)))</f>
        <v/>
      </c>
      <c r="N910" s="34">
        <f>MIN(24,MAX(5,NORMINV(RAND(),$C$9,$D$9)))</f>
        <v/>
      </c>
      <c r="O910" s="41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7">
        <f>MAX(-0.05,NORMINV(RAND(),$C$6,$D$6))</f>
        <v/>
      </c>
      <c r="L911" s="27">
        <f>MAX(0.02,NORMINV(RAND(),$C$7,$D$7))</f>
        <v/>
      </c>
      <c r="M911" s="27">
        <f>MIN(0.16,MAX(0.05,NORMINV(RAND(),$C$8,$D$8)))</f>
        <v/>
      </c>
      <c r="N911" s="34">
        <f>MIN(24,MAX(5,NORMINV(RAND(),$C$9,$D$9)))</f>
        <v/>
      </c>
      <c r="O911" s="41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7">
        <f>MAX(-0.05,NORMINV(RAND(),$C$6,$D$6))</f>
        <v/>
      </c>
      <c r="L912" s="27">
        <f>MAX(0.02,NORMINV(RAND(),$C$7,$D$7))</f>
        <v/>
      </c>
      <c r="M912" s="27">
        <f>MIN(0.16,MAX(0.05,NORMINV(RAND(),$C$8,$D$8)))</f>
        <v/>
      </c>
      <c r="N912" s="34">
        <f>MIN(24,MAX(5,NORMINV(RAND(),$C$9,$D$9)))</f>
        <v/>
      </c>
      <c r="O912" s="41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7">
        <f>MAX(-0.05,NORMINV(RAND(),$C$6,$D$6))</f>
        <v/>
      </c>
      <c r="L913" s="27">
        <f>MAX(0.02,NORMINV(RAND(),$C$7,$D$7))</f>
        <v/>
      </c>
      <c r="M913" s="27">
        <f>MIN(0.16,MAX(0.05,NORMINV(RAND(),$C$8,$D$8)))</f>
        <v/>
      </c>
      <c r="N913" s="34">
        <f>MIN(24,MAX(5,NORMINV(RAND(),$C$9,$D$9)))</f>
        <v/>
      </c>
      <c r="O913" s="41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7">
        <f>MAX(-0.05,NORMINV(RAND(),$C$6,$D$6))</f>
        <v/>
      </c>
      <c r="L914" s="27">
        <f>MAX(0.02,NORMINV(RAND(),$C$7,$D$7))</f>
        <v/>
      </c>
      <c r="M914" s="27">
        <f>MIN(0.16,MAX(0.05,NORMINV(RAND(),$C$8,$D$8)))</f>
        <v/>
      </c>
      <c r="N914" s="34">
        <f>MIN(24,MAX(5,NORMINV(RAND(),$C$9,$D$9)))</f>
        <v/>
      </c>
      <c r="O914" s="41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7">
        <f>MAX(-0.05,NORMINV(RAND(),$C$6,$D$6))</f>
        <v/>
      </c>
      <c r="L915" s="27">
        <f>MAX(0.02,NORMINV(RAND(),$C$7,$D$7))</f>
        <v/>
      </c>
      <c r="M915" s="27">
        <f>MIN(0.16,MAX(0.05,NORMINV(RAND(),$C$8,$D$8)))</f>
        <v/>
      </c>
      <c r="N915" s="34">
        <f>MIN(24,MAX(5,NORMINV(RAND(),$C$9,$D$9)))</f>
        <v/>
      </c>
      <c r="O915" s="41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7">
        <f>MAX(-0.05,NORMINV(RAND(),$C$6,$D$6))</f>
        <v/>
      </c>
      <c r="L916" s="27">
        <f>MAX(0.02,NORMINV(RAND(),$C$7,$D$7))</f>
        <v/>
      </c>
      <c r="M916" s="27">
        <f>MIN(0.16,MAX(0.05,NORMINV(RAND(),$C$8,$D$8)))</f>
        <v/>
      </c>
      <c r="N916" s="34">
        <f>MIN(24,MAX(5,NORMINV(RAND(),$C$9,$D$9)))</f>
        <v/>
      </c>
      <c r="O916" s="41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7">
        <f>MAX(-0.05,NORMINV(RAND(),$C$6,$D$6))</f>
        <v/>
      </c>
      <c r="L917" s="27">
        <f>MAX(0.02,NORMINV(RAND(),$C$7,$D$7))</f>
        <v/>
      </c>
      <c r="M917" s="27">
        <f>MIN(0.16,MAX(0.05,NORMINV(RAND(),$C$8,$D$8)))</f>
        <v/>
      </c>
      <c r="N917" s="34">
        <f>MIN(24,MAX(5,NORMINV(RAND(),$C$9,$D$9)))</f>
        <v/>
      </c>
      <c r="O917" s="41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7">
        <f>MAX(-0.05,NORMINV(RAND(),$C$6,$D$6))</f>
        <v/>
      </c>
      <c r="L918" s="27">
        <f>MAX(0.02,NORMINV(RAND(),$C$7,$D$7))</f>
        <v/>
      </c>
      <c r="M918" s="27">
        <f>MIN(0.16,MAX(0.05,NORMINV(RAND(),$C$8,$D$8)))</f>
        <v/>
      </c>
      <c r="N918" s="34">
        <f>MIN(24,MAX(5,NORMINV(RAND(),$C$9,$D$9)))</f>
        <v/>
      </c>
      <c r="O918" s="41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7">
        <f>MAX(-0.05,NORMINV(RAND(),$C$6,$D$6))</f>
        <v/>
      </c>
      <c r="L919" s="27">
        <f>MAX(0.02,NORMINV(RAND(),$C$7,$D$7))</f>
        <v/>
      </c>
      <c r="M919" s="27">
        <f>MIN(0.16,MAX(0.05,NORMINV(RAND(),$C$8,$D$8)))</f>
        <v/>
      </c>
      <c r="N919" s="34">
        <f>MIN(24,MAX(5,NORMINV(RAND(),$C$9,$D$9)))</f>
        <v/>
      </c>
      <c r="O919" s="41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7">
        <f>MAX(-0.05,NORMINV(RAND(),$C$6,$D$6))</f>
        <v/>
      </c>
      <c r="L920" s="27">
        <f>MAX(0.02,NORMINV(RAND(),$C$7,$D$7))</f>
        <v/>
      </c>
      <c r="M920" s="27">
        <f>MIN(0.16,MAX(0.05,NORMINV(RAND(),$C$8,$D$8)))</f>
        <v/>
      </c>
      <c r="N920" s="34">
        <f>MIN(24,MAX(5,NORMINV(RAND(),$C$9,$D$9)))</f>
        <v/>
      </c>
      <c r="O920" s="41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7">
        <f>MAX(-0.05,NORMINV(RAND(),$C$6,$D$6))</f>
        <v/>
      </c>
      <c r="L921" s="27">
        <f>MAX(0.02,NORMINV(RAND(),$C$7,$D$7))</f>
        <v/>
      </c>
      <c r="M921" s="27">
        <f>MIN(0.16,MAX(0.05,NORMINV(RAND(),$C$8,$D$8)))</f>
        <v/>
      </c>
      <c r="N921" s="34">
        <f>MIN(24,MAX(5,NORMINV(RAND(),$C$9,$D$9)))</f>
        <v/>
      </c>
      <c r="O921" s="41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7">
        <f>MAX(-0.05,NORMINV(RAND(),$C$6,$D$6))</f>
        <v/>
      </c>
      <c r="L922" s="27">
        <f>MAX(0.02,NORMINV(RAND(),$C$7,$D$7))</f>
        <v/>
      </c>
      <c r="M922" s="27">
        <f>MIN(0.16,MAX(0.05,NORMINV(RAND(),$C$8,$D$8)))</f>
        <v/>
      </c>
      <c r="N922" s="34">
        <f>MIN(24,MAX(5,NORMINV(RAND(),$C$9,$D$9)))</f>
        <v/>
      </c>
      <c r="O922" s="41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7">
        <f>MAX(-0.05,NORMINV(RAND(),$C$6,$D$6))</f>
        <v/>
      </c>
      <c r="L923" s="27">
        <f>MAX(0.02,NORMINV(RAND(),$C$7,$D$7))</f>
        <v/>
      </c>
      <c r="M923" s="27">
        <f>MIN(0.16,MAX(0.05,NORMINV(RAND(),$C$8,$D$8)))</f>
        <v/>
      </c>
      <c r="N923" s="34">
        <f>MIN(24,MAX(5,NORMINV(RAND(),$C$9,$D$9)))</f>
        <v/>
      </c>
      <c r="O923" s="41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7">
        <f>MAX(-0.05,NORMINV(RAND(),$C$6,$D$6))</f>
        <v/>
      </c>
      <c r="L924" s="27">
        <f>MAX(0.02,NORMINV(RAND(),$C$7,$D$7))</f>
        <v/>
      </c>
      <c r="M924" s="27">
        <f>MIN(0.16,MAX(0.05,NORMINV(RAND(),$C$8,$D$8)))</f>
        <v/>
      </c>
      <c r="N924" s="34">
        <f>MIN(24,MAX(5,NORMINV(RAND(),$C$9,$D$9)))</f>
        <v/>
      </c>
      <c r="O924" s="41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7">
        <f>MAX(-0.05,NORMINV(RAND(),$C$6,$D$6))</f>
        <v/>
      </c>
      <c r="L925" s="27">
        <f>MAX(0.02,NORMINV(RAND(),$C$7,$D$7))</f>
        <v/>
      </c>
      <c r="M925" s="27">
        <f>MIN(0.16,MAX(0.05,NORMINV(RAND(),$C$8,$D$8)))</f>
        <v/>
      </c>
      <c r="N925" s="34">
        <f>MIN(24,MAX(5,NORMINV(RAND(),$C$9,$D$9)))</f>
        <v/>
      </c>
      <c r="O925" s="41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7">
        <f>MAX(-0.05,NORMINV(RAND(),$C$6,$D$6))</f>
        <v/>
      </c>
      <c r="L926" s="27">
        <f>MAX(0.02,NORMINV(RAND(),$C$7,$D$7))</f>
        <v/>
      </c>
      <c r="M926" s="27">
        <f>MIN(0.16,MAX(0.05,NORMINV(RAND(),$C$8,$D$8)))</f>
        <v/>
      </c>
      <c r="N926" s="34">
        <f>MIN(24,MAX(5,NORMINV(RAND(),$C$9,$D$9)))</f>
        <v/>
      </c>
      <c r="O926" s="41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7">
        <f>MAX(-0.05,NORMINV(RAND(),$C$6,$D$6))</f>
        <v/>
      </c>
      <c r="L927" s="27">
        <f>MAX(0.02,NORMINV(RAND(),$C$7,$D$7))</f>
        <v/>
      </c>
      <c r="M927" s="27">
        <f>MIN(0.16,MAX(0.05,NORMINV(RAND(),$C$8,$D$8)))</f>
        <v/>
      </c>
      <c r="N927" s="34">
        <f>MIN(24,MAX(5,NORMINV(RAND(),$C$9,$D$9)))</f>
        <v/>
      </c>
      <c r="O927" s="41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7">
        <f>MAX(-0.05,NORMINV(RAND(),$C$6,$D$6))</f>
        <v/>
      </c>
      <c r="L928" s="27">
        <f>MAX(0.02,NORMINV(RAND(),$C$7,$D$7))</f>
        <v/>
      </c>
      <c r="M928" s="27">
        <f>MIN(0.16,MAX(0.05,NORMINV(RAND(),$C$8,$D$8)))</f>
        <v/>
      </c>
      <c r="N928" s="34">
        <f>MIN(24,MAX(5,NORMINV(RAND(),$C$9,$D$9)))</f>
        <v/>
      </c>
      <c r="O928" s="41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7">
        <f>MAX(-0.05,NORMINV(RAND(),$C$6,$D$6))</f>
        <v/>
      </c>
      <c r="L929" s="27">
        <f>MAX(0.02,NORMINV(RAND(),$C$7,$D$7))</f>
        <v/>
      </c>
      <c r="M929" s="27">
        <f>MIN(0.16,MAX(0.05,NORMINV(RAND(),$C$8,$D$8)))</f>
        <v/>
      </c>
      <c r="N929" s="34">
        <f>MIN(24,MAX(5,NORMINV(RAND(),$C$9,$D$9)))</f>
        <v/>
      </c>
      <c r="O929" s="41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7">
        <f>MAX(-0.05,NORMINV(RAND(),$C$6,$D$6))</f>
        <v/>
      </c>
      <c r="L930" s="27">
        <f>MAX(0.02,NORMINV(RAND(),$C$7,$D$7))</f>
        <v/>
      </c>
      <c r="M930" s="27">
        <f>MIN(0.16,MAX(0.05,NORMINV(RAND(),$C$8,$D$8)))</f>
        <v/>
      </c>
      <c r="N930" s="34">
        <f>MIN(24,MAX(5,NORMINV(RAND(),$C$9,$D$9)))</f>
        <v/>
      </c>
      <c r="O930" s="41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7">
        <f>MAX(-0.05,NORMINV(RAND(),$C$6,$D$6))</f>
        <v/>
      </c>
      <c r="L931" s="27">
        <f>MAX(0.02,NORMINV(RAND(),$C$7,$D$7))</f>
        <v/>
      </c>
      <c r="M931" s="27">
        <f>MIN(0.16,MAX(0.05,NORMINV(RAND(),$C$8,$D$8)))</f>
        <v/>
      </c>
      <c r="N931" s="34">
        <f>MIN(24,MAX(5,NORMINV(RAND(),$C$9,$D$9)))</f>
        <v/>
      </c>
      <c r="O931" s="41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7">
        <f>MAX(-0.05,NORMINV(RAND(),$C$6,$D$6))</f>
        <v/>
      </c>
      <c r="L932" s="27">
        <f>MAX(0.02,NORMINV(RAND(),$C$7,$D$7))</f>
        <v/>
      </c>
      <c r="M932" s="27">
        <f>MIN(0.16,MAX(0.05,NORMINV(RAND(),$C$8,$D$8)))</f>
        <v/>
      </c>
      <c r="N932" s="34">
        <f>MIN(24,MAX(5,NORMINV(RAND(),$C$9,$D$9)))</f>
        <v/>
      </c>
      <c r="O932" s="41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7">
        <f>MAX(-0.05,NORMINV(RAND(),$C$6,$D$6))</f>
        <v/>
      </c>
      <c r="L933" s="27">
        <f>MAX(0.02,NORMINV(RAND(),$C$7,$D$7))</f>
        <v/>
      </c>
      <c r="M933" s="27">
        <f>MIN(0.16,MAX(0.05,NORMINV(RAND(),$C$8,$D$8)))</f>
        <v/>
      </c>
      <c r="N933" s="34">
        <f>MIN(24,MAX(5,NORMINV(RAND(),$C$9,$D$9)))</f>
        <v/>
      </c>
      <c r="O933" s="41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7">
        <f>MAX(-0.05,NORMINV(RAND(),$C$6,$D$6))</f>
        <v/>
      </c>
      <c r="L934" s="27">
        <f>MAX(0.02,NORMINV(RAND(),$C$7,$D$7))</f>
        <v/>
      </c>
      <c r="M934" s="27">
        <f>MIN(0.16,MAX(0.05,NORMINV(RAND(),$C$8,$D$8)))</f>
        <v/>
      </c>
      <c r="N934" s="34">
        <f>MIN(24,MAX(5,NORMINV(RAND(),$C$9,$D$9)))</f>
        <v/>
      </c>
      <c r="O934" s="41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7">
        <f>MAX(-0.05,NORMINV(RAND(),$C$6,$D$6))</f>
        <v/>
      </c>
      <c r="L935" s="27">
        <f>MAX(0.02,NORMINV(RAND(),$C$7,$D$7))</f>
        <v/>
      </c>
      <c r="M935" s="27">
        <f>MIN(0.16,MAX(0.05,NORMINV(RAND(),$C$8,$D$8)))</f>
        <v/>
      </c>
      <c r="N935" s="34">
        <f>MIN(24,MAX(5,NORMINV(RAND(),$C$9,$D$9)))</f>
        <v/>
      </c>
      <c r="O935" s="41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7">
        <f>MAX(-0.05,NORMINV(RAND(),$C$6,$D$6))</f>
        <v/>
      </c>
      <c r="L936" s="27">
        <f>MAX(0.02,NORMINV(RAND(),$C$7,$D$7))</f>
        <v/>
      </c>
      <c r="M936" s="27">
        <f>MIN(0.16,MAX(0.05,NORMINV(RAND(),$C$8,$D$8)))</f>
        <v/>
      </c>
      <c r="N936" s="34">
        <f>MIN(24,MAX(5,NORMINV(RAND(),$C$9,$D$9)))</f>
        <v/>
      </c>
      <c r="O936" s="41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7">
        <f>MAX(-0.05,NORMINV(RAND(),$C$6,$D$6))</f>
        <v/>
      </c>
      <c r="L937" s="27">
        <f>MAX(0.02,NORMINV(RAND(),$C$7,$D$7))</f>
        <v/>
      </c>
      <c r="M937" s="27">
        <f>MIN(0.16,MAX(0.05,NORMINV(RAND(),$C$8,$D$8)))</f>
        <v/>
      </c>
      <c r="N937" s="34">
        <f>MIN(24,MAX(5,NORMINV(RAND(),$C$9,$D$9)))</f>
        <v/>
      </c>
      <c r="O937" s="41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7">
        <f>MAX(-0.05,NORMINV(RAND(),$C$6,$D$6))</f>
        <v/>
      </c>
      <c r="L938" s="27">
        <f>MAX(0.02,NORMINV(RAND(),$C$7,$D$7))</f>
        <v/>
      </c>
      <c r="M938" s="27">
        <f>MIN(0.16,MAX(0.05,NORMINV(RAND(),$C$8,$D$8)))</f>
        <v/>
      </c>
      <c r="N938" s="34">
        <f>MIN(24,MAX(5,NORMINV(RAND(),$C$9,$D$9)))</f>
        <v/>
      </c>
      <c r="O938" s="41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7">
        <f>MAX(-0.05,NORMINV(RAND(),$C$6,$D$6))</f>
        <v/>
      </c>
      <c r="L939" s="27">
        <f>MAX(0.02,NORMINV(RAND(),$C$7,$D$7))</f>
        <v/>
      </c>
      <c r="M939" s="27">
        <f>MIN(0.16,MAX(0.05,NORMINV(RAND(),$C$8,$D$8)))</f>
        <v/>
      </c>
      <c r="N939" s="34">
        <f>MIN(24,MAX(5,NORMINV(RAND(),$C$9,$D$9)))</f>
        <v/>
      </c>
      <c r="O939" s="41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7">
        <f>MAX(-0.05,NORMINV(RAND(),$C$6,$D$6))</f>
        <v/>
      </c>
      <c r="L940" s="27">
        <f>MAX(0.02,NORMINV(RAND(),$C$7,$D$7))</f>
        <v/>
      </c>
      <c r="M940" s="27">
        <f>MIN(0.16,MAX(0.05,NORMINV(RAND(),$C$8,$D$8)))</f>
        <v/>
      </c>
      <c r="N940" s="34">
        <f>MIN(24,MAX(5,NORMINV(RAND(),$C$9,$D$9)))</f>
        <v/>
      </c>
      <c r="O940" s="41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7">
        <f>MAX(-0.05,NORMINV(RAND(),$C$6,$D$6))</f>
        <v/>
      </c>
      <c r="L941" s="27">
        <f>MAX(0.02,NORMINV(RAND(),$C$7,$D$7))</f>
        <v/>
      </c>
      <c r="M941" s="27">
        <f>MIN(0.16,MAX(0.05,NORMINV(RAND(),$C$8,$D$8)))</f>
        <v/>
      </c>
      <c r="N941" s="34">
        <f>MIN(24,MAX(5,NORMINV(RAND(),$C$9,$D$9)))</f>
        <v/>
      </c>
      <c r="O941" s="41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7">
        <f>MAX(-0.05,NORMINV(RAND(),$C$6,$D$6))</f>
        <v/>
      </c>
      <c r="L942" s="27">
        <f>MAX(0.02,NORMINV(RAND(),$C$7,$D$7))</f>
        <v/>
      </c>
      <c r="M942" s="27">
        <f>MIN(0.16,MAX(0.05,NORMINV(RAND(),$C$8,$D$8)))</f>
        <v/>
      </c>
      <c r="N942" s="34">
        <f>MIN(24,MAX(5,NORMINV(RAND(),$C$9,$D$9)))</f>
        <v/>
      </c>
      <c r="O942" s="41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7">
        <f>MAX(-0.05,NORMINV(RAND(),$C$6,$D$6))</f>
        <v/>
      </c>
      <c r="L943" s="27">
        <f>MAX(0.02,NORMINV(RAND(),$C$7,$D$7))</f>
        <v/>
      </c>
      <c r="M943" s="27">
        <f>MIN(0.16,MAX(0.05,NORMINV(RAND(),$C$8,$D$8)))</f>
        <v/>
      </c>
      <c r="N943" s="34">
        <f>MIN(24,MAX(5,NORMINV(RAND(),$C$9,$D$9)))</f>
        <v/>
      </c>
      <c r="O943" s="41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7">
        <f>MAX(-0.05,NORMINV(RAND(),$C$6,$D$6))</f>
        <v/>
      </c>
      <c r="L944" s="27">
        <f>MAX(0.02,NORMINV(RAND(),$C$7,$D$7))</f>
        <v/>
      </c>
      <c r="M944" s="27">
        <f>MIN(0.16,MAX(0.05,NORMINV(RAND(),$C$8,$D$8)))</f>
        <v/>
      </c>
      <c r="N944" s="34">
        <f>MIN(24,MAX(5,NORMINV(RAND(),$C$9,$D$9)))</f>
        <v/>
      </c>
      <c r="O944" s="41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7">
        <f>MAX(-0.05,NORMINV(RAND(),$C$6,$D$6))</f>
        <v/>
      </c>
      <c r="L945" s="27">
        <f>MAX(0.02,NORMINV(RAND(),$C$7,$D$7))</f>
        <v/>
      </c>
      <c r="M945" s="27">
        <f>MIN(0.16,MAX(0.05,NORMINV(RAND(),$C$8,$D$8)))</f>
        <v/>
      </c>
      <c r="N945" s="34">
        <f>MIN(24,MAX(5,NORMINV(RAND(),$C$9,$D$9)))</f>
        <v/>
      </c>
      <c r="O945" s="41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7">
        <f>MAX(-0.05,NORMINV(RAND(),$C$6,$D$6))</f>
        <v/>
      </c>
      <c r="L946" s="27">
        <f>MAX(0.02,NORMINV(RAND(),$C$7,$D$7))</f>
        <v/>
      </c>
      <c r="M946" s="27">
        <f>MIN(0.16,MAX(0.05,NORMINV(RAND(),$C$8,$D$8)))</f>
        <v/>
      </c>
      <c r="N946" s="34">
        <f>MIN(24,MAX(5,NORMINV(RAND(),$C$9,$D$9)))</f>
        <v/>
      </c>
      <c r="O946" s="41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7">
        <f>MAX(-0.05,NORMINV(RAND(),$C$6,$D$6))</f>
        <v/>
      </c>
      <c r="L947" s="27">
        <f>MAX(0.02,NORMINV(RAND(),$C$7,$D$7))</f>
        <v/>
      </c>
      <c r="M947" s="27">
        <f>MIN(0.16,MAX(0.05,NORMINV(RAND(),$C$8,$D$8)))</f>
        <v/>
      </c>
      <c r="N947" s="34">
        <f>MIN(24,MAX(5,NORMINV(RAND(),$C$9,$D$9)))</f>
        <v/>
      </c>
      <c r="O947" s="41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7">
        <f>MAX(-0.05,NORMINV(RAND(),$C$6,$D$6))</f>
        <v/>
      </c>
      <c r="L948" s="27">
        <f>MAX(0.02,NORMINV(RAND(),$C$7,$D$7))</f>
        <v/>
      </c>
      <c r="M948" s="27">
        <f>MIN(0.16,MAX(0.05,NORMINV(RAND(),$C$8,$D$8)))</f>
        <v/>
      </c>
      <c r="N948" s="34">
        <f>MIN(24,MAX(5,NORMINV(RAND(),$C$9,$D$9)))</f>
        <v/>
      </c>
      <c r="O948" s="41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7">
        <f>MAX(-0.05,NORMINV(RAND(),$C$6,$D$6))</f>
        <v/>
      </c>
      <c r="L949" s="27">
        <f>MAX(0.02,NORMINV(RAND(),$C$7,$D$7))</f>
        <v/>
      </c>
      <c r="M949" s="27">
        <f>MIN(0.16,MAX(0.05,NORMINV(RAND(),$C$8,$D$8)))</f>
        <v/>
      </c>
      <c r="N949" s="34">
        <f>MIN(24,MAX(5,NORMINV(RAND(),$C$9,$D$9)))</f>
        <v/>
      </c>
      <c r="O949" s="41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7">
        <f>MAX(-0.05,NORMINV(RAND(),$C$6,$D$6))</f>
        <v/>
      </c>
      <c r="L950" s="27">
        <f>MAX(0.02,NORMINV(RAND(),$C$7,$D$7))</f>
        <v/>
      </c>
      <c r="M950" s="27">
        <f>MIN(0.16,MAX(0.05,NORMINV(RAND(),$C$8,$D$8)))</f>
        <v/>
      </c>
      <c r="N950" s="34">
        <f>MIN(24,MAX(5,NORMINV(RAND(),$C$9,$D$9)))</f>
        <v/>
      </c>
      <c r="O950" s="41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7">
        <f>MAX(-0.05,NORMINV(RAND(),$C$6,$D$6))</f>
        <v/>
      </c>
      <c r="L951" s="27">
        <f>MAX(0.02,NORMINV(RAND(),$C$7,$D$7))</f>
        <v/>
      </c>
      <c r="M951" s="27">
        <f>MIN(0.16,MAX(0.05,NORMINV(RAND(),$C$8,$D$8)))</f>
        <v/>
      </c>
      <c r="N951" s="34">
        <f>MIN(24,MAX(5,NORMINV(RAND(),$C$9,$D$9)))</f>
        <v/>
      </c>
      <c r="O951" s="41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7">
        <f>MAX(-0.05,NORMINV(RAND(),$C$6,$D$6))</f>
        <v/>
      </c>
      <c r="L952" s="27">
        <f>MAX(0.02,NORMINV(RAND(),$C$7,$D$7))</f>
        <v/>
      </c>
      <c r="M952" s="27">
        <f>MIN(0.16,MAX(0.05,NORMINV(RAND(),$C$8,$D$8)))</f>
        <v/>
      </c>
      <c r="N952" s="34">
        <f>MIN(24,MAX(5,NORMINV(RAND(),$C$9,$D$9)))</f>
        <v/>
      </c>
      <c r="O952" s="41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7">
        <f>MAX(-0.05,NORMINV(RAND(),$C$6,$D$6))</f>
        <v/>
      </c>
      <c r="L953" s="27">
        <f>MAX(0.02,NORMINV(RAND(),$C$7,$D$7))</f>
        <v/>
      </c>
      <c r="M953" s="27">
        <f>MIN(0.16,MAX(0.05,NORMINV(RAND(),$C$8,$D$8)))</f>
        <v/>
      </c>
      <c r="N953" s="34">
        <f>MIN(24,MAX(5,NORMINV(RAND(),$C$9,$D$9)))</f>
        <v/>
      </c>
      <c r="O953" s="41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7">
        <f>MAX(-0.05,NORMINV(RAND(),$C$6,$D$6))</f>
        <v/>
      </c>
      <c r="L954" s="27">
        <f>MAX(0.02,NORMINV(RAND(),$C$7,$D$7))</f>
        <v/>
      </c>
      <c r="M954" s="27">
        <f>MIN(0.16,MAX(0.05,NORMINV(RAND(),$C$8,$D$8)))</f>
        <v/>
      </c>
      <c r="N954" s="34">
        <f>MIN(24,MAX(5,NORMINV(RAND(),$C$9,$D$9)))</f>
        <v/>
      </c>
      <c r="O954" s="41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7">
        <f>MAX(-0.05,NORMINV(RAND(),$C$6,$D$6))</f>
        <v/>
      </c>
      <c r="L955" s="27">
        <f>MAX(0.02,NORMINV(RAND(),$C$7,$D$7))</f>
        <v/>
      </c>
      <c r="M955" s="27">
        <f>MIN(0.16,MAX(0.05,NORMINV(RAND(),$C$8,$D$8)))</f>
        <v/>
      </c>
      <c r="N955" s="34">
        <f>MIN(24,MAX(5,NORMINV(RAND(),$C$9,$D$9)))</f>
        <v/>
      </c>
      <c r="O955" s="41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7">
        <f>MAX(-0.05,NORMINV(RAND(),$C$6,$D$6))</f>
        <v/>
      </c>
      <c r="L956" s="27">
        <f>MAX(0.02,NORMINV(RAND(),$C$7,$D$7))</f>
        <v/>
      </c>
      <c r="M956" s="27">
        <f>MIN(0.16,MAX(0.05,NORMINV(RAND(),$C$8,$D$8)))</f>
        <v/>
      </c>
      <c r="N956" s="34">
        <f>MIN(24,MAX(5,NORMINV(RAND(),$C$9,$D$9)))</f>
        <v/>
      </c>
      <c r="O956" s="41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7">
        <f>MAX(-0.05,NORMINV(RAND(),$C$6,$D$6))</f>
        <v/>
      </c>
      <c r="L957" s="27">
        <f>MAX(0.02,NORMINV(RAND(),$C$7,$D$7))</f>
        <v/>
      </c>
      <c r="M957" s="27">
        <f>MIN(0.16,MAX(0.05,NORMINV(RAND(),$C$8,$D$8)))</f>
        <v/>
      </c>
      <c r="N957" s="34">
        <f>MIN(24,MAX(5,NORMINV(RAND(),$C$9,$D$9)))</f>
        <v/>
      </c>
      <c r="O957" s="41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7">
        <f>MAX(-0.05,NORMINV(RAND(),$C$6,$D$6))</f>
        <v/>
      </c>
      <c r="L958" s="27">
        <f>MAX(0.02,NORMINV(RAND(),$C$7,$D$7))</f>
        <v/>
      </c>
      <c r="M958" s="27">
        <f>MIN(0.16,MAX(0.05,NORMINV(RAND(),$C$8,$D$8)))</f>
        <v/>
      </c>
      <c r="N958" s="34">
        <f>MIN(24,MAX(5,NORMINV(RAND(),$C$9,$D$9)))</f>
        <v/>
      </c>
      <c r="O958" s="41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7">
        <f>MAX(-0.05,NORMINV(RAND(),$C$6,$D$6))</f>
        <v/>
      </c>
      <c r="L959" s="27">
        <f>MAX(0.02,NORMINV(RAND(),$C$7,$D$7))</f>
        <v/>
      </c>
      <c r="M959" s="27">
        <f>MIN(0.16,MAX(0.05,NORMINV(RAND(),$C$8,$D$8)))</f>
        <v/>
      </c>
      <c r="N959" s="34">
        <f>MIN(24,MAX(5,NORMINV(RAND(),$C$9,$D$9)))</f>
        <v/>
      </c>
      <c r="O959" s="41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7">
        <f>MAX(-0.05,NORMINV(RAND(),$C$6,$D$6))</f>
        <v/>
      </c>
      <c r="L960" s="27">
        <f>MAX(0.02,NORMINV(RAND(),$C$7,$D$7))</f>
        <v/>
      </c>
      <c r="M960" s="27">
        <f>MIN(0.16,MAX(0.05,NORMINV(RAND(),$C$8,$D$8)))</f>
        <v/>
      </c>
      <c r="N960" s="34">
        <f>MIN(24,MAX(5,NORMINV(RAND(),$C$9,$D$9)))</f>
        <v/>
      </c>
      <c r="O960" s="41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7">
        <f>MAX(-0.05,NORMINV(RAND(),$C$6,$D$6))</f>
        <v/>
      </c>
      <c r="L961" s="27">
        <f>MAX(0.02,NORMINV(RAND(),$C$7,$D$7))</f>
        <v/>
      </c>
      <c r="M961" s="27">
        <f>MIN(0.16,MAX(0.05,NORMINV(RAND(),$C$8,$D$8)))</f>
        <v/>
      </c>
      <c r="N961" s="34">
        <f>MIN(24,MAX(5,NORMINV(RAND(),$C$9,$D$9)))</f>
        <v/>
      </c>
      <c r="O961" s="41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7">
        <f>MAX(-0.05,NORMINV(RAND(),$C$6,$D$6))</f>
        <v/>
      </c>
      <c r="L962" s="27">
        <f>MAX(0.02,NORMINV(RAND(),$C$7,$D$7))</f>
        <v/>
      </c>
      <c r="M962" s="27">
        <f>MIN(0.16,MAX(0.05,NORMINV(RAND(),$C$8,$D$8)))</f>
        <v/>
      </c>
      <c r="N962" s="34">
        <f>MIN(24,MAX(5,NORMINV(RAND(),$C$9,$D$9)))</f>
        <v/>
      </c>
      <c r="O962" s="41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7">
        <f>MAX(-0.05,NORMINV(RAND(),$C$6,$D$6))</f>
        <v/>
      </c>
      <c r="L963" s="27">
        <f>MAX(0.02,NORMINV(RAND(),$C$7,$D$7))</f>
        <v/>
      </c>
      <c r="M963" s="27">
        <f>MIN(0.16,MAX(0.05,NORMINV(RAND(),$C$8,$D$8)))</f>
        <v/>
      </c>
      <c r="N963" s="34">
        <f>MIN(24,MAX(5,NORMINV(RAND(),$C$9,$D$9)))</f>
        <v/>
      </c>
      <c r="O963" s="41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7">
        <f>MAX(-0.05,NORMINV(RAND(),$C$6,$D$6))</f>
        <v/>
      </c>
      <c r="L964" s="27">
        <f>MAX(0.02,NORMINV(RAND(),$C$7,$D$7))</f>
        <v/>
      </c>
      <c r="M964" s="27">
        <f>MIN(0.16,MAX(0.05,NORMINV(RAND(),$C$8,$D$8)))</f>
        <v/>
      </c>
      <c r="N964" s="34">
        <f>MIN(24,MAX(5,NORMINV(RAND(),$C$9,$D$9)))</f>
        <v/>
      </c>
      <c r="O964" s="41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7">
        <f>MAX(-0.05,NORMINV(RAND(),$C$6,$D$6))</f>
        <v/>
      </c>
      <c r="L965" s="27">
        <f>MAX(0.02,NORMINV(RAND(),$C$7,$D$7))</f>
        <v/>
      </c>
      <c r="M965" s="27">
        <f>MIN(0.16,MAX(0.05,NORMINV(RAND(),$C$8,$D$8)))</f>
        <v/>
      </c>
      <c r="N965" s="34">
        <f>MIN(24,MAX(5,NORMINV(RAND(),$C$9,$D$9)))</f>
        <v/>
      </c>
      <c r="O965" s="41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7">
        <f>MAX(-0.05,NORMINV(RAND(),$C$6,$D$6))</f>
        <v/>
      </c>
      <c r="L966" s="27">
        <f>MAX(0.02,NORMINV(RAND(),$C$7,$D$7))</f>
        <v/>
      </c>
      <c r="M966" s="27">
        <f>MIN(0.16,MAX(0.05,NORMINV(RAND(),$C$8,$D$8)))</f>
        <v/>
      </c>
      <c r="N966" s="34">
        <f>MIN(24,MAX(5,NORMINV(RAND(),$C$9,$D$9)))</f>
        <v/>
      </c>
      <c r="O966" s="41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7">
        <f>MAX(-0.05,NORMINV(RAND(),$C$6,$D$6))</f>
        <v/>
      </c>
      <c r="L967" s="27">
        <f>MAX(0.02,NORMINV(RAND(),$C$7,$D$7))</f>
        <v/>
      </c>
      <c r="M967" s="27">
        <f>MIN(0.16,MAX(0.05,NORMINV(RAND(),$C$8,$D$8)))</f>
        <v/>
      </c>
      <c r="N967" s="34">
        <f>MIN(24,MAX(5,NORMINV(RAND(),$C$9,$D$9)))</f>
        <v/>
      </c>
      <c r="O967" s="41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7">
        <f>MAX(-0.05,NORMINV(RAND(),$C$6,$D$6))</f>
        <v/>
      </c>
      <c r="L968" s="27">
        <f>MAX(0.02,NORMINV(RAND(),$C$7,$D$7))</f>
        <v/>
      </c>
      <c r="M968" s="27">
        <f>MIN(0.16,MAX(0.05,NORMINV(RAND(),$C$8,$D$8)))</f>
        <v/>
      </c>
      <c r="N968" s="34">
        <f>MIN(24,MAX(5,NORMINV(RAND(),$C$9,$D$9)))</f>
        <v/>
      </c>
      <c r="O968" s="41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7">
        <f>MAX(-0.05,NORMINV(RAND(),$C$6,$D$6))</f>
        <v/>
      </c>
      <c r="L969" s="27">
        <f>MAX(0.02,NORMINV(RAND(),$C$7,$D$7))</f>
        <v/>
      </c>
      <c r="M969" s="27">
        <f>MIN(0.16,MAX(0.05,NORMINV(RAND(),$C$8,$D$8)))</f>
        <v/>
      </c>
      <c r="N969" s="34">
        <f>MIN(24,MAX(5,NORMINV(RAND(),$C$9,$D$9)))</f>
        <v/>
      </c>
      <c r="O969" s="41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7">
        <f>MAX(-0.05,NORMINV(RAND(),$C$6,$D$6))</f>
        <v/>
      </c>
      <c r="L970" s="27">
        <f>MAX(0.02,NORMINV(RAND(),$C$7,$D$7))</f>
        <v/>
      </c>
      <c r="M970" s="27">
        <f>MIN(0.16,MAX(0.05,NORMINV(RAND(),$C$8,$D$8)))</f>
        <v/>
      </c>
      <c r="N970" s="34">
        <f>MIN(24,MAX(5,NORMINV(RAND(),$C$9,$D$9)))</f>
        <v/>
      </c>
      <c r="O970" s="41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7">
        <f>MAX(-0.05,NORMINV(RAND(),$C$6,$D$6))</f>
        <v/>
      </c>
      <c r="L971" s="27">
        <f>MAX(0.02,NORMINV(RAND(),$C$7,$D$7))</f>
        <v/>
      </c>
      <c r="M971" s="27">
        <f>MIN(0.16,MAX(0.05,NORMINV(RAND(),$C$8,$D$8)))</f>
        <v/>
      </c>
      <c r="N971" s="34">
        <f>MIN(24,MAX(5,NORMINV(RAND(),$C$9,$D$9)))</f>
        <v/>
      </c>
      <c r="O971" s="41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7">
        <f>MAX(-0.05,NORMINV(RAND(),$C$6,$D$6))</f>
        <v/>
      </c>
      <c r="L972" s="27">
        <f>MAX(0.02,NORMINV(RAND(),$C$7,$D$7))</f>
        <v/>
      </c>
      <c r="M972" s="27">
        <f>MIN(0.16,MAX(0.05,NORMINV(RAND(),$C$8,$D$8)))</f>
        <v/>
      </c>
      <c r="N972" s="34">
        <f>MIN(24,MAX(5,NORMINV(RAND(),$C$9,$D$9)))</f>
        <v/>
      </c>
      <c r="O972" s="41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7">
        <f>MAX(-0.05,NORMINV(RAND(),$C$6,$D$6))</f>
        <v/>
      </c>
      <c r="L973" s="27">
        <f>MAX(0.02,NORMINV(RAND(),$C$7,$D$7))</f>
        <v/>
      </c>
      <c r="M973" s="27">
        <f>MIN(0.16,MAX(0.05,NORMINV(RAND(),$C$8,$D$8)))</f>
        <v/>
      </c>
      <c r="N973" s="34">
        <f>MIN(24,MAX(5,NORMINV(RAND(),$C$9,$D$9)))</f>
        <v/>
      </c>
      <c r="O973" s="41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7">
        <f>MAX(-0.05,NORMINV(RAND(),$C$6,$D$6))</f>
        <v/>
      </c>
      <c r="L974" s="27">
        <f>MAX(0.02,NORMINV(RAND(),$C$7,$D$7))</f>
        <v/>
      </c>
      <c r="M974" s="27">
        <f>MIN(0.16,MAX(0.05,NORMINV(RAND(),$C$8,$D$8)))</f>
        <v/>
      </c>
      <c r="N974" s="34">
        <f>MIN(24,MAX(5,NORMINV(RAND(),$C$9,$D$9)))</f>
        <v/>
      </c>
      <c r="O974" s="41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7">
        <f>MAX(-0.05,NORMINV(RAND(),$C$6,$D$6))</f>
        <v/>
      </c>
      <c r="L975" s="27">
        <f>MAX(0.02,NORMINV(RAND(),$C$7,$D$7))</f>
        <v/>
      </c>
      <c r="M975" s="27">
        <f>MIN(0.16,MAX(0.05,NORMINV(RAND(),$C$8,$D$8)))</f>
        <v/>
      </c>
      <c r="N975" s="34">
        <f>MIN(24,MAX(5,NORMINV(RAND(),$C$9,$D$9)))</f>
        <v/>
      </c>
      <c r="O975" s="41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7">
        <f>MAX(-0.05,NORMINV(RAND(),$C$6,$D$6))</f>
        <v/>
      </c>
      <c r="L976" s="27">
        <f>MAX(0.02,NORMINV(RAND(),$C$7,$D$7))</f>
        <v/>
      </c>
      <c r="M976" s="27">
        <f>MIN(0.16,MAX(0.05,NORMINV(RAND(),$C$8,$D$8)))</f>
        <v/>
      </c>
      <c r="N976" s="34">
        <f>MIN(24,MAX(5,NORMINV(RAND(),$C$9,$D$9)))</f>
        <v/>
      </c>
      <c r="O976" s="41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7">
        <f>MAX(-0.05,NORMINV(RAND(),$C$6,$D$6))</f>
        <v/>
      </c>
      <c r="L977" s="27">
        <f>MAX(0.02,NORMINV(RAND(),$C$7,$D$7))</f>
        <v/>
      </c>
      <c r="M977" s="27">
        <f>MIN(0.16,MAX(0.05,NORMINV(RAND(),$C$8,$D$8)))</f>
        <v/>
      </c>
      <c r="N977" s="34">
        <f>MIN(24,MAX(5,NORMINV(RAND(),$C$9,$D$9)))</f>
        <v/>
      </c>
      <c r="O977" s="41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7">
        <f>MAX(-0.05,NORMINV(RAND(),$C$6,$D$6))</f>
        <v/>
      </c>
      <c r="L978" s="27">
        <f>MAX(0.02,NORMINV(RAND(),$C$7,$D$7))</f>
        <v/>
      </c>
      <c r="M978" s="27">
        <f>MIN(0.16,MAX(0.05,NORMINV(RAND(),$C$8,$D$8)))</f>
        <v/>
      </c>
      <c r="N978" s="34">
        <f>MIN(24,MAX(5,NORMINV(RAND(),$C$9,$D$9)))</f>
        <v/>
      </c>
      <c r="O978" s="41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7">
        <f>MAX(-0.05,NORMINV(RAND(),$C$6,$D$6))</f>
        <v/>
      </c>
      <c r="L979" s="27">
        <f>MAX(0.02,NORMINV(RAND(),$C$7,$D$7))</f>
        <v/>
      </c>
      <c r="M979" s="27">
        <f>MIN(0.16,MAX(0.05,NORMINV(RAND(),$C$8,$D$8)))</f>
        <v/>
      </c>
      <c r="N979" s="34">
        <f>MIN(24,MAX(5,NORMINV(RAND(),$C$9,$D$9)))</f>
        <v/>
      </c>
      <c r="O979" s="41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7">
        <f>MAX(-0.05,NORMINV(RAND(),$C$6,$D$6))</f>
        <v/>
      </c>
      <c r="L980" s="27">
        <f>MAX(0.02,NORMINV(RAND(),$C$7,$D$7))</f>
        <v/>
      </c>
      <c r="M980" s="27">
        <f>MIN(0.16,MAX(0.05,NORMINV(RAND(),$C$8,$D$8)))</f>
        <v/>
      </c>
      <c r="N980" s="34">
        <f>MIN(24,MAX(5,NORMINV(RAND(),$C$9,$D$9)))</f>
        <v/>
      </c>
      <c r="O980" s="41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7">
        <f>MAX(-0.05,NORMINV(RAND(),$C$6,$D$6))</f>
        <v/>
      </c>
      <c r="L981" s="27">
        <f>MAX(0.02,NORMINV(RAND(),$C$7,$D$7))</f>
        <v/>
      </c>
      <c r="M981" s="27">
        <f>MIN(0.16,MAX(0.05,NORMINV(RAND(),$C$8,$D$8)))</f>
        <v/>
      </c>
      <c r="N981" s="34">
        <f>MIN(24,MAX(5,NORMINV(RAND(),$C$9,$D$9)))</f>
        <v/>
      </c>
      <c r="O981" s="41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7">
        <f>MAX(-0.05,NORMINV(RAND(),$C$6,$D$6))</f>
        <v/>
      </c>
      <c r="L982" s="27">
        <f>MAX(0.02,NORMINV(RAND(),$C$7,$D$7))</f>
        <v/>
      </c>
      <c r="M982" s="27">
        <f>MIN(0.16,MAX(0.05,NORMINV(RAND(),$C$8,$D$8)))</f>
        <v/>
      </c>
      <c r="N982" s="34">
        <f>MIN(24,MAX(5,NORMINV(RAND(),$C$9,$D$9)))</f>
        <v/>
      </c>
      <c r="O982" s="41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7">
        <f>MAX(-0.05,NORMINV(RAND(),$C$6,$D$6))</f>
        <v/>
      </c>
      <c r="L983" s="27">
        <f>MAX(0.02,NORMINV(RAND(),$C$7,$D$7))</f>
        <v/>
      </c>
      <c r="M983" s="27">
        <f>MIN(0.16,MAX(0.05,NORMINV(RAND(),$C$8,$D$8)))</f>
        <v/>
      </c>
      <c r="N983" s="34">
        <f>MIN(24,MAX(5,NORMINV(RAND(),$C$9,$D$9)))</f>
        <v/>
      </c>
      <c r="O983" s="41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7">
        <f>MAX(-0.05,NORMINV(RAND(),$C$6,$D$6))</f>
        <v/>
      </c>
      <c r="L984" s="27">
        <f>MAX(0.02,NORMINV(RAND(),$C$7,$D$7))</f>
        <v/>
      </c>
      <c r="M984" s="27">
        <f>MIN(0.16,MAX(0.05,NORMINV(RAND(),$C$8,$D$8)))</f>
        <v/>
      </c>
      <c r="N984" s="34">
        <f>MIN(24,MAX(5,NORMINV(RAND(),$C$9,$D$9)))</f>
        <v/>
      </c>
      <c r="O984" s="41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7">
        <f>MAX(-0.05,NORMINV(RAND(),$C$6,$D$6))</f>
        <v/>
      </c>
      <c r="L985" s="27">
        <f>MAX(0.02,NORMINV(RAND(),$C$7,$D$7))</f>
        <v/>
      </c>
      <c r="M985" s="27">
        <f>MIN(0.16,MAX(0.05,NORMINV(RAND(),$C$8,$D$8)))</f>
        <v/>
      </c>
      <c r="N985" s="34">
        <f>MIN(24,MAX(5,NORMINV(RAND(),$C$9,$D$9)))</f>
        <v/>
      </c>
      <c r="O985" s="41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7">
        <f>MAX(-0.05,NORMINV(RAND(),$C$6,$D$6))</f>
        <v/>
      </c>
      <c r="L986" s="27">
        <f>MAX(0.02,NORMINV(RAND(),$C$7,$D$7))</f>
        <v/>
      </c>
      <c r="M986" s="27">
        <f>MIN(0.16,MAX(0.05,NORMINV(RAND(),$C$8,$D$8)))</f>
        <v/>
      </c>
      <c r="N986" s="34">
        <f>MIN(24,MAX(5,NORMINV(RAND(),$C$9,$D$9)))</f>
        <v/>
      </c>
      <c r="O986" s="41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7">
        <f>MAX(-0.05,NORMINV(RAND(),$C$6,$D$6))</f>
        <v/>
      </c>
      <c r="L987" s="27">
        <f>MAX(0.02,NORMINV(RAND(),$C$7,$D$7))</f>
        <v/>
      </c>
      <c r="M987" s="27">
        <f>MIN(0.16,MAX(0.05,NORMINV(RAND(),$C$8,$D$8)))</f>
        <v/>
      </c>
      <c r="N987" s="34">
        <f>MIN(24,MAX(5,NORMINV(RAND(),$C$9,$D$9)))</f>
        <v/>
      </c>
      <c r="O987" s="41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7">
        <f>MAX(-0.05,NORMINV(RAND(),$C$6,$D$6))</f>
        <v/>
      </c>
      <c r="L988" s="27">
        <f>MAX(0.02,NORMINV(RAND(),$C$7,$D$7))</f>
        <v/>
      </c>
      <c r="M988" s="27">
        <f>MIN(0.16,MAX(0.05,NORMINV(RAND(),$C$8,$D$8)))</f>
        <v/>
      </c>
      <c r="N988" s="34">
        <f>MIN(24,MAX(5,NORMINV(RAND(),$C$9,$D$9)))</f>
        <v/>
      </c>
      <c r="O988" s="41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7">
        <f>MAX(-0.05,NORMINV(RAND(),$C$6,$D$6))</f>
        <v/>
      </c>
      <c r="L989" s="27">
        <f>MAX(0.02,NORMINV(RAND(),$C$7,$D$7))</f>
        <v/>
      </c>
      <c r="M989" s="27">
        <f>MIN(0.16,MAX(0.05,NORMINV(RAND(),$C$8,$D$8)))</f>
        <v/>
      </c>
      <c r="N989" s="34">
        <f>MIN(24,MAX(5,NORMINV(RAND(),$C$9,$D$9)))</f>
        <v/>
      </c>
      <c r="O989" s="41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7">
        <f>MAX(-0.05,NORMINV(RAND(),$C$6,$D$6))</f>
        <v/>
      </c>
      <c r="L990" s="27">
        <f>MAX(0.02,NORMINV(RAND(),$C$7,$D$7))</f>
        <v/>
      </c>
      <c r="M990" s="27">
        <f>MIN(0.16,MAX(0.05,NORMINV(RAND(),$C$8,$D$8)))</f>
        <v/>
      </c>
      <c r="N990" s="34">
        <f>MIN(24,MAX(5,NORMINV(RAND(),$C$9,$D$9)))</f>
        <v/>
      </c>
      <c r="O990" s="41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7">
        <f>MAX(-0.05,NORMINV(RAND(),$C$6,$D$6))</f>
        <v/>
      </c>
      <c r="L991" s="27">
        <f>MAX(0.02,NORMINV(RAND(),$C$7,$D$7))</f>
        <v/>
      </c>
      <c r="M991" s="27">
        <f>MIN(0.16,MAX(0.05,NORMINV(RAND(),$C$8,$D$8)))</f>
        <v/>
      </c>
      <c r="N991" s="34">
        <f>MIN(24,MAX(5,NORMINV(RAND(),$C$9,$D$9)))</f>
        <v/>
      </c>
      <c r="O991" s="41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7">
        <f>MAX(-0.05,NORMINV(RAND(),$C$6,$D$6))</f>
        <v/>
      </c>
      <c r="L992" s="27">
        <f>MAX(0.02,NORMINV(RAND(),$C$7,$D$7))</f>
        <v/>
      </c>
      <c r="M992" s="27">
        <f>MIN(0.16,MAX(0.05,NORMINV(RAND(),$C$8,$D$8)))</f>
        <v/>
      </c>
      <c r="N992" s="34">
        <f>MIN(24,MAX(5,NORMINV(RAND(),$C$9,$D$9)))</f>
        <v/>
      </c>
      <c r="O992" s="41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7">
        <f>MAX(-0.05,NORMINV(RAND(),$C$6,$D$6))</f>
        <v/>
      </c>
      <c r="L993" s="27">
        <f>MAX(0.02,NORMINV(RAND(),$C$7,$D$7))</f>
        <v/>
      </c>
      <c r="M993" s="27">
        <f>MIN(0.16,MAX(0.05,NORMINV(RAND(),$C$8,$D$8)))</f>
        <v/>
      </c>
      <c r="N993" s="34">
        <f>MIN(24,MAX(5,NORMINV(RAND(),$C$9,$D$9)))</f>
        <v/>
      </c>
      <c r="O993" s="41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7">
        <f>MAX(-0.05,NORMINV(RAND(),$C$6,$D$6))</f>
        <v/>
      </c>
      <c r="L994" s="27">
        <f>MAX(0.02,NORMINV(RAND(),$C$7,$D$7))</f>
        <v/>
      </c>
      <c r="M994" s="27">
        <f>MIN(0.16,MAX(0.05,NORMINV(RAND(),$C$8,$D$8)))</f>
        <v/>
      </c>
      <c r="N994" s="34">
        <f>MIN(24,MAX(5,NORMINV(RAND(),$C$9,$D$9)))</f>
        <v/>
      </c>
      <c r="O994" s="41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7">
        <f>MAX(-0.05,NORMINV(RAND(),$C$6,$D$6))</f>
        <v/>
      </c>
      <c r="L995" s="27">
        <f>MAX(0.02,NORMINV(RAND(),$C$7,$D$7))</f>
        <v/>
      </c>
      <c r="M995" s="27">
        <f>MIN(0.16,MAX(0.05,NORMINV(RAND(),$C$8,$D$8)))</f>
        <v/>
      </c>
      <c r="N995" s="34">
        <f>MIN(24,MAX(5,NORMINV(RAND(),$C$9,$D$9)))</f>
        <v/>
      </c>
      <c r="O995" s="41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7">
        <f>MAX(-0.05,NORMINV(RAND(),$C$6,$D$6))</f>
        <v/>
      </c>
      <c r="L996" s="27">
        <f>MAX(0.02,NORMINV(RAND(),$C$7,$D$7))</f>
        <v/>
      </c>
      <c r="M996" s="27">
        <f>MIN(0.16,MAX(0.05,NORMINV(RAND(),$C$8,$D$8)))</f>
        <v/>
      </c>
      <c r="N996" s="34">
        <f>MIN(24,MAX(5,NORMINV(RAND(),$C$9,$D$9)))</f>
        <v/>
      </c>
      <c r="O996" s="41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7">
        <f>MAX(-0.05,NORMINV(RAND(),$C$6,$D$6))</f>
        <v/>
      </c>
      <c r="L997" s="27">
        <f>MAX(0.02,NORMINV(RAND(),$C$7,$D$7))</f>
        <v/>
      </c>
      <c r="M997" s="27">
        <f>MIN(0.16,MAX(0.05,NORMINV(RAND(),$C$8,$D$8)))</f>
        <v/>
      </c>
      <c r="N997" s="34">
        <f>MIN(24,MAX(5,NORMINV(RAND(),$C$9,$D$9)))</f>
        <v/>
      </c>
      <c r="O997" s="41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7">
        <f>MAX(-0.05,NORMINV(RAND(),$C$6,$D$6))</f>
        <v/>
      </c>
      <c r="L998" s="27">
        <f>MAX(0.02,NORMINV(RAND(),$C$7,$D$7))</f>
        <v/>
      </c>
      <c r="M998" s="27">
        <f>MIN(0.16,MAX(0.05,NORMINV(RAND(),$C$8,$D$8)))</f>
        <v/>
      </c>
      <c r="N998" s="34">
        <f>MIN(24,MAX(5,NORMINV(RAND(),$C$9,$D$9)))</f>
        <v/>
      </c>
      <c r="O998" s="41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7">
        <f>MAX(-0.05,NORMINV(RAND(),$C$6,$D$6))</f>
        <v/>
      </c>
      <c r="L999" s="27">
        <f>MAX(0.02,NORMINV(RAND(),$C$7,$D$7))</f>
        <v/>
      </c>
      <c r="M999" s="27">
        <f>MIN(0.16,MAX(0.05,NORMINV(RAND(),$C$8,$D$8)))</f>
        <v/>
      </c>
      <c r="N999" s="34">
        <f>MIN(24,MAX(5,NORMINV(RAND(),$C$9,$D$9)))</f>
        <v/>
      </c>
      <c r="O999" s="41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7">
        <f>MAX(-0.05,NORMINV(RAND(),$C$6,$D$6))</f>
        <v/>
      </c>
      <c r="L1000" s="27">
        <f>MAX(0.02,NORMINV(RAND(),$C$7,$D$7))</f>
        <v/>
      </c>
      <c r="M1000" s="27">
        <f>MIN(0.16,MAX(0.05,NORMINV(RAND(),$C$8,$D$8)))</f>
        <v/>
      </c>
      <c r="N1000" s="34">
        <f>MIN(24,MAX(5,NORMINV(RAND(),$C$9,$D$9)))</f>
        <v/>
      </c>
      <c r="O1000" s="41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7">
        <f>MAX(-0.05,NORMINV(RAND(),$C$6,$D$6))</f>
        <v/>
      </c>
      <c r="L1001" s="27">
        <f>MAX(0.02,NORMINV(RAND(),$C$7,$D$7))</f>
        <v/>
      </c>
      <c r="M1001" s="27">
        <f>MIN(0.16,MAX(0.05,NORMINV(RAND(),$C$8,$D$8)))</f>
        <v/>
      </c>
      <c r="N1001" s="34">
        <f>MIN(24,MAX(5,NORMINV(RAND(),$C$9,$D$9)))</f>
        <v/>
      </c>
      <c r="O1001" s="41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2026-06-08T03:47:36Z</dcterms:created>
  <dcterms:modified xmlns:dcterms="http://purl.org/dc/terms/" xmlns:xsi="http://www.w3.org/2001/XMLSchema-instance" xsi:type="dcterms:W3CDTF">2026-06-08T03:47:36Z</dcterms:modified>
</cp:coreProperties>
</file>