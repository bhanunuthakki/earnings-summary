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CoreWeave, Inc. Class A Common Stock (CRWV)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CoreWeave is a debt-funded AI 'neocloud' converting a large contracted RPO backlog into hyper-growth revenue, with consensus implying ~2.5x revenue between FY2025 and FY2026 and a path to ~$73B by 2030. The thesis hinges on take-or-pay contracts ramping faster than the data-center buildout compounds depreciation and interest; as growth fades and the GPU fleet matures, operating leverage lifts margins while capex converges toward maintenance D&amp;A. We value it as an operating infrastructure company on an FCFF DCF with growth fading from ~90% near term to a 4% terminal rate and operating margin normalizing from low single/double digits to ~25%.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CoreWeave, Inc. Class A Common Stock (CRWV)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Model!D36-WACC!B14</f>
        <v/>
      </c>
      <c r="C15" s="10">
        <f>IF(Model!D36-WACC!B14&lt;0,"!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0.9</v>
      </c>
      <c r="C20" s="15" t="n">
        <v>0.04</v>
      </c>
      <c r="D20" s="16" t="n">
        <v>0.9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0.1</v>
      </c>
      <c r="D29" s="16" t="n">
        <v>0.1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15194.842332</v>
      </c>
      <c r="D34" s="18" t="n">
        <v>15194.842332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7.102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124.82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Dashboard!$B$48*Financials!K17</f>
        <v/>
      </c>
    </row>
    <row r="10">
      <c r="A10" s="4" t="inlineStr">
        <is>
          <t>Total debt (D)</t>
        </is>
      </c>
      <c r="B10" s="28">
        <f>Financials!K31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$M unless noted</t>
        </is>
      </c>
      <c r="B1" s="30" t="inlineStr">
        <is>
          <t>FY2024A</t>
        </is>
      </c>
      <c r="C1" s="30" t="inlineStr">
        <is>
          <t>FY2025A</t>
        </is>
      </c>
      <c r="D1" s="31" t="inlineStr">
        <is>
          <t>FY2026E</t>
        </is>
      </c>
      <c r="E1" s="31" t="inlineStr">
        <is>
          <t>FY2027E</t>
        </is>
      </c>
      <c r="F1" s="31" t="inlineStr">
        <is>
          <t>FY2028E</t>
        </is>
      </c>
      <c r="G1" s="31" t="inlineStr">
        <is>
          <t>FY2029E</t>
        </is>
      </c>
      <c r="H1" s="31" t="inlineStr">
        <is>
          <t>FY2030E</t>
        </is>
      </c>
      <c r="I1" s="31" t="inlineStr">
        <is>
          <t>FY2031E</t>
        </is>
      </c>
      <c r="J1" s="31" t="inlineStr">
        <is>
          <t>FY2032E</t>
        </is>
      </c>
      <c r="K1" s="31" t="inlineStr">
        <is>
          <t>FY2033E</t>
        </is>
      </c>
      <c r="L1" s="31" t="inlineStr">
        <is>
          <t>FY2034E</t>
        </is>
      </c>
      <c r="M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4" t="inlineStr">
        <is>
          <t>Total company</t>
        </is>
      </c>
      <c r="B4" s="28">
        <f>SUM(Financials!C3:F3)</f>
        <v/>
      </c>
      <c r="C4" s="28">
        <f>SUM(Financials!G3:J3)</f>
        <v/>
      </c>
      <c r="D4" s="32">
        <f>C4*(1+D5)</f>
        <v/>
      </c>
      <c r="E4" s="32">
        <f>D4*(1+E5)</f>
        <v/>
      </c>
      <c r="F4" s="32">
        <f>E4*(1+F5)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11">
        <f>Dashboard!$B$20+(Dashboard!$C$20-Dashboard!$B$20)*MAX(0,0-2)/7</f>
        <v/>
      </c>
      <c r="E5" s="11">
        <f>Dashboard!$B$20+(Dashboard!$C$20-Dashboard!$B$20)*MAX(0,1-2)/7</f>
        <v/>
      </c>
      <c r="F5" s="11">
        <f>Dashboard!$B$20+(Dashboard!$C$20-Dashboard!$B$20)*MAX(0,2-2)/7</f>
        <v/>
      </c>
      <c r="G5" s="11">
        <f>Dashboard!$B$20+(Dashboard!$C$20-Dashboard!$B$20)*MAX(0,3-2)/7</f>
        <v/>
      </c>
      <c r="H5" s="11">
        <f>Dashboard!$B$20+(Dashboard!$C$20-Dashboard!$B$20)*MAX(0,4-2)/7</f>
        <v/>
      </c>
      <c r="I5" s="11">
        <f>Dashboard!$B$20+(Dashboard!$C$20-Dashboard!$B$20)*MAX(0,5-2)/7</f>
        <v/>
      </c>
      <c r="J5" s="11">
        <f>Dashboard!$B$20+(Dashboard!$C$20-Dashboard!$B$20)*MAX(0,6-2)/7</f>
        <v/>
      </c>
      <c r="K5" s="11">
        <f>Dashboard!$B$20+(Dashboard!$C$20-Dashboard!$B$20)*MAX(0,7-2)/7</f>
        <v/>
      </c>
      <c r="L5" s="11">
        <f>Dashboard!$B$20+(Dashboard!$C$20-Dashboard!$B$20)*MAX(0,8-2)/7</f>
        <v/>
      </c>
      <c r="M5" s="11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</row>
    <row r="7">
      <c r="A7" s="4" t="inlineStr">
        <is>
          <t xml:space="preserve">    growth %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27">
        <f>IFERROR(G6/F6-1,"")</f>
        <v/>
      </c>
      <c r="H7" s="27">
        <f>IFERROR(H6/G6-1,"")</f>
        <v/>
      </c>
      <c r="I7" s="27">
        <f>IFERROR(I6/H6-1,"")</f>
        <v/>
      </c>
      <c r="J7" s="27">
        <f>IFERROR(J6/I6-1,"")</f>
        <v/>
      </c>
      <c r="K7" s="27">
        <f>IFERROR(K6/J6-1,"")</f>
        <v/>
      </c>
      <c r="L7" s="27">
        <f>IFERROR(L6/K6-1,"")</f>
        <v/>
      </c>
      <c r="M7" s="27">
        <f>IFERROR(M6/L6-1,"")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4" t="inlineStr">
        <is>
          <t>Cost of revenue</t>
        </is>
      </c>
      <c r="B10" s="28">
        <f>SUM(Financials!C5:F5)</f>
        <v/>
      </c>
      <c r="C10" s="28">
        <f>SUM(Financials!G5:J5)</f>
        <v/>
      </c>
      <c r="D10" s="32">
        <f>D6*D11</f>
        <v/>
      </c>
      <c r="E10" s="32">
        <f>E6*E11</f>
        <v/>
      </c>
      <c r="F10" s="32">
        <f>F6*F11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</row>
    <row r="11">
      <c r="A11" s="4" t="inlineStr">
        <is>
          <t xml:space="preserve">    % of revenue</t>
        </is>
      </c>
      <c r="B11" s="27">
        <f>IFERROR(B10/B6,"")</f>
        <v/>
      </c>
      <c r="C11" s="27">
        <f>IFERROR(C10/C6,"")</f>
        <v/>
      </c>
      <c r="D11" s="15" t="n">
        <v>0.2831806665367375</v>
      </c>
      <c r="E11" s="15" t="n">
        <v>0.2831806665367375</v>
      </c>
      <c r="F11" s="15" t="n">
        <v>0.2831806665367375</v>
      </c>
      <c r="G11" s="15" t="n">
        <v>0.2831806665367375</v>
      </c>
      <c r="H11" s="15" t="n">
        <v>0.2831806665367375</v>
      </c>
      <c r="I11" s="15" t="n">
        <v>0.2831806665367375</v>
      </c>
      <c r="J11" s="15" t="n">
        <v>0.2831806665367375</v>
      </c>
      <c r="K11" s="15" t="n">
        <v>0.2831806665367375</v>
      </c>
      <c r="L11" s="15" t="n">
        <v>0.2831806665367375</v>
      </c>
      <c r="M11" s="15" t="n">
        <v>0.2831806665367375</v>
      </c>
    </row>
    <row r="12">
      <c r="A12" s="4" t="inlineStr">
        <is>
          <t>R&amp;D / Technology</t>
        </is>
      </c>
      <c r="B12" s="28">
        <f>SUM(Financials!C7:F7)</f>
        <v/>
      </c>
      <c r="C12" s="28">
        <f>SUM(Financials!G7:J7)</f>
        <v/>
      </c>
      <c r="D12" s="32">
        <f>D6*D13</f>
        <v/>
      </c>
      <c r="E12" s="32">
        <f>E6*E13</f>
        <v/>
      </c>
      <c r="F12" s="32">
        <f>F6*F13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</row>
    <row r="13">
      <c r="A13" s="4" t="inlineStr">
        <is>
          <t xml:space="preserve">    % of revenue</t>
        </is>
      </c>
      <c r="B13" s="27">
        <f>IFERROR(B12/B6,"")</f>
        <v/>
      </c>
      <c r="C13" s="27">
        <f>IFERROR(C12/C6,"")</f>
        <v/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</row>
    <row r="14">
      <c r="A14" s="4" t="inlineStr">
        <is>
          <t>SG&amp;A</t>
        </is>
      </c>
      <c r="B14" s="28">
        <f>SUM(Financials!C9:F9)</f>
        <v/>
      </c>
      <c r="C14" s="28">
        <f>SUM(Financials!G9:J9)</f>
        <v/>
      </c>
      <c r="D14" s="32">
        <f>D6*D15</f>
        <v/>
      </c>
      <c r="E14" s="32">
        <f>E6*E15</f>
        <v/>
      </c>
      <c r="F14" s="32">
        <f>F6*F15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</row>
    <row r="15">
      <c r="A15" s="4" t="inlineStr">
        <is>
          <t xml:space="preserve">    % of revenue</t>
        </is>
      </c>
      <c r="B15" s="27">
        <f>IFERROR(B14/B6,"")</f>
        <v/>
      </c>
      <c r="C15" s="27">
        <f>IFERROR(C14/C6,"")</f>
        <v/>
      </c>
      <c r="D15" s="15" t="n">
        <v>0.1549405573962191</v>
      </c>
      <c r="E15" s="15" t="n">
        <v>0.1549405573962191</v>
      </c>
      <c r="F15" s="15" t="n">
        <v>0.1549405573962191</v>
      </c>
      <c r="G15" s="15" t="n">
        <v>0.1549405573962191</v>
      </c>
      <c r="H15" s="15" t="n">
        <v>0.1549405573962191</v>
      </c>
      <c r="I15" s="15" t="n">
        <v>0.1549405573962191</v>
      </c>
      <c r="J15" s="15" t="n">
        <v>0.1549405573962191</v>
      </c>
      <c r="K15" s="15" t="n">
        <v>0.1549405573962191</v>
      </c>
      <c r="L15" s="15" t="n">
        <v>0.1549405573962191</v>
      </c>
      <c r="M15" s="15" t="n">
        <v>0.1549405573962191</v>
      </c>
    </row>
    <row r="16">
      <c r="A16" s="4" t="inlineStr">
        <is>
          <t>Other opex (fulfilment, etc.)</t>
        </is>
      </c>
      <c r="B16" s="28">
        <f>B6-(B10+B12+B14)-SUM(Financials!C13:F13)</f>
        <v/>
      </c>
      <c r="C16" s="28">
        <f>C6-(C10+C12+C14)-SUM(Financials!G13:J13)</f>
        <v/>
      </c>
      <c r="D16" s="28">
        <f>D6*(1-(Dashboard!$B$29+(Dashboard!$B$30-Dashboard!$B$29)*MIN(1,0/4)))-(D10+D12+D14)</f>
        <v/>
      </c>
      <c r="E16" s="28">
        <f>E6*(1-(Dashboard!$B$29+(Dashboard!$B$30-Dashboard!$B$29)*MIN(1,1/4)))-(E10+E12+E14)</f>
        <v/>
      </c>
      <c r="F16" s="28">
        <f>F6*(1-(Dashboard!$B$29+(Dashboard!$B$30-Dashboard!$B$29)*MIN(1,2/4)))-(F10+F12+F14)</f>
        <v/>
      </c>
      <c r="G16" s="28">
        <f>G6*(1-(Dashboard!$B$29+(Dashboard!$B$30-Dashboard!$B$29)*MIN(1,3/4)))-(G10+G12+G14)</f>
        <v/>
      </c>
      <c r="H16" s="28">
        <f>H6*(1-(Dashboard!$B$29+(Dashboard!$B$30-Dashboard!$B$29)*MIN(1,4/4)))-(H10+H12+H14)</f>
        <v/>
      </c>
      <c r="I16" s="28">
        <f>I6*(1-(Dashboard!$B$29+(Dashboard!$B$30-Dashboard!$B$29)*MIN(1,5/4)))-(I10+I12+I14)</f>
        <v/>
      </c>
      <c r="J16" s="28">
        <f>J6*(1-(Dashboard!$B$29+(Dashboard!$B$30-Dashboard!$B$29)*MIN(1,6/4)))-(J10+J12+J14)</f>
        <v/>
      </c>
      <c r="K16" s="28">
        <f>K6*(1-(Dashboard!$B$29+(Dashboard!$B$30-Dashboard!$B$29)*MIN(1,7/4)))-(K10+K12+K14)</f>
        <v/>
      </c>
      <c r="L16" s="28">
        <f>L6*(1-(Dashboard!$B$29+(Dashboard!$B$30-Dashboard!$B$29)*MIN(1,8/4)))-(L10+L12+L14)</f>
        <v/>
      </c>
      <c r="M16" s="28">
        <f>M6*(1-(Dashboard!$B$29+(Dashboard!$B$30-Dashboard!$B$29)*MIN(1,9/4)))-(M10+M12+M14)</f>
        <v/>
      </c>
    </row>
    <row r="17">
      <c r="A17" s="4" t="inlineStr">
        <is>
          <t xml:space="preserve">    % of revenue</t>
        </is>
      </c>
      <c r="B17" s="27">
        <f>IFERROR(B16/B6,"")</f>
        <v/>
      </c>
      <c r="C17" s="27">
        <f>IFERROR(C16/C6,"")</f>
        <v/>
      </c>
      <c r="D17" s="27">
        <f>IFERROR(D16/D6,"")</f>
        <v/>
      </c>
      <c r="E17" s="27">
        <f>IFERROR(E16/E6,"")</f>
        <v/>
      </c>
      <c r="F17" s="27">
        <f>IFERROR(F16/F6,"")</f>
        <v/>
      </c>
      <c r="G17" s="27">
        <f>IFERROR(G16/G6,"")</f>
        <v/>
      </c>
      <c r="H17" s="27">
        <f>IFERROR(H16/H6,"")</f>
        <v/>
      </c>
      <c r="I17" s="27">
        <f>IFERROR(I16/I6,"")</f>
        <v/>
      </c>
      <c r="J17" s="27">
        <f>IFERROR(J16/J6,"")</f>
        <v/>
      </c>
      <c r="K17" s="27">
        <f>IFERROR(K16/K6,"")</f>
        <v/>
      </c>
      <c r="L17" s="27">
        <f>IFERROR(L16/L6,"")</f>
        <v/>
      </c>
      <c r="M17" s="27">
        <f>IFERROR(M16/M6,"")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</row>
    <row r="20">
      <c r="A20" s="4" t="inlineStr">
        <is>
          <t xml:space="preserve">    operating margin</t>
        </is>
      </c>
      <c r="B20" s="27">
        <f>IFERROR(B19/B6,"")</f>
        <v/>
      </c>
      <c r="C20" s="27">
        <f>IFERROR(C19/C6,"")</f>
        <v/>
      </c>
      <c r="D20" s="27">
        <f>IFERROR(D19/D6,"")</f>
        <v/>
      </c>
      <c r="E20" s="27">
        <f>IFERROR(E19/E6,"")</f>
        <v/>
      </c>
      <c r="F20" s="27">
        <f>IFERROR(F19/F6,"")</f>
        <v/>
      </c>
      <c r="G20" s="27">
        <f>IFERROR(G19/G6,"")</f>
        <v/>
      </c>
      <c r="H20" s="27">
        <f>IFERROR(H19/H6,"")</f>
        <v/>
      </c>
      <c r="I20" s="27">
        <f>IFERROR(I19/I6,"")</f>
        <v/>
      </c>
      <c r="J20" s="27">
        <f>IFERROR(J19/J6,"")</f>
        <v/>
      </c>
      <c r="K20" s="27">
        <f>IFERROR(K19/K6,"")</f>
        <v/>
      </c>
      <c r="L20" s="27">
        <f>IFERROR(L19/L6,"")</f>
        <v/>
      </c>
      <c r="M20" s="27">
        <f>IFERROR(M19/M6,"")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</row>
    <row r="24">
      <c r="A24" s="4" t="inlineStr">
        <is>
          <t>+ D&amp;A</t>
        </is>
      </c>
      <c r="B24" s="28">
        <f>SUM(Financials!C34:F34)</f>
        <v/>
      </c>
      <c r="C24" s="28">
        <f>SUM(Financials!G34:J34)</f>
        <v/>
      </c>
      <c r="D24" s="32">
        <f>D6*0.4784</f>
        <v/>
      </c>
      <c r="E24" s="32">
        <f>E6*0.4784</f>
        <v/>
      </c>
      <c r="F24" s="32">
        <f>F6*0.4784</f>
        <v/>
      </c>
      <c r="G24" s="32">
        <f>G6*0.4784</f>
        <v/>
      </c>
      <c r="H24" s="32">
        <f>H6*0.4784</f>
        <v/>
      </c>
      <c r="I24" s="32">
        <f>I6*0.4784</f>
        <v/>
      </c>
      <c r="J24" s="32">
        <f>J6*0.4784</f>
        <v/>
      </c>
      <c r="K24" s="32">
        <f>K6*0.4784</f>
        <v/>
      </c>
      <c r="L24" s="32">
        <f>L6*0.4784</f>
        <v/>
      </c>
      <c r="M24" s="32">
        <f>M6*0.4784</f>
        <v/>
      </c>
    </row>
    <row r="25">
      <c r="A25" s="4" t="inlineStr">
        <is>
          <t>+ SBC (non-cash)</t>
        </is>
      </c>
      <c r="B25" s="28">
        <f>SUM(Financials!C35:F35)</f>
        <v/>
      </c>
      <c r="C25" s="28">
        <f>SUM(Financials!G35:J35)</f>
        <v/>
      </c>
      <c r="D25" s="32">
        <f>D6*0.1229</f>
        <v/>
      </c>
      <c r="E25" s="32">
        <f>E6*0.1174</f>
        <v/>
      </c>
      <c r="F25" s="32">
        <f>F6*0.1119</f>
        <v/>
      </c>
      <c r="G25" s="32">
        <f>G6*0.1065</f>
        <v/>
      </c>
      <c r="H25" s="32">
        <f>H6*0.1010</f>
        <v/>
      </c>
      <c r="I25" s="32">
        <f>I6*0.0956</f>
        <v/>
      </c>
      <c r="J25" s="32">
        <f>J6*0.0901</f>
        <v/>
      </c>
      <c r="K25" s="32">
        <f>K6*0.0846</f>
        <v/>
      </c>
      <c r="L25" s="32">
        <f>L6*0.0792</f>
        <v/>
      </c>
      <c r="M25" s="32">
        <f>M6*0.0737</f>
        <v/>
      </c>
    </row>
    <row r="26">
      <c r="A26" s="4" t="inlineStr">
        <is>
          <t>- dNWC</t>
        </is>
      </c>
      <c r="D26" s="32">
        <f>(D6-C6)*0.0050</f>
        <v/>
      </c>
      <c r="E26" s="32">
        <f>(E6-D6)*0.0050</f>
        <v/>
      </c>
      <c r="F26" s="32">
        <f>(F6-E6)*0.0050</f>
        <v/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</row>
    <row r="27">
      <c r="A27" s="4" t="inlineStr">
        <is>
          <t>- Capex</t>
        </is>
      </c>
      <c r="B27" s="28">
        <f>-SUM(Financials!C38:F38)</f>
        <v/>
      </c>
      <c r="C27" s="28">
        <f>-SUM(Financials!G38:J38)</f>
        <v/>
      </c>
      <c r="D27" s="32">
        <f>D24*D28</f>
        <v/>
      </c>
      <c r="E27" s="32">
        <f>E24*E28</f>
        <v/>
      </c>
      <c r="F27" s="32">
        <f>F24*F28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</row>
    <row r="28">
      <c r="A28" s="4" t="inlineStr">
        <is>
          <t xml:space="preserve">    Capex / D&amp;A  (from Dashboard: $cap'26 -&gt; terminal)</t>
        </is>
      </c>
      <c r="B28" s="34">
        <f>IFERROR(B27/B24,"")</f>
        <v/>
      </c>
      <c r="C28" s="34">
        <f>IFERROR(C27/C24,"")</f>
        <v/>
      </c>
      <c r="D28" s="13">
        <f>(Dashboard!$B$34/D24)+(Dashboard!$B$35-(Dashboard!$B$34/D24))*0/9</f>
        <v/>
      </c>
      <c r="E28" s="13">
        <f>(Dashboard!$B$34/D24)+(Dashboard!$B$35-(Dashboard!$B$34/D24))*1/9</f>
        <v/>
      </c>
      <c r="F28" s="13">
        <f>(Dashboard!$B$34/D24)+(Dashboard!$B$35-(Dashboard!$B$34/D24))*2/9</f>
        <v/>
      </c>
      <c r="G28" s="13">
        <f>(Dashboard!$B$34/D24)+(Dashboard!$B$35-(Dashboard!$B$34/D24))*3/9</f>
        <v/>
      </c>
      <c r="H28" s="13">
        <f>(Dashboard!$B$34/D24)+(Dashboard!$B$35-(Dashboard!$B$34/D24))*4/9</f>
        <v/>
      </c>
      <c r="I28" s="13">
        <f>(Dashboard!$B$34/D24)+(Dashboard!$B$35-(Dashboard!$B$34/D24))*5/9</f>
        <v/>
      </c>
      <c r="J28" s="13">
        <f>(Dashboard!$B$34/D24)+(Dashboard!$B$35-(Dashboard!$B$34/D24))*6/9</f>
        <v/>
      </c>
      <c r="K28" s="13">
        <f>(Dashboard!$B$34/D24)+(Dashboard!$B$35-(Dashboard!$B$34/D24))*7/9</f>
        <v/>
      </c>
      <c r="L28" s="13">
        <f>(Dashboard!$B$34/D24)+(Dashboard!$B$35-(Dashboard!$B$34/D24))*8/9</f>
        <v/>
      </c>
      <c r="M28" s="13">
        <f>(Dashboard!$B$34/D24)+(Dashboard!$B$35-(Dashboard!$B$34/D24))*9/9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4" t="inlineStr">
        <is>
          <t>Invested capital (debt + equity - cash)</t>
        </is>
      </c>
      <c r="B34" s="28">
        <f>Financials!F32+Financials!F31-Financials!F26</f>
        <v/>
      </c>
      <c r="C34" s="28">
        <f>Financials!J32+Financials!J31-Financials!J26</f>
        <v/>
      </c>
      <c r="D34" s="32">
        <f>C34+D27-D24+D26</f>
        <v/>
      </c>
      <c r="E34" s="32">
        <f>D34+E27-E24+E26</f>
        <v/>
      </c>
      <c r="F34" s="32">
        <f>E34+F27-F24+F26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</row>
    <row r="35">
      <c r="A35" s="4" t="inlineStr">
        <is>
          <t>Book equity (year-end)</t>
        </is>
      </c>
      <c r="B35" s="28">
        <f>Financials!F32</f>
        <v/>
      </c>
      <c r="C35" s="28">
        <f>Financials!J32</f>
        <v/>
      </c>
      <c r="D35" s="32">
        <f>C35+D23</f>
        <v/>
      </c>
      <c r="E35" s="32">
        <f>D35+E23</f>
        <v/>
      </c>
      <c r="F35" s="32">
        <f>E35+F23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</row>
    <row r="36">
      <c r="A36" s="3" t="inlineStr">
        <is>
          <t xml:space="preserve">  ROIC (NOPAT / beg. invested capital)</t>
        </is>
      </c>
      <c r="C36" s="27">
        <f>IFERROR(C23/B34,"")</f>
        <v/>
      </c>
      <c r="D36" s="27">
        <f>IFERROR(D23/C34,"")</f>
        <v/>
      </c>
      <c r="E36" s="27">
        <f>IFERROR(E23/D34,"")</f>
        <v/>
      </c>
      <c r="F36" s="27">
        <f>IFERROR(F23/E34,"")</f>
        <v/>
      </c>
      <c r="G36" s="27">
        <f>IFERROR(G23/F34,"")</f>
        <v/>
      </c>
      <c r="H36" s="27">
        <f>IFERROR(H23/G34,"")</f>
        <v/>
      </c>
      <c r="I36" s="27">
        <f>IFERROR(I23/H34,"")</f>
        <v/>
      </c>
      <c r="J36" s="27">
        <f>IFERROR(J23/I34,"")</f>
        <v/>
      </c>
      <c r="K36" s="27">
        <f>IFERROR(K23/J34,"")</f>
        <v/>
      </c>
      <c r="L36" s="27">
        <f>IFERROR(L23/K34,"")</f>
        <v/>
      </c>
      <c r="M36" s="27">
        <f>IFERROR(M23/L34,"")</f>
        <v/>
      </c>
    </row>
    <row r="37">
      <c r="A37" s="3" t="inlineStr">
        <is>
          <t xml:space="preserve">  ROE (earnings / beg. equity)</t>
        </is>
      </c>
      <c r="C37" s="11">
        <f>IFERROR(SUM(Financials!G15:J15)/B35,"")</f>
        <v/>
      </c>
      <c r="D37" s="27">
        <f>IFERROR(D23/C35,"")</f>
        <v/>
      </c>
      <c r="E37" s="27">
        <f>IFERROR(E23/D35,"")</f>
        <v/>
      </c>
      <c r="F37" s="27">
        <f>IFERROR(F23/E35,"")</f>
        <v/>
      </c>
      <c r="G37" s="27">
        <f>IFERROR(G23/F35,"")</f>
        <v/>
      </c>
      <c r="H37" s="27">
        <f>IFERROR(H23/G35,"")</f>
        <v/>
      </c>
      <c r="I37" s="27">
        <f>IFERROR(I23/H35,"")</f>
        <v/>
      </c>
      <c r="J37" s="27">
        <f>IFERROR(J23/I35,"")</f>
        <v/>
      </c>
      <c r="K37" s="27">
        <f>IFERROR(K23/J35,"")</f>
        <v/>
      </c>
      <c r="L37" s="27">
        <f>IFERROR(L23/K35,"")</f>
        <v/>
      </c>
      <c r="M37" s="27">
        <f>IFERROR(M23/L35,"")</f>
        <v/>
      </c>
    </row>
    <row r="38">
      <c r="A38" s="4" t="inlineStr">
        <is>
          <t xml:space="preserve">  ROIC - WACC spread (value created)</t>
        </is>
      </c>
      <c r="C38" s="11">
        <f>IFERROR(C36-WACC!$B$14,"")</f>
        <v/>
      </c>
      <c r="D38" s="11">
        <f>IFERROR(D36-WACC!$B$14,"")</f>
        <v/>
      </c>
      <c r="E38" s="11">
        <f>IFERROR(E36-WACC!$B$14,"")</f>
        <v/>
      </c>
      <c r="F38" s="11">
        <f>IFERROR(F36-WACC!$B$14,"")</f>
        <v/>
      </c>
      <c r="G38" s="11">
        <f>IFERROR(G36-WACC!$B$14,"")</f>
        <v/>
      </c>
      <c r="H38" s="11">
        <f>IFERROR(H36-WACC!$B$14,"")</f>
        <v/>
      </c>
      <c r="I38" s="11">
        <f>IFERROR(I36-WACC!$B$14,"")</f>
        <v/>
      </c>
      <c r="J38" s="11">
        <f>IFERROR(J36-WACC!$B$14,"")</f>
        <v/>
      </c>
      <c r="K38" s="11">
        <f>IFERROR(K36-WACC!$B$14,"")</f>
        <v/>
      </c>
      <c r="L38" s="11">
        <f>IFERROR(L36-WACC!$B$14,"")</f>
        <v/>
      </c>
      <c r="M38" s="11">
        <f>IFERROR(M36-WACC!$B$14,"")</f>
        <v/>
      </c>
    </row>
    <row r="39">
      <c r="A39" s="4" t="inlineStr">
        <is>
          <t xml:space="preserve">  Incremental op margin (ΔEBIT / ΔRev)</t>
        </is>
      </c>
      <c r="C39" s="27">
        <f>IFERROR((C19-B19)/(C6-B6),"")</f>
        <v/>
      </c>
      <c r="D39" s="27">
        <f>IFERROR((D19-C19)/(D6-C6),"")</f>
        <v/>
      </c>
      <c r="E39" s="27">
        <f>IFERROR((E19-D19)/(E6-D6),"")</f>
        <v/>
      </c>
      <c r="F39" s="27">
        <f>IFERROR((F19-E19)/(F6-E6),"")</f>
        <v/>
      </c>
      <c r="G39" s="27">
        <f>IFERROR((G19-F19)/(G6-F6),"")</f>
        <v/>
      </c>
      <c r="H39" s="27">
        <f>IFERROR((H19-G19)/(H6-G6),"")</f>
        <v/>
      </c>
      <c r="I39" s="27">
        <f>IFERROR((I19-H19)/(I6-H6),"")</f>
        <v/>
      </c>
      <c r="J39" s="27">
        <f>IFERROR((J19-I19)/(J6-I6),"")</f>
        <v/>
      </c>
      <c r="K39" s="27">
        <f>IFERROR((K19-J19)/(K6-J6),"")</f>
        <v/>
      </c>
      <c r="L39" s="27">
        <f>IFERROR((L19-K19)/(L6-K6),"")</f>
        <v/>
      </c>
      <c r="M39" s="27">
        <f>IFERROR((M19-L19)/(M6-L6),"")</f>
        <v/>
      </c>
    </row>
    <row r="40">
      <c r="A40" s="3" t="inlineStr">
        <is>
          <t xml:space="preserve">  ROIIC (ΔNOPAT / ΔInvested capital)</t>
        </is>
      </c>
      <c r="C40" s="27">
        <f>IFERROR((C23-B23)/(C34-B34),"")</f>
        <v/>
      </c>
      <c r="D40" s="27">
        <f>IFERROR((D23-C23)/(D34-C34),"")</f>
        <v/>
      </c>
      <c r="E40" s="27">
        <f>IFERROR((E23-D23)/(E34-D34),"")</f>
        <v/>
      </c>
      <c r="F40" s="27">
        <f>IFERROR((F23-E23)/(F34-E34),"")</f>
        <v/>
      </c>
      <c r="G40" s="27">
        <f>IFERROR((G23-F23)/(G34-F34),"")</f>
        <v/>
      </c>
      <c r="H40" s="27">
        <f>IFERROR((H23-G23)/(H34-G34),"")</f>
        <v/>
      </c>
      <c r="I40" s="27">
        <f>IFERROR((I23-H23)/(I34-H34),"")</f>
        <v/>
      </c>
      <c r="J40" s="27">
        <f>IFERROR((J23-I23)/(J34-I34),"")</f>
        <v/>
      </c>
      <c r="K40" s="27">
        <f>IFERROR((K23-J23)/(K34-J34),"")</f>
        <v/>
      </c>
      <c r="L40" s="27">
        <f>IFERROR((L23-K23)/(L34-K34),"")</f>
        <v/>
      </c>
      <c r="M40" s="27">
        <f>IFERROR((M23-L23)/(M34-L34),"")</f>
        <v/>
      </c>
    </row>
    <row r="41">
      <c r="A41" s="4" t="inlineStr">
        <is>
          <t xml:space="preserve">  Sales-to-capital (ΔRev / ΔInvested capital)</t>
        </is>
      </c>
      <c r="C41" s="35">
        <f>IFERROR((C6-B6)/(C34-B34),"")</f>
        <v/>
      </c>
      <c r="D41" s="35">
        <f>IFERROR((D6-C6)/(D34-C34),"")</f>
        <v/>
      </c>
      <c r="E41" s="35">
        <f>IFERROR((E6-D6)/(E34-D34),"")</f>
        <v/>
      </c>
      <c r="F41" s="35">
        <f>IFERROR((F6-E6)/(F34-E34),"")</f>
        <v/>
      </c>
      <c r="G41" s="35">
        <f>IFERROR((G6-F6)/(G34-F34),"")</f>
        <v/>
      </c>
      <c r="H41" s="35">
        <f>IFERROR((H6-G6)/(H34-G34),"")</f>
        <v/>
      </c>
      <c r="I41" s="35">
        <f>IFERROR((I6-H6)/(I34-H34),"")</f>
        <v/>
      </c>
      <c r="J41" s="35">
        <f>IFERROR((J6-I6)/(J34-I34),"")</f>
        <v/>
      </c>
      <c r="K41" s="35">
        <f>IFERROR((K6-J6)/(K34-J34),"")</f>
        <v/>
      </c>
      <c r="L41" s="35">
        <f>IFERROR((L6-K6)/(L34-K34),"")</f>
        <v/>
      </c>
      <c r="M41" s="35">
        <f>IFERROR((M6-L6)/(M34-L34),"")</f>
        <v/>
      </c>
    </row>
    <row r="42">
      <c r="A42" s="4" t="inlineStr">
        <is>
          <t xml:space="preserve">  Reinvestment rate (ΔInvested capital / NOPAT)</t>
        </is>
      </c>
      <c r="C42" s="27">
        <f>IFERROR((C34-B34)/C23,"")</f>
        <v/>
      </c>
      <c r="D42" s="27">
        <f>IFERROR((D34-C34)/D23,"")</f>
        <v/>
      </c>
      <c r="E42" s="27">
        <f>IFERROR((E34-D34)/E23,"")</f>
        <v/>
      </c>
      <c r="F42" s="27">
        <f>IFERROR((F34-E34)/F23,"")</f>
        <v/>
      </c>
      <c r="G42" s="27">
        <f>IFERROR((G34-F34)/G23,"")</f>
        <v/>
      </c>
      <c r="H42" s="27">
        <f>IFERROR((H34-G34)/H23,"")</f>
        <v/>
      </c>
      <c r="I42" s="27">
        <f>IFERROR((I34-H34)/I23,"")</f>
        <v/>
      </c>
      <c r="J42" s="27">
        <f>IFERROR((J34-I34)/J23,"")</f>
        <v/>
      </c>
      <c r="K42" s="27">
        <f>IFERROR((K34-J34)/K23,"")</f>
        <v/>
      </c>
      <c r="L42" s="27">
        <f>IFERROR((L34-K34)/L23,"")</f>
        <v/>
      </c>
      <c r="M42" s="27">
        <f>IFERROR((M34-L34)/M23,"")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Line Item ($M)</t>
        </is>
      </c>
      <c r="B1" s="36" t="inlineStr">
        <is>
          <t>Q4 2023</t>
        </is>
      </c>
      <c r="C1" s="36" t="inlineStr">
        <is>
          <t>Q1 2024</t>
        </is>
      </c>
      <c r="D1" s="36" t="inlineStr">
        <is>
          <t>Q2 2024</t>
        </is>
      </c>
      <c r="E1" s="36" t="inlineStr">
        <is>
          <t>Q3 2024</t>
        </is>
      </c>
      <c r="F1" s="36" t="inlineStr">
        <is>
          <t>Q4 2024</t>
        </is>
      </c>
      <c r="G1" s="36" t="inlineStr">
        <is>
          <t>Q1 2025</t>
        </is>
      </c>
      <c r="H1" s="36" t="inlineStr">
        <is>
          <t>Q2 2025</t>
        </is>
      </c>
      <c r="I1" s="36" t="inlineStr">
        <is>
          <t>Q3 2025</t>
        </is>
      </c>
      <c r="J1" s="36" t="inlineStr">
        <is>
          <t>Q4 2025</t>
        </is>
      </c>
      <c r="K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4" t="inlineStr">
        <is>
          <t>Revenue</t>
        </is>
      </c>
      <c r="B3" s="18" t="n">
        <v>115.997</v>
      </c>
      <c r="C3" s="18" t="n">
        <v>188.684</v>
      </c>
      <c r="D3" s="18" t="n">
        <v>395.371</v>
      </c>
      <c r="E3" s="18" t="n">
        <v>583.941</v>
      </c>
      <c r="F3" s="18" t="n">
        <v>747.4299999999999</v>
      </c>
      <c r="G3" s="18" t="n">
        <v>981.6319999999999</v>
      </c>
      <c r="H3" s="18" t="n">
        <v>1212.788</v>
      </c>
      <c r="I3" s="18" t="n">
        <v>1364.676</v>
      </c>
      <c r="J3" s="18" t="n">
        <v>1571.904</v>
      </c>
      <c r="K3" s="18" t="n">
        <v>2078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</row>
    <row r="5">
      <c r="A5" s="4" t="inlineStr">
        <is>
          <t>Cost of Revenue</t>
        </is>
      </c>
      <c r="B5" s="18" t="n">
        <v>34.848</v>
      </c>
      <c r="C5" s="18" t="n">
        <v>59.22</v>
      </c>
      <c r="D5" s="18" t="n">
        <v>108.838</v>
      </c>
      <c r="E5" s="18" t="n">
        <v>143.134</v>
      </c>
      <c r="F5" s="18" t="n">
        <v>182.158</v>
      </c>
      <c r="G5" s="18" t="n">
        <v>262.394</v>
      </c>
      <c r="H5" s="18" t="n">
        <v>312.667</v>
      </c>
      <c r="I5" s="18" t="n">
        <v>368.824</v>
      </c>
      <c r="J5" s="18" t="n">
        <v>509.115</v>
      </c>
      <c r="K5" s="18" t="n">
        <v>716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</row>
    <row r="9">
      <c r="A9" s="4" t="inlineStr">
        <is>
          <t>SG&amp;A Expense</t>
        </is>
      </c>
      <c r="B9" s="18" t="n">
        <v>17.033</v>
      </c>
      <c r="C9" s="18" t="n">
        <v>19.736</v>
      </c>
      <c r="D9" s="18" t="n">
        <v>25.926</v>
      </c>
      <c r="E9" s="18" t="n">
        <v>38.182</v>
      </c>
      <c r="F9" s="18" t="n">
        <v>53.189</v>
      </c>
      <c r="G9" s="18" t="n">
        <v>185.306</v>
      </c>
      <c r="H9" s="18" t="n">
        <v>210.999</v>
      </c>
      <c r="I9" s="18" t="n">
        <v>196.523</v>
      </c>
      <c r="J9" s="18" t="n">
        <v>202.172</v>
      </c>
      <c r="K9" s="18" t="n">
        <v>233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</row>
    <row r="11">
      <c r="A11" s="4" t="inlineStr">
        <is>
          <t>Gross Profit</t>
        </is>
      </c>
      <c r="B11" s="18" t="n">
        <v>81.149</v>
      </c>
      <c r="C11" s="18" t="n">
        <v>129.464</v>
      </c>
      <c r="D11" s="18" t="n">
        <v>286.533</v>
      </c>
      <c r="E11" s="18" t="n">
        <v>440.807</v>
      </c>
      <c r="F11" s="18" t="n">
        <v>565.272</v>
      </c>
      <c r="G11" s="18" t="n">
        <v>719.2380000000001</v>
      </c>
      <c r="H11" s="18" t="n">
        <v>900.121</v>
      </c>
      <c r="I11" s="18" t="n">
        <v>995.852</v>
      </c>
      <c r="J11" s="18" t="n">
        <v>1062.789</v>
      </c>
      <c r="K11" s="18" t="n">
        <v>1362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</row>
    <row r="13">
      <c r="A13" s="4" t="inlineStr">
        <is>
          <t>Operating Income</t>
        </is>
      </c>
      <c r="B13" s="18" t="n">
        <v>-1.817</v>
      </c>
      <c r="C13" s="18" t="n">
        <v>16.847</v>
      </c>
      <c r="D13" s="18" t="n">
        <v>77.721</v>
      </c>
      <c r="E13" s="18" t="n">
        <v>117.116</v>
      </c>
      <c r="F13" s="18" t="n">
        <v>112.674</v>
      </c>
      <c r="G13" s="18" t="n">
        <v>-27.47</v>
      </c>
      <c r="H13" s="18" t="n">
        <v>19.209</v>
      </c>
      <c r="I13" s="18" t="n">
        <v>51.85</v>
      </c>
      <c r="J13" s="18" t="n">
        <v>-89.589</v>
      </c>
      <c r="K13" s="18" t="n">
        <v>-144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</row>
    <row r="15">
      <c r="A15" s="4" t="inlineStr">
        <is>
          <t>Net Income</t>
        </is>
      </c>
      <c r="B15" s="18" t="n">
        <v>-170.574</v>
      </c>
      <c r="C15" s="18" t="n">
        <v>-129.248</v>
      </c>
      <c r="D15" s="18" t="n">
        <v>-323.021</v>
      </c>
      <c r="E15" s="18" t="n">
        <v>-359.807</v>
      </c>
      <c r="F15" s="18" t="n">
        <v>-51.372</v>
      </c>
      <c r="G15" s="18" t="n">
        <v>-314.641</v>
      </c>
      <c r="H15" s="18" t="n">
        <v>-290.509</v>
      </c>
      <c r="I15" s="18" t="n">
        <v>-110.124</v>
      </c>
      <c r="J15" s="18" t="n">
        <v>-451.726</v>
      </c>
      <c r="K15" s="18" t="n">
        <v>-740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</row>
    <row r="17">
      <c r="A17" s="4" t="inlineStr">
        <is>
          <t>Diluted Shares (M)</t>
        </is>
      </c>
      <c r="B17" s="18" t="n">
        <v>403.727</v>
      </c>
      <c r="C17" s="18" t="n">
        <v>403.727</v>
      </c>
      <c r="D17" s="18" t="n">
        <v>403.727</v>
      </c>
      <c r="E17" s="18" t="n">
        <v>435.533</v>
      </c>
      <c r="F17" s="18" t="n">
        <v>404.407</v>
      </c>
      <c r="G17" s="18" t="n">
        <v>404.407</v>
      </c>
      <c r="H17" s="18" t="n">
        <v>486.591</v>
      </c>
      <c r="I17" s="18" t="n">
        <v>497.886</v>
      </c>
      <c r="J17" s="18" t="n">
        <v>436</v>
      </c>
      <c r="K17" s="18" t="n">
        <v>527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4" t="inlineStr">
        <is>
          <t>UNITED STATES</t>
        </is>
      </c>
      <c r="G19" s="18" t="n">
        <v>929.424</v>
      </c>
      <c r="H19" s="18" t="n">
        <v>1147.655</v>
      </c>
      <c r="J19" s="18" t="n">
        <v>2723.921</v>
      </c>
      <c r="K19" s="18" t="n">
        <v>1900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</row>
    <row r="22">
      <c r="A22" s="4" t="inlineStr">
        <is>
          <t>Non-US</t>
        </is>
      </c>
      <c r="G22" s="18" t="n">
        <v>52.208</v>
      </c>
      <c r="H22" s="18" t="n">
        <v>65.133</v>
      </c>
      <c r="J22" s="18" t="n">
        <v>212.659</v>
      </c>
      <c r="K22" s="18" t="n">
        <v>178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4" t="inlineStr">
        <is>
          <t>Cash &amp; ST Investments</t>
        </is>
      </c>
      <c r="B26" s="18" t="n">
        <v>219.515</v>
      </c>
      <c r="E26" s="18" t="n">
        <v>1356.427</v>
      </c>
      <c r="F26" s="18" t="n">
        <v>1361.083</v>
      </c>
      <c r="G26" s="18" t="n">
        <v>1276.456</v>
      </c>
      <c r="H26" s="18" t="n">
        <v>1152.883</v>
      </c>
      <c r="I26" s="18" t="n">
        <v>1941.848</v>
      </c>
      <c r="J26" s="18" t="n">
        <v>3980</v>
      </c>
      <c r="K26" s="18" t="n">
        <v>3043</v>
      </c>
    </row>
    <row r="27">
      <c r="A27" s="4" t="inlineStr">
        <is>
          <t>Total Current Assets</t>
        </is>
      </c>
      <c r="B27" s="18" t="n">
        <v>501.992</v>
      </c>
      <c r="E27" s="18" t="n">
        <v>2052.845</v>
      </c>
      <c r="F27" s="18" t="n">
        <v>1916.249</v>
      </c>
      <c r="G27" s="18" t="n">
        <v>3102.647</v>
      </c>
      <c r="H27" s="18" t="n">
        <v>3945.983</v>
      </c>
      <c r="I27" s="18" t="n">
        <v>4731.283</v>
      </c>
      <c r="J27" s="18" t="n">
        <v>7488</v>
      </c>
      <c r="K27" s="18" t="n">
        <v>5609</v>
      </c>
    </row>
    <row r="28">
      <c r="A28" s="4" t="inlineStr">
        <is>
          <t>PP&amp;E (net)</t>
        </is>
      </c>
      <c r="B28" s="18" t="n">
        <v>3945.956</v>
      </c>
      <c r="E28" s="18" t="n">
        <v>10909.475</v>
      </c>
      <c r="F28" s="18" t="n">
        <v>14504.321</v>
      </c>
      <c r="G28" s="18" t="n">
        <v>17274.212</v>
      </c>
      <c r="H28" s="18" t="n">
        <v>20011.711</v>
      </c>
      <c r="I28" s="18" t="n">
        <v>25336.238</v>
      </c>
      <c r="J28" s="18" t="n">
        <v>38788</v>
      </c>
      <c r="K28" s="18" t="n">
        <v>46606</v>
      </c>
    </row>
    <row r="29">
      <c r="A29" s="4" t="inlineStr">
        <is>
          <t>Total Assets</t>
        </is>
      </c>
      <c r="B29" s="18" t="n">
        <v>4976.975</v>
      </c>
      <c r="E29" s="18" t="n">
        <v>14136.373</v>
      </c>
      <c r="F29" s="18" t="n">
        <v>17832.599</v>
      </c>
      <c r="G29" s="18" t="n">
        <v>21860.383</v>
      </c>
      <c r="H29" s="18" t="n">
        <v>26241.363</v>
      </c>
      <c r="I29" s="18" t="n">
        <v>32910.498</v>
      </c>
      <c r="J29" s="18" t="n">
        <v>49302</v>
      </c>
      <c r="K29" s="18" t="n">
        <v>55573</v>
      </c>
    </row>
    <row r="30">
      <c r="A30" s="4" t="inlineStr">
        <is>
          <t>Total Current Liabilities</t>
        </is>
      </c>
      <c r="B30" s="18" t="n">
        <v>998.461</v>
      </c>
      <c r="E30" s="18" t="n">
        <v>3968.224</v>
      </c>
      <c r="F30" s="18" t="n">
        <v>4962.581</v>
      </c>
      <c r="G30" s="18" t="n">
        <v>7130.797</v>
      </c>
      <c r="H30" s="18" t="n">
        <v>7556.355</v>
      </c>
      <c r="I30" s="18" t="n">
        <v>9714.871999999999</v>
      </c>
      <c r="J30" s="18" t="n">
        <v>16440</v>
      </c>
      <c r="K30" s="18" t="n">
        <v>17818</v>
      </c>
    </row>
    <row r="31">
      <c r="A31" s="4" t="inlineStr">
        <is>
          <t>Long-term Debt</t>
        </is>
      </c>
      <c r="B31" s="18" t="n">
        <v>1351.389</v>
      </c>
      <c r="E31" s="18" t="n">
        <v>3445.72</v>
      </c>
      <c r="F31" s="18" t="n">
        <v>5457.915</v>
      </c>
      <c r="G31" s="18" t="n">
        <v>4935.071</v>
      </c>
      <c r="H31" s="18" t="n">
        <v>7423.837</v>
      </c>
      <c r="I31" s="18" t="n">
        <v>10322.757</v>
      </c>
      <c r="J31" s="18" t="n">
        <v>7984</v>
      </c>
      <c r="K31" s="18" t="n">
        <v>9778</v>
      </c>
    </row>
    <row r="32">
      <c r="A32" s="4" t="inlineStr">
        <is>
          <t>Total Equity</t>
        </is>
      </c>
      <c r="B32" s="18" t="n">
        <v>-596.591</v>
      </c>
      <c r="E32" s="18" t="n">
        <v>-344.027</v>
      </c>
      <c r="F32" s="18" t="n">
        <v>-413.598</v>
      </c>
      <c r="G32" s="18" t="n">
        <v>3069.282</v>
      </c>
      <c r="H32" s="18" t="n">
        <v>3820.806</v>
      </c>
      <c r="I32" s="18" t="n">
        <v>3878.014</v>
      </c>
      <c r="J32" s="18" t="n">
        <v>3335</v>
      </c>
      <c r="K32" s="18" t="n">
        <v>4759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4" t="inlineStr">
        <is>
          <t>D&amp;A</t>
        </is>
      </c>
      <c r="B34" s="18" t="n">
        <v>53.33</v>
      </c>
      <c r="C34" s="18" t="n">
        <v>79.51000000000001</v>
      </c>
      <c r="D34" s="18" t="n">
        <v>164.46</v>
      </c>
      <c r="E34" s="18" t="n">
        <v>254.024</v>
      </c>
      <c r="F34" s="18" t="n">
        <v>365.419</v>
      </c>
      <c r="G34" s="18" t="n">
        <v>443.497</v>
      </c>
      <c r="H34" s="18" t="n">
        <v>559.481</v>
      </c>
      <c r="I34" s="18" t="n">
        <v>630.479</v>
      </c>
      <c r="J34" s="18" t="n">
        <v>821</v>
      </c>
      <c r="K34" s="18" t="n">
        <v>1147</v>
      </c>
    </row>
    <row r="35">
      <c r="A35" s="4" t="inlineStr">
        <is>
          <t>Stock-based Compensation</t>
        </is>
      </c>
      <c r="B35" s="18" t="n">
        <v>8.096</v>
      </c>
      <c r="C35" s="18" t="n">
        <v>8.189</v>
      </c>
      <c r="D35" s="18" t="n">
        <v>7.66</v>
      </c>
      <c r="E35" s="18" t="n">
        <v>7.617</v>
      </c>
      <c r="F35" s="18" t="n">
        <v>8.021000000000001</v>
      </c>
      <c r="G35" s="18" t="n">
        <v>183.973</v>
      </c>
      <c r="H35" s="18" t="n">
        <v>145.005</v>
      </c>
      <c r="I35" s="18" t="n">
        <v>144.431</v>
      </c>
      <c r="J35" s="18" t="n">
        <v>157</v>
      </c>
      <c r="K35" s="18" t="n">
        <v>0</v>
      </c>
    </row>
    <row r="36">
      <c r="A36" s="4" t="inlineStr">
        <is>
          <t>Change in Working Capital</t>
        </is>
      </c>
      <c r="B36" s="18" t="n">
        <v>-22.504</v>
      </c>
      <c r="C36" s="18" t="n">
        <v>1946.139</v>
      </c>
      <c r="D36" s="18" t="n">
        <v>-337.185</v>
      </c>
      <c r="E36" s="18" t="n">
        <v>299.727</v>
      </c>
      <c r="F36" s="18" t="n">
        <v>-230.797</v>
      </c>
      <c r="G36" s="18" t="n">
        <v>-396.724</v>
      </c>
      <c r="H36" s="18" t="n">
        <v>-835.184</v>
      </c>
      <c r="I36" s="18" t="n">
        <v>1017.859</v>
      </c>
      <c r="J36" s="18" t="n">
        <v>846.049</v>
      </c>
      <c r="K36" s="18" t="n">
        <v>2016</v>
      </c>
    </row>
    <row r="37">
      <c r="A37" s="4" t="inlineStr">
        <is>
          <t>Operating Cash Flow</t>
        </is>
      </c>
      <c r="B37" s="18" t="n">
        <v>43.621</v>
      </c>
      <c r="C37" s="18" t="n">
        <v>2039.038</v>
      </c>
      <c r="D37" s="18" t="n">
        <v>-117.824</v>
      </c>
      <c r="E37" s="18" t="n">
        <v>641.222</v>
      </c>
      <c r="F37" s="18" t="n">
        <v>186.732</v>
      </c>
      <c r="G37" s="18" t="n">
        <v>61.168</v>
      </c>
      <c r="H37" s="18" t="n">
        <v>-251.251</v>
      </c>
      <c r="I37" s="18" t="n">
        <v>1689.134</v>
      </c>
      <c r="J37" s="18" t="n">
        <v>1559</v>
      </c>
      <c r="K37" s="18" t="n">
        <v>2984</v>
      </c>
    </row>
    <row r="38">
      <c r="A38" s="4" t="inlineStr">
        <is>
          <t>Capex</t>
        </is>
      </c>
      <c r="B38" s="18" t="n">
        <v>-1180.054</v>
      </c>
      <c r="C38" s="18" t="n">
        <v>-1741.935</v>
      </c>
      <c r="D38" s="18" t="n">
        <v>-2247.161</v>
      </c>
      <c r="E38" s="18" t="n">
        <v>-1215.155</v>
      </c>
      <c r="F38" s="18" t="n">
        <v>-3497.827</v>
      </c>
      <c r="G38" s="18" t="n">
        <v>-1407.359</v>
      </c>
      <c r="H38" s="18" t="n">
        <v>-2452.992</v>
      </c>
      <c r="I38" s="18" t="n">
        <v>-2388.888</v>
      </c>
      <c r="J38" s="18" t="n">
        <v>-4060</v>
      </c>
      <c r="K38" s="18" t="n">
        <v>-7695</v>
      </c>
    </row>
    <row r="39">
      <c r="A39" s="4" t="inlineStr">
        <is>
          <t>Free Cash Flow</t>
        </is>
      </c>
      <c r="B39" s="18" t="n">
        <v>-1136.433</v>
      </c>
      <c r="C39" s="18" t="n">
        <v>297.103</v>
      </c>
      <c r="D39" s="18" t="n">
        <v>-2364.985</v>
      </c>
      <c r="E39" s="18" t="n">
        <v>-573.933</v>
      </c>
      <c r="F39" s="18" t="n">
        <v>-3311.095</v>
      </c>
      <c r="G39" s="18" t="n">
        <v>-1346.191</v>
      </c>
      <c r="H39" s="18" t="n">
        <v>-2704.243</v>
      </c>
      <c r="I39" s="18" t="n">
        <v>-699.754</v>
      </c>
      <c r="J39" s="18" t="n">
        <v>-2501</v>
      </c>
      <c r="K39" s="18" t="n">
        <v>-4711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12662.36861</v>
      </c>
      <c r="C4" s="18" t="n">
        <v>24925.10089</v>
      </c>
      <c r="D4" s="18" t="n">
        <v>39511.942956</v>
      </c>
      <c r="E4" s="18" t="n">
        <v>51099.1963</v>
      </c>
      <c r="F4" s="18" t="n">
        <v>72900.35885</v>
      </c>
    </row>
    <row r="5">
      <c r="A5" s="4" t="inlineStr">
        <is>
          <t xml:space="preserve">  model</t>
        </is>
      </c>
      <c r="B5" s="28">
        <f>Model!D6</f>
        <v/>
      </c>
      <c r="C5" s="28">
        <f>Model!E6</f>
        <v/>
      </c>
      <c r="D5" s="28">
        <f>Model!F6</f>
        <v/>
      </c>
      <c r="E5" s="28">
        <f>Model!G6</f>
        <v/>
      </c>
      <c r="F5" s="28">
        <f>Model!H6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-3624.644205</v>
      </c>
      <c r="C8" s="18" t="n">
        <v>-7134.891212</v>
      </c>
      <c r="D8" s="18" t="n">
        <v>-11310.422205</v>
      </c>
      <c r="E8" s="18" t="n">
        <v>-14627.311168</v>
      </c>
      <c r="F8" s="18" t="n">
        <v>-20867.964868</v>
      </c>
    </row>
    <row r="9">
      <c r="A9" s="4" t="inlineStr">
        <is>
          <t xml:space="preserve">  model</t>
        </is>
      </c>
      <c r="B9" s="28">
        <f>Model!D19+Model!D24</f>
        <v/>
      </c>
      <c r="C9" s="28">
        <f>Model!E19+Model!E24</f>
        <v/>
      </c>
      <c r="D9" s="28">
        <f>Model!F19+Model!F24</f>
        <v/>
      </c>
      <c r="E9" s="28">
        <f>Model!G19+Model!G24</f>
        <v/>
      </c>
      <c r="F9" s="28">
        <f>Model!H19+Model!H24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-6956.147629</v>
      </c>
      <c r="C12" s="18" t="n">
        <v>-13692.752659</v>
      </c>
      <c r="D12" s="18" t="n">
        <v>-21706.121246</v>
      </c>
      <c r="E12" s="18" t="n">
        <v>-28071.647899</v>
      </c>
      <c r="F12" s="18" t="n">
        <v>-40048.246422</v>
      </c>
    </row>
    <row r="13">
      <c r="A13" s="4" t="inlineStr">
        <is>
          <t xml:space="preserve">  model</t>
        </is>
      </c>
      <c r="B13" s="28">
        <f>Model!D19</f>
        <v/>
      </c>
      <c r="C13" s="28">
        <f>Model!E19</f>
        <v/>
      </c>
      <c r="D13" s="28">
        <f>Model!F19</f>
        <v/>
      </c>
      <c r="E13" s="28">
        <f>Model!G19</f>
        <v/>
      </c>
      <c r="F13" s="28">
        <f>Model!H19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3004.360388</v>
      </c>
      <c r="C16" s="18" t="n">
        <v>5913.900322</v>
      </c>
      <c r="D16" s="18" t="n">
        <v>9374.874476999999</v>
      </c>
      <c r="E16" s="18" t="n">
        <v>12124.145647</v>
      </c>
      <c r="F16" s="18" t="n">
        <v>17296.838942</v>
      </c>
    </row>
    <row r="17">
      <c r="A17" s="4" t="inlineStr">
        <is>
          <t xml:space="preserve">  model</t>
        </is>
      </c>
      <c r="B17" s="28">
        <f>Model!D14</f>
        <v/>
      </c>
      <c r="C17" s="28">
        <f>Model!E14</f>
        <v/>
      </c>
      <c r="D17" s="28">
        <f>Model!F14</f>
        <v/>
      </c>
      <c r="E17" s="28">
        <f>Model!G14</f>
        <v/>
      </c>
      <c r="F17" s="28">
        <f>Model!H14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-1296.7795425</v>
      </c>
      <c r="C20" s="18" t="n">
        <v>44.50688</v>
      </c>
      <c r="D20" s="18" t="n">
        <v>1872.938284</v>
      </c>
      <c r="E20" s="18" t="n">
        <v>2445.262405</v>
      </c>
      <c r="F20" s="18" t="n">
        <v>4948.412531</v>
      </c>
    </row>
    <row r="21">
      <c r="A21" s="4" t="inlineStr">
        <is>
          <t xml:space="preserve">  model</t>
        </is>
      </c>
      <c r="B21" s="28">
        <f>Model!D23</f>
        <v/>
      </c>
      <c r="C21" s="28">
        <f>Model!E23</f>
        <v/>
      </c>
      <c r="D21" s="28">
        <f>Model!F23</f>
        <v/>
      </c>
      <c r="E21" s="28">
        <f>Model!G23</f>
        <v/>
      </c>
      <c r="F21" s="28">
        <f>Model!H23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-3.32909</v>
      </c>
      <c r="C24" s="38" t="n">
        <v>-0.77127</v>
      </c>
      <c r="D24" s="38" t="n">
        <v>3.49529</v>
      </c>
      <c r="E24" s="38" t="n">
        <v>5.6084</v>
      </c>
      <c r="F24" s="38" t="n">
        <v>11.34957</v>
      </c>
    </row>
    <row r="25">
      <c r="A25" s="4" t="inlineStr">
        <is>
          <t xml:space="preserve">  model</t>
        </is>
      </c>
      <c r="B25" s="8">
        <f>Model!D23/Financials!K17</f>
        <v/>
      </c>
      <c r="C25" s="8">
        <f>Model!E23/Financials!K17</f>
        <v/>
      </c>
      <c r="D25" s="8">
        <f>Model!F23/Financials!K17</f>
        <v/>
      </c>
      <c r="E25" s="8">
        <f>Model!G23/Financials!K17</f>
        <v/>
      </c>
      <c r="F25" s="8">
        <f>Model!H23/Financials!K17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CoreWeave, Inc. Class A Common Stock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Model!D31</f>
        <v/>
      </c>
      <c r="D12" s="28">
        <f>Model!E31</f>
        <v/>
      </c>
      <c r="E12" s="28">
        <f>Model!F31</f>
        <v/>
      </c>
      <c r="F12" s="28">
        <f>Model!G31</f>
        <v/>
      </c>
      <c r="G12" s="28">
        <f>Model!H31</f>
        <v/>
      </c>
      <c r="H12" s="28">
        <f>Model!I31</f>
        <v/>
      </c>
      <c r="I12" s="28">
        <f>Model!J31</f>
        <v/>
      </c>
      <c r="J12" s="28">
        <f>Model!K31</f>
        <v/>
      </c>
      <c r="K12" s="28">
        <f>Model!L31</f>
        <v/>
      </c>
      <c r="L12" s="28">
        <f>Model!M31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Model!M6</f>
        <v/>
      </c>
    </row>
    <row r="21">
      <c r="A21" s="4" t="inlineStr">
        <is>
          <t>Terminal EBIT</t>
        </is>
      </c>
      <c r="B21" s="28">
        <f>Model!M19</f>
        <v/>
      </c>
    </row>
    <row r="22">
      <c r="A22" s="4" t="inlineStr">
        <is>
          <t>Terminal EBITDA</t>
        </is>
      </c>
      <c r="B22" s="28">
        <f>Model!M19+Model!M24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Financials!K26</f>
        <v/>
      </c>
    </row>
    <row r="33">
      <c r="A33" s="4" t="inlineStr">
        <is>
          <t>- Long-term debt</t>
        </is>
      </c>
      <c r="B33" s="28">
        <f>-Financials!K31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Financials!K17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Model!C6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Model!C20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0.4783584096667317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2.508579290653696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(Model!M6/Model!C6)^(1/10)-1</f>
        <v/>
      </c>
      <c r="D6" s="15" t="n">
        <v>0.012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0.8984017955335285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Financials!K26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Financials!K31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Financials!K17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2026-06-08T03:50:06Z</dcterms:created>
  <dcterms:modified xmlns:dcterms="http://purl.org/dc/terms/" xmlns:xsi="http://www.w3.org/2001/XMLSchema-instance" xsi:type="dcterms:W3CDTF">2026-06-08T03:50:06Z</dcterms:modified>
</cp:coreProperties>
</file>