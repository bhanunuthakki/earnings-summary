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Uber Technologies, Inc. (UBER)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Uber is an asset-light, take-rate marketplace where Mobility and Delivery still compound on rising trip frequency, Uber One cross-sell, and network density, while the now-profitable cost base delivers operating leverage as revenue scales. Near-term growth (~12-15% blended) tracks Street consensus and fades toward a mature ~4% rate as the platform saturates; operating margins expand from ~11% today toward ~25% as fixed-cost absorption and a higher-margin advertising/membership mix mature. Freight remains a drag (flat to low-single-digit) and is modeled as a low-growth, low-margin appendage to the core marketplace.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Uber Technologies, Inc. (UBER)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Mobility</t>
        </is>
      </c>
      <c r="B20" s="15" t="n">
        <v>0.14</v>
      </c>
      <c r="C20" s="15" t="n">
        <v>0.04</v>
      </c>
      <c r="D20" s="16" t="n">
        <v>0.14</v>
      </c>
      <c r="E20" s="2" t="inlineStr"/>
    </row>
    <row r="21">
      <c r="A21" s="4" t="inlineStr">
        <is>
          <t>Delivery</t>
        </is>
      </c>
      <c r="B21" s="15" t="n">
        <v>0.18</v>
      </c>
      <c r="C21" s="15" t="n">
        <v>0.04</v>
      </c>
      <c r="D21" s="16" t="n">
        <v>0.18</v>
      </c>
      <c r="E21" s="2" t="inlineStr"/>
    </row>
    <row r="22">
      <c r="A22" s="4" t="inlineStr">
        <is>
          <t>Freight</t>
        </is>
      </c>
      <c r="B22" s="15" t="n">
        <v>0.03</v>
      </c>
      <c r="C22" s="15" t="n">
        <v>0.03</v>
      </c>
      <c r="D22" s="16" t="n">
        <v>0.03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0.14</v>
      </c>
      <c r="D29" s="16" t="n">
        <v>0.14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407.366427069</v>
      </c>
      <c r="D34" s="18" t="n">
        <v>407.366427069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1.158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75.08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Financials!AC47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Mobility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Delivery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Freight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27">
        <f>IFERROR(G10/F10-1,"")</f>
        <v/>
      </c>
      <c r="H11" s="27">
        <f>IFERROR(H10/G10-1,"")</f>
        <v/>
      </c>
      <c r="I11" s="27">
        <f>IFERROR(I10/H10-1,"")</f>
        <v/>
      </c>
      <c r="J11" s="27">
        <f>IFERROR(J10/I10-1,"")</f>
        <v/>
      </c>
      <c r="K11" s="27">
        <f>IFERROR(K10/J10-1,"")</f>
        <v/>
      </c>
      <c r="L11" s="27">
        <f>IFERROR(L10/K10-1,"")</f>
        <v/>
      </c>
      <c r="M11" s="27">
        <f>IFERROR(M10/L10-1,"")</f>
        <v/>
      </c>
      <c r="N11" s="27">
        <f>IFERROR(N10/M10-1,"")</f>
        <v/>
      </c>
      <c r="O11" s="27">
        <f>IFERROR(O10/N10-1,"")</f>
        <v/>
      </c>
      <c r="P11" s="2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SUM(Financials!I5:L5)</f>
        <v/>
      </c>
      <c r="C14" s="28">
        <f>SUM(Financials!M5:P5)</f>
        <v/>
      </c>
      <c r="D14" s="28">
        <f>SUM(Financials!Q5:T5)</f>
        <v/>
      </c>
      <c r="E14" s="28">
        <f>SUM(Financials!U5:X5)</f>
        <v/>
      </c>
      <c r="F14" s="28">
        <f>SUM(Financials!Y5:AB5)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27">
        <f>IFERROR(B14/B10,"")</f>
        <v/>
      </c>
      <c r="C15" s="27">
        <f>IFERROR(C14/C10,"")</f>
        <v/>
      </c>
      <c r="D15" s="27">
        <f>IFERROR(D14/D10,"")</f>
        <v/>
      </c>
      <c r="E15" s="27">
        <f>IFERROR(E14/E10,"")</f>
        <v/>
      </c>
      <c r="F15" s="27">
        <f>IFERROR(F14/F10,"")</f>
        <v/>
      </c>
      <c r="G15" s="15" t="n">
        <v>0.60245688909395</v>
      </c>
      <c r="H15" s="15" t="n">
        <v>0.60245688909395</v>
      </c>
      <c r="I15" s="15" t="n">
        <v>0.60245688909395</v>
      </c>
      <c r="J15" s="15" t="n">
        <v>0.60245688909395</v>
      </c>
      <c r="K15" s="15" t="n">
        <v>0.60245688909395</v>
      </c>
      <c r="L15" s="15" t="n">
        <v>0.60245688909395</v>
      </c>
      <c r="M15" s="15" t="n">
        <v>0.60245688909395</v>
      </c>
      <c r="N15" s="15" t="n">
        <v>0.60245688909395</v>
      </c>
      <c r="O15" s="15" t="n">
        <v>0.60245688909395</v>
      </c>
      <c r="P15" s="15" t="n">
        <v>0.60245688909395</v>
      </c>
    </row>
    <row r="16">
      <c r="A16" s="4" t="inlineStr">
        <is>
          <t>R&amp;D / Technology</t>
        </is>
      </c>
      <c r="B16" s="28">
        <f>SUM(Financials!I7:L7)</f>
        <v/>
      </c>
      <c r="C16" s="28">
        <f>SUM(Financials!M7:P7)</f>
        <v/>
      </c>
      <c r="D16" s="28">
        <f>SUM(Financials!Q7:T7)</f>
        <v/>
      </c>
      <c r="E16" s="28">
        <f>SUM(Financials!U7:X7)</f>
        <v/>
      </c>
      <c r="F16" s="28">
        <f>SUM(Financials!Y7:AB7)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27">
        <f>IFERROR(B16/B10,"")</f>
        <v/>
      </c>
      <c r="C17" s="27">
        <f>IFERROR(C16/C10,"")</f>
        <v/>
      </c>
      <c r="D17" s="27">
        <f>IFERROR(D16/D10,"")</f>
        <v/>
      </c>
      <c r="E17" s="27">
        <f>IFERROR(E16/E10,"")</f>
        <v/>
      </c>
      <c r="F17" s="27">
        <f>IFERROR(F16/F10,"")</f>
        <v/>
      </c>
      <c r="G17" s="15" t="n">
        <v>0.06540169559951554</v>
      </c>
      <c r="H17" s="15" t="n">
        <v>0.06540169559951554</v>
      </c>
      <c r="I17" s="15" t="n">
        <v>0.06540169559951554</v>
      </c>
      <c r="J17" s="15" t="n">
        <v>0.06540169559951554</v>
      </c>
      <c r="K17" s="15" t="n">
        <v>0.06540169559951554</v>
      </c>
      <c r="L17" s="15" t="n">
        <v>0.06540169559951554</v>
      </c>
      <c r="M17" s="15" t="n">
        <v>0.06540169559951554</v>
      </c>
      <c r="N17" s="15" t="n">
        <v>0.06540169559951554</v>
      </c>
      <c r="O17" s="15" t="n">
        <v>0.06540169559951554</v>
      </c>
      <c r="P17" s="15" t="n">
        <v>0.06540169559951554</v>
      </c>
    </row>
    <row r="18">
      <c r="A18" s="4" t="inlineStr">
        <is>
          <t>SG&amp;A</t>
        </is>
      </c>
      <c r="B18" s="28">
        <f>SUM(Financials!I9:L9)</f>
        <v/>
      </c>
      <c r="C18" s="28">
        <f>SUM(Financials!M9:P9)</f>
        <v/>
      </c>
      <c r="D18" s="28">
        <f>SUM(Financials!Q9:T9)</f>
        <v/>
      </c>
      <c r="E18" s="28">
        <f>SUM(Financials!U9:X9)</f>
        <v/>
      </c>
      <c r="F18" s="28">
        <f>SUM(Financials!Y9:AB9)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27">
        <f>IFERROR(B18/B10,"")</f>
        <v/>
      </c>
      <c r="C19" s="27">
        <f>IFERROR(C18/C10,"")</f>
        <v/>
      </c>
      <c r="D19" s="27">
        <f>IFERROR(D18/D10,"")</f>
        <v/>
      </c>
      <c r="E19" s="27">
        <f>IFERROR(E18/E10,"")</f>
        <v/>
      </c>
      <c r="F19" s="27">
        <f>IFERROR(F18/F10,"")</f>
        <v/>
      </c>
      <c r="G19" s="15" t="n">
        <v>0.1564680777438145</v>
      </c>
      <c r="H19" s="15" t="n">
        <v>0.1564680777438145</v>
      </c>
      <c r="I19" s="15" t="n">
        <v>0.1564680777438145</v>
      </c>
      <c r="J19" s="15" t="n">
        <v>0.1564680777438145</v>
      </c>
      <c r="K19" s="15" t="n">
        <v>0.1564680777438145</v>
      </c>
      <c r="L19" s="15" t="n">
        <v>0.1564680777438145</v>
      </c>
      <c r="M19" s="15" t="n">
        <v>0.1564680777438145</v>
      </c>
      <c r="N19" s="15" t="n">
        <v>0.1564680777438145</v>
      </c>
      <c r="O19" s="15" t="n">
        <v>0.1564680777438145</v>
      </c>
      <c r="P19" s="15" t="n">
        <v>0.1564680777438145</v>
      </c>
    </row>
    <row r="20">
      <c r="A20" s="4" t="inlineStr">
        <is>
          <t>Other opex (fulfilment, etc.)</t>
        </is>
      </c>
      <c r="B20" s="28">
        <f>B10-(B14+B16+B18)-SUM(Financials!I13:L13)</f>
        <v/>
      </c>
      <c r="C20" s="28">
        <f>C10-(C14+C16+C18)-SUM(Financials!M13:P13)</f>
        <v/>
      </c>
      <c r="D20" s="28">
        <f>D10-(D14+D16+D18)-SUM(Financials!Q13:T13)</f>
        <v/>
      </c>
      <c r="E20" s="28">
        <f>E10-(E14+E16+E18)-SUM(Financials!U13:X13)</f>
        <v/>
      </c>
      <c r="F20" s="28">
        <f>F10-(F14+F16+F18)-SUM(Financials!Y13:AB13)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7">
        <f>IFERROR(B20/B10,"")</f>
        <v/>
      </c>
      <c r="C21" s="27">
        <f>IFERROR(C20/C10,"")</f>
        <v/>
      </c>
      <c r="D21" s="27">
        <f>IFERROR(D20/D10,"")</f>
        <v/>
      </c>
      <c r="E21" s="27">
        <f>IFERROR(E20/E10,"")</f>
        <v/>
      </c>
      <c r="F21" s="27">
        <f>IFERROR(F20/F10,"")</f>
        <v/>
      </c>
      <c r="G21" s="27">
        <f>IFERROR(G20/G10,"")</f>
        <v/>
      </c>
      <c r="H21" s="27">
        <f>IFERROR(H20/H10,"")</f>
        <v/>
      </c>
      <c r="I21" s="27">
        <f>IFERROR(I20/I10,"")</f>
        <v/>
      </c>
      <c r="J21" s="27">
        <f>IFERROR(J20/J10,"")</f>
        <v/>
      </c>
      <c r="K21" s="27">
        <f>IFERROR(K20/K10,"")</f>
        <v/>
      </c>
      <c r="L21" s="27">
        <f>IFERROR(L20/L10,"")</f>
        <v/>
      </c>
      <c r="M21" s="27">
        <f>IFERROR(M20/M10,"")</f>
        <v/>
      </c>
      <c r="N21" s="27">
        <f>IFERROR(N20/N10,"")</f>
        <v/>
      </c>
      <c r="O21" s="27">
        <f>IFERROR(O20/O10,"")</f>
        <v/>
      </c>
      <c r="P21" s="2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27">
        <f>IFERROR(B23/B10,"")</f>
        <v/>
      </c>
      <c r="C24" s="27">
        <f>IFERROR(C23/C10,"")</f>
        <v/>
      </c>
      <c r="D24" s="27">
        <f>IFERROR(D23/D10,"")</f>
        <v/>
      </c>
      <c r="E24" s="27">
        <f>IFERROR(E23/E10,"")</f>
        <v/>
      </c>
      <c r="F24" s="27">
        <f>IFERROR(F23/F10,"")</f>
        <v/>
      </c>
      <c r="G24" s="27">
        <f>IFERROR(G23/G10,"")</f>
        <v/>
      </c>
      <c r="H24" s="27">
        <f>IFERROR(H23/H10,"")</f>
        <v/>
      </c>
      <c r="I24" s="27">
        <f>IFERROR(I23/I10,"")</f>
        <v/>
      </c>
      <c r="J24" s="27">
        <f>IFERROR(J23/J10,"")</f>
        <v/>
      </c>
      <c r="K24" s="27">
        <f>IFERROR(K23/K10,"")</f>
        <v/>
      </c>
      <c r="L24" s="27">
        <f>IFERROR(L23/L10,"")</f>
        <v/>
      </c>
      <c r="M24" s="27">
        <f>IFERROR(M23/M10,"")</f>
        <v/>
      </c>
      <c r="N24" s="27">
        <f>IFERROR(N23/N10,"")</f>
        <v/>
      </c>
      <c r="O24" s="27">
        <f>IFERROR(O23/O10,"")</f>
        <v/>
      </c>
      <c r="P24" s="2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SUM(Financials!I50:L50)</f>
        <v/>
      </c>
      <c r="C28" s="28">
        <f>SUM(Financials!M50:P50)</f>
        <v/>
      </c>
      <c r="D28" s="28">
        <f>SUM(Financials!Q50:T50)</f>
        <v/>
      </c>
      <c r="E28" s="28">
        <f>SUM(Financials!U50:X50)</f>
        <v/>
      </c>
      <c r="F28" s="28">
        <f>SUM(Financials!Y50:AB50)</f>
        <v/>
      </c>
      <c r="G28" s="32">
        <f>G10*0.0144</f>
        <v/>
      </c>
      <c r="H28" s="32">
        <f>H10*0.0144</f>
        <v/>
      </c>
      <c r="I28" s="32">
        <f>I10*0.0144</f>
        <v/>
      </c>
      <c r="J28" s="32">
        <f>J10*0.0144</f>
        <v/>
      </c>
      <c r="K28" s="32">
        <f>K10*0.0144</f>
        <v/>
      </c>
      <c r="L28" s="32">
        <f>L10*0.0144</f>
        <v/>
      </c>
      <c r="M28" s="32">
        <f>M10*0.0144</f>
        <v/>
      </c>
      <c r="N28" s="32">
        <f>N10*0.0144</f>
        <v/>
      </c>
      <c r="O28" s="32">
        <f>O10*0.0144</f>
        <v/>
      </c>
      <c r="P28" s="32">
        <f>P10*0.0144</f>
        <v/>
      </c>
    </row>
    <row r="29">
      <c r="A29" s="4" t="inlineStr">
        <is>
          <t>+ SBC (non-cash)</t>
        </is>
      </c>
      <c r="B29" s="28">
        <f>SUM(Financials!I51:L51)</f>
        <v/>
      </c>
      <c r="C29" s="28">
        <f>SUM(Financials!M51:P51)</f>
        <v/>
      </c>
      <c r="D29" s="28">
        <f>SUM(Financials!Q51:T51)</f>
        <v/>
      </c>
      <c r="E29" s="28">
        <f>SUM(Financials!U51:X51)</f>
        <v/>
      </c>
      <c r="F29" s="28">
        <f>SUM(Financials!Y51:AB51)</f>
        <v/>
      </c>
      <c r="G29" s="32">
        <f>G10*0.0351</f>
        <v/>
      </c>
      <c r="H29" s="32">
        <f>H10*0.0335</f>
        <v/>
      </c>
      <c r="I29" s="32">
        <f>I10*0.0320</f>
        <v/>
      </c>
      <c r="J29" s="32">
        <f>J10*0.0304</f>
        <v/>
      </c>
      <c r="K29" s="32">
        <f>K10*0.0289</f>
        <v/>
      </c>
      <c r="L29" s="32">
        <f>L10*0.0273</f>
        <v/>
      </c>
      <c r="M29" s="32">
        <f>M10*0.0257</f>
        <v/>
      </c>
      <c r="N29" s="32">
        <f>N10*0.0242</f>
        <v/>
      </c>
      <c r="O29" s="32">
        <f>O10*0.0226</f>
        <v/>
      </c>
      <c r="P29" s="32">
        <f>P10*0.0211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-SUM(Financials!I54:L54)</f>
        <v/>
      </c>
      <c r="C31" s="28">
        <f>-SUM(Financials!M54:P54)</f>
        <v/>
      </c>
      <c r="D31" s="28">
        <f>-SUM(Financials!Q54:T54)</f>
        <v/>
      </c>
      <c r="E31" s="28">
        <f>-SUM(Financials!U54:X54)</f>
        <v/>
      </c>
      <c r="F31" s="28">
        <f>-SUM(Financials!Y54:AB54)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34">
        <f>IFERROR(B31/B28,"")</f>
        <v/>
      </c>
      <c r="C32" s="34">
        <f>IFERROR(C31/C28,"")</f>
        <v/>
      </c>
      <c r="D32" s="34">
        <f>IFERROR(D31/D28,"")</f>
        <v/>
      </c>
      <c r="E32" s="34">
        <f>IFERROR(E31/E28,"")</f>
        <v/>
      </c>
      <c r="F32" s="34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Financials!L48+Financials!L47-Financials!L42</f>
        <v/>
      </c>
      <c r="C38" s="28">
        <f>Financials!P48+Financials!P47-Financials!P42</f>
        <v/>
      </c>
      <c r="D38" s="28">
        <f>Financials!T48+Financials!T47-Financials!T42</f>
        <v/>
      </c>
      <c r="E38" s="28">
        <f>Financials!X48+Financials!X47-Financials!X42</f>
        <v/>
      </c>
      <c r="F38" s="28">
        <f>Financials!AB48+Financials!AB47-Financials!AB42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Financials!L48</f>
        <v/>
      </c>
      <c r="C39" s="28">
        <f>Financials!P48</f>
        <v/>
      </c>
      <c r="D39" s="28">
        <f>Financials!T48</f>
        <v/>
      </c>
      <c r="E39" s="28">
        <f>Financials!X48</f>
        <v/>
      </c>
      <c r="F39" s="28">
        <f>Financials!AB48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27">
        <f>IFERROR(C27/B38,"")</f>
        <v/>
      </c>
      <c r="D40" s="27">
        <f>IFERROR(D27/C38,"")</f>
        <v/>
      </c>
      <c r="E40" s="27">
        <f>IFERROR(E27/D38,"")</f>
        <v/>
      </c>
      <c r="F40" s="27">
        <f>IFERROR(F27/E38,"")</f>
        <v/>
      </c>
      <c r="G40" s="27">
        <f>IFERROR(G27/F38,"")</f>
        <v/>
      </c>
      <c r="H40" s="27">
        <f>IFERROR(H27/G38,"")</f>
        <v/>
      </c>
      <c r="I40" s="27">
        <f>IFERROR(I27/H38,"")</f>
        <v/>
      </c>
      <c r="J40" s="27">
        <f>IFERROR(J27/I38,"")</f>
        <v/>
      </c>
      <c r="K40" s="27">
        <f>IFERROR(K27/J38,"")</f>
        <v/>
      </c>
      <c r="L40" s="27">
        <f>IFERROR(L27/K38,"")</f>
        <v/>
      </c>
      <c r="M40" s="27">
        <f>IFERROR(M27/L38,"")</f>
        <v/>
      </c>
      <c r="N40" s="27">
        <f>IFERROR(N27/M38,"")</f>
        <v/>
      </c>
      <c r="O40" s="27">
        <f>IFERROR(O27/N38,"")</f>
        <v/>
      </c>
      <c r="P40" s="27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7">
        <f>IFERROR(G27/F39,"")</f>
        <v/>
      </c>
      <c r="H41" s="27">
        <f>IFERROR(H27/G39,"")</f>
        <v/>
      </c>
      <c r="I41" s="27">
        <f>IFERROR(I27/H39,"")</f>
        <v/>
      </c>
      <c r="J41" s="27">
        <f>IFERROR(J27/I39,"")</f>
        <v/>
      </c>
      <c r="K41" s="27">
        <f>IFERROR(K27/J39,"")</f>
        <v/>
      </c>
      <c r="L41" s="27">
        <f>IFERROR(L27/K39,"")</f>
        <v/>
      </c>
      <c r="M41" s="27">
        <f>IFERROR(M27/L39,"")</f>
        <v/>
      </c>
      <c r="N41" s="27">
        <f>IFERROR(N27/M39,"")</f>
        <v/>
      </c>
      <c r="O41" s="27">
        <f>IFERROR(O27/N39,"")</f>
        <v/>
      </c>
      <c r="P41" s="27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IFERROR(C40-WACC!$B$14,"")</f>
        <v/>
      </c>
      <c r="D42" s="11">
        <f>IFERROR(D40-WACC!$B$14,"")</f>
        <v/>
      </c>
      <c r="E42" s="11">
        <f>IFERROR(E40-WACC!$B$14,"")</f>
        <v/>
      </c>
      <c r="F42" s="11">
        <f>IFERROR(F40-WACC!$B$14,"")</f>
        <v/>
      </c>
      <c r="G42" s="11">
        <f>IFERROR(G40-WACC!$B$14,"")</f>
        <v/>
      </c>
      <c r="H42" s="11">
        <f>IFERROR(H40-WACC!$B$14,"")</f>
        <v/>
      </c>
      <c r="I42" s="11">
        <f>IFERROR(I40-WACC!$B$14,"")</f>
        <v/>
      </c>
      <c r="J42" s="11">
        <f>IFERROR(J40-WACC!$B$14,"")</f>
        <v/>
      </c>
      <c r="K42" s="11">
        <f>IFERROR(K40-WACC!$B$14,"")</f>
        <v/>
      </c>
      <c r="L42" s="11">
        <f>IFERROR(L40-WACC!$B$14,"")</f>
        <v/>
      </c>
      <c r="M42" s="11">
        <f>IFERROR(M40-WACC!$B$14,"")</f>
        <v/>
      </c>
      <c r="N42" s="11">
        <f>IFERROR(N40-WACC!$B$14,"")</f>
        <v/>
      </c>
      <c r="O42" s="11">
        <f>IFERROR(O40-WACC!$B$14,"")</f>
        <v/>
      </c>
      <c r="P42" s="11">
        <f>IFERROR(P40-WACC!$B$14,"")</f>
        <v/>
      </c>
    </row>
    <row r="43">
      <c r="A43" s="4" t="inlineStr">
        <is>
          <t xml:space="preserve">  Incremental op margin (ΔEBIT / ΔRev)</t>
        </is>
      </c>
      <c r="C43" s="27">
        <f>IFERROR((C23-B23)/(C10-B10),"")</f>
        <v/>
      </c>
      <c r="D43" s="27">
        <f>IFERROR((D23-C23)/(D10-C10),"")</f>
        <v/>
      </c>
      <c r="E43" s="27">
        <f>IFERROR((E23-D23)/(E10-D10),"")</f>
        <v/>
      </c>
      <c r="F43" s="27">
        <f>IFERROR((F23-E23)/(F10-E10),"")</f>
        <v/>
      </c>
      <c r="G43" s="27">
        <f>IFERROR((G23-F23)/(G10-F10),"")</f>
        <v/>
      </c>
      <c r="H43" s="27">
        <f>IFERROR((H23-G23)/(H10-G10),"")</f>
        <v/>
      </c>
      <c r="I43" s="27">
        <f>IFERROR((I23-H23)/(I10-H10),"")</f>
        <v/>
      </c>
      <c r="J43" s="27">
        <f>IFERROR((J23-I23)/(J10-I10),"")</f>
        <v/>
      </c>
      <c r="K43" s="27">
        <f>IFERROR((K23-J23)/(K10-J10),"")</f>
        <v/>
      </c>
      <c r="L43" s="27">
        <f>IFERROR((L23-K23)/(L10-K10),"")</f>
        <v/>
      </c>
      <c r="M43" s="27">
        <f>IFERROR((M23-L23)/(M10-L10),"")</f>
        <v/>
      </c>
      <c r="N43" s="27">
        <f>IFERROR((N23-M23)/(N10-M10),"")</f>
        <v/>
      </c>
      <c r="O43" s="27">
        <f>IFERROR((O23-N23)/(O10-N10),"")</f>
        <v/>
      </c>
      <c r="P43" s="27">
        <f>IFERROR((P23-O23)/(P10-O10),"")</f>
        <v/>
      </c>
    </row>
    <row r="44">
      <c r="A44" s="3" t="inlineStr">
        <is>
          <t xml:space="preserve">  ROIIC (ΔNOPAT / ΔInvested capital)</t>
        </is>
      </c>
      <c r="C44" s="27">
        <f>IFERROR((C27-B27)/(C38-B38),"")</f>
        <v/>
      </c>
      <c r="D44" s="27">
        <f>IFERROR((D27-C27)/(D38-C38),"")</f>
        <v/>
      </c>
      <c r="E44" s="27">
        <f>IFERROR((E27-D27)/(E38-D38),"")</f>
        <v/>
      </c>
      <c r="F44" s="27">
        <f>IFERROR((F27-E27)/(F38-E38),"")</f>
        <v/>
      </c>
      <c r="G44" s="27">
        <f>IFERROR((G27-F27)/(G38-F38),"")</f>
        <v/>
      </c>
      <c r="H44" s="27">
        <f>IFERROR((H27-G27)/(H38-G38),"")</f>
        <v/>
      </c>
      <c r="I44" s="27">
        <f>IFERROR((I27-H27)/(I38-H38),"")</f>
        <v/>
      </c>
      <c r="J44" s="27">
        <f>IFERROR((J27-I27)/(J38-I38),"")</f>
        <v/>
      </c>
      <c r="K44" s="27">
        <f>IFERROR((K27-J27)/(K38-J38),"")</f>
        <v/>
      </c>
      <c r="L44" s="27">
        <f>IFERROR((L27-K27)/(L38-K38),"")</f>
        <v/>
      </c>
      <c r="M44" s="27">
        <f>IFERROR((M27-L27)/(M38-L38),"")</f>
        <v/>
      </c>
      <c r="N44" s="27">
        <f>IFERROR((N27-M27)/(N38-M38),"")</f>
        <v/>
      </c>
      <c r="O44" s="27">
        <f>IFERROR((O27-N27)/(O38-N38),"")</f>
        <v/>
      </c>
      <c r="P44" s="2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35">
        <f>IFERROR((C10-B10)/(C38-B38),"")</f>
        <v/>
      </c>
      <c r="D45" s="35">
        <f>IFERROR((D10-C10)/(D38-C38),"")</f>
        <v/>
      </c>
      <c r="E45" s="35">
        <f>IFERROR((E10-D10)/(E38-D38),"")</f>
        <v/>
      </c>
      <c r="F45" s="35">
        <f>IFERROR((F10-E10)/(F38-E38),"")</f>
        <v/>
      </c>
      <c r="G45" s="35">
        <f>IFERROR((G10-F10)/(G38-F38),"")</f>
        <v/>
      </c>
      <c r="H45" s="35">
        <f>IFERROR((H10-G10)/(H38-G38),"")</f>
        <v/>
      </c>
      <c r="I45" s="35">
        <f>IFERROR((I10-H10)/(I38-H38),"")</f>
        <v/>
      </c>
      <c r="J45" s="35">
        <f>IFERROR((J10-I10)/(J38-I38),"")</f>
        <v/>
      </c>
      <c r="K45" s="35">
        <f>IFERROR((K10-J10)/(K38-J38),"")</f>
        <v/>
      </c>
      <c r="L45" s="35">
        <f>IFERROR((L10-K10)/(L38-K38),"")</f>
        <v/>
      </c>
      <c r="M45" s="35">
        <f>IFERROR((M10-L10)/(M38-L38),"")</f>
        <v/>
      </c>
      <c r="N45" s="35">
        <f>IFERROR((N10-M10)/(N38-M38),"")</f>
        <v/>
      </c>
      <c r="O45" s="35">
        <f>IFERROR((O10-N10)/(O38-N38),"")</f>
        <v/>
      </c>
      <c r="P45" s="3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7">
        <f>IFERROR((C38-B38)/C27,"")</f>
        <v/>
      </c>
      <c r="D46" s="27">
        <f>IFERROR((D38-C38)/D27,"")</f>
        <v/>
      </c>
      <c r="E46" s="27">
        <f>IFERROR((E38-D38)/E27,"")</f>
        <v/>
      </c>
      <c r="F46" s="27">
        <f>IFERROR((F38-E38)/F27,"")</f>
        <v/>
      </c>
      <c r="G46" s="27">
        <f>IFERROR((G38-F38)/G27,"")</f>
        <v/>
      </c>
      <c r="H46" s="27">
        <f>IFERROR((H38-G38)/H27,"")</f>
        <v/>
      </c>
      <c r="I46" s="27">
        <f>IFERROR((I38-H38)/I27,"")</f>
        <v/>
      </c>
      <c r="J46" s="27">
        <f>IFERROR((J38-I38)/J27,"")</f>
        <v/>
      </c>
      <c r="K46" s="27">
        <f>IFERROR((K38-J38)/K27,"")</f>
        <v/>
      </c>
      <c r="L46" s="27">
        <f>IFERROR((L38-K38)/L27,"")</f>
        <v/>
      </c>
      <c r="M46" s="27">
        <f>IFERROR((M38-L38)/M27,"")</f>
        <v/>
      </c>
      <c r="N46" s="27">
        <f>IFERROR((N38-M38)/N27,"")</f>
        <v/>
      </c>
      <c r="O46" s="27">
        <f>IFERROR((O38-N38)/O27,"")</f>
        <v/>
      </c>
      <c r="P46" s="2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3166</v>
      </c>
      <c r="C3" s="18" t="n">
        <v>3813</v>
      </c>
      <c r="D3" s="18" t="n">
        <v>4069</v>
      </c>
      <c r="E3" s="18" t="n">
        <v>3248</v>
      </c>
      <c r="F3" s="18" t="n">
        <v>1913</v>
      </c>
      <c r="G3" s="18" t="n">
        <v>2813</v>
      </c>
      <c r="H3" s="18" t="n">
        <v>3165</v>
      </c>
      <c r="I3" s="18" t="n">
        <v>2903</v>
      </c>
      <c r="J3" s="18" t="n">
        <v>3929</v>
      </c>
      <c r="K3" s="18" t="n">
        <v>4845</v>
      </c>
      <c r="L3" s="18" t="n">
        <v>5778</v>
      </c>
      <c r="M3" s="18" t="n">
        <v>6854</v>
      </c>
      <c r="N3" s="18" t="n">
        <v>8073</v>
      </c>
      <c r="O3" s="18" t="n">
        <v>8343</v>
      </c>
      <c r="P3" s="18" t="n">
        <v>8607</v>
      </c>
      <c r="Q3" s="18" t="n">
        <v>8823</v>
      </c>
      <c r="R3" s="18" t="n">
        <v>9230</v>
      </c>
      <c r="S3" s="18" t="n">
        <v>9292</v>
      </c>
      <c r="T3" s="18" t="n">
        <v>9936</v>
      </c>
      <c r="U3" s="18" t="n">
        <v>10131</v>
      </c>
      <c r="V3" s="18" t="n">
        <v>10700</v>
      </c>
      <c r="W3" s="18" t="n">
        <v>11188</v>
      </c>
      <c r="X3" s="18" t="n">
        <v>11959</v>
      </c>
      <c r="Y3" s="18" t="n">
        <v>11533</v>
      </c>
      <c r="Z3" s="18" t="n">
        <v>12651</v>
      </c>
      <c r="AA3" s="18" t="n">
        <v>13467</v>
      </c>
      <c r="AB3" s="18" t="n">
        <v>14366</v>
      </c>
      <c r="AC3" s="18" t="n">
        <v>13203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1740</v>
      </c>
      <c r="C5" s="18" t="n">
        <v>1860</v>
      </c>
      <c r="D5" s="18" t="n">
        <v>1927</v>
      </c>
      <c r="E5" s="18" t="n">
        <v>1994</v>
      </c>
      <c r="F5" s="18" t="n">
        <v>1319</v>
      </c>
      <c r="G5" s="18" t="n">
        <v>1663</v>
      </c>
      <c r="H5" s="18" t="n">
        <v>1638</v>
      </c>
      <c r="I5" s="18" t="n">
        <v>1710</v>
      </c>
      <c r="J5" s="18" t="n">
        <v>2099</v>
      </c>
      <c r="K5" s="18" t="n">
        <v>2438</v>
      </c>
      <c r="L5" s="18" t="n">
        <v>3104</v>
      </c>
      <c r="M5" s="18" t="n">
        <v>4026</v>
      </c>
      <c r="N5" s="18" t="n">
        <v>5153</v>
      </c>
      <c r="O5" s="18" t="n">
        <v>5173</v>
      </c>
      <c r="P5" s="18" t="n">
        <v>5307</v>
      </c>
      <c r="Q5" s="18" t="n">
        <v>5259</v>
      </c>
      <c r="R5" s="18" t="n">
        <v>5515</v>
      </c>
      <c r="S5" s="18" t="n">
        <v>5626</v>
      </c>
      <c r="T5" s="18" t="n">
        <v>6057</v>
      </c>
      <c r="U5" s="18" t="n">
        <v>6168</v>
      </c>
      <c r="V5" s="18" t="n">
        <v>6488</v>
      </c>
      <c r="W5" s="18" t="n">
        <v>6761</v>
      </c>
      <c r="X5" s="18" t="n">
        <v>7234</v>
      </c>
      <c r="Y5" s="18" t="n">
        <v>6937</v>
      </c>
      <c r="Z5" s="18" t="n">
        <v>7611</v>
      </c>
      <c r="AA5" s="18" t="n">
        <v>8109</v>
      </c>
      <c r="AB5" s="18" t="n">
        <v>8681</v>
      </c>
      <c r="AC5" s="18" t="n">
        <v>7258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3064</v>
      </c>
      <c r="C7" s="18" t="n">
        <v>755</v>
      </c>
      <c r="D7" s="18" t="n">
        <v>608</v>
      </c>
      <c r="E7" s="18" t="n">
        <v>645</v>
      </c>
      <c r="F7" s="18" t="n">
        <v>584</v>
      </c>
      <c r="G7" s="18" t="n">
        <v>493</v>
      </c>
      <c r="H7" s="18" t="n">
        <v>538</v>
      </c>
      <c r="I7" s="18" t="n">
        <v>515</v>
      </c>
      <c r="J7" s="18" t="n">
        <v>488</v>
      </c>
      <c r="K7" s="18" t="n">
        <v>493</v>
      </c>
      <c r="L7" s="18" t="n">
        <v>558</v>
      </c>
      <c r="M7" s="18" t="n">
        <v>587</v>
      </c>
      <c r="N7" s="18" t="n">
        <v>704</v>
      </c>
      <c r="O7" s="18" t="n">
        <v>760</v>
      </c>
      <c r="P7" s="18" t="n">
        <v>747</v>
      </c>
      <c r="Q7" s="18" t="n">
        <v>775</v>
      </c>
      <c r="R7" s="18" t="n">
        <v>808</v>
      </c>
      <c r="S7" s="18" t="n">
        <v>797</v>
      </c>
      <c r="T7" s="18" t="n">
        <v>784</v>
      </c>
      <c r="U7" s="18" t="n">
        <v>790</v>
      </c>
      <c r="V7" s="18" t="n">
        <v>760</v>
      </c>
      <c r="W7" s="18" t="n">
        <v>774</v>
      </c>
      <c r="X7" s="18" t="n">
        <v>785</v>
      </c>
      <c r="Y7" s="18" t="n">
        <v>815</v>
      </c>
      <c r="Z7" s="18" t="n">
        <v>840</v>
      </c>
      <c r="AA7" s="18" t="n">
        <v>862</v>
      </c>
      <c r="AB7" s="18" t="n">
        <v>885</v>
      </c>
      <c r="AC7" s="18" t="n">
        <v>951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2860</v>
      </c>
      <c r="C9" s="18" t="n">
        <v>1704</v>
      </c>
      <c r="D9" s="18" t="n">
        <v>1898</v>
      </c>
      <c r="E9" s="18" t="n">
        <v>1551</v>
      </c>
      <c r="F9" s="18" t="n">
        <v>1282</v>
      </c>
      <c r="G9" s="18" t="n">
        <v>1635</v>
      </c>
      <c r="H9" s="18" t="n">
        <v>1271</v>
      </c>
      <c r="I9" s="18" t="n">
        <v>1567</v>
      </c>
      <c r="J9" s="18" t="n">
        <v>1872</v>
      </c>
      <c r="K9" s="18" t="n">
        <v>1793</v>
      </c>
      <c r="L9" s="18" t="n">
        <v>1873</v>
      </c>
      <c r="M9" s="18" t="n">
        <v>1895</v>
      </c>
      <c r="N9" s="18" t="n">
        <v>2069</v>
      </c>
      <c r="O9" s="18" t="n">
        <v>2061</v>
      </c>
      <c r="P9" s="18" t="n">
        <v>1867</v>
      </c>
      <c r="Q9" s="18" t="n">
        <v>2204</v>
      </c>
      <c r="R9" s="18" t="n">
        <v>1709</v>
      </c>
      <c r="S9" s="18" t="n">
        <v>1587</v>
      </c>
      <c r="T9" s="18" t="n">
        <v>1538</v>
      </c>
      <c r="U9" s="18" t="n">
        <v>2126</v>
      </c>
      <c r="V9" s="18" t="n">
        <v>1801</v>
      </c>
      <c r="W9" s="18" t="n">
        <v>1726</v>
      </c>
      <c r="X9" s="18" t="n">
        <v>2323</v>
      </c>
      <c r="Y9" s="18" t="n">
        <v>1714</v>
      </c>
      <c r="Z9" s="18" t="n">
        <v>1879</v>
      </c>
      <c r="AA9" s="18" t="n">
        <v>2460</v>
      </c>
      <c r="AB9" s="18" t="n">
        <v>2086</v>
      </c>
      <c r="AC9" s="18" t="n">
        <v>2124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1426</v>
      </c>
      <c r="C11" s="18" t="n">
        <v>1953</v>
      </c>
      <c r="D11" s="18" t="n">
        <v>2142</v>
      </c>
      <c r="E11" s="18" t="n">
        <v>1254</v>
      </c>
      <c r="F11" s="18" t="n">
        <v>594</v>
      </c>
      <c r="G11" s="18" t="n">
        <v>1150</v>
      </c>
      <c r="H11" s="18" t="n">
        <v>1527</v>
      </c>
      <c r="I11" s="18" t="n">
        <v>1193</v>
      </c>
      <c r="J11" s="18" t="n">
        <v>1830</v>
      </c>
      <c r="K11" s="18" t="n">
        <v>2407</v>
      </c>
      <c r="L11" s="18" t="n">
        <v>2674</v>
      </c>
      <c r="M11" s="18" t="n">
        <v>2828</v>
      </c>
      <c r="N11" s="18" t="n">
        <v>2920</v>
      </c>
      <c r="O11" s="18" t="n">
        <v>3170</v>
      </c>
      <c r="P11" s="18" t="n">
        <v>3300</v>
      </c>
      <c r="Q11" s="18" t="n">
        <v>3564</v>
      </c>
      <c r="R11" s="18" t="n">
        <v>3715</v>
      </c>
      <c r="S11" s="18" t="n">
        <v>3666</v>
      </c>
      <c r="T11" s="18" t="n">
        <v>3879</v>
      </c>
      <c r="U11" s="18" t="n">
        <v>3963</v>
      </c>
      <c r="V11" s="18" t="n">
        <v>4212</v>
      </c>
      <c r="W11" s="18" t="n">
        <v>4427</v>
      </c>
      <c r="X11" s="18" t="n">
        <v>4725</v>
      </c>
      <c r="Y11" s="18" t="n">
        <v>4596</v>
      </c>
      <c r="Z11" s="18" t="n">
        <v>5040</v>
      </c>
      <c r="AA11" s="18" t="n">
        <v>5358</v>
      </c>
      <c r="AB11" s="18" t="n">
        <v>5685</v>
      </c>
      <c r="AC11" s="18" t="n">
        <v>5945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-5485</v>
      </c>
      <c r="C13" s="18" t="n">
        <v>-1106</v>
      </c>
      <c r="D13" s="18" t="n">
        <v>-971</v>
      </c>
      <c r="E13" s="18" t="n">
        <v>-1263</v>
      </c>
      <c r="F13" s="18" t="n">
        <v>-1607</v>
      </c>
      <c r="G13" s="18" t="n">
        <v>-1116</v>
      </c>
      <c r="H13" s="18" t="n">
        <v>-877</v>
      </c>
      <c r="I13" s="18" t="n">
        <v>-1524</v>
      </c>
      <c r="J13" s="18" t="n">
        <v>-1188</v>
      </c>
      <c r="K13" s="18" t="n">
        <v>-572</v>
      </c>
      <c r="L13" s="18" t="n">
        <v>-550</v>
      </c>
      <c r="M13" s="18" t="n">
        <v>-482</v>
      </c>
      <c r="N13" s="18" t="n">
        <v>-713</v>
      </c>
      <c r="O13" s="18" t="n">
        <v>-495</v>
      </c>
      <c r="P13" s="18" t="n">
        <v>-142</v>
      </c>
      <c r="Q13" s="18" t="n">
        <v>-262</v>
      </c>
      <c r="R13" s="18" t="n">
        <v>326</v>
      </c>
      <c r="S13" s="18" t="n">
        <v>394</v>
      </c>
      <c r="T13" s="18" t="n">
        <v>652</v>
      </c>
      <c r="U13" s="18" t="n">
        <v>172</v>
      </c>
      <c r="V13" s="18" t="n">
        <v>796</v>
      </c>
      <c r="W13" s="18" t="n">
        <v>1061</v>
      </c>
      <c r="X13" s="18" t="n">
        <v>770</v>
      </c>
      <c r="Y13" s="18" t="n">
        <v>1228</v>
      </c>
      <c r="Z13" s="18" t="n">
        <v>1450</v>
      </c>
      <c r="AA13" s="18" t="n">
        <v>1113</v>
      </c>
      <c r="AB13" s="18" t="n">
        <v>1774</v>
      </c>
      <c r="AC13" s="18" t="n">
        <v>1923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-5236</v>
      </c>
      <c r="C15" s="18" t="n">
        <v>-1162</v>
      </c>
      <c r="D15" s="18" t="n">
        <v>-1096</v>
      </c>
      <c r="E15" s="18" t="n">
        <v>-2936</v>
      </c>
      <c r="F15" s="18" t="n">
        <v>-1775</v>
      </c>
      <c r="G15" s="18" t="n">
        <v>-1089</v>
      </c>
      <c r="H15" s="18" t="n">
        <v>-968</v>
      </c>
      <c r="I15" s="18" t="n">
        <v>-108</v>
      </c>
      <c r="J15" s="18" t="n">
        <v>1144</v>
      </c>
      <c r="K15" s="18" t="n">
        <v>-2424</v>
      </c>
      <c r="L15" s="18" t="n">
        <v>892</v>
      </c>
      <c r="M15" s="18" t="n">
        <v>-5936</v>
      </c>
      <c r="N15" s="18" t="n">
        <v>-2601</v>
      </c>
      <c r="O15" s="18" t="n">
        <v>-1206</v>
      </c>
      <c r="P15" s="18" t="n">
        <v>595</v>
      </c>
      <c r="Q15" s="18" t="n">
        <v>-157</v>
      </c>
      <c r="R15" s="18" t="n">
        <v>394</v>
      </c>
      <c r="S15" s="18" t="n">
        <v>221</v>
      </c>
      <c r="T15" s="18" t="n">
        <v>1429</v>
      </c>
      <c r="U15" s="18" t="n">
        <v>-654</v>
      </c>
      <c r="V15" s="18" t="n">
        <v>1015</v>
      </c>
      <c r="W15" s="18" t="n">
        <v>2612</v>
      </c>
      <c r="X15" s="18" t="n">
        <v>6883</v>
      </c>
      <c r="Y15" s="18" t="n">
        <v>1776</v>
      </c>
      <c r="Z15" s="18" t="n">
        <v>1355</v>
      </c>
      <c r="AA15" s="18" t="n">
        <v>6626</v>
      </c>
      <c r="AB15" s="18" t="n">
        <v>296</v>
      </c>
      <c r="AC15" s="18" t="n">
        <v>263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1110.704</v>
      </c>
      <c r="C17" s="18" t="n">
        <v>1700.213</v>
      </c>
      <c r="D17" s="18" t="n">
        <v>1710.26</v>
      </c>
      <c r="E17" s="18" t="n">
        <v>1724.367</v>
      </c>
      <c r="F17" s="18" t="n">
        <v>1738.897</v>
      </c>
      <c r="G17" s="18" t="n">
        <v>1755.029</v>
      </c>
      <c r="H17" s="18" t="n">
        <v>1793.084</v>
      </c>
      <c r="I17" s="18" t="n">
        <v>1858.525</v>
      </c>
      <c r="J17" s="18" t="n">
        <v>1955.975</v>
      </c>
      <c r="K17" s="18" t="n">
        <v>1898.954</v>
      </c>
      <c r="L17" s="18" t="n">
        <v>2005.591</v>
      </c>
      <c r="M17" s="18" t="n">
        <v>1957.731</v>
      </c>
      <c r="N17" s="18" t="n">
        <v>1968.882</v>
      </c>
      <c r="O17" s="18" t="n">
        <v>1979.299</v>
      </c>
      <c r="P17" s="18" t="n">
        <v>2060.574999</v>
      </c>
      <c r="Q17" s="18" t="n">
        <v>2009.557</v>
      </c>
      <c r="R17" s="18" t="n">
        <v>2079.265</v>
      </c>
      <c r="S17" s="18" t="n">
        <v>2108.479</v>
      </c>
      <c r="T17" s="18" t="n">
        <v>2121.929</v>
      </c>
      <c r="U17" s="18" t="n">
        <v>2080.168</v>
      </c>
      <c r="V17" s="18" t="n">
        <v>2150.019</v>
      </c>
      <c r="W17" s="18" t="n">
        <v>2154.466</v>
      </c>
      <c r="X17" s="18" t="n">
        <v>2141.426</v>
      </c>
      <c r="Y17" s="18" t="n">
        <v>2122.618</v>
      </c>
      <c r="Z17" s="18" t="n">
        <v>2124.181</v>
      </c>
      <c r="AA17" s="18" t="n">
        <v>2124.391</v>
      </c>
      <c r="AB17" s="18" t="n">
        <v>2106.011</v>
      </c>
      <c r="AC17" s="18" t="n">
        <v>2071.391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Mobility</t>
        </is>
      </c>
      <c r="F19" s="18" t="n">
        <v>790</v>
      </c>
      <c r="G19" s="18" t="n">
        <v>1365</v>
      </c>
      <c r="H19" s="18" t="n">
        <v>3934</v>
      </c>
      <c r="I19" s="18" t="n">
        <v>853</v>
      </c>
      <c r="J19" s="18" t="n">
        <v>1618</v>
      </c>
      <c r="K19" s="18" t="n">
        <v>2205</v>
      </c>
      <c r="L19" s="18" t="n">
        <v>2277</v>
      </c>
      <c r="M19" s="18" t="n">
        <v>2518</v>
      </c>
      <c r="N19" s="18" t="n">
        <v>3553</v>
      </c>
      <c r="O19" s="18" t="n">
        <v>3822</v>
      </c>
      <c r="P19" s="18" t="n">
        <v>4136</v>
      </c>
      <c r="Q19" s="18" t="n">
        <v>4330</v>
      </c>
      <c r="R19" s="18" t="n">
        <v>4894</v>
      </c>
      <c r="S19" s="18" t="n">
        <v>5071</v>
      </c>
      <c r="T19" s="18" t="n">
        <v>5537</v>
      </c>
      <c r="U19" s="18" t="n">
        <v>5633</v>
      </c>
      <c r="V19" s="18" t="n">
        <v>6134</v>
      </c>
      <c r="W19" s="18" t="n">
        <v>6409</v>
      </c>
      <c r="X19" s="18" t="n">
        <v>6911</v>
      </c>
      <c r="Y19" s="18" t="n">
        <v>6496</v>
      </c>
      <c r="Z19" s="18" t="n">
        <v>7288</v>
      </c>
      <c r="AA19" s="18" t="n">
        <v>7682</v>
      </c>
      <c r="AB19" s="18" t="n">
        <v>8204</v>
      </c>
      <c r="AC19" s="18" t="n">
        <v>6798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Delivery</t>
        </is>
      </c>
      <c r="F22" s="18" t="n">
        <v>1211</v>
      </c>
      <c r="G22" s="18" t="n">
        <v>1451</v>
      </c>
      <c r="H22" s="18" t="n">
        <v>1242</v>
      </c>
      <c r="I22" s="18" t="n">
        <v>1741</v>
      </c>
      <c r="J22" s="18" t="n">
        <v>1963</v>
      </c>
      <c r="K22" s="18" t="n">
        <v>2238</v>
      </c>
      <c r="L22" s="18" t="n">
        <v>2420</v>
      </c>
      <c r="M22" s="18" t="n">
        <v>2512</v>
      </c>
      <c r="N22" s="18" t="n">
        <v>2688</v>
      </c>
      <c r="O22" s="18" t="n">
        <v>2770</v>
      </c>
      <c r="P22" s="18" t="n">
        <v>2931</v>
      </c>
      <c r="Q22" s="18" t="n">
        <v>3093</v>
      </c>
      <c r="R22" s="18" t="n">
        <v>3057</v>
      </c>
      <c r="S22" s="18" t="n">
        <v>2935</v>
      </c>
      <c r="T22" s="18" t="n">
        <v>3119</v>
      </c>
      <c r="U22" s="18" t="n">
        <v>3214</v>
      </c>
      <c r="V22" s="18" t="n">
        <v>3293</v>
      </c>
      <c r="W22" s="18" t="n">
        <v>3470</v>
      </c>
      <c r="X22" s="18" t="n">
        <v>3773</v>
      </c>
      <c r="Y22" s="18" t="n">
        <v>3777</v>
      </c>
      <c r="Z22" s="18" t="n">
        <v>4102</v>
      </c>
      <c r="AA22" s="18" t="n">
        <v>4477</v>
      </c>
      <c r="AB22" s="18" t="n">
        <v>4892</v>
      </c>
      <c r="AC22" s="18" t="n">
        <v>5068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Freight</t>
        </is>
      </c>
      <c r="C25" s="18" t="n">
        <v>218</v>
      </c>
      <c r="D25" s="18" t="n">
        <v>513</v>
      </c>
      <c r="E25" s="18" t="n">
        <v>199</v>
      </c>
      <c r="F25" s="18" t="n">
        <v>211</v>
      </c>
      <c r="G25" s="18" t="n">
        <v>288</v>
      </c>
      <c r="H25" s="18" t="n">
        <v>313</v>
      </c>
      <c r="I25" s="18" t="n">
        <v>301</v>
      </c>
      <c r="J25" s="18" t="n">
        <v>348</v>
      </c>
      <c r="K25" s="18" t="n">
        <v>402</v>
      </c>
      <c r="L25" s="18" t="n">
        <v>1081</v>
      </c>
      <c r="M25" s="18" t="n">
        <v>1824</v>
      </c>
      <c r="N25" s="18" t="n">
        <v>1832</v>
      </c>
      <c r="O25" s="18" t="n">
        <v>1751</v>
      </c>
      <c r="P25" s="18" t="n">
        <v>1540</v>
      </c>
      <c r="Q25" s="18" t="n">
        <v>1400</v>
      </c>
      <c r="R25" s="18" t="n">
        <v>1279</v>
      </c>
      <c r="S25" s="18" t="n">
        <v>1286</v>
      </c>
      <c r="T25" s="18" t="n">
        <v>1280</v>
      </c>
      <c r="U25" s="18" t="n">
        <v>1284</v>
      </c>
      <c r="V25" s="18" t="n">
        <v>1273</v>
      </c>
      <c r="W25" s="18" t="n">
        <v>1309</v>
      </c>
      <c r="X25" s="18" t="n">
        <v>1275</v>
      </c>
      <c r="Y25" s="18" t="n">
        <v>1260</v>
      </c>
      <c r="Z25" s="18" t="n">
        <v>1261</v>
      </c>
      <c r="AA25" s="18" t="n">
        <v>1308</v>
      </c>
      <c r="AB25" s="18" t="n">
        <v>1270</v>
      </c>
      <c r="AC25" s="18" t="n">
        <v>1337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United States And Canada</t>
        </is>
      </c>
      <c r="B29" s="18" t="n">
        <v>1853</v>
      </c>
      <c r="C29" s="18" t="n">
        <v>2407</v>
      </c>
      <c r="D29" s="18" t="n">
        <v>2872</v>
      </c>
      <c r="E29" s="18" t="n">
        <v>2142</v>
      </c>
      <c r="F29" s="18" t="n">
        <v>1250</v>
      </c>
      <c r="G29" s="18" t="n">
        <v>1674</v>
      </c>
      <c r="H29" s="18" t="n">
        <v>1545</v>
      </c>
      <c r="I29" s="18" t="n">
        <v>1849</v>
      </c>
      <c r="J29" s="18" t="n">
        <v>1984</v>
      </c>
      <c r="K29" s="18" t="n">
        <v>2648</v>
      </c>
      <c r="L29" s="18" t="n">
        <v>3613</v>
      </c>
      <c r="M29" s="18" t="n">
        <v>4562</v>
      </c>
      <c r="N29" s="18" t="n">
        <v>4936</v>
      </c>
      <c r="O29" s="18" t="n">
        <v>5000</v>
      </c>
      <c r="P29" s="18" t="n">
        <v>4976</v>
      </c>
      <c r="Q29" s="18" t="n">
        <v>5132</v>
      </c>
      <c r="R29" s="18" t="n">
        <v>5129</v>
      </c>
      <c r="S29" s="18" t="n">
        <v>4940</v>
      </c>
      <c r="T29" s="18" t="n">
        <v>5235</v>
      </c>
      <c r="U29" s="18" t="n">
        <v>5473</v>
      </c>
      <c r="V29" s="18" t="n">
        <v>5825</v>
      </c>
      <c r="W29" s="18" t="n">
        <v>6006</v>
      </c>
      <c r="X29" s="18" t="n">
        <v>6314</v>
      </c>
      <c r="Y29" s="18" t="n">
        <v>6219</v>
      </c>
      <c r="Z29" s="18" t="n">
        <v>6561</v>
      </c>
      <c r="AA29" s="18" t="n">
        <v>6698</v>
      </c>
      <c r="AB29" s="18" t="n">
        <v>30762</v>
      </c>
      <c r="AC29" s="18" t="n">
        <v>7128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EMEA</t>
        </is>
      </c>
      <c r="C32" s="18" t="n">
        <v>534</v>
      </c>
      <c r="D32" s="18" t="n">
        <v>625</v>
      </c>
      <c r="E32" s="18" t="n">
        <v>552</v>
      </c>
      <c r="F32" s="18" t="n">
        <v>401</v>
      </c>
      <c r="G32" s="18" t="n">
        <v>641</v>
      </c>
      <c r="H32" s="18" t="n">
        <v>492</v>
      </c>
      <c r="I32" s="18" t="n">
        <v>225</v>
      </c>
      <c r="J32" s="18" t="n">
        <v>929</v>
      </c>
      <c r="K32" s="18" t="n">
        <v>1064</v>
      </c>
      <c r="L32" s="18" t="n">
        <v>995</v>
      </c>
      <c r="M32" s="18" t="n">
        <v>1127</v>
      </c>
      <c r="N32" s="18" t="n">
        <v>1846</v>
      </c>
      <c r="O32" s="18" t="n">
        <v>1878</v>
      </c>
      <c r="P32" s="18" t="n">
        <v>2093</v>
      </c>
      <c r="Q32" s="18" t="n">
        <v>2094</v>
      </c>
      <c r="R32" s="18" t="n">
        <v>2412</v>
      </c>
      <c r="S32" s="18" t="n">
        <v>2560</v>
      </c>
      <c r="T32" s="18" t="n">
        <v>2838</v>
      </c>
      <c r="U32" s="18" t="n">
        <v>2756</v>
      </c>
      <c r="V32" s="18" t="n">
        <v>2987</v>
      </c>
      <c r="W32" s="18" t="n">
        <v>3196</v>
      </c>
      <c r="X32" s="18" t="n">
        <v>3590</v>
      </c>
      <c r="Y32" s="18" t="n">
        <v>3321</v>
      </c>
      <c r="Z32" s="18" t="n">
        <v>3897</v>
      </c>
      <c r="AA32" s="18" t="n">
        <v>4388</v>
      </c>
      <c r="AB32" s="18" t="n">
        <v>15367</v>
      </c>
      <c r="AC32" s="18" t="n">
        <v>3420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Asia Pacific</t>
        </is>
      </c>
      <c r="C35" s="18" t="n">
        <v>345</v>
      </c>
      <c r="D35" s="18" t="n">
        <v>359</v>
      </c>
      <c r="E35" s="18" t="n">
        <v>352</v>
      </c>
      <c r="F35" s="18" t="n">
        <v>358</v>
      </c>
      <c r="G35" s="18" t="n">
        <v>494</v>
      </c>
      <c r="H35" s="18" t="n">
        <v>-57</v>
      </c>
      <c r="I35" s="18" t="n">
        <v>527</v>
      </c>
      <c r="J35" s="18" t="n">
        <v>709</v>
      </c>
      <c r="K35" s="18" t="n">
        <v>743</v>
      </c>
      <c r="L35" s="18" t="n">
        <v>752</v>
      </c>
      <c r="M35" s="18" t="n">
        <v>733</v>
      </c>
      <c r="N35" s="18" t="n">
        <v>810</v>
      </c>
      <c r="O35" s="18" t="n">
        <v>947</v>
      </c>
      <c r="P35" s="18" t="n">
        <v>991</v>
      </c>
      <c r="Q35" s="18" t="n">
        <v>1032</v>
      </c>
      <c r="R35" s="18" t="n">
        <v>1062</v>
      </c>
      <c r="S35" s="18" t="n">
        <v>1150</v>
      </c>
      <c r="T35" s="18" t="n">
        <v>1185</v>
      </c>
      <c r="U35" s="18" t="n">
        <v>1192</v>
      </c>
      <c r="V35" s="18" t="n">
        <v>1209</v>
      </c>
      <c r="W35" s="18" t="n">
        <v>1307</v>
      </c>
      <c r="X35" s="18" t="n">
        <v>1328</v>
      </c>
      <c r="Y35" s="18" t="n">
        <v>1276</v>
      </c>
      <c r="Z35" s="18" t="n">
        <v>1404</v>
      </c>
      <c r="AA35" s="18" t="n">
        <v>1552</v>
      </c>
      <c r="AB35" s="18" t="n">
        <v>1625</v>
      </c>
      <c r="AC35" s="18" t="n">
        <v>1677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4" t="inlineStr">
        <is>
          <t>Latin America</t>
        </is>
      </c>
      <c r="B38" s="18" t="n">
        <v>188</v>
      </c>
      <c r="C38" s="18" t="n">
        <v>527</v>
      </c>
      <c r="D38" s="18" t="n">
        <v>553</v>
      </c>
      <c r="E38" s="18" t="n">
        <v>497</v>
      </c>
      <c r="F38" s="18" t="n">
        <v>232</v>
      </c>
      <c r="G38" s="18" t="n">
        <v>320</v>
      </c>
      <c r="H38" s="18" t="n">
        <v>246</v>
      </c>
      <c r="I38" s="18" t="n">
        <v>302</v>
      </c>
      <c r="J38" s="18" t="n">
        <v>307</v>
      </c>
      <c r="K38" s="18" t="n">
        <v>390</v>
      </c>
      <c r="L38" s="18" t="n">
        <v>418</v>
      </c>
      <c r="M38" s="18" t="n">
        <v>432</v>
      </c>
      <c r="N38" s="18" t="n">
        <v>481</v>
      </c>
      <c r="O38" s="18" t="n">
        <v>518</v>
      </c>
      <c r="P38" s="18" t="n">
        <v>547</v>
      </c>
      <c r="Q38" s="18" t="n">
        <v>565</v>
      </c>
      <c r="R38" s="18" t="n">
        <v>627</v>
      </c>
      <c r="S38" s="18" t="n">
        <v>642</v>
      </c>
      <c r="T38" s="18" t="n">
        <v>678</v>
      </c>
      <c r="U38" s="18" t="n">
        <v>710</v>
      </c>
      <c r="V38" s="18" t="n">
        <v>679</v>
      </c>
      <c r="W38" s="18" t="n">
        <v>679</v>
      </c>
      <c r="X38" s="18" t="n">
        <v>727</v>
      </c>
      <c r="Y38" s="18" t="n">
        <v>717</v>
      </c>
      <c r="Z38" s="18" t="n">
        <v>789</v>
      </c>
      <c r="AA38" s="18" t="n">
        <v>829</v>
      </c>
      <c r="AB38" s="18" t="n">
        <v>992</v>
      </c>
      <c r="AC38" s="18" t="n">
        <v>978</v>
      </c>
    </row>
    <row r="39">
      <c r="A39" s="4" t="inlineStr">
        <is>
          <t xml:space="preserve">    % YoY</t>
        </is>
      </c>
      <c r="F39" s="27">
        <f>IFERROR(F38/B38-1,"")</f>
        <v/>
      </c>
      <c r="G39" s="27">
        <f>IFERROR(G38/C38-1,"")</f>
        <v/>
      </c>
      <c r="H39" s="27">
        <f>IFERROR(H38/D38-1,"")</f>
        <v/>
      </c>
      <c r="I39" s="27">
        <f>IFERROR(I38/E38-1,"")</f>
        <v/>
      </c>
      <c r="J39" s="27">
        <f>IFERROR(J38/F38-1,"")</f>
        <v/>
      </c>
      <c r="K39" s="27">
        <f>IFERROR(K38/G38-1,"")</f>
        <v/>
      </c>
      <c r="L39" s="27">
        <f>IFERROR(L38/H38-1,"")</f>
        <v/>
      </c>
      <c r="M39" s="27">
        <f>IFERROR(M38/I38-1,"")</f>
        <v/>
      </c>
      <c r="N39" s="27">
        <f>IFERROR(N38/J38-1,"")</f>
        <v/>
      </c>
      <c r="O39" s="27">
        <f>IFERROR(O38/K38-1,"")</f>
        <v/>
      </c>
      <c r="P39" s="27">
        <f>IFERROR(P38/L38-1,"")</f>
        <v/>
      </c>
      <c r="Q39" s="27">
        <f>IFERROR(Q38/M38-1,"")</f>
        <v/>
      </c>
      <c r="R39" s="27">
        <f>IFERROR(R38/N38-1,"")</f>
        <v/>
      </c>
      <c r="S39" s="27">
        <f>IFERROR(S38/O38-1,"")</f>
        <v/>
      </c>
      <c r="T39" s="27">
        <f>IFERROR(T38/P38-1,"")</f>
        <v/>
      </c>
      <c r="U39" s="27">
        <f>IFERROR(U38/Q38-1,"")</f>
        <v/>
      </c>
      <c r="V39" s="27">
        <f>IFERROR(V38/R38-1,"")</f>
        <v/>
      </c>
      <c r="W39" s="27">
        <f>IFERROR(W38/S38-1,"")</f>
        <v/>
      </c>
      <c r="X39" s="27">
        <f>IFERROR(X38/T38-1,"")</f>
        <v/>
      </c>
      <c r="Y39" s="27">
        <f>IFERROR(Y38/U38-1,"")</f>
        <v/>
      </c>
      <c r="Z39" s="27">
        <f>IFERROR(Z38/V38-1,"")</f>
        <v/>
      </c>
      <c r="AA39" s="27">
        <f>IFERROR(AA38/W38-1,"")</f>
        <v/>
      </c>
      <c r="AB39" s="27">
        <f>IFERROR(AB38/X38-1,"")</f>
        <v/>
      </c>
      <c r="AC39" s="27">
        <f>IFERROR(AC38/Y38-1,"")</f>
        <v/>
      </c>
    </row>
    <row r="40">
      <c r="A40" s="4" t="inlineStr">
        <is>
          <t xml:space="preserve">    % of revenue</t>
        </is>
      </c>
      <c r="B40" s="27">
        <f>IFERROR(B38/B3,"")</f>
        <v/>
      </c>
      <c r="C40" s="27">
        <f>IFERROR(C38/C3,"")</f>
        <v/>
      </c>
      <c r="D40" s="27">
        <f>IFERROR(D38/D3,"")</f>
        <v/>
      </c>
      <c r="E40" s="27">
        <f>IFERROR(E38/E3,"")</f>
        <v/>
      </c>
      <c r="F40" s="27">
        <f>IFERROR(F38/F3,"")</f>
        <v/>
      </c>
      <c r="G40" s="27">
        <f>IFERROR(G38/G3,"")</f>
        <v/>
      </c>
      <c r="H40" s="27">
        <f>IFERROR(H38/H3,"")</f>
        <v/>
      </c>
      <c r="I40" s="27">
        <f>IFERROR(I38/I3,"")</f>
        <v/>
      </c>
      <c r="J40" s="27">
        <f>IFERROR(J38/J3,"")</f>
        <v/>
      </c>
      <c r="K40" s="27">
        <f>IFERROR(K38/K3,"")</f>
        <v/>
      </c>
      <c r="L40" s="27">
        <f>IFERROR(L38/L3,"")</f>
        <v/>
      </c>
      <c r="M40" s="27">
        <f>IFERROR(M38/M3,"")</f>
        <v/>
      </c>
      <c r="N40" s="27">
        <f>IFERROR(N38/N3,"")</f>
        <v/>
      </c>
      <c r="O40" s="27">
        <f>IFERROR(O38/O3,"")</f>
        <v/>
      </c>
      <c r="P40" s="27">
        <f>IFERROR(P38/P3,"")</f>
        <v/>
      </c>
      <c r="Q40" s="27">
        <f>IFERROR(Q38/Q3,"")</f>
        <v/>
      </c>
      <c r="R40" s="27">
        <f>IFERROR(R38/R3,"")</f>
        <v/>
      </c>
      <c r="S40" s="27">
        <f>IFERROR(S38/S3,"")</f>
        <v/>
      </c>
      <c r="T40" s="27">
        <f>IFERROR(T38/T3,"")</f>
        <v/>
      </c>
      <c r="U40" s="27">
        <f>IFERROR(U38/U3,"")</f>
        <v/>
      </c>
      <c r="V40" s="27">
        <f>IFERROR(V38/V3,"")</f>
        <v/>
      </c>
      <c r="W40" s="27">
        <f>IFERROR(W38/W3,"")</f>
        <v/>
      </c>
      <c r="X40" s="27">
        <f>IFERROR(X38/X3,"")</f>
        <v/>
      </c>
      <c r="Y40" s="27">
        <f>IFERROR(Y38/Y3,"")</f>
        <v/>
      </c>
      <c r="Z40" s="27">
        <f>IFERROR(Z38/Z3,"")</f>
        <v/>
      </c>
      <c r="AA40" s="27">
        <f>IFERROR(AA38/AA3,"")</f>
        <v/>
      </c>
      <c r="AB40" s="27">
        <f>IFERROR(AB38/AB3,"")</f>
        <v/>
      </c>
      <c r="AC40" s="27">
        <f>IFERROR(AC38/AC3,"")</f>
        <v/>
      </c>
    </row>
    <row r="41">
      <c r="A41" s="5" t="inlineStr">
        <is>
          <t xml:space="preserve">  BALANCE SHEET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4" t="inlineStr">
        <is>
          <t>Cash &amp; ST Investments</t>
        </is>
      </c>
      <c r="B42" s="18" t="n">
        <v>11881</v>
      </c>
      <c r="C42" s="18" t="n">
        <v>12683</v>
      </c>
      <c r="D42" s="18" t="n">
        <v>11412</v>
      </c>
      <c r="E42" s="18" t="n">
        <v>9189</v>
      </c>
      <c r="F42" s="18" t="n">
        <v>7910</v>
      </c>
      <c r="G42" s="18" t="n">
        <v>7504</v>
      </c>
      <c r="H42" s="18" t="n">
        <v>7077</v>
      </c>
      <c r="I42" s="18" t="n">
        <v>5902</v>
      </c>
      <c r="J42" s="18" t="n">
        <v>5327</v>
      </c>
      <c r="K42" s="18" t="n">
        <v>6896</v>
      </c>
      <c r="L42" s="18" t="n">
        <v>4926</v>
      </c>
      <c r="M42" s="18" t="n">
        <v>4727</v>
      </c>
      <c r="N42" s="18" t="n">
        <v>4923</v>
      </c>
      <c r="O42" s="18" t="n">
        <v>5458</v>
      </c>
      <c r="P42" s="18" t="n">
        <v>4991</v>
      </c>
      <c r="Q42" s="18" t="n">
        <v>5063</v>
      </c>
      <c r="R42" s="18" t="n">
        <v>6442</v>
      </c>
      <c r="S42" s="18" t="n">
        <v>6006</v>
      </c>
      <c r="T42" s="18" t="n">
        <v>6212</v>
      </c>
      <c r="U42" s="18" t="n">
        <v>6571</v>
      </c>
      <c r="V42" s="18" t="n">
        <v>7068</v>
      </c>
      <c r="W42" s="18" t="n">
        <v>9996</v>
      </c>
      <c r="X42" s="18" t="n">
        <v>7522</v>
      </c>
      <c r="Y42" s="18" t="n">
        <v>7279</v>
      </c>
      <c r="Z42" s="18" t="n">
        <v>8561</v>
      </c>
      <c r="AA42" s="18" t="n">
        <v>9563</v>
      </c>
      <c r="AB42" s="18" t="n">
        <v>8264</v>
      </c>
      <c r="AC42" s="18" t="n">
        <v>6091</v>
      </c>
    </row>
    <row r="43">
      <c r="A43" s="4" t="inlineStr">
        <is>
          <t>Total Current Assets</t>
        </is>
      </c>
      <c r="B43" s="18" t="n">
        <v>14300</v>
      </c>
      <c r="C43" s="18" t="n">
        <v>15153</v>
      </c>
      <c r="D43" s="18" t="n">
        <v>13925</v>
      </c>
      <c r="E43" s="18" t="n">
        <v>11114</v>
      </c>
      <c r="F43" s="18" t="n">
        <v>9662</v>
      </c>
      <c r="G43" s="18" t="n">
        <v>9412</v>
      </c>
      <c r="H43" s="18" t="n">
        <v>9882</v>
      </c>
      <c r="I43" s="18" t="n">
        <v>8295</v>
      </c>
      <c r="J43" s="18" t="n">
        <v>7783</v>
      </c>
      <c r="K43" s="18" t="n">
        <v>9684</v>
      </c>
      <c r="L43" s="18" t="n">
        <v>8819</v>
      </c>
      <c r="M43" s="18" t="n">
        <v>8665</v>
      </c>
      <c r="N43" s="18" t="n">
        <v>8751</v>
      </c>
      <c r="O43" s="18" t="n">
        <v>9368</v>
      </c>
      <c r="P43" s="18" t="n">
        <v>9249</v>
      </c>
      <c r="Q43" s="18" t="n">
        <v>9196</v>
      </c>
      <c r="R43" s="18" t="n">
        <v>10664</v>
      </c>
      <c r="S43" s="18" t="n">
        <v>10679</v>
      </c>
      <c r="T43" s="18" t="n">
        <v>11297</v>
      </c>
      <c r="U43" s="18" t="n">
        <v>12074</v>
      </c>
      <c r="V43" s="18" t="n">
        <v>12483</v>
      </c>
      <c r="W43" s="18" t="n">
        <v>15331</v>
      </c>
      <c r="X43" s="18" t="n">
        <v>12245</v>
      </c>
      <c r="Y43" s="18" t="n">
        <v>12350</v>
      </c>
      <c r="Z43" s="18" t="n">
        <v>14107</v>
      </c>
      <c r="AA43" s="18" t="n">
        <v>15139</v>
      </c>
      <c r="AB43" s="18" t="n">
        <v>13993</v>
      </c>
      <c r="AC43" s="18" t="n">
        <v>12823</v>
      </c>
    </row>
    <row r="44">
      <c r="A44" s="4" t="inlineStr">
        <is>
          <t>PP&amp;E (net)</t>
        </is>
      </c>
      <c r="B44" s="18" t="n">
        <v>2784</v>
      </c>
      <c r="C44" s="18" t="n">
        <v>3075</v>
      </c>
      <c r="D44" s="18" t="n">
        <v>3325</v>
      </c>
      <c r="E44" s="18" t="n">
        <v>3440</v>
      </c>
      <c r="F44" s="18" t="n">
        <v>3287</v>
      </c>
      <c r="G44" s="18" t="n">
        <v>3210</v>
      </c>
      <c r="H44" s="18" t="n">
        <v>3088</v>
      </c>
      <c r="I44" s="18" t="n">
        <v>3024</v>
      </c>
      <c r="J44" s="18" t="n">
        <v>3014</v>
      </c>
      <c r="K44" s="18" t="n">
        <v>2999</v>
      </c>
      <c r="L44" s="18" t="n">
        <v>3241</v>
      </c>
      <c r="M44" s="18" t="n">
        <v>3292</v>
      </c>
      <c r="N44" s="18" t="n">
        <v>3342</v>
      </c>
      <c r="O44" s="18" t="n">
        <v>3347</v>
      </c>
      <c r="P44" s="18" t="n">
        <v>3531</v>
      </c>
      <c r="Q44" s="18" t="n">
        <v>3477</v>
      </c>
      <c r="R44" s="18" t="n">
        <v>3411</v>
      </c>
      <c r="S44" s="18" t="n">
        <v>3359</v>
      </c>
      <c r="T44" s="18" t="n">
        <v>3314</v>
      </c>
      <c r="U44" s="18" t="n">
        <v>3249</v>
      </c>
      <c r="V44" s="18" t="n">
        <v>3215</v>
      </c>
      <c r="W44" s="18" t="n">
        <v>3172</v>
      </c>
      <c r="X44" s="18" t="n">
        <v>3110</v>
      </c>
      <c r="Y44" s="18" t="n">
        <v>3103</v>
      </c>
      <c r="Z44" s="18" t="n">
        <v>3101</v>
      </c>
      <c r="AA44" s="18" t="n">
        <v>3056</v>
      </c>
      <c r="AB44" s="18" t="n">
        <v>3180</v>
      </c>
      <c r="AC44" s="18" t="n">
        <v>1842</v>
      </c>
    </row>
    <row r="45">
      <c r="A45" s="4" t="inlineStr">
        <is>
          <t>Total Assets</t>
        </is>
      </c>
      <c r="B45" s="18" t="n">
        <v>30980</v>
      </c>
      <c r="C45" s="18" t="n">
        <v>32292</v>
      </c>
      <c r="D45" s="18" t="n">
        <v>31761</v>
      </c>
      <c r="E45" s="18" t="n">
        <v>30090</v>
      </c>
      <c r="F45" s="18" t="n">
        <v>28240</v>
      </c>
      <c r="G45" s="18" t="n">
        <v>28894</v>
      </c>
      <c r="H45" s="18" t="n">
        <v>33252</v>
      </c>
      <c r="I45" s="18" t="n">
        <v>34655</v>
      </c>
      <c r="J45" s="18" t="n">
        <v>36251</v>
      </c>
      <c r="K45" s="18" t="n">
        <v>36884</v>
      </c>
      <c r="L45" s="18" t="n">
        <v>38774</v>
      </c>
      <c r="M45" s="18" t="n">
        <v>32812</v>
      </c>
      <c r="N45" s="18" t="n">
        <v>31014</v>
      </c>
      <c r="O45" s="18" t="n">
        <v>31112</v>
      </c>
      <c r="P45" s="18" t="n">
        <v>32109</v>
      </c>
      <c r="Q45" s="18" t="n">
        <v>32451</v>
      </c>
      <c r="R45" s="18" t="n">
        <v>34068</v>
      </c>
      <c r="S45" s="18" t="n">
        <v>35949</v>
      </c>
      <c r="T45" s="18" t="n">
        <v>38699</v>
      </c>
      <c r="U45" s="18" t="n">
        <v>39599</v>
      </c>
      <c r="V45" s="18" t="n">
        <v>41514</v>
      </c>
      <c r="W45" s="18" t="n">
        <v>47117</v>
      </c>
      <c r="X45" s="18" t="n">
        <v>51244</v>
      </c>
      <c r="Y45" s="18" t="n">
        <v>52822</v>
      </c>
      <c r="Z45" s="18" t="n">
        <v>55982</v>
      </c>
      <c r="AA45" s="18" t="n">
        <v>63344</v>
      </c>
      <c r="AB45" s="18" t="n">
        <v>61802</v>
      </c>
      <c r="AC45" s="18" t="n">
        <v>59885</v>
      </c>
    </row>
    <row r="46">
      <c r="A46" s="4" t="inlineStr">
        <is>
          <t>Total Current Liabilities</t>
        </is>
      </c>
      <c r="B46" s="18" t="n">
        <v>5570</v>
      </c>
      <c r="C46" s="18" t="n">
        <v>5372</v>
      </c>
      <c r="D46" s="18" t="n">
        <v>5639</v>
      </c>
      <c r="E46" s="18" t="n">
        <v>6631</v>
      </c>
      <c r="F46" s="18" t="n">
        <v>5891</v>
      </c>
      <c r="G46" s="18" t="n">
        <v>6921</v>
      </c>
      <c r="H46" s="18" t="n">
        <v>6865</v>
      </c>
      <c r="I46" s="18" t="n">
        <v>7288</v>
      </c>
      <c r="J46" s="18" t="n">
        <v>7684</v>
      </c>
      <c r="K46" s="18" t="n">
        <v>8126</v>
      </c>
      <c r="L46" s="18" t="n">
        <v>9024</v>
      </c>
      <c r="M46" s="18" t="n">
        <v>8652</v>
      </c>
      <c r="N46" s="18" t="n">
        <v>8945</v>
      </c>
      <c r="O46" s="18" t="n">
        <v>9020</v>
      </c>
      <c r="P46" s="18" t="n">
        <v>8853</v>
      </c>
      <c r="Q46" s="18" t="n">
        <v>8683</v>
      </c>
      <c r="R46" s="18" t="n">
        <v>8635</v>
      </c>
      <c r="S46" s="18" t="n">
        <v>9405</v>
      </c>
      <c r="T46" s="18" t="n">
        <v>9454</v>
      </c>
      <c r="U46" s="18" t="n">
        <v>9993</v>
      </c>
      <c r="V46" s="18" t="n">
        <v>10318</v>
      </c>
      <c r="W46" s="18" t="n">
        <v>10835</v>
      </c>
      <c r="X46" s="18" t="n">
        <v>11476</v>
      </c>
      <c r="Y46" s="18" t="n">
        <v>12113</v>
      </c>
      <c r="Z46" s="18" t="n">
        <v>12686</v>
      </c>
      <c r="AA46" s="18" t="n">
        <v>13121</v>
      </c>
      <c r="AB46" s="18" t="n">
        <v>12320</v>
      </c>
      <c r="AC46" s="18" t="n">
        <v>11993</v>
      </c>
    </row>
    <row r="47">
      <c r="A47" s="4" t="inlineStr">
        <is>
          <t>Long-term Debt</t>
        </is>
      </c>
      <c r="B47" s="18" t="n">
        <v>4526</v>
      </c>
      <c r="C47" s="18" t="n">
        <v>5711</v>
      </c>
      <c r="D47" s="18" t="n">
        <v>5707</v>
      </c>
      <c r="E47" s="18" t="n">
        <v>6001</v>
      </c>
      <c r="F47" s="18" t="n">
        <v>6991</v>
      </c>
      <c r="G47" s="18" t="n">
        <v>6968</v>
      </c>
      <c r="H47" s="18" t="n">
        <v>7680</v>
      </c>
      <c r="I47" s="18" t="n">
        <v>7801</v>
      </c>
      <c r="J47" s="18" t="n">
        <v>7798</v>
      </c>
      <c r="K47" s="18" t="n">
        <v>9279</v>
      </c>
      <c r="L47" s="18" t="n">
        <v>9276</v>
      </c>
      <c r="M47" s="18" t="n">
        <v>9273</v>
      </c>
      <c r="N47" s="18" t="n">
        <v>9271</v>
      </c>
      <c r="O47" s="18" t="n">
        <v>9268</v>
      </c>
      <c r="P47" s="18" t="n">
        <v>9265</v>
      </c>
      <c r="Q47" s="18" t="n">
        <v>9257</v>
      </c>
      <c r="R47" s="18" t="n">
        <v>9255</v>
      </c>
      <c r="S47" s="18" t="n">
        <v>9252</v>
      </c>
      <c r="T47" s="18" t="n">
        <v>9459</v>
      </c>
      <c r="U47" s="18" t="n">
        <v>9457</v>
      </c>
      <c r="V47" s="18" t="n">
        <v>9454</v>
      </c>
      <c r="W47" s="18" t="n">
        <v>10986</v>
      </c>
      <c r="X47" s="18" t="n">
        <v>8347</v>
      </c>
      <c r="Y47" s="18" t="n">
        <v>8350</v>
      </c>
      <c r="Z47" s="18" t="n">
        <v>9578</v>
      </c>
      <c r="AA47" s="18" t="n">
        <v>10615</v>
      </c>
      <c r="AB47" s="18" t="n">
        <v>11911</v>
      </c>
      <c r="AC47" s="18" t="n">
        <v>10514</v>
      </c>
    </row>
    <row r="48">
      <c r="A48" s="4" t="inlineStr">
        <is>
          <t>Total Equity</t>
        </is>
      </c>
      <c r="B48" s="18" t="n">
        <v>15922</v>
      </c>
      <c r="C48" s="18" t="n">
        <v>15062</v>
      </c>
      <c r="D48" s="18" t="n">
        <v>14190</v>
      </c>
      <c r="E48" s="18" t="n">
        <v>11342</v>
      </c>
      <c r="F48" s="18" t="n">
        <v>9550</v>
      </c>
      <c r="G48" s="18" t="n">
        <v>8942</v>
      </c>
      <c r="H48" s="18" t="n">
        <v>12266</v>
      </c>
      <c r="I48" s="18" t="n">
        <v>13598</v>
      </c>
      <c r="J48" s="18" t="n">
        <v>14175</v>
      </c>
      <c r="K48" s="18" t="n">
        <v>13931</v>
      </c>
      <c r="L48" s="18" t="n">
        <v>14458</v>
      </c>
      <c r="M48" s="18" t="n">
        <v>8916</v>
      </c>
      <c r="N48" s="18" t="n">
        <v>6661</v>
      </c>
      <c r="O48" s="18" t="n">
        <v>6247</v>
      </c>
      <c r="P48" s="18" t="n">
        <v>7340</v>
      </c>
      <c r="Q48" s="18" t="n">
        <v>7508</v>
      </c>
      <c r="R48" s="18" t="n">
        <v>8664</v>
      </c>
      <c r="S48" s="18" t="n">
        <v>9358</v>
      </c>
      <c r="T48" s="18" t="n">
        <v>11249</v>
      </c>
      <c r="U48" s="18" t="n">
        <v>11058</v>
      </c>
      <c r="V48" s="18" t="n">
        <v>12350</v>
      </c>
      <c r="W48" s="18" t="n">
        <v>14780</v>
      </c>
      <c r="X48" s="18" t="n">
        <v>21558</v>
      </c>
      <c r="Y48" s="18" t="n">
        <v>21975</v>
      </c>
      <c r="Z48" s="18" t="n">
        <v>22598</v>
      </c>
      <c r="AA48" s="18" t="n">
        <v>28134</v>
      </c>
      <c r="AB48" s="18" t="n">
        <v>27041</v>
      </c>
      <c r="AC48" s="18" t="n">
        <v>24751</v>
      </c>
    </row>
    <row r="49">
      <c r="A49" s="5" t="inlineStr">
        <is>
          <t xml:space="preserve">  CASH FLOW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D&amp;A</t>
        </is>
      </c>
      <c r="B50" s="18" t="n">
        <v>123</v>
      </c>
      <c r="C50" s="18" t="n">
        <v>102</v>
      </c>
      <c r="D50" s="18" t="n">
        <v>101</v>
      </c>
      <c r="E50" s="18" t="n">
        <v>128</v>
      </c>
      <c r="F50" s="18" t="n">
        <v>129</v>
      </c>
      <c r="G50" s="18" t="n">
        <v>138</v>
      </c>
      <c r="H50" s="18" t="n">
        <v>180</v>
      </c>
      <c r="I50" s="18" t="n">
        <v>212</v>
      </c>
      <c r="J50" s="18" t="n">
        <v>226</v>
      </c>
      <c r="K50" s="18" t="n">
        <v>218</v>
      </c>
      <c r="L50" s="18" t="n">
        <v>246</v>
      </c>
      <c r="M50" s="18" t="n">
        <v>254</v>
      </c>
      <c r="N50" s="18" t="n">
        <v>243</v>
      </c>
      <c r="O50" s="18" t="n">
        <v>227</v>
      </c>
      <c r="P50" s="18" t="n">
        <v>223</v>
      </c>
      <c r="Q50" s="18" t="n">
        <v>207</v>
      </c>
      <c r="R50" s="18" t="n">
        <v>208</v>
      </c>
      <c r="S50" s="18" t="n">
        <v>205</v>
      </c>
      <c r="T50" s="18" t="n">
        <v>203</v>
      </c>
      <c r="U50" s="18" t="n">
        <v>194</v>
      </c>
      <c r="V50" s="18" t="n">
        <v>181</v>
      </c>
      <c r="W50" s="18" t="n">
        <v>186</v>
      </c>
      <c r="X50" s="18" t="n">
        <v>176</v>
      </c>
      <c r="Y50" s="18" t="n">
        <v>178</v>
      </c>
      <c r="Z50" s="18" t="n">
        <v>181</v>
      </c>
      <c r="AA50" s="18" t="n">
        <v>195</v>
      </c>
      <c r="AB50" s="18" t="n">
        <v>193</v>
      </c>
      <c r="AC50" s="18" t="n">
        <v>191</v>
      </c>
    </row>
    <row r="51">
      <c r="A51" s="4" t="inlineStr">
        <is>
          <t>Stock-based Compensation</t>
        </is>
      </c>
      <c r="B51" s="18" t="n">
        <v>3941</v>
      </c>
      <c r="C51" s="18" t="n">
        <v>401</v>
      </c>
      <c r="D51" s="18" t="n">
        <v>243</v>
      </c>
      <c r="E51" s="18" t="n">
        <v>277</v>
      </c>
      <c r="F51" s="18" t="n">
        <v>131</v>
      </c>
      <c r="G51" s="18" t="n">
        <v>183</v>
      </c>
      <c r="H51" s="18" t="n">
        <v>236</v>
      </c>
      <c r="I51" s="18" t="n">
        <v>281</v>
      </c>
      <c r="J51" s="18" t="n">
        <v>272</v>
      </c>
      <c r="K51" s="18" t="n">
        <v>281</v>
      </c>
      <c r="L51" s="18" t="n">
        <v>334</v>
      </c>
      <c r="M51" s="18" t="n">
        <v>359</v>
      </c>
      <c r="N51" s="18" t="n">
        <v>470</v>
      </c>
      <c r="O51" s="18" t="n">
        <v>482</v>
      </c>
      <c r="P51" s="18" t="n">
        <v>482</v>
      </c>
      <c r="Q51" s="18" t="n">
        <v>470</v>
      </c>
      <c r="R51" s="18" t="n">
        <v>504</v>
      </c>
      <c r="S51" s="18" t="n">
        <v>492</v>
      </c>
      <c r="T51" s="18" t="n">
        <v>469</v>
      </c>
      <c r="U51" s="18" t="n">
        <v>484</v>
      </c>
      <c r="V51" s="18" t="n">
        <v>455</v>
      </c>
      <c r="W51" s="18" t="n">
        <v>438</v>
      </c>
      <c r="X51" s="18" t="n">
        <v>419</v>
      </c>
      <c r="Y51" s="18" t="n">
        <v>435</v>
      </c>
      <c r="Z51" s="18" t="n">
        <v>475</v>
      </c>
      <c r="AA51" s="18" t="n">
        <v>465</v>
      </c>
      <c r="AB51" s="18" t="n">
        <v>451</v>
      </c>
      <c r="AC51" s="18" t="n">
        <v>473</v>
      </c>
    </row>
    <row r="52">
      <c r="A52" s="4" t="inlineStr">
        <is>
          <t>Change in Working Capital</t>
        </is>
      </c>
      <c r="B52" s="18" t="n">
        <v>572</v>
      </c>
      <c r="C52" s="18" t="n">
        <v>-230</v>
      </c>
      <c r="D52" s="18" t="n">
        <v>-1062</v>
      </c>
      <c r="E52" s="18" t="n">
        <v>284</v>
      </c>
      <c r="F52" s="18" t="n">
        <v>292</v>
      </c>
      <c r="G52" s="18" t="n">
        <v>419</v>
      </c>
      <c r="H52" s="18" t="n">
        <v>-263</v>
      </c>
      <c r="I52" s="18" t="n">
        <v>520</v>
      </c>
      <c r="J52" s="18" t="n">
        <v>433</v>
      </c>
      <c r="K52" s="18" t="n">
        <v>768</v>
      </c>
      <c r="L52" s="18" t="n">
        <v>-39</v>
      </c>
      <c r="M52" s="18" t="n">
        <v>27</v>
      </c>
      <c r="N52" s="18" t="n">
        <v>604</v>
      </c>
      <c r="O52" s="18" t="n">
        <v>368</v>
      </c>
      <c r="P52" s="18" t="n">
        <v>-664</v>
      </c>
      <c r="Q52" s="18" t="n">
        <v>258</v>
      </c>
      <c r="R52" s="18" t="n">
        <v>351</v>
      </c>
      <c r="S52" s="18" t="n">
        <v>-113</v>
      </c>
      <c r="T52" s="18" t="n">
        <v>-331</v>
      </c>
      <c r="U52" s="18" t="n">
        <v>575</v>
      </c>
      <c r="V52" s="18" t="n">
        <v>515</v>
      </c>
      <c r="W52" s="18" t="n">
        <v>511</v>
      </c>
      <c r="X52" s="18" t="n">
        <v>773</v>
      </c>
      <c r="Y52" s="18" t="n">
        <v>478</v>
      </c>
      <c r="Z52" s="18" t="n">
        <v>449</v>
      </c>
      <c r="AA52" s="18" t="n">
        <v>648</v>
      </c>
      <c r="AB52" s="18" t="n">
        <v>652</v>
      </c>
      <c r="AC52" s="18" t="n">
        <v>-200</v>
      </c>
    </row>
    <row r="53">
      <c r="A53" s="4" t="inlineStr">
        <is>
          <t>Operating Cash Flow</t>
        </is>
      </c>
      <c r="B53" s="18" t="n">
        <v>-922</v>
      </c>
      <c r="C53" s="18" t="n">
        <v>-878</v>
      </c>
      <c r="D53" s="18" t="n">
        <v>-1799</v>
      </c>
      <c r="E53" s="18" t="n">
        <v>-463</v>
      </c>
      <c r="F53" s="18" t="n">
        <v>-1071</v>
      </c>
      <c r="G53" s="18" t="n">
        <v>-406</v>
      </c>
      <c r="H53" s="18" t="n">
        <v>-805</v>
      </c>
      <c r="I53" s="18" t="n">
        <v>-611</v>
      </c>
      <c r="J53" s="18" t="n">
        <v>-341</v>
      </c>
      <c r="K53" s="18" t="n">
        <v>614</v>
      </c>
      <c r="L53" s="18" t="n">
        <v>-107</v>
      </c>
      <c r="M53" s="18" t="n">
        <v>15</v>
      </c>
      <c r="N53" s="18" t="n">
        <v>439</v>
      </c>
      <c r="O53" s="18" t="n">
        <v>432</v>
      </c>
      <c r="P53" s="18" t="n">
        <v>-244</v>
      </c>
      <c r="Q53" s="18" t="n">
        <v>606</v>
      </c>
      <c r="R53" s="18" t="n">
        <v>1190</v>
      </c>
      <c r="S53" s="18" t="n">
        <v>966</v>
      </c>
      <c r="T53" s="18" t="n">
        <v>823</v>
      </c>
      <c r="U53" s="18" t="n">
        <v>1416</v>
      </c>
      <c r="V53" s="18" t="n">
        <v>1820</v>
      </c>
      <c r="W53" s="18" t="n">
        <v>2151</v>
      </c>
      <c r="X53" s="18" t="n">
        <v>1750</v>
      </c>
      <c r="Y53" s="18" t="n">
        <v>2324</v>
      </c>
      <c r="Z53" s="18" t="n">
        <v>2564</v>
      </c>
      <c r="AA53" s="18" t="n">
        <v>2328</v>
      </c>
      <c r="AB53" s="18" t="n">
        <v>2883</v>
      </c>
      <c r="AC53" s="18" t="n">
        <v>2351</v>
      </c>
    </row>
    <row r="54">
      <c r="A54" s="4" t="inlineStr">
        <is>
          <t>Capex</t>
        </is>
      </c>
      <c r="B54" s="18" t="n">
        <v>-148</v>
      </c>
      <c r="C54" s="18" t="n">
        <v>-129</v>
      </c>
      <c r="D54" s="18" t="n">
        <v>-182</v>
      </c>
      <c r="E54" s="18" t="n">
        <v>-198</v>
      </c>
      <c r="F54" s="18" t="n">
        <v>-164</v>
      </c>
      <c r="G54" s="18" t="n">
        <v>-131</v>
      </c>
      <c r="H54" s="18" t="n">
        <v>-123</v>
      </c>
      <c r="I54" s="18" t="n">
        <v>-71</v>
      </c>
      <c r="J54" s="18" t="n">
        <v>-57</v>
      </c>
      <c r="K54" s="18" t="n">
        <v>-90</v>
      </c>
      <c r="L54" s="18" t="n">
        <v>-80</v>
      </c>
      <c r="M54" s="18" t="n">
        <v>-62</v>
      </c>
      <c r="N54" s="18" t="n">
        <v>-57</v>
      </c>
      <c r="O54" s="18" t="n">
        <v>-74</v>
      </c>
      <c r="P54" s="18" t="n">
        <v>-59</v>
      </c>
      <c r="Q54" s="18" t="n">
        <v>-57</v>
      </c>
      <c r="R54" s="18" t="n">
        <v>-50</v>
      </c>
      <c r="S54" s="18" t="n">
        <v>-61</v>
      </c>
      <c r="T54" s="18" t="n">
        <v>-55</v>
      </c>
      <c r="U54" s="18" t="n">
        <v>-57</v>
      </c>
      <c r="V54" s="18" t="n">
        <v>-99</v>
      </c>
      <c r="W54" s="18" t="n">
        <v>-42</v>
      </c>
      <c r="X54" s="18" t="n">
        <v>-44</v>
      </c>
      <c r="Y54" s="18" t="n">
        <v>-74</v>
      </c>
      <c r="Z54" s="18" t="n">
        <v>-89</v>
      </c>
      <c r="AA54" s="18" t="n">
        <v>-98</v>
      </c>
      <c r="AB54" s="18" t="n">
        <v>-75</v>
      </c>
      <c r="AC54" s="18" t="n">
        <v>-65</v>
      </c>
    </row>
    <row r="55">
      <c r="A55" s="4" t="inlineStr">
        <is>
          <t>Free Cash Flow</t>
        </is>
      </c>
      <c r="B55" s="18" t="n">
        <v>-1070</v>
      </c>
      <c r="C55" s="18" t="n">
        <v>-1007</v>
      </c>
      <c r="D55" s="18" t="n">
        <v>-1981</v>
      </c>
      <c r="E55" s="18" t="n">
        <v>-661</v>
      </c>
      <c r="F55" s="18" t="n">
        <v>-1235</v>
      </c>
      <c r="G55" s="18" t="n">
        <v>-537</v>
      </c>
      <c r="H55" s="18" t="n">
        <v>-928</v>
      </c>
      <c r="I55" s="18" t="n">
        <v>-682</v>
      </c>
      <c r="J55" s="18" t="n">
        <v>-398</v>
      </c>
      <c r="K55" s="18" t="n">
        <v>524</v>
      </c>
      <c r="L55" s="18" t="n">
        <v>-187</v>
      </c>
      <c r="M55" s="18" t="n">
        <v>-47</v>
      </c>
      <c r="N55" s="18" t="n">
        <v>382</v>
      </c>
      <c r="O55" s="18" t="n">
        <v>358</v>
      </c>
      <c r="P55" s="18" t="n">
        <v>-303</v>
      </c>
      <c r="Q55" s="18" t="n">
        <v>549</v>
      </c>
      <c r="R55" s="18" t="n">
        <v>1140</v>
      </c>
      <c r="S55" s="18" t="n">
        <v>905</v>
      </c>
      <c r="T55" s="18" t="n">
        <v>768</v>
      </c>
      <c r="U55" s="18" t="n">
        <v>1359</v>
      </c>
      <c r="V55" s="18" t="n">
        <v>1721</v>
      </c>
      <c r="W55" s="18" t="n">
        <v>2109</v>
      </c>
      <c r="X55" s="18" t="n">
        <v>1706</v>
      </c>
      <c r="Y55" s="18" t="n">
        <v>2250</v>
      </c>
      <c r="Z55" s="18" t="n">
        <v>2475</v>
      </c>
      <c r="AA55" s="18" t="n">
        <v>2230</v>
      </c>
      <c r="AB55" s="18" t="n">
        <v>2808</v>
      </c>
      <c r="AC55" s="18" t="n">
        <v>2286</v>
      </c>
    </row>
    <row r="57">
      <c r="A5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58195.203867</v>
      </c>
      <c r="C4" s="18" t="n">
        <v>67191.528508</v>
      </c>
      <c r="D4" s="18" t="n">
        <v>75911.917399</v>
      </c>
      <c r="E4" s="18" t="n">
        <v>83024.768256</v>
      </c>
      <c r="F4" s="18" t="n">
        <v>90815.428571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1518.177935</v>
      </c>
      <c r="C8" s="18" t="n">
        <v>1752.871186</v>
      </c>
      <c r="D8" s="18" t="n">
        <v>1980.365913</v>
      </c>
      <c r="E8" s="18" t="n">
        <v>2165.923699</v>
      </c>
      <c r="F8" s="18" t="n">
        <v>2369.163963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6401.472425</v>
      </c>
      <c r="C12" s="18" t="n">
        <v>7391.068135</v>
      </c>
      <c r="D12" s="18" t="n">
        <v>8350.310912999999</v>
      </c>
      <c r="E12" s="18" t="n">
        <v>9132.724507999999</v>
      </c>
      <c r="F12" s="18" t="n">
        <v>9989.697142000001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13748.468988</v>
      </c>
      <c r="C16" s="18" t="n">
        <v>15873.827817</v>
      </c>
      <c r="D16" s="18" t="n">
        <v>17933.997526</v>
      </c>
      <c r="E16" s="18" t="n">
        <v>19614.390461</v>
      </c>
      <c r="F16" s="18" t="n">
        <v>21454.914157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7069.35359</v>
      </c>
      <c r="C20" s="18" t="n">
        <v>8892.16834</v>
      </c>
      <c r="D20" s="18" t="n">
        <v>10620.41722</v>
      </c>
      <c r="E20" s="18" t="n">
        <v>13421.870754</v>
      </c>
      <c r="F20" s="18" t="n">
        <v>15098.247997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3.31263</v>
      </c>
      <c r="C24" s="38" t="n">
        <v>4.41066</v>
      </c>
      <c r="D24" s="38" t="n">
        <v>5.26117</v>
      </c>
      <c r="E24" s="38" t="n">
        <v>6.332</v>
      </c>
      <c r="F24" s="38" t="n">
        <v>7.12286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Uber Technologies,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Financials!AC42</f>
        <v/>
      </c>
    </row>
    <row r="33">
      <c r="A33" s="4" t="inlineStr">
        <is>
          <t>- Long-term debt</t>
        </is>
      </c>
      <c r="B33" s="28">
        <f>-Financials!AC47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0.0143606897744968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0.4874417670682731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1.084987857825992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Financials!AC42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Financials!AC47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2026-06-08T03:58:06Z</dcterms:created>
  <dcterms:modified xmlns:dcterms="http://purl.org/dc/terms/" xmlns:xsi="http://www.w3.org/2001/XMLSchema-instance" xsi:type="dcterms:W3CDTF">2026-06-08T03:58:07Z</dcterms:modified>
</cp:coreProperties>
</file>