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MongoDB, Inc. (MDB)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MongoDB is a consumption-priced document database whose Atlas engine compounds in the mid-20s% as both workload count and per-workload usage rise; total revenue growth stays above 20% near-term before fading toward a mature ~5-6% blended rate by year 10. GAAP operating margins, today still slightly negative, normalize through operating leverage on a high-gross-margin subscription base toward a mature mid-20s% level. Capex is structurally light (cloud-hosted on hyperscalers), so FCFF conversion is strong as margins inflect.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MongoDB, Inc. (MDB)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MongoDB Atlas Related</t>
        </is>
      </c>
      <c r="B20" s="15" t="n">
        <v>0.26</v>
      </c>
      <c r="C20" s="15" t="n">
        <v>0.04</v>
      </c>
      <c r="D20" s="16" t="n">
        <v>0.26</v>
      </c>
      <c r="E20" s="2" t="inlineStr"/>
    </row>
    <row r="21">
      <c r="A21" s="4" t="inlineStr">
        <is>
          <t>Other Subscription</t>
        </is>
      </c>
      <c r="B21" s="15" t="n">
        <v>0.06</v>
      </c>
      <c r="C21" s="15" t="n">
        <v>0.03</v>
      </c>
      <c r="D21" s="16" t="n">
        <v>0.06</v>
      </c>
      <c r="E21" s="2" t="inlineStr"/>
    </row>
    <row r="22">
      <c r="A22" s="4" t="inlineStr">
        <is>
          <t>Service</t>
        </is>
      </c>
      <c r="B22" s="15" t="n">
        <v>0.12</v>
      </c>
      <c r="C22" s="15" t="n">
        <v>0.03</v>
      </c>
      <c r="D22" s="16" t="n">
        <v>0.12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</v>
      </c>
      <c r="D29" s="16" t="n">
        <v>0.1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5.807212123999999</v>
      </c>
      <c r="D34" s="18" t="n">
        <v>5.807212123999999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1.486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EV/Sales</t>
        </is>
      </c>
    </row>
    <row r="45">
      <c r="A45" s="4" t="inlineStr">
        <is>
          <t>Exit multiple</t>
        </is>
      </c>
      <c r="B45" s="19" t="n">
        <v>6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369.1600036621094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FY2022A</t>
        </is>
      </c>
      <c r="C1" s="30" t="inlineStr">
        <is>
          <t>FY2023A</t>
        </is>
      </c>
      <c r="D1" s="30" t="inlineStr">
        <is>
          <t>FY2024A</t>
        </is>
      </c>
      <c r="E1" s="30" t="inlineStr">
        <is>
          <t>FY2025A</t>
        </is>
      </c>
      <c r="F1" s="30" t="inlineStr">
        <is>
          <t>FY2026A</t>
        </is>
      </c>
      <c r="G1" s="31" t="inlineStr">
        <is>
          <t>FY2027E</t>
        </is>
      </c>
      <c r="H1" s="31" t="inlineStr">
        <is>
          <t>FY2028E</t>
        </is>
      </c>
      <c r="I1" s="31" t="inlineStr">
        <is>
          <t>FY2029E</t>
        </is>
      </c>
      <c r="J1" s="31" t="inlineStr">
        <is>
          <t>FY2030E</t>
        </is>
      </c>
      <c r="K1" s="31" t="inlineStr">
        <is>
          <t>FY2031E</t>
        </is>
      </c>
      <c r="L1" s="31" t="inlineStr">
        <is>
          <t>FY2032E</t>
        </is>
      </c>
      <c r="M1" s="31" t="inlineStr">
        <is>
          <t>FY2033E</t>
        </is>
      </c>
      <c r="N1" s="31" t="inlineStr">
        <is>
          <t>FY2034E</t>
        </is>
      </c>
      <c r="O1" s="31" t="inlineStr">
        <is>
          <t>FY2035E</t>
        </is>
      </c>
      <c r="P1" s="3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MongoDB Atlas Related</t>
        </is>
      </c>
      <c r="B4" s="28">
        <f>SUM(Financials!J19:M19)</f>
        <v/>
      </c>
      <c r="C4" s="28">
        <f>SUM(Financials!N19:Q19)</f>
        <v/>
      </c>
      <c r="D4" s="28">
        <f>SUM(Financials!R19:U19)</f>
        <v/>
      </c>
      <c r="E4" s="28">
        <f>SUM(Financials!V19:Y19)</f>
        <v/>
      </c>
      <c r="F4" s="28">
        <f>SUM(Financials!Z19:AC19)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Other Subscription</t>
        </is>
      </c>
      <c r="B6" s="28">
        <f>SUM(Financials!J22:M22)</f>
        <v/>
      </c>
      <c r="C6" s="28">
        <f>SUM(Financials!N22:Q22)</f>
        <v/>
      </c>
      <c r="D6" s="28">
        <f>SUM(Financials!R22:U22)</f>
        <v/>
      </c>
      <c r="E6" s="28">
        <f>SUM(Financials!V22:Y22)</f>
        <v/>
      </c>
      <c r="F6" s="28">
        <f>SUM(Financials!Z22:AC22)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Service</t>
        </is>
      </c>
      <c r="B8" s="28">
        <f>SUM(Financials!J25:M25)</f>
        <v/>
      </c>
      <c r="C8" s="28">
        <f>SUM(Financials!N25:Q25)</f>
        <v/>
      </c>
      <c r="D8" s="28">
        <f>SUM(Financials!R25:U25)</f>
        <v/>
      </c>
      <c r="E8" s="28">
        <f>SUM(Financials!V25:Y25)</f>
        <v/>
      </c>
      <c r="F8" s="28">
        <f>SUM(Financials!Z25:AC25)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SUM(Financials!J5:M5)</f>
        <v/>
      </c>
      <c r="C14" s="28">
        <f>SUM(Financials!N5:Q5)</f>
        <v/>
      </c>
      <c r="D14" s="28">
        <f>SUM(Financials!R5:U5)</f>
        <v/>
      </c>
      <c r="E14" s="28">
        <f>SUM(Financials!V5:Y5)</f>
        <v/>
      </c>
      <c r="F14" s="28">
        <f>SUM(Financials!Z5:AC5)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0.2825143467582759</v>
      </c>
      <c r="H15" s="15" t="n">
        <v>0.2825143467582759</v>
      </c>
      <c r="I15" s="15" t="n">
        <v>0.2825143467582759</v>
      </c>
      <c r="J15" s="15" t="n">
        <v>0.2825143467582759</v>
      </c>
      <c r="K15" s="15" t="n">
        <v>0.2825143467582759</v>
      </c>
      <c r="L15" s="15" t="n">
        <v>0.2825143467582759</v>
      </c>
      <c r="M15" s="15" t="n">
        <v>0.2825143467582759</v>
      </c>
      <c r="N15" s="15" t="n">
        <v>0.2825143467582759</v>
      </c>
      <c r="O15" s="15" t="n">
        <v>0.2825143467582759</v>
      </c>
      <c r="P15" s="15" t="n">
        <v>0.2825143467582759</v>
      </c>
    </row>
    <row r="16">
      <c r="A16" s="4" t="inlineStr">
        <is>
          <t>R&amp;D / Technology</t>
        </is>
      </c>
      <c r="B16" s="28">
        <f>SUM(Financials!J7:M7)</f>
        <v/>
      </c>
      <c r="C16" s="28">
        <f>SUM(Financials!N7:Q7)</f>
        <v/>
      </c>
      <c r="D16" s="28">
        <f>SUM(Financials!R7:U7)</f>
        <v/>
      </c>
      <c r="E16" s="28">
        <f>SUM(Financials!V7:Y7)</f>
        <v/>
      </c>
      <c r="F16" s="28">
        <f>SUM(Financials!Z7:AC7)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0.2907313386614238</v>
      </c>
      <c r="H17" s="15" t="n">
        <v>0.2907313386614238</v>
      </c>
      <c r="I17" s="15" t="n">
        <v>0.2907313386614238</v>
      </c>
      <c r="J17" s="15" t="n">
        <v>0.2907313386614238</v>
      </c>
      <c r="K17" s="15" t="n">
        <v>0.2907313386614238</v>
      </c>
      <c r="L17" s="15" t="n">
        <v>0.2907313386614238</v>
      </c>
      <c r="M17" s="15" t="n">
        <v>0.2907313386614238</v>
      </c>
      <c r="N17" s="15" t="n">
        <v>0.2907313386614238</v>
      </c>
      <c r="O17" s="15" t="n">
        <v>0.2907313386614238</v>
      </c>
      <c r="P17" s="15" t="n">
        <v>0.2907313386614238</v>
      </c>
    </row>
    <row r="18">
      <c r="A18" s="4" t="inlineStr">
        <is>
          <t>SG&amp;A</t>
        </is>
      </c>
      <c r="B18" s="28">
        <f>SUM(Financials!J9:M9)</f>
        <v/>
      </c>
      <c r="C18" s="28">
        <f>SUM(Financials!N9:Q9)</f>
        <v/>
      </c>
      <c r="D18" s="28">
        <f>SUM(Financials!R9:U9)</f>
        <v/>
      </c>
      <c r="E18" s="28">
        <f>SUM(Financials!V9:Y9)</f>
        <v/>
      </c>
      <c r="F18" s="28">
        <f>SUM(Financials!Z9:AC9)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0.4823465569606587</v>
      </c>
      <c r="H19" s="15" t="n">
        <v>0.4823465569606587</v>
      </c>
      <c r="I19" s="15" t="n">
        <v>0.4823465569606587</v>
      </c>
      <c r="J19" s="15" t="n">
        <v>0.4823465569606587</v>
      </c>
      <c r="K19" s="15" t="n">
        <v>0.4823465569606587</v>
      </c>
      <c r="L19" s="15" t="n">
        <v>0.4823465569606587</v>
      </c>
      <c r="M19" s="15" t="n">
        <v>0.4823465569606587</v>
      </c>
      <c r="N19" s="15" t="n">
        <v>0.4823465569606587</v>
      </c>
      <c r="O19" s="15" t="n">
        <v>0.4823465569606587</v>
      </c>
      <c r="P19" s="15" t="n">
        <v>0.4823465569606587</v>
      </c>
    </row>
    <row r="20">
      <c r="A20" s="4" t="inlineStr">
        <is>
          <t>Other opex (fulfilment, etc.)</t>
        </is>
      </c>
      <c r="B20" s="28">
        <f>B10-(B14+B16+B18)-SUM(Financials!J13:M13)</f>
        <v/>
      </c>
      <c r="C20" s="28">
        <f>C10-(C14+C16+C18)-SUM(Financials!N13:Q13)</f>
        <v/>
      </c>
      <c r="D20" s="28">
        <f>D10-(D14+D16+D18)-SUM(Financials!R13:U13)</f>
        <v/>
      </c>
      <c r="E20" s="28">
        <f>E10-(E14+E16+E18)-SUM(Financials!V13:Y13)</f>
        <v/>
      </c>
      <c r="F20" s="28">
        <f>F10-(F14+F16+F18)-SUM(Financials!Z13:AC13)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SUM(Financials!J47:M47)</f>
        <v/>
      </c>
      <c r="C28" s="28">
        <f>SUM(Financials!N47:Q47)</f>
        <v/>
      </c>
      <c r="D28" s="28">
        <f>SUM(Financials!R47:U47)</f>
        <v/>
      </c>
      <c r="E28" s="28">
        <f>SUM(Financials!V47:Y47)</f>
        <v/>
      </c>
      <c r="F28" s="28">
        <f>SUM(Financials!Z47:AC47)</f>
        <v/>
      </c>
      <c r="G28" s="32">
        <f>G10*0.0142</f>
        <v/>
      </c>
      <c r="H28" s="32">
        <f>H10*0.0142</f>
        <v/>
      </c>
      <c r="I28" s="32">
        <f>I10*0.0142</f>
        <v/>
      </c>
      <c r="J28" s="32">
        <f>J10*0.0142</f>
        <v/>
      </c>
      <c r="K28" s="32">
        <f>K10*0.0142</f>
        <v/>
      </c>
      <c r="L28" s="32">
        <f>L10*0.0142</f>
        <v/>
      </c>
      <c r="M28" s="32">
        <f>M10*0.0142</f>
        <v/>
      </c>
      <c r="N28" s="32">
        <f>N10*0.0142</f>
        <v/>
      </c>
      <c r="O28" s="32">
        <f>O10*0.0142</f>
        <v/>
      </c>
      <c r="P28" s="32">
        <f>P10*0.0142</f>
        <v/>
      </c>
    </row>
    <row r="29">
      <c r="A29" s="4" t="inlineStr">
        <is>
          <t>+ SBC (non-cash)</t>
        </is>
      </c>
      <c r="B29" s="28">
        <f>SUM(Financials!J48:M48)</f>
        <v/>
      </c>
      <c r="C29" s="28">
        <f>SUM(Financials!N48:Q48)</f>
        <v/>
      </c>
      <c r="D29" s="28">
        <f>SUM(Financials!R48:U48)</f>
        <v/>
      </c>
      <c r="E29" s="28">
        <f>SUM(Financials!V48:Y48)</f>
        <v/>
      </c>
      <c r="F29" s="28">
        <f>SUM(Financials!Z48:AC48)</f>
        <v/>
      </c>
      <c r="G29" s="32">
        <f>G10*0.2234</f>
        <v/>
      </c>
      <c r="H29" s="32">
        <f>H10*0.2135</f>
        <v/>
      </c>
      <c r="I29" s="32">
        <f>I10*0.2036</f>
        <v/>
      </c>
      <c r="J29" s="32">
        <f>J10*0.1936</f>
        <v/>
      </c>
      <c r="K29" s="32">
        <f>K10*0.1837</f>
        <v/>
      </c>
      <c r="L29" s="32">
        <f>L10*0.1738</f>
        <v/>
      </c>
      <c r="M29" s="32">
        <f>M10*0.1638</f>
        <v/>
      </c>
      <c r="N29" s="32">
        <f>N10*0.1539</f>
        <v/>
      </c>
      <c r="O29" s="32">
        <f>O10*0.1440</f>
        <v/>
      </c>
      <c r="P29" s="32">
        <f>P10*0.1341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-SUM(Financials!J51:M51)</f>
        <v/>
      </c>
      <c r="C31" s="28">
        <f>-SUM(Financials!N51:Q51)</f>
        <v/>
      </c>
      <c r="D31" s="28">
        <f>-SUM(Financials!R51:U51)</f>
        <v/>
      </c>
      <c r="E31" s="28">
        <f>-SUM(Financials!V51:Y51)</f>
        <v/>
      </c>
      <c r="F31" s="28">
        <f>-SUM(Financials!Z51:AC51)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Financials!M45+Financials!M44-Financials!M39</f>
        <v/>
      </c>
      <c r="C38" s="28">
        <f>Financials!Q45+Financials!Q44-Financials!Q39</f>
        <v/>
      </c>
      <c r="D38" s="28">
        <f>Financials!U45+Financials!U44-Financials!U39</f>
        <v/>
      </c>
      <c r="E38" s="28">
        <f>Financials!Y45+Financials!Y44-Financials!Y39</f>
        <v/>
      </c>
      <c r="F38" s="28">
        <f>Financials!AC45+Financials!AC44-Financials!AC39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Financials!M45</f>
        <v/>
      </c>
      <c r="C39" s="28">
        <f>Financials!Q45</f>
        <v/>
      </c>
      <c r="D39" s="28">
        <f>Financials!U45</f>
        <v/>
      </c>
      <c r="E39" s="28">
        <f>Financials!Y45</f>
        <v/>
      </c>
      <c r="F39" s="28">
        <f>Financials!AC45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IFERROR(SUM(Financials!N15:Q15)/B39,"")</f>
        <v/>
      </c>
      <c r="D41" s="11">
        <f>IFERROR(SUM(Financials!R15:U15)/C39,"")</f>
        <v/>
      </c>
      <c r="E41" s="11">
        <f>IFERROR(SUM(Financials!V15:Y15)/D39,"")</f>
        <v/>
      </c>
      <c r="F41" s="11">
        <f>IFERROR(SUM(Financials!Z15:AC15)/E39,"")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  <c r="Z1" s="36" t="inlineStr">
        <is>
          <t>Q1 2026</t>
        </is>
      </c>
      <c r="AA1" s="36" t="inlineStr">
        <is>
          <t>Q2 2026</t>
        </is>
      </c>
      <c r="AB1" s="36" t="inlineStr">
        <is>
          <t>Q3 2026</t>
        </is>
      </c>
      <c r="AC1" s="3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89.38800000000001</v>
      </c>
      <c r="C3" s="18" t="n">
        <v>99.36799999999999</v>
      </c>
      <c r="D3" s="18" t="n">
        <v>109.441</v>
      </c>
      <c r="E3" s="18" t="n">
        <v>123.523</v>
      </c>
      <c r="F3" s="18" t="n">
        <v>130.329</v>
      </c>
      <c r="G3" s="18" t="n">
        <v>138.281</v>
      </c>
      <c r="H3" s="18" t="n">
        <v>150.771</v>
      </c>
      <c r="I3" s="18" t="n">
        <v>170.999</v>
      </c>
      <c r="J3" s="18" t="n">
        <v>181.648</v>
      </c>
      <c r="K3" s="18" t="n">
        <v>198.747</v>
      </c>
      <c r="L3" s="18" t="n">
        <v>226.893</v>
      </c>
      <c r="M3" s="18" t="n">
        <v>266.494</v>
      </c>
      <c r="N3" s="18" t="n">
        <v>285.447</v>
      </c>
      <c r="O3" s="18" t="n">
        <v>303.66</v>
      </c>
      <c r="P3" s="18" t="n">
        <v>333.621</v>
      </c>
      <c r="Q3" s="18" t="n">
        <v>361.312</v>
      </c>
      <c r="R3" s="18" t="n">
        <v>368.28</v>
      </c>
      <c r="S3" s="18" t="n">
        <v>423.791</v>
      </c>
      <c r="T3" s="18" t="n">
        <v>432.938</v>
      </c>
      <c r="U3" s="18" t="n">
        <v>458.002</v>
      </c>
      <c r="V3" s="18" t="n">
        <v>450.561</v>
      </c>
      <c r="W3" s="18" t="n">
        <v>478.109</v>
      </c>
      <c r="X3" s="18" t="n">
        <v>529.375</v>
      </c>
      <c r="Y3" s="18" t="n">
        <v>548.398</v>
      </c>
      <c r="Z3" s="18" t="n">
        <v>549.014</v>
      </c>
      <c r="AA3" s="18" t="n">
        <v>591.402</v>
      </c>
      <c r="AB3" s="18" t="n">
        <v>628.309</v>
      </c>
      <c r="AC3" s="18" t="n">
        <v>695.072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28.172</v>
      </c>
      <c r="C5" s="18" t="n">
        <v>30.202</v>
      </c>
      <c r="D5" s="18" t="n">
        <v>32.191</v>
      </c>
      <c r="E5" s="18" t="n">
        <v>34.791</v>
      </c>
      <c r="F5" s="18" t="n">
        <v>37.677</v>
      </c>
      <c r="G5" s="18" t="n">
        <v>42.304</v>
      </c>
      <c r="H5" s="18" t="n">
        <v>46.11</v>
      </c>
      <c r="I5" s="18" t="n">
        <v>50.985</v>
      </c>
      <c r="J5" s="18" t="n">
        <v>54.528</v>
      </c>
      <c r="K5" s="18" t="n">
        <v>60.702</v>
      </c>
      <c r="L5" s="18" t="n">
        <v>68.464</v>
      </c>
      <c r="M5" s="18" t="n">
        <v>75.798</v>
      </c>
      <c r="N5" s="18" t="n">
        <v>78.215</v>
      </c>
      <c r="O5" s="18" t="n">
        <v>88.277</v>
      </c>
      <c r="P5" s="18" t="n">
        <v>93.652</v>
      </c>
      <c r="Q5" s="18" t="n">
        <v>89.16</v>
      </c>
      <c r="R5" s="18" t="n">
        <v>97.449</v>
      </c>
      <c r="S5" s="18" t="n">
        <v>105.337</v>
      </c>
      <c r="T5" s="18" t="n">
        <v>107.058</v>
      </c>
      <c r="U5" s="18" t="n">
        <v>114.641</v>
      </c>
      <c r="V5" s="18" t="n">
        <v>125.397</v>
      </c>
      <c r="W5" s="18" t="n">
        <v>128.253</v>
      </c>
      <c r="X5" s="18" t="n">
        <v>135.331</v>
      </c>
      <c r="Y5" s="18" t="n">
        <v>149.015</v>
      </c>
      <c r="Z5" s="18" t="n">
        <v>158.041</v>
      </c>
      <c r="AA5" s="18" t="n">
        <v>171.428</v>
      </c>
      <c r="AB5" s="18" t="n">
        <v>179.177</v>
      </c>
      <c r="AC5" s="18" t="n">
        <v>187.412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30.868</v>
      </c>
      <c r="C7" s="18" t="n">
        <v>37.14</v>
      </c>
      <c r="D7" s="18" t="n">
        <v>39.387</v>
      </c>
      <c r="E7" s="18" t="n">
        <v>41.638</v>
      </c>
      <c r="F7" s="18" t="n">
        <v>45.632</v>
      </c>
      <c r="G7" s="18" t="n">
        <v>49.255</v>
      </c>
      <c r="H7" s="18" t="n">
        <v>54.363</v>
      </c>
      <c r="I7" s="18" t="n">
        <v>55.911</v>
      </c>
      <c r="J7" s="18" t="n">
        <v>64.751</v>
      </c>
      <c r="K7" s="18" t="n">
        <v>72.396</v>
      </c>
      <c r="L7" s="18" t="n">
        <v>82.256</v>
      </c>
      <c r="M7" s="18" t="n">
        <v>89.417</v>
      </c>
      <c r="N7" s="18" t="n">
        <v>96.372</v>
      </c>
      <c r="O7" s="18" t="n">
        <v>108.037</v>
      </c>
      <c r="P7" s="18" t="n">
        <v>106.392</v>
      </c>
      <c r="Q7" s="18" t="n">
        <v>110.891</v>
      </c>
      <c r="R7" s="18" t="n">
        <v>116.817</v>
      </c>
      <c r="S7" s="18" t="n">
        <v>125.42</v>
      </c>
      <c r="T7" s="18" t="n">
        <v>128.15</v>
      </c>
      <c r="U7" s="18" t="n">
        <v>145.553</v>
      </c>
      <c r="V7" s="18" t="n">
        <v>143.445</v>
      </c>
      <c r="W7" s="18" t="n">
        <v>148.967</v>
      </c>
      <c r="X7" s="18" t="n">
        <v>151.41</v>
      </c>
      <c r="Y7" s="18" t="n">
        <v>150.4</v>
      </c>
      <c r="Z7" s="18" t="n">
        <v>168.829</v>
      </c>
      <c r="AA7" s="18" t="n">
        <v>181.739</v>
      </c>
      <c r="AB7" s="18" t="n">
        <v>176.61</v>
      </c>
      <c r="AC7" s="18" t="n">
        <v>189.125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60.925</v>
      </c>
      <c r="C9" s="18" t="n">
        <v>69.69799999999999</v>
      </c>
      <c r="D9" s="18" t="n">
        <v>76.577</v>
      </c>
      <c r="E9" s="18" t="n">
        <v>87.997</v>
      </c>
      <c r="F9" s="18" t="n">
        <v>89.06</v>
      </c>
      <c r="G9" s="18" t="n">
        <v>96.502</v>
      </c>
      <c r="H9" s="18" t="n">
        <v>108.389</v>
      </c>
      <c r="I9" s="18" t="n">
        <v>123.496</v>
      </c>
      <c r="J9" s="18" t="n">
        <v>123.815</v>
      </c>
      <c r="K9" s="18" t="n">
        <v>138.18</v>
      </c>
      <c r="L9" s="18" t="n">
        <v>152.941</v>
      </c>
      <c r="M9" s="18" t="n">
        <v>179.898</v>
      </c>
      <c r="N9" s="18" t="n">
        <v>186.8</v>
      </c>
      <c r="O9" s="18" t="n">
        <v>222.189</v>
      </c>
      <c r="P9" s="18" t="n">
        <v>216.5</v>
      </c>
      <c r="Q9" s="18" t="n">
        <v>234.21</v>
      </c>
      <c r="R9" s="18" t="n">
        <v>222.561</v>
      </c>
      <c r="S9" s="18" t="n">
        <v>242.037</v>
      </c>
      <c r="T9" s="18" t="n">
        <v>242.946</v>
      </c>
      <c r="U9" s="18" t="n">
        <v>268.774</v>
      </c>
      <c r="V9" s="18" t="n">
        <v>279.905</v>
      </c>
      <c r="W9" s="18" t="n">
        <v>272.329</v>
      </c>
      <c r="X9" s="18" t="n">
        <v>270.51</v>
      </c>
      <c r="Y9" s="18" t="n">
        <v>267.545</v>
      </c>
      <c r="Z9" s="18" t="n">
        <v>275.698</v>
      </c>
      <c r="AA9" s="18" t="n">
        <v>303.529</v>
      </c>
      <c r="AB9" s="18" t="n">
        <v>290.946</v>
      </c>
      <c r="AC9" s="18" t="n">
        <v>318.231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61.216</v>
      </c>
      <c r="C11" s="18" t="n">
        <v>69.166</v>
      </c>
      <c r="D11" s="18" t="n">
        <v>77.25</v>
      </c>
      <c r="E11" s="18" t="n">
        <v>88.732</v>
      </c>
      <c r="F11" s="18" t="n">
        <v>92.652</v>
      </c>
      <c r="G11" s="18" t="n">
        <v>95.977</v>
      </c>
      <c r="H11" s="18" t="n">
        <v>104.661</v>
      </c>
      <c r="I11" s="18" t="n">
        <v>120.014</v>
      </c>
      <c r="J11" s="18" t="n">
        <v>127.12</v>
      </c>
      <c r="K11" s="18" t="n">
        <v>138.045</v>
      </c>
      <c r="L11" s="18" t="n">
        <v>158.429</v>
      </c>
      <c r="M11" s="18" t="n">
        <v>190.696</v>
      </c>
      <c r="N11" s="18" t="n">
        <v>207.232</v>
      </c>
      <c r="O11" s="18" t="n">
        <v>215.383</v>
      </c>
      <c r="P11" s="18" t="n">
        <v>239.969</v>
      </c>
      <c r="Q11" s="18" t="n">
        <v>272.152</v>
      </c>
      <c r="R11" s="18" t="n">
        <v>270.831</v>
      </c>
      <c r="S11" s="18" t="n">
        <v>318.454</v>
      </c>
      <c r="T11" s="18" t="n">
        <v>325.88</v>
      </c>
      <c r="U11" s="18" t="n">
        <v>343.361</v>
      </c>
      <c r="V11" s="18" t="n">
        <v>325.164</v>
      </c>
      <c r="W11" s="18" t="n">
        <v>349.856</v>
      </c>
      <c r="X11" s="18" t="n">
        <v>394.044</v>
      </c>
      <c r="Y11" s="18" t="n">
        <v>399.383</v>
      </c>
      <c r="Z11" s="18" t="n">
        <v>390.973</v>
      </c>
      <c r="AA11" s="18" t="n">
        <v>419.974</v>
      </c>
      <c r="AB11" s="18" t="n">
        <v>449.132</v>
      </c>
      <c r="AC11" s="18" t="n">
        <v>507.66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-30.577</v>
      </c>
      <c r="C13" s="18" t="n">
        <v>-37.672</v>
      </c>
      <c r="D13" s="18" t="n">
        <v>-38.714</v>
      </c>
      <c r="E13" s="18" t="n">
        <v>-40.903</v>
      </c>
      <c r="F13" s="18" t="n">
        <v>-42.04</v>
      </c>
      <c r="G13" s="18" t="n">
        <v>-49.78</v>
      </c>
      <c r="H13" s="18" t="n">
        <v>-58.091</v>
      </c>
      <c r="I13" s="18" t="n">
        <v>-59.393</v>
      </c>
      <c r="J13" s="18" t="n">
        <v>-61.446</v>
      </c>
      <c r="K13" s="18" t="n">
        <v>-72.53100000000001</v>
      </c>
      <c r="L13" s="18" t="n">
        <v>-76.768</v>
      </c>
      <c r="M13" s="18" t="n">
        <v>-78.619</v>
      </c>
      <c r="N13" s="18" t="n">
        <v>-75.94</v>
      </c>
      <c r="O13" s="18" t="n">
        <v>-114.843</v>
      </c>
      <c r="P13" s="18" t="n">
        <v>-82.923</v>
      </c>
      <c r="Q13" s="18" t="n">
        <v>-72.949</v>
      </c>
      <c r="R13" s="18" t="n">
        <v>-68.547</v>
      </c>
      <c r="S13" s="18" t="n">
        <v>-49.003</v>
      </c>
      <c r="T13" s="18" t="n">
        <v>-45.216</v>
      </c>
      <c r="U13" s="18" t="n">
        <v>-70.96599999999999</v>
      </c>
      <c r="V13" s="18" t="n">
        <v>-98.18600000000001</v>
      </c>
      <c r="W13" s="18" t="n">
        <v>-71.44</v>
      </c>
      <c r="X13" s="18" t="n">
        <v>-27.876</v>
      </c>
      <c r="Y13" s="18" t="n">
        <v>-18.562</v>
      </c>
      <c r="Z13" s="18" t="n">
        <v>-53.554</v>
      </c>
      <c r="AA13" s="18" t="n">
        <v>-65.294</v>
      </c>
      <c r="AB13" s="18" t="n">
        <v>-18.17</v>
      </c>
      <c r="AC13" s="18" t="n">
        <v>0.05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-33.24</v>
      </c>
      <c r="C15" s="18" t="n">
        <v>-37.336</v>
      </c>
      <c r="D15" s="18" t="n">
        <v>-42.383</v>
      </c>
      <c r="E15" s="18" t="n">
        <v>-62.563</v>
      </c>
      <c r="F15" s="18" t="n">
        <v>-53.967</v>
      </c>
      <c r="G15" s="18" t="n">
        <v>-64.52500000000001</v>
      </c>
      <c r="H15" s="18" t="n">
        <v>-72.651</v>
      </c>
      <c r="I15" s="18" t="n">
        <v>-75.801</v>
      </c>
      <c r="J15" s="18" t="n">
        <v>-63.992</v>
      </c>
      <c r="K15" s="18" t="n">
        <v>-77.133</v>
      </c>
      <c r="L15" s="18" t="n">
        <v>-81.29300000000001</v>
      </c>
      <c r="M15" s="18" t="n">
        <v>-84.44799999999999</v>
      </c>
      <c r="N15" s="18" t="n">
        <v>-77.294</v>
      </c>
      <c r="O15" s="18" t="n">
        <v>-118.865</v>
      </c>
      <c r="P15" s="18" t="n">
        <v>-84.84099999999999</v>
      </c>
      <c r="Q15" s="18" t="n">
        <v>-64.398</v>
      </c>
      <c r="R15" s="18" t="n">
        <v>-54.246</v>
      </c>
      <c r="S15" s="18" t="n">
        <v>-37.597</v>
      </c>
      <c r="T15" s="18" t="n">
        <v>-29.297</v>
      </c>
      <c r="U15" s="18" t="n">
        <v>-55.46</v>
      </c>
      <c r="V15" s="18" t="n">
        <v>-80.593</v>
      </c>
      <c r="W15" s="18" t="n">
        <v>-54.529</v>
      </c>
      <c r="X15" s="18" t="n">
        <v>-9.776</v>
      </c>
      <c r="Y15" s="18" t="n">
        <v>15.826</v>
      </c>
      <c r="Z15" s="18" t="n">
        <v>-37.626</v>
      </c>
      <c r="AA15" s="18" t="n">
        <v>-47.048</v>
      </c>
      <c r="AB15" s="18" t="n">
        <v>-2.007</v>
      </c>
      <c r="AC15" s="18" t="n">
        <v>15.53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54.710746</v>
      </c>
      <c r="C17" s="18" t="n">
        <v>55.647707</v>
      </c>
      <c r="D17" s="18" t="n">
        <v>56.411779</v>
      </c>
      <c r="E17" s="18" t="n">
        <v>56.943622</v>
      </c>
      <c r="F17" s="18" t="n">
        <v>57.649524</v>
      </c>
      <c r="G17" s="18" t="n">
        <v>58.393894</v>
      </c>
      <c r="H17" s="18" t="n">
        <v>59.368167</v>
      </c>
      <c r="I17" s="18" t="n">
        <v>60.49781</v>
      </c>
      <c r="J17" s="18" t="n">
        <v>61.36167</v>
      </c>
      <c r="K17" s="18" t="n">
        <v>63.426694</v>
      </c>
      <c r="L17" s="18" t="n">
        <v>66.38637900000001</v>
      </c>
      <c r="M17" s="18" t="n">
        <v>66.97299099999999</v>
      </c>
      <c r="N17" s="18" t="n">
        <v>67.706502</v>
      </c>
      <c r="O17" s="18" t="n">
        <v>68.334464</v>
      </c>
      <c r="P17" s="18" t="n">
        <v>68.916813</v>
      </c>
      <c r="Q17" s="18" t="n">
        <v>69.525238</v>
      </c>
      <c r="R17" s="18" t="n">
        <v>70.177499</v>
      </c>
      <c r="S17" s="18" t="n">
        <v>70.874117</v>
      </c>
      <c r="T17" s="18" t="n">
        <v>71.560023</v>
      </c>
      <c r="U17" s="18" t="n">
        <v>72.34935</v>
      </c>
      <c r="V17" s="18" t="n">
        <v>72.99014099999999</v>
      </c>
      <c r="W17" s="18" t="n">
        <v>73.54300000000001</v>
      </c>
      <c r="X17" s="18" t="n">
        <v>74.02059300000001</v>
      </c>
      <c r="Y17" s="18" t="n">
        <v>84.59399999999999</v>
      </c>
      <c r="Z17" s="18" t="n">
        <v>81.06100000000001</v>
      </c>
      <c r="AA17" s="18" t="n">
        <v>81.078</v>
      </c>
      <c r="AB17" s="18" t="n">
        <v>81.24533099999999</v>
      </c>
      <c r="AC17" s="18" t="n">
        <v>86.457703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MongoDB Atlas Related</t>
        </is>
      </c>
      <c r="E19" s="18" t="n">
        <v>50.727</v>
      </c>
      <c r="F19" s="18" t="n">
        <v>54.17</v>
      </c>
      <c r="G19" s="18" t="n">
        <v>61.074</v>
      </c>
      <c r="H19" s="18" t="n">
        <v>71.11</v>
      </c>
      <c r="I19" s="18" t="n">
        <v>84.45099999999999</v>
      </c>
      <c r="J19" s="18" t="n">
        <v>93.51000000000001</v>
      </c>
      <c r="K19" s="18" t="n">
        <v>111.756</v>
      </c>
      <c r="L19" s="18" t="n">
        <v>131.123</v>
      </c>
      <c r="M19" s="18" t="n">
        <v>155.897</v>
      </c>
      <c r="N19" s="18" t="n">
        <v>169.995</v>
      </c>
      <c r="O19" s="18" t="n">
        <v>193.354</v>
      </c>
      <c r="P19" s="18" t="n">
        <v>211.378</v>
      </c>
      <c r="Q19" s="18" t="n">
        <v>233.536</v>
      </c>
      <c r="T19" s="18" t="n">
        <v>286.856</v>
      </c>
      <c r="U19" s="18" t="n">
        <v>818.495</v>
      </c>
      <c r="V19" s="18" t="n">
        <v>313.855</v>
      </c>
      <c r="W19" s="18" t="n">
        <v>339.683</v>
      </c>
      <c r="X19" s="18" t="n">
        <v>362.604</v>
      </c>
      <c r="Y19" s="18" t="n">
        <v>389.042</v>
      </c>
      <c r="Z19" s="18" t="n">
        <v>395.893</v>
      </c>
      <c r="AB19" s="18" t="n">
        <v>470.399</v>
      </c>
      <c r="AC19" s="18" t="n">
        <v>941.574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Other Subscription</t>
        </is>
      </c>
      <c r="E22" s="18" t="n">
        <v>67.122</v>
      </c>
      <c r="F22" s="18" t="n">
        <v>70.68600000000001</v>
      </c>
      <c r="G22" s="18" t="n">
        <v>71.404</v>
      </c>
      <c r="H22" s="18" t="n">
        <v>72.959</v>
      </c>
      <c r="I22" s="18" t="n">
        <v>79.495</v>
      </c>
      <c r="J22" s="18" t="n">
        <v>81.06</v>
      </c>
      <c r="K22" s="18" t="n">
        <v>79.625</v>
      </c>
      <c r="L22" s="18" t="n">
        <v>86.748</v>
      </c>
      <c r="M22" s="18" t="n">
        <v>102.328</v>
      </c>
      <c r="N22" s="18" t="n">
        <v>104.586</v>
      </c>
      <c r="O22" s="18" t="n">
        <v>98.253</v>
      </c>
      <c r="P22" s="18" t="n">
        <v>109.378</v>
      </c>
      <c r="Q22" s="18" t="n">
        <v>114.642</v>
      </c>
      <c r="T22" s="18" t="n">
        <v>131.483</v>
      </c>
      <c r="U22" s="18" t="n">
        <v>390.492</v>
      </c>
      <c r="V22" s="18" t="n">
        <v>123.041</v>
      </c>
      <c r="W22" s="18" t="n">
        <v>124.122</v>
      </c>
      <c r="X22" s="18" t="n">
        <v>149.601</v>
      </c>
      <c r="Y22" s="18" t="n">
        <v>141.916</v>
      </c>
      <c r="Z22" s="18" t="n">
        <v>135.562</v>
      </c>
      <c r="AB22" s="18" t="n">
        <v>138.668</v>
      </c>
      <c r="AC22" s="18" t="n">
        <v>303.881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Service</t>
        </is>
      </c>
      <c r="B25" s="18" t="n">
        <v>5.394</v>
      </c>
      <c r="C25" s="18" t="n">
        <v>5.212</v>
      </c>
      <c r="D25" s="18" t="n">
        <v>5.614</v>
      </c>
      <c r="E25" s="18" t="n">
        <v>5.674</v>
      </c>
      <c r="F25" s="18" t="n">
        <v>5.473</v>
      </c>
      <c r="G25" s="18" t="n">
        <v>5.803</v>
      </c>
      <c r="H25" s="18" t="n">
        <v>6.702</v>
      </c>
      <c r="I25" s="18" t="n">
        <v>7.053</v>
      </c>
      <c r="J25" s="18" t="n">
        <v>7.078</v>
      </c>
      <c r="K25" s="18" t="n">
        <v>7.366</v>
      </c>
      <c r="L25" s="18" t="n">
        <v>9.022</v>
      </c>
      <c r="M25" s="18" t="n">
        <v>8.269</v>
      </c>
      <c r="N25" s="18" t="n">
        <v>10.866</v>
      </c>
      <c r="O25" s="18" t="n">
        <v>12.053</v>
      </c>
      <c r="P25" s="18" t="n">
        <v>12.865</v>
      </c>
      <c r="Q25" s="18" t="n">
        <v>13.134</v>
      </c>
      <c r="R25" s="18" t="n">
        <v>13.566</v>
      </c>
      <c r="S25" s="18" t="n">
        <v>14.457</v>
      </c>
      <c r="T25" s="18" t="n">
        <v>14.599</v>
      </c>
      <c r="U25" s="18" t="n">
        <v>13.063</v>
      </c>
      <c r="V25" s="18" t="n">
        <v>13.665</v>
      </c>
      <c r="W25" s="18" t="n">
        <v>14.304</v>
      </c>
      <c r="X25" s="18" t="n">
        <v>17.17</v>
      </c>
      <c r="Y25" s="18" t="n">
        <v>17.44</v>
      </c>
      <c r="Z25" s="18" t="n">
        <v>17.559</v>
      </c>
      <c r="AB25" s="18" t="n">
        <v>19.242</v>
      </c>
      <c r="AC25" s="18" t="n">
        <v>41.019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Americas</t>
        </is>
      </c>
      <c r="B29" s="18" t="n">
        <v>57.756</v>
      </c>
      <c r="C29" s="18" t="n">
        <v>64.967</v>
      </c>
      <c r="D29" s="18" t="n">
        <v>71.33199999999999</v>
      </c>
      <c r="E29" s="18" t="n">
        <v>78.303</v>
      </c>
      <c r="F29" s="18" t="n">
        <v>81.538</v>
      </c>
      <c r="G29" s="18" t="n">
        <v>87.04300000000001</v>
      </c>
      <c r="H29" s="18" t="n">
        <v>93.255</v>
      </c>
      <c r="I29" s="18" t="n">
        <v>99.515</v>
      </c>
      <c r="J29" s="18" t="n">
        <v>109.476</v>
      </c>
      <c r="K29" s="18" t="n">
        <v>120.827</v>
      </c>
      <c r="L29" s="18" t="n">
        <v>138.036</v>
      </c>
      <c r="M29" s="18" t="n">
        <v>158.742</v>
      </c>
      <c r="N29" s="18" t="n">
        <v>174.056</v>
      </c>
      <c r="O29" s="18" t="n">
        <v>185.796</v>
      </c>
      <c r="P29" s="18" t="n">
        <v>205.887</v>
      </c>
      <c r="Q29" s="18" t="n">
        <v>216.024</v>
      </c>
      <c r="R29" s="18" t="n">
        <v>222.346</v>
      </c>
      <c r="S29" s="18" t="n">
        <v>253.485</v>
      </c>
      <c r="T29" s="18" t="n">
        <v>265.698</v>
      </c>
      <c r="U29" s="18" t="n">
        <v>274.795</v>
      </c>
      <c r="V29" s="18" t="n">
        <v>272.093</v>
      </c>
      <c r="W29" s="18" t="n">
        <v>284.789</v>
      </c>
      <c r="X29" s="18" t="n">
        <v>325.076</v>
      </c>
      <c r="Y29" s="18" t="n">
        <v>331.103</v>
      </c>
      <c r="Z29" s="18" t="n">
        <v>332.867</v>
      </c>
      <c r="AB29" s="18" t="n">
        <v>380.004</v>
      </c>
      <c r="AC29" s="18" t="n">
        <v>784.606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EMEA</t>
        </is>
      </c>
      <c r="B32" s="18" t="n">
        <v>25.32</v>
      </c>
      <c r="C32" s="18" t="n">
        <v>27.81</v>
      </c>
      <c r="D32" s="18" t="n">
        <v>30.374</v>
      </c>
      <c r="E32" s="18" t="n">
        <v>35.156</v>
      </c>
      <c r="F32" s="18" t="n">
        <v>39.009</v>
      </c>
      <c r="G32" s="18" t="n">
        <v>40.201</v>
      </c>
      <c r="H32" s="18" t="n">
        <v>44.552</v>
      </c>
      <c r="I32" s="18" t="n">
        <v>53.686</v>
      </c>
      <c r="J32" s="18" t="n">
        <v>54.725</v>
      </c>
      <c r="K32" s="18" t="n">
        <v>57.582</v>
      </c>
      <c r="L32" s="18" t="n">
        <v>66.18300000000001</v>
      </c>
      <c r="M32" s="18" t="n">
        <v>79.35599999999999</v>
      </c>
      <c r="N32" s="18" t="n">
        <v>81.96899999999999</v>
      </c>
      <c r="O32" s="18" t="n">
        <v>84.627</v>
      </c>
      <c r="P32" s="18" t="n">
        <v>91.023</v>
      </c>
      <c r="Q32" s="18" t="n">
        <v>103.947</v>
      </c>
      <c r="R32" s="18" t="n">
        <v>105.123</v>
      </c>
      <c r="S32" s="18" t="n">
        <v>113.446</v>
      </c>
      <c r="T32" s="18" t="n">
        <v>119.355</v>
      </c>
      <c r="U32" s="18" t="n">
        <v>131.158</v>
      </c>
      <c r="V32" s="18" t="n">
        <v>123.296</v>
      </c>
      <c r="W32" s="18" t="n">
        <v>136.824</v>
      </c>
      <c r="X32" s="18" t="n">
        <v>140.744</v>
      </c>
      <c r="Y32" s="18" t="n">
        <v>152.226</v>
      </c>
      <c r="Z32" s="18" t="n">
        <v>150.766</v>
      </c>
      <c r="AB32" s="18" t="n">
        <v>175.348</v>
      </c>
      <c r="AC32" s="18" t="n">
        <v>354.726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Asia Pacific</t>
        </is>
      </c>
      <c r="B35" s="18" t="n">
        <v>6.312</v>
      </c>
      <c r="C35" s="18" t="n">
        <v>6.591</v>
      </c>
      <c r="D35" s="18" t="n">
        <v>7.735</v>
      </c>
      <c r="E35" s="18" t="n">
        <v>10.064</v>
      </c>
      <c r="F35" s="18" t="n">
        <v>9.782</v>
      </c>
      <c r="G35" s="18" t="n">
        <v>11.037</v>
      </c>
      <c r="H35" s="18" t="n">
        <v>12.964</v>
      </c>
      <c r="I35" s="18" t="n">
        <v>17.798</v>
      </c>
      <c r="J35" s="18" t="n">
        <v>17.447</v>
      </c>
      <c r="K35" s="18" t="n">
        <v>20.338</v>
      </c>
      <c r="L35" s="18" t="n">
        <v>22.674</v>
      </c>
      <c r="M35" s="18" t="n">
        <v>28.396</v>
      </c>
      <c r="N35" s="18" t="n">
        <v>29.422</v>
      </c>
      <c r="O35" s="18" t="n">
        <v>33.237</v>
      </c>
      <c r="P35" s="18" t="n">
        <v>36.711</v>
      </c>
      <c r="Q35" s="18" t="n">
        <v>41.341</v>
      </c>
      <c r="R35" s="18" t="n">
        <v>40.811</v>
      </c>
      <c r="S35" s="18" t="n">
        <v>56.86</v>
      </c>
      <c r="T35" s="18" t="n">
        <v>47.885</v>
      </c>
      <c r="U35" s="18" t="n">
        <v>52.049</v>
      </c>
      <c r="V35" s="18" t="n">
        <v>55.172</v>
      </c>
      <c r="W35" s="18" t="n">
        <v>56.496</v>
      </c>
      <c r="X35" s="18" t="n">
        <v>63.555</v>
      </c>
      <c r="Y35" s="18" t="n">
        <v>65.069</v>
      </c>
      <c r="Z35" s="18" t="n">
        <v>65.381</v>
      </c>
      <c r="AB35" s="18" t="n">
        <v>72.95699999999999</v>
      </c>
      <c r="AC35" s="18" t="n">
        <v>147.142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476.406</v>
      </c>
      <c r="C39" s="18" t="n">
        <v>436.053</v>
      </c>
      <c r="D39" s="18" t="n">
        <v>425.867</v>
      </c>
      <c r="E39" s="18" t="n">
        <v>986.518</v>
      </c>
      <c r="F39" s="18" t="n">
        <v>977.0170000000001</v>
      </c>
      <c r="G39" s="18" t="n">
        <v>974.896</v>
      </c>
      <c r="H39" s="18" t="n">
        <v>966.301</v>
      </c>
      <c r="I39" s="18" t="n">
        <v>957.742</v>
      </c>
      <c r="J39" s="18" t="n">
        <v>935.043</v>
      </c>
      <c r="K39" s="18" t="n">
        <v>1814.825</v>
      </c>
      <c r="L39" s="18" t="n">
        <v>1802.886</v>
      </c>
      <c r="M39" s="18" t="n">
        <v>1825.923</v>
      </c>
      <c r="N39" s="18" t="n">
        <v>1828.695</v>
      </c>
      <c r="O39" s="18" t="n">
        <v>1795.612</v>
      </c>
      <c r="P39" s="18" t="n">
        <v>1787.532</v>
      </c>
      <c r="Q39" s="18" t="n">
        <v>1836.63</v>
      </c>
      <c r="R39" s="18" t="n">
        <v>1903.428</v>
      </c>
      <c r="S39" s="18" t="n">
        <v>1901.101</v>
      </c>
      <c r="T39" s="18" t="n">
        <v>1924.711</v>
      </c>
      <c r="U39" s="18" t="n">
        <v>2015.407</v>
      </c>
      <c r="V39" s="18" t="n">
        <v>2073.996</v>
      </c>
      <c r="W39" s="18" t="n">
        <v>2264.834</v>
      </c>
      <c r="X39" s="18" t="n">
        <v>2302.092</v>
      </c>
      <c r="Y39" s="18" t="n">
        <v>2336.577</v>
      </c>
      <c r="Z39" s="18" t="n">
        <v>2453.938</v>
      </c>
      <c r="AA39" s="18" t="n">
        <v>2345.386</v>
      </c>
      <c r="AB39" s="18" t="n">
        <v>2305.761</v>
      </c>
      <c r="AC39" s="18" t="n">
        <v>2387.241</v>
      </c>
    </row>
    <row r="40">
      <c r="A40" s="4" t="inlineStr">
        <is>
          <t>Total Current Assets</t>
        </is>
      </c>
      <c r="B40" s="18" t="n">
        <v>567.189</v>
      </c>
      <c r="C40" s="18" t="n">
        <v>533.373</v>
      </c>
      <c r="D40" s="18" t="n">
        <v>525.621</v>
      </c>
      <c r="E40" s="18" t="n">
        <v>1113.196</v>
      </c>
      <c r="F40" s="18" t="n">
        <v>1100.406</v>
      </c>
      <c r="G40" s="18" t="n">
        <v>1104.823</v>
      </c>
      <c r="H40" s="18" t="n">
        <v>1103.786</v>
      </c>
      <c r="I40" s="18" t="n">
        <v>1141.887</v>
      </c>
      <c r="J40" s="18" t="n">
        <v>1096.022</v>
      </c>
      <c r="K40" s="18" t="n">
        <v>1996.111</v>
      </c>
      <c r="L40" s="18" t="n">
        <v>2054.57</v>
      </c>
      <c r="M40" s="18" t="n">
        <v>2117.402</v>
      </c>
      <c r="N40" s="18" t="n">
        <v>2096.307</v>
      </c>
      <c r="O40" s="18" t="n">
        <v>2108.514</v>
      </c>
      <c r="P40" s="18" t="n">
        <v>2122.255</v>
      </c>
      <c r="Q40" s="18" t="n">
        <v>2236.584</v>
      </c>
      <c r="R40" s="18" t="n">
        <v>2232.294</v>
      </c>
      <c r="S40" s="18" t="n">
        <v>2294.962</v>
      </c>
      <c r="T40" s="18" t="n">
        <v>2320.593</v>
      </c>
      <c r="U40" s="18" t="n">
        <v>2483.636</v>
      </c>
      <c r="V40" s="18" t="n">
        <v>2652.325</v>
      </c>
      <c r="W40" s="18" t="n">
        <v>2722.047</v>
      </c>
      <c r="X40" s="18" t="n">
        <v>2794.263</v>
      </c>
      <c r="Y40" s="18" t="n">
        <v>2923.522</v>
      </c>
      <c r="Z40" s="18" t="n">
        <v>2972.53</v>
      </c>
      <c r="AA40" s="18" t="n">
        <v>2904.539</v>
      </c>
      <c r="AB40" s="18" t="n">
        <v>2932.314</v>
      </c>
      <c r="AC40" s="18" t="n">
        <v>3114.855</v>
      </c>
    </row>
    <row r="41">
      <c r="A41" s="4" t="inlineStr">
        <is>
          <t>PP&amp;E (net)</t>
        </is>
      </c>
      <c r="B41" s="18" t="n">
        <v>72.687</v>
      </c>
      <c r="C41" s="18" t="n">
        <v>71.327</v>
      </c>
      <c r="D41" s="18" t="n">
        <v>71.569</v>
      </c>
      <c r="E41" s="18" t="n">
        <v>69.46299999999999</v>
      </c>
      <c r="F41" s="18" t="n">
        <v>90.879</v>
      </c>
      <c r="G41" s="18" t="n">
        <v>102.635</v>
      </c>
      <c r="H41" s="18" t="n">
        <v>100.497</v>
      </c>
      <c r="I41" s="18" t="n">
        <v>96.95099999999999</v>
      </c>
      <c r="J41" s="18" t="n">
        <v>105.925</v>
      </c>
      <c r="K41" s="18" t="n">
        <v>104.078</v>
      </c>
      <c r="L41" s="18" t="n">
        <v>104.088</v>
      </c>
      <c r="M41" s="18" t="n">
        <v>104.37</v>
      </c>
      <c r="N41" s="18" t="n">
        <v>108.009</v>
      </c>
      <c r="O41" s="18" t="n">
        <v>108.022</v>
      </c>
      <c r="P41" s="18" t="n">
        <v>102.974</v>
      </c>
      <c r="Q41" s="18" t="n">
        <v>99.035</v>
      </c>
      <c r="R41" s="18" t="n">
        <v>95.28400000000001</v>
      </c>
      <c r="S41" s="18" t="n">
        <v>96.084</v>
      </c>
      <c r="T41" s="18" t="n">
        <v>94.07299999999999</v>
      </c>
      <c r="U41" s="18" t="n">
        <v>90.407</v>
      </c>
      <c r="V41" s="18" t="n">
        <v>85.021</v>
      </c>
      <c r="W41" s="18" t="n">
        <v>85.262</v>
      </c>
      <c r="X41" s="18" t="n">
        <v>83.20399999999999</v>
      </c>
      <c r="Y41" s="18" t="n">
        <v>80.98399999999999</v>
      </c>
      <c r="Z41" s="18" t="n">
        <v>77.42</v>
      </c>
      <c r="AA41" s="18" t="n">
        <v>73.357</v>
      </c>
      <c r="AB41" s="18" t="n">
        <v>71.61799999999999</v>
      </c>
      <c r="AC41" s="18" t="n">
        <v>68.751</v>
      </c>
    </row>
    <row r="42">
      <c r="A42" s="4" t="inlineStr">
        <is>
          <t>Total Assets</t>
        </is>
      </c>
      <c r="B42" s="18" t="n">
        <v>734.241</v>
      </c>
      <c r="C42" s="18" t="n">
        <v>741.597</v>
      </c>
      <c r="D42" s="18" t="n">
        <v>734.985</v>
      </c>
      <c r="E42" s="18" t="n">
        <v>1328.567</v>
      </c>
      <c r="F42" s="18" t="n">
        <v>1336.842</v>
      </c>
      <c r="G42" s="18" t="n">
        <v>1355.163</v>
      </c>
      <c r="H42" s="18" t="n">
        <v>1355.861</v>
      </c>
      <c r="I42" s="18" t="n">
        <v>1407.495</v>
      </c>
      <c r="J42" s="18" t="n">
        <v>1377.627</v>
      </c>
      <c r="K42" s="18" t="n">
        <v>2281.411</v>
      </c>
      <c r="L42" s="18" t="n">
        <v>2351.612</v>
      </c>
      <c r="M42" s="18" t="n">
        <v>2449.588</v>
      </c>
      <c r="N42" s="18" t="n">
        <v>2434.541</v>
      </c>
      <c r="O42" s="18" t="n">
        <v>2451.598</v>
      </c>
      <c r="P42" s="18" t="n">
        <v>2467.186</v>
      </c>
      <c r="Q42" s="18" t="n">
        <v>2588.893</v>
      </c>
      <c r="R42" s="18" t="n">
        <v>2580.525</v>
      </c>
      <c r="S42" s="18" t="n">
        <v>2648.234</v>
      </c>
      <c r="T42" s="18" t="n">
        <v>2694.017</v>
      </c>
      <c r="U42" s="18" t="n">
        <v>2869.642</v>
      </c>
      <c r="V42" s="18" t="n">
        <v>3034.429</v>
      </c>
      <c r="W42" s="18" t="n">
        <v>3131.23</v>
      </c>
      <c r="X42" s="18" t="n">
        <v>3224.785</v>
      </c>
      <c r="Y42" s="18" t="n">
        <v>3430.293</v>
      </c>
      <c r="Z42" s="18" t="n">
        <v>3624.42</v>
      </c>
      <c r="AA42" s="18" t="n">
        <v>3542.061</v>
      </c>
      <c r="AB42" s="18" t="n">
        <v>3566.649</v>
      </c>
      <c r="AC42" s="18" t="n">
        <v>3758.848</v>
      </c>
    </row>
    <row r="43">
      <c r="A43" s="4" t="inlineStr">
        <is>
          <t>Total Current Liabilities</t>
        </is>
      </c>
      <c r="B43" s="18" t="n">
        <v>178.167</v>
      </c>
      <c r="C43" s="18" t="n">
        <v>189.002</v>
      </c>
      <c r="D43" s="18" t="n">
        <v>204.522</v>
      </c>
      <c r="E43" s="18" t="n">
        <v>242.384</v>
      </c>
      <c r="F43" s="18" t="n">
        <v>241.017</v>
      </c>
      <c r="G43" s="18" t="n">
        <v>252.661</v>
      </c>
      <c r="H43" s="18" t="n">
        <v>271.539</v>
      </c>
      <c r="I43" s="18" t="n">
        <v>354.541</v>
      </c>
      <c r="J43" s="18" t="n">
        <v>328.681</v>
      </c>
      <c r="K43" s="18" t="n">
        <v>347.903</v>
      </c>
      <c r="L43" s="18" t="n">
        <v>432.199</v>
      </c>
      <c r="M43" s="18" t="n">
        <v>526.735</v>
      </c>
      <c r="N43" s="18" t="n">
        <v>503.722</v>
      </c>
      <c r="O43" s="18" t="n">
        <v>524.897</v>
      </c>
      <c r="P43" s="18" t="n">
        <v>517.807</v>
      </c>
      <c r="Q43" s="18" t="n">
        <v>588.5119999999999</v>
      </c>
      <c r="R43" s="18" t="n">
        <v>532.567</v>
      </c>
      <c r="S43" s="18" t="n">
        <v>512.296</v>
      </c>
      <c r="T43" s="18" t="n">
        <v>489.563</v>
      </c>
      <c r="U43" s="18" t="n">
        <v>564.22</v>
      </c>
      <c r="V43" s="18" t="n">
        <v>537.494</v>
      </c>
      <c r="W43" s="18" t="n">
        <v>541.155</v>
      </c>
      <c r="X43" s="18" t="n">
        <v>1640.775</v>
      </c>
      <c r="Y43" s="18" t="n">
        <v>561.987</v>
      </c>
      <c r="Z43" s="18" t="n">
        <v>504.998</v>
      </c>
      <c r="AA43" s="18" t="n">
        <v>509.833</v>
      </c>
      <c r="AB43" s="18" t="n">
        <v>558.033</v>
      </c>
      <c r="AC43" s="18" t="n">
        <v>669.496</v>
      </c>
    </row>
    <row r="44">
      <c r="A44" s="4" t="inlineStr">
        <is>
          <t>Long-term Debt</t>
        </is>
      </c>
      <c r="B44" s="18" t="n">
        <v>220.079</v>
      </c>
      <c r="C44" s="18" t="n">
        <v>223.356</v>
      </c>
      <c r="D44" s="18" t="n">
        <v>226.69</v>
      </c>
      <c r="E44" s="18" t="n">
        <v>911.075</v>
      </c>
      <c r="F44" s="18" t="n">
        <v>923.098</v>
      </c>
      <c r="G44" s="18" t="n">
        <v>935.292</v>
      </c>
      <c r="H44" s="18" t="n">
        <v>947.652</v>
      </c>
      <c r="I44" s="18" t="n">
        <v>937.729</v>
      </c>
      <c r="J44" s="18" t="n">
        <v>1192.488</v>
      </c>
      <c r="K44" s="18" t="n">
        <v>1136.697</v>
      </c>
      <c r="L44" s="18" t="n">
        <v>1135.684</v>
      </c>
      <c r="M44" s="18" t="n">
        <v>1136.521</v>
      </c>
      <c r="N44" s="18" t="n">
        <v>1137.361</v>
      </c>
      <c r="O44" s="18" t="n">
        <v>1138.2</v>
      </c>
      <c r="P44" s="18" t="n">
        <v>1139.042</v>
      </c>
      <c r="Q44" s="18" t="n">
        <v>1139.88</v>
      </c>
      <c r="R44" s="18" t="n">
        <v>1140.727</v>
      </c>
      <c r="S44" s="18" t="n">
        <v>1141.574</v>
      </c>
      <c r="T44" s="18" t="n">
        <v>1142.423</v>
      </c>
      <c r="U44" s="18" t="n">
        <v>1143.273</v>
      </c>
      <c r="V44" s="18" t="n">
        <v>1144.125</v>
      </c>
      <c r="W44" s="18" t="n">
        <v>1144.977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A45" s="4" t="inlineStr">
        <is>
          <t>Total Equity</t>
        </is>
      </c>
      <c r="B45" s="18" t="n">
        <v>247.868</v>
      </c>
      <c r="C45" s="18" t="n">
        <v>239.343</v>
      </c>
      <c r="D45" s="18" t="n">
        <v>218.835</v>
      </c>
      <c r="E45" s="18" t="n">
        <v>82.858</v>
      </c>
      <c r="F45" s="18" t="n">
        <v>63.041</v>
      </c>
      <c r="G45" s="18" t="n">
        <v>48.151</v>
      </c>
      <c r="H45" s="18" t="n">
        <v>21.804</v>
      </c>
      <c r="I45" s="18" t="n">
        <v>-5.033</v>
      </c>
      <c r="J45" s="18" t="n">
        <v>-268.364</v>
      </c>
      <c r="K45" s="18" t="n">
        <v>673.724</v>
      </c>
      <c r="L45" s="18" t="n">
        <v>662.905</v>
      </c>
      <c r="M45" s="18" t="n">
        <v>666.7</v>
      </c>
      <c r="N45" s="18" t="n">
        <v>672.879</v>
      </c>
      <c r="O45" s="18" t="n">
        <v>668.168</v>
      </c>
      <c r="P45" s="18" t="n">
        <v>684.282</v>
      </c>
      <c r="Q45" s="18" t="n">
        <v>739.508</v>
      </c>
      <c r="R45" s="18" t="n">
        <v>792.429</v>
      </c>
      <c r="S45" s="18" t="n">
        <v>885.085</v>
      </c>
      <c r="T45" s="18" t="n">
        <v>967.54</v>
      </c>
      <c r="U45" s="18" t="n">
        <v>1068.989</v>
      </c>
      <c r="V45" s="18" t="n">
        <v>1269.256</v>
      </c>
      <c r="W45" s="18" t="n">
        <v>1363.047</v>
      </c>
      <c r="X45" s="18" t="n">
        <v>1501.976</v>
      </c>
      <c r="Y45" s="18" t="n">
        <v>2782.224</v>
      </c>
      <c r="Z45" s="18" t="n">
        <v>3032.95</v>
      </c>
      <c r="AA45" s="18" t="n">
        <v>2942.974</v>
      </c>
      <c r="AB45" s="18" t="n">
        <v>2888.439</v>
      </c>
      <c r="AC45" s="18" t="n">
        <v>2952.358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3.512</v>
      </c>
      <c r="C47" s="18" t="n">
        <v>5.624</v>
      </c>
      <c r="D47" s="18" t="n">
        <v>5.725</v>
      </c>
      <c r="E47" s="18" t="n">
        <v>4.913</v>
      </c>
      <c r="F47" s="18" t="n">
        <v>5.23</v>
      </c>
      <c r="G47" s="18" t="n">
        <v>5.334</v>
      </c>
      <c r="H47" s="18" t="n">
        <v>6.679</v>
      </c>
      <c r="I47" s="18" t="n">
        <v>7.289</v>
      </c>
      <c r="J47" s="18" t="n">
        <v>5.767</v>
      </c>
      <c r="K47" s="18" t="n">
        <v>6.075</v>
      </c>
      <c r="L47" s="18" t="n">
        <v>6.138</v>
      </c>
      <c r="M47" s="18" t="n">
        <v>6.475</v>
      </c>
      <c r="N47" s="18" t="n">
        <v>6.799</v>
      </c>
      <c r="O47" s="18" t="n">
        <v>7.391</v>
      </c>
      <c r="P47" s="18" t="n">
        <v>7.492</v>
      </c>
      <c r="Q47" s="18" t="n">
        <v>7.5</v>
      </c>
      <c r="R47" s="18" t="n">
        <v>7.592</v>
      </c>
      <c r="S47" s="18" t="n">
        <v>7.42</v>
      </c>
      <c r="T47" s="18" t="n">
        <v>8.007</v>
      </c>
      <c r="U47" s="18" t="n">
        <v>9.106</v>
      </c>
      <c r="V47" s="18" t="n">
        <v>8.298</v>
      </c>
      <c r="W47" s="18" t="n">
        <v>5.935</v>
      </c>
      <c r="X47" s="18" t="n">
        <v>6.628</v>
      </c>
      <c r="Y47" s="18" t="n">
        <v>6.112</v>
      </c>
      <c r="Z47" s="18" t="n">
        <v>9.06</v>
      </c>
      <c r="AA47" s="18" t="n">
        <v>9.510999999999999</v>
      </c>
      <c r="AB47" s="18" t="n">
        <v>9.561999999999999</v>
      </c>
      <c r="AC47" s="18" t="n">
        <v>6.733</v>
      </c>
    </row>
    <row r="48">
      <c r="A48" s="4" t="inlineStr">
        <is>
          <t>Stock-based Compensation</t>
        </is>
      </c>
      <c r="B48" s="18" t="n">
        <v>14.009</v>
      </c>
      <c r="C48" s="18" t="n">
        <v>17.662</v>
      </c>
      <c r="D48" s="18" t="n">
        <v>19.367</v>
      </c>
      <c r="E48" s="18" t="n">
        <v>24.738</v>
      </c>
      <c r="F48" s="18" t="n">
        <v>30.567</v>
      </c>
      <c r="G48" s="18" t="n">
        <v>37.525</v>
      </c>
      <c r="H48" s="18" t="n">
        <v>39.952</v>
      </c>
      <c r="I48" s="18" t="n">
        <v>41.269</v>
      </c>
      <c r="J48" s="18" t="n">
        <v>50.914</v>
      </c>
      <c r="K48" s="18" t="n">
        <v>57.705</v>
      </c>
      <c r="L48" s="18" t="n">
        <v>68.708</v>
      </c>
      <c r="M48" s="18" t="n">
        <v>73.742</v>
      </c>
      <c r="N48" s="18" t="n">
        <v>83.566</v>
      </c>
      <c r="O48" s="18" t="n">
        <v>96.554</v>
      </c>
      <c r="P48" s="18" t="n">
        <v>99.19799999999999</v>
      </c>
      <c r="Q48" s="18" t="n">
        <v>102.136</v>
      </c>
      <c r="R48" s="18" t="n">
        <v>103.955</v>
      </c>
      <c r="S48" s="18" t="n">
        <v>113.312</v>
      </c>
      <c r="T48" s="18" t="n">
        <v>115.829</v>
      </c>
      <c r="U48" s="18" t="n">
        <v>123.811</v>
      </c>
      <c r="V48" s="18" t="n">
        <v>120.763</v>
      </c>
      <c r="W48" s="18" t="n">
        <v>122.423</v>
      </c>
      <c r="X48" s="18" t="n">
        <v>125.712</v>
      </c>
      <c r="Y48" s="18" t="n">
        <v>125.042</v>
      </c>
      <c r="Z48" s="18" t="n">
        <v>132.431</v>
      </c>
      <c r="AA48" s="18" t="n">
        <v>140.4</v>
      </c>
      <c r="AB48" s="18" t="n">
        <v>133.63</v>
      </c>
      <c r="AC48" s="18" t="n">
        <v>143.993</v>
      </c>
    </row>
    <row r="49">
      <c r="A49" s="4" t="inlineStr">
        <is>
          <t>Change in Working Capital</t>
        </is>
      </c>
      <c r="B49" s="18" t="n">
        <v>16.873</v>
      </c>
      <c r="C49" s="18" t="n">
        <v>2.179</v>
      </c>
      <c r="D49" s="18" t="n">
        <v>3.59</v>
      </c>
      <c r="E49" s="18" t="n">
        <v>3.95</v>
      </c>
      <c r="F49" s="18" t="n">
        <v>0.752</v>
      </c>
      <c r="G49" s="18" t="n">
        <v>-0.672</v>
      </c>
      <c r="H49" s="18" t="n">
        <v>6.791</v>
      </c>
      <c r="I49" s="18" t="n">
        <v>-5.332</v>
      </c>
      <c r="J49" s="18" t="n">
        <v>15.844</v>
      </c>
      <c r="K49" s="18" t="n">
        <v>-8.699999999999999</v>
      </c>
      <c r="L49" s="18" t="n">
        <v>-1.295</v>
      </c>
      <c r="M49" s="18" t="n">
        <v>21.988</v>
      </c>
      <c r="N49" s="18" t="n">
        <v>-3.337</v>
      </c>
      <c r="O49" s="18" t="n">
        <v>-30.532</v>
      </c>
      <c r="P49" s="18" t="n">
        <v>-27.622</v>
      </c>
      <c r="Q49" s="18" t="n">
        <v>-12.979</v>
      </c>
      <c r="R49" s="18" t="n">
        <v>10.797</v>
      </c>
      <c r="S49" s="18" t="n">
        <v>-98.61799999999999</v>
      </c>
      <c r="T49" s="18" t="n">
        <v>-44.254</v>
      </c>
      <c r="U49" s="18" t="n">
        <v>-16.901</v>
      </c>
      <c r="V49" s="18" t="n">
        <v>22.431</v>
      </c>
      <c r="W49" s="18" t="n">
        <v>-71.134</v>
      </c>
      <c r="X49" s="18" t="n">
        <v>-79.81</v>
      </c>
      <c r="Y49" s="18" t="n">
        <v>-71.80200000000001</v>
      </c>
      <c r="Z49" s="18" t="n">
        <v>7.597</v>
      </c>
      <c r="AA49" s="18" t="n">
        <v>-26.101</v>
      </c>
      <c r="AB49" s="18" t="n">
        <v>12.289</v>
      </c>
      <c r="AC49" s="18" t="n">
        <v>13.789</v>
      </c>
    </row>
    <row r="50">
      <c r="A50" s="4" t="inlineStr">
        <is>
          <t>Operating Cash Flow</t>
        </is>
      </c>
      <c r="B50" s="18" t="n">
        <v>3.214</v>
      </c>
      <c r="C50" s="18" t="n">
        <v>-12.593</v>
      </c>
      <c r="D50" s="18" t="n">
        <v>-11.543</v>
      </c>
      <c r="E50" s="18" t="n">
        <v>-8.618</v>
      </c>
      <c r="F50" s="18" t="n">
        <v>-5.878</v>
      </c>
      <c r="G50" s="18" t="n">
        <v>-10.03</v>
      </c>
      <c r="H50" s="18" t="n">
        <v>-8.119999999999999</v>
      </c>
      <c r="I50" s="18" t="n">
        <v>-18.645</v>
      </c>
      <c r="J50" s="18" t="n">
        <v>10.217</v>
      </c>
      <c r="K50" s="18" t="n">
        <v>-19.758</v>
      </c>
      <c r="L50" s="18" t="n">
        <v>-5.79</v>
      </c>
      <c r="M50" s="18" t="n">
        <v>22.311</v>
      </c>
      <c r="N50" s="18" t="n">
        <v>11.574</v>
      </c>
      <c r="O50" s="18" t="n">
        <v>-44.671</v>
      </c>
      <c r="P50" s="18" t="n">
        <v>-5.744</v>
      </c>
      <c r="Q50" s="18" t="n">
        <v>25.871</v>
      </c>
      <c r="R50" s="18" t="n">
        <v>53.73</v>
      </c>
      <c r="S50" s="18" t="n">
        <v>-25.302</v>
      </c>
      <c r="T50" s="18" t="n">
        <v>38.422</v>
      </c>
      <c r="U50" s="18" t="n">
        <v>54.627</v>
      </c>
      <c r="V50" s="18" t="n">
        <v>63.613</v>
      </c>
      <c r="W50" s="18" t="n">
        <v>-1.398</v>
      </c>
      <c r="X50" s="18" t="n">
        <v>37.438</v>
      </c>
      <c r="Y50" s="18" t="n">
        <v>50.538</v>
      </c>
      <c r="Z50" s="18" t="n">
        <v>109.929</v>
      </c>
      <c r="AA50" s="18" t="n">
        <v>72.105</v>
      </c>
      <c r="AB50" s="18" t="n">
        <v>151.831</v>
      </c>
      <c r="AC50" s="18" t="n">
        <v>179.604</v>
      </c>
    </row>
    <row r="51">
      <c r="A51" s="4" t="inlineStr">
        <is>
          <t>Capex</t>
        </is>
      </c>
      <c r="B51" s="18" t="n">
        <v>-0.389</v>
      </c>
      <c r="C51" s="18" t="n">
        <v>-1.207</v>
      </c>
      <c r="D51" s="18" t="n">
        <v>-0.754</v>
      </c>
      <c r="E51" s="18" t="n">
        <v>-1.214</v>
      </c>
      <c r="F51" s="18" t="n">
        <v>-1.505</v>
      </c>
      <c r="G51" s="18" t="n">
        <v>-3.791</v>
      </c>
      <c r="H51" s="18" t="n">
        <v>-5.646</v>
      </c>
      <c r="I51" s="18" t="n">
        <v>-0.831</v>
      </c>
      <c r="J51" s="18" t="n">
        <v>-0.627</v>
      </c>
      <c r="K51" s="18" t="n">
        <v>-1.705</v>
      </c>
      <c r="L51" s="18" t="n">
        <v>-2.184</v>
      </c>
      <c r="M51" s="18" t="n">
        <v>-3.556</v>
      </c>
      <c r="N51" s="18" t="n">
        <v>-2.538</v>
      </c>
      <c r="O51" s="18" t="n">
        <v>-2.614</v>
      </c>
      <c r="P51" s="18" t="n">
        <v>-1.381</v>
      </c>
      <c r="Q51" s="18" t="n">
        <v>-0.711</v>
      </c>
      <c r="R51" s="18" t="n">
        <v>-0.623</v>
      </c>
      <c r="S51" s="18" t="n">
        <v>-0.635</v>
      </c>
      <c r="T51" s="18" t="n">
        <v>-2.078</v>
      </c>
      <c r="U51" s="18" t="n">
        <v>-2.738</v>
      </c>
      <c r="V51" s="18" t="n">
        <v>-0.539</v>
      </c>
      <c r="W51" s="18" t="n">
        <v>-1.051</v>
      </c>
      <c r="X51" s="18" t="n">
        <v>-1.981</v>
      </c>
      <c r="Y51" s="18" t="n">
        <v>-25.979</v>
      </c>
      <c r="Z51" s="18" t="n">
        <v>-1.611</v>
      </c>
      <c r="AA51" s="18" t="n">
        <v>-0.537</v>
      </c>
      <c r="AB51" s="18" t="n">
        <v>-1.678</v>
      </c>
      <c r="AC51" s="18" t="n">
        <v>-1.134</v>
      </c>
    </row>
    <row r="52">
      <c r="A52" s="4" t="inlineStr">
        <is>
          <t>Free Cash Flow</t>
        </is>
      </c>
      <c r="B52" s="18" t="n">
        <v>2.825</v>
      </c>
      <c r="C52" s="18" t="n">
        <v>-13.8</v>
      </c>
      <c r="D52" s="18" t="n">
        <v>-12.297</v>
      </c>
      <c r="E52" s="18" t="n">
        <v>-9.832000000000001</v>
      </c>
      <c r="F52" s="18" t="n">
        <v>-7.383</v>
      </c>
      <c r="G52" s="18" t="n">
        <v>-13.821</v>
      </c>
      <c r="H52" s="18" t="n">
        <v>-13.766</v>
      </c>
      <c r="I52" s="18" t="n">
        <v>-19.476</v>
      </c>
      <c r="J52" s="18" t="n">
        <v>9.59</v>
      </c>
      <c r="K52" s="18" t="n">
        <v>-21.463</v>
      </c>
      <c r="L52" s="18" t="n">
        <v>-7.974</v>
      </c>
      <c r="M52" s="18" t="n">
        <v>18.755</v>
      </c>
      <c r="N52" s="18" t="n">
        <v>9.036</v>
      </c>
      <c r="O52" s="18" t="n">
        <v>-47.285</v>
      </c>
      <c r="P52" s="18" t="n">
        <v>-7.125</v>
      </c>
      <c r="Q52" s="18" t="n">
        <v>25.16</v>
      </c>
      <c r="R52" s="18" t="n">
        <v>53.107</v>
      </c>
      <c r="S52" s="18" t="n">
        <v>-25.937</v>
      </c>
      <c r="T52" s="18" t="n">
        <v>36.344</v>
      </c>
      <c r="U52" s="18" t="n">
        <v>51.889</v>
      </c>
      <c r="V52" s="18" t="n">
        <v>63.074</v>
      </c>
      <c r="W52" s="18" t="n">
        <v>-2.449</v>
      </c>
      <c r="X52" s="18" t="n">
        <v>35.457</v>
      </c>
      <c r="Y52" s="18" t="n">
        <v>24.559</v>
      </c>
      <c r="Z52" s="18" t="n">
        <v>108.318</v>
      </c>
      <c r="AA52" s="18" t="n">
        <v>71.568</v>
      </c>
      <c r="AB52" s="18" t="n">
        <v>150.153</v>
      </c>
      <c r="AC52" s="18" t="n">
        <v>178.47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2027</v>
      </c>
      <c r="C2" s="36" t="n">
        <v>2028</v>
      </c>
      <c r="D2" s="36" t="n">
        <v>2029</v>
      </c>
      <c r="E2" s="36" t="n">
        <v>2030</v>
      </c>
      <c r="F2" s="3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2903.606062</v>
      </c>
      <c r="C4" s="18" t="n">
        <v>3406.663129</v>
      </c>
      <c r="D4" s="18" t="n">
        <v>4130.713477</v>
      </c>
      <c r="E4" s="18" t="n">
        <v>5145.3</v>
      </c>
      <c r="F4" s="18" t="n">
        <v>5367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800.960784</v>
      </c>
      <c r="C8" s="18" t="n">
        <v>939.729258</v>
      </c>
      <c r="D8" s="18" t="n">
        <v>1139.458809</v>
      </c>
      <c r="E8" s="18" t="n">
        <v>1419.33287</v>
      </c>
      <c r="F8" s="18" t="n">
        <v>1480.488895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807.164453</v>
      </c>
      <c r="C12" s="18" t="n">
        <v>947.007728</v>
      </c>
      <c r="D12" s="18" t="n">
        <v>1148.284241</v>
      </c>
      <c r="E12" s="18" t="n">
        <v>1430.326005</v>
      </c>
      <c r="F12" s="18" t="n">
        <v>1491.955701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1716.710277</v>
      </c>
      <c r="C16" s="18" t="n">
        <v>2014.134659</v>
      </c>
      <c r="D16" s="18" t="n">
        <v>2442.217756</v>
      </c>
      <c r="E16" s="18" t="n">
        <v>3042.075682</v>
      </c>
      <c r="F16" s="18" t="n">
        <v>3173.152233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482.565336</v>
      </c>
      <c r="C20" s="18" t="n">
        <v>575.6799425</v>
      </c>
      <c r="D20" s="18" t="n">
        <v>783.001565</v>
      </c>
      <c r="E20" s="18" t="n">
        <v>784.028927</v>
      </c>
      <c r="F20" s="18" t="n">
        <v>918.898152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5.91928</v>
      </c>
      <c r="C24" s="38" t="n">
        <v>7.07541</v>
      </c>
      <c r="D24" s="38" t="n">
        <v>8.786</v>
      </c>
      <c r="E24" s="38" t="n">
        <v>9.65</v>
      </c>
      <c r="F24" s="38" t="n">
        <v>11.31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MongoDB,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2027</v>
      </c>
      <c r="D11" s="36" t="n">
        <v>2028</v>
      </c>
      <c r="E11" s="36" t="n">
        <v>2029</v>
      </c>
      <c r="F11" s="36" t="n">
        <v>2030</v>
      </c>
      <c r="G11" s="36" t="n">
        <v>2031</v>
      </c>
      <c r="H11" s="36" t="n">
        <v>2032</v>
      </c>
      <c r="I11" s="36" t="n">
        <v>2033</v>
      </c>
      <c r="J11" s="36" t="n">
        <v>2034</v>
      </c>
      <c r="K11" s="36" t="n">
        <v>2035</v>
      </c>
      <c r="L11" s="36" t="n">
        <v>2036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Financials!AC39</f>
        <v/>
      </c>
    </row>
    <row r="33">
      <c r="A33" s="4" t="inlineStr">
        <is>
          <t>- Long-term debt</t>
        </is>
      </c>
      <c r="B33" s="28">
        <f>-Financials!AC44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0.01415132821413452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0.1413294900476109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2.638868207367481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2026-06-08T03:52:58Z</dcterms:created>
  <dcterms:modified xmlns:dcterms="http://purl.org/dc/terms/" xmlns:xsi="http://www.w3.org/2001/XMLSchema-instance" xsi:type="dcterms:W3CDTF">2026-06-08T03:52:58Z</dcterms:modified>
</cp:coreProperties>
</file>