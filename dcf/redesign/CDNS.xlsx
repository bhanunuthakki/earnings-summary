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Cadence Design Systems, Inc. (CDNS)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Cadence is the cleaner pure-play of the EDA duopoly, a picks-and-shovels beneficiary of rising chip variety and per-design complexity as AI workloads proliferate — every accelerator, custom hyperscaler chip, and chiplet is designed and verified on Cadence/Synopsys tools regardless of which model wins. Revenue compounds low-double-digit (~14% near-term, anchored to consensus) before fading toward a mature ~4% terminal rate, while best-in-class software economics let operating margin expand from ~31% today to ~35% on operating leverage. With capex a thin ~2.7% of revenue converging toward maintenance, the business throws off heavy FCFF that supports a premium yet defensible valuation.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Cadence Design Systems, Inc. (CDNS)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Model!G38-WACC!B14</f>
        <v/>
      </c>
      <c r="C15" s="10">
        <f>IF(Model!G38-WACC!B14&lt;0,"!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Product and maintenance</t>
        </is>
      </c>
      <c r="B20" s="15" t="n">
        <v>0.14</v>
      </c>
      <c r="C20" s="15" t="n">
        <v>0.04</v>
      </c>
      <c r="D20" s="16" t="n">
        <v>0.14</v>
      </c>
      <c r="E20" s="2" t="inlineStr"/>
    </row>
    <row r="21">
      <c r="A21" s="4" t="inlineStr">
        <is>
          <t>Technology Service</t>
        </is>
      </c>
      <c r="B21" s="15" t="n">
        <v>0.1</v>
      </c>
      <c r="C21" s="15" t="n">
        <v>0.035</v>
      </c>
      <c r="D21" s="16" t="n">
        <v>0.1</v>
      </c>
      <c r="E21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0.315</v>
      </c>
      <c r="D29" s="16" t="n">
        <v>0.315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0.17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167.480494479</v>
      </c>
      <c r="D34" s="18" t="n">
        <v>167.480494479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1.131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22</v>
      </c>
    </row>
    <row r="46">
      <c r="A46" s="4" t="inlineStr">
        <is>
          <t>Terminal growth (g)</t>
        </is>
      </c>
      <c r="B46" s="15" t="n">
        <v>0.04</v>
      </c>
    </row>
    <row r="48">
      <c r="A48" s="4" t="inlineStr">
        <is>
          <t>Current price</t>
        </is>
      </c>
      <c r="B48" s="23" t="n">
        <v>342.6104</v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Financials!AC56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Product and maintenance</t>
        </is>
      </c>
      <c r="B4" s="28">
        <f>SUM(Financials!I19:L19)</f>
        <v/>
      </c>
      <c r="C4" s="28">
        <f>SUM(Financials!M19:P19)</f>
        <v/>
      </c>
      <c r="D4" s="28">
        <f>SUM(Financials!Q19:T19)</f>
        <v/>
      </c>
      <c r="E4" s="28">
        <f>SUM(Financials!U19:X19)</f>
        <v/>
      </c>
      <c r="F4" s="28">
        <f>SUM(Financials!Y19:AB19)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4" t="inlineStr">
        <is>
          <t>Technology Service</t>
        </is>
      </c>
      <c r="B6" s="28">
        <f>SUM(Financials!I22:L22)</f>
        <v/>
      </c>
      <c r="C6" s="28">
        <f>SUM(Financials!M22:P22)</f>
        <v/>
      </c>
      <c r="D6" s="28">
        <f>SUM(Financials!Q22:T22)</f>
        <v/>
      </c>
      <c r="E6" s="28">
        <f>SUM(Financials!U22:X22)</f>
        <v/>
      </c>
      <c r="F6" s="28">
        <f>SUM(Financials!Y22:AB22)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11">
        <f>Dashboard!$B$21+(Dashboard!$C$21-Dashboard!$B$21)*MAX(0,0-2)/7</f>
        <v/>
      </c>
      <c r="H7" s="11">
        <f>Dashboard!$B$21+(Dashboard!$C$21-Dashboard!$B$21)*MAX(0,1-2)/7</f>
        <v/>
      </c>
      <c r="I7" s="11">
        <f>Dashboard!$B$21+(Dashboard!$C$21-Dashboard!$B$21)*MAX(0,2-2)/7</f>
        <v/>
      </c>
      <c r="J7" s="11">
        <f>Dashboard!$B$21+(Dashboard!$C$21-Dashboard!$B$21)*MAX(0,3-2)/7</f>
        <v/>
      </c>
      <c r="K7" s="11">
        <f>Dashboard!$B$21+(Dashboard!$C$21-Dashboard!$B$21)*MAX(0,4-2)/7</f>
        <v/>
      </c>
      <c r="L7" s="11">
        <f>Dashboard!$B$21+(Dashboard!$C$21-Dashboard!$B$21)*MAX(0,5-2)/7</f>
        <v/>
      </c>
      <c r="M7" s="11">
        <f>Dashboard!$B$21+(Dashboard!$C$21-Dashboard!$B$21)*MAX(0,6-2)/7</f>
        <v/>
      </c>
      <c r="N7" s="11">
        <f>Dashboard!$B$21+(Dashboard!$C$21-Dashboard!$B$21)*MAX(0,7-2)/7</f>
        <v/>
      </c>
      <c r="O7" s="11">
        <f>Dashboard!$B$21+(Dashboard!$C$21-Dashboard!$B$21)*MAX(0,8-2)/7</f>
        <v/>
      </c>
      <c r="P7" s="11">
        <f>Dashboard!$B$21+(Dashboard!$C$21-Dashboard!$B$21)*MAX(0,9-2)/7</f>
        <v/>
      </c>
    </row>
    <row r="8">
      <c r="A8" s="3" t="inlineStr">
        <is>
          <t>Total revenue</t>
        </is>
      </c>
      <c r="B8" s="33">
        <f>B4+B6</f>
        <v/>
      </c>
      <c r="C8" s="33">
        <f>C4+C6</f>
        <v/>
      </c>
      <c r="D8" s="33">
        <f>D4+D6</f>
        <v/>
      </c>
      <c r="E8" s="33">
        <f>E4+E6</f>
        <v/>
      </c>
      <c r="F8" s="33">
        <f>F4+F6</f>
        <v/>
      </c>
      <c r="G8" s="33">
        <f>G4+G6</f>
        <v/>
      </c>
      <c r="H8" s="33">
        <f>H4+H6</f>
        <v/>
      </c>
      <c r="I8" s="33">
        <f>I4+I6</f>
        <v/>
      </c>
      <c r="J8" s="33">
        <f>J4+J6</f>
        <v/>
      </c>
      <c r="K8" s="33">
        <f>K4+K6</f>
        <v/>
      </c>
      <c r="L8" s="33">
        <f>L4+L6</f>
        <v/>
      </c>
      <c r="M8" s="33">
        <f>M4+M6</f>
        <v/>
      </c>
      <c r="N8" s="33">
        <f>N4+N6</f>
        <v/>
      </c>
      <c r="O8" s="33">
        <f>O4+O6</f>
        <v/>
      </c>
      <c r="P8" s="33">
        <f>P4+P6</f>
        <v/>
      </c>
    </row>
    <row r="9">
      <c r="A9" s="4" t="inlineStr">
        <is>
          <t xml:space="preserve">    growth %</t>
        </is>
      </c>
      <c r="C9" s="27">
        <f>IFERROR(C8/B8-1,"")</f>
        <v/>
      </c>
      <c r="D9" s="27">
        <f>IFERROR(D8/C8-1,"")</f>
        <v/>
      </c>
      <c r="E9" s="27">
        <f>IFERROR(E8/D8-1,"")</f>
        <v/>
      </c>
      <c r="F9" s="27">
        <f>IFERROR(F8/E8-1,"")</f>
        <v/>
      </c>
      <c r="G9" s="27">
        <f>IFERROR(G8/F8-1,"")</f>
        <v/>
      </c>
      <c r="H9" s="27">
        <f>IFERROR(H8/G8-1,"")</f>
        <v/>
      </c>
      <c r="I9" s="27">
        <f>IFERROR(I8/H8-1,"")</f>
        <v/>
      </c>
      <c r="J9" s="27">
        <f>IFERROR(J8/I8-1,"")</f>
        <v/>
      </c>
      <c r="K9" s="27">
        <f>IFERROR(K8/J8-1,"")</f>
        <v/>
      </c>
      <c r="L9" s="27">
        <f>IFERROR(L8/K8-1,"")</f>
        <v/>
      </c>
      <c r="M9" s="27">
        <f>IFERROR(M8/L8-1,"")</f>
        <v/>
      </c>
      <c r="N9" s="27">
        <f>IFERROR(N8/M8-1,"")</f>
        <v/>
      </c>
      <c r="O9" s="27">
        <f>IFERROR(O8/N8-1,"")</f>
        <v/>
      </c>
      <c r="P9" s="27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28">
        <f>SUM(Financials!I5:L5)</f>
        <v/>
      </c>
      <c r="C12" s="28">
        <f>SUM(Financials!M5:P5)</f>
        <v/>
      </c>
      <c r="D12" s="28">
        <f>SUM(Financials!Q5:T5)</f>
        <v/>
      </c>
      <c r="E12" s="28">
        <f>SUM(Financials!U5:X5)</f>
        <v/>
      </c>
      <c r="F12" s="28">
        <f>SUM(Financials!Y5:AB5)</f>
        <v/>
      </c>
      <c r="G12" s="32">
        <f>G8*G13</f>
        <v/>
      </c>
      <c r="H12" s="32">
        <f>H8*H13</f>
        <v/>
      </c>
      <c r="I12" s="32">
        <f>I8*I13</f>
        <v/>
      </c>
      <c r="J12" s="32">
        <f>J8*J13</f>
        <v/>
      </c>
      <c r="K12" s="32">
        <f>K8*K13</f>
        <v/>
      </c>
      <c r="L12" s="32">
        <f>L8*L13</f>
        <v/>
      </c>
      <c r="M12" s="32">
        <f>M8*M13</f>
        <v/>
      </c>
      <c r="N12" s="32">
        <f>N8*N13</f>
        <v/>
      </c>
      <c r="O12" s="32">
        <f>O8*O13</f>
        <v/>
      </c>
      <c r="P12" s="32">
        <f>P8*P13</f>
        <v/>
      </c>
    </row>
    <row r="13">
      <c r="A13" s="4" t="inlineStr">
        <is>
          <t xml:space="preserve">    % of revenue</t>
        </is>
      </c>
      <c r="B13" s="27">
        <f>IFERROR(B12/B8,"")</f>
        <v/>
      </c>
      <c r="C13" s="27">
        <f>IFERROR(C12/C8,"")</f>
        <v/>
      </c>
      <c r="D13" s="27">
        <f>IFERROR(D12/D8,"")</f>
        <v/>
      </c>
      <c r="E13" s="27">
        <f>IFERROR(E12/E8,"")</f>
        <v/>
      </c>
      <c r="F13" s="27">
        <f>IFERROR(F12/F8,"")</f>
        <v/>
      </c>
      <c r="G13" s="15" t="n">
        <v>0.1363511158427257</v>
      </c>
      <c r="H13" s="15" t="n">
        <v>0.1363511158427257</v>
      </c>
      <c r="I13" s="15" t="n">
        <v>0.1363511158427257</v>
      </c>
      <c r="J13" s="15" t="n">
        <v>0.1363511158427257</v>
      </c>
      <c r="K13" s="15" t="n">
        <v>0.1363511158427257</v>
      </c>
      <c r="L13" s="15" t="n">
        <v>0.1363511158427257</v>
      </c>
      <c r="M13" s="15" t="n">
        <v>0.1363511158427257</v>
      </c>
      <c r="N13" s="15" t="n">
        <v>0.1363511158427257</v>
      </c>
      <c r="O13" s="15" t="n">
        <v>0.1363511158427257</v>
      </c>
      <c r="P13" s="15" t="n">
        <v>0.1363511158427257</v>
      </c>
    </row>
    <row r="14">
      <c r="A14" s="4" t="inlineStr">
        <is>
          <t>R&amp;D / Technology</t>
        </is>
      </c>
      <c r="B14" s="28">
        <f>SUM(Financials!I7:L7)</f>
        <v/>
      </c>
      <c r="C14" s="28">
        <f>SUM(Financials!M7:P7)</f>
        <v/>
      </c>
      <c r="D14" s="28">
        <f>SUM(Financials!Q7:T7)</f>
        <v/>
      </c>
      <c r="E14" s="28">
        <f>SUM(Financials!U7:X7)</f>
        <v/>
      </c>
      <c r="F14" s="28">
        <f>SUM(Financials!Y7:AB7)</f>
        <v/>
      </c>
      <c r="G14" s="32">
        <f>G8*G15</f>
        <v/>
      </c>
      <c r="H14" s="32">
        <f>H8*H15</f>
        <v/>
      </c>
      <c r="I14" s="32">
        <f>I8*I15</f>
        <v/>
      </c>
      <c r="J14" s="32">
        <f>J8*J15</f>
        <v/>
      </c>
      <c r="K14" s="32">
        <f>K8*K15</f>
        <v/>
      </c>
      <c r="L14" s="32">
        <f>L8*L15</f>
        <v/>
      </c>
      <c r="M14" s="32">
        <f>M8*M15</f>
        <v/>
      </c>
      <c r="N14" s="32">
        <f>N8*N15</f>
        <v/>
      </c>
      <c r="O14" s="32">
        <f>O8*O15</f>
        <v/>
      </c>
      <c r="P14" s="32">
        <f>P8*P15</f>
        <v/>
      </c>
    </row>
    <row r="15">
      <c r="A15" s="4" t="inlineStr">
        <is>
          <t xml:space="preserve">    % of revenue</t>
        </is>
      </c>
      <c r="B15" s="27">
        <f>IFERROR(B14/B8,"")</f>
        <v/>
      </c>
      <c r="C15" s="27">
        <f>IFERROR(C14/C8,"")</f>
        <v/>
      </c>
      <c r="D15" s="27">
        <f>IFERROR(D14/D8,"")</f>
        <v/>
      </c>
      <c r="E15" s="27">
        <f>IFERROR(E14/E8,"")</f>
        <v/>
      </c>
      <c r="F15" s="27">
        <f>IFERROR(F14/F8,"")</f>
        <v/>
      </c>
      <c r="G15" s="15" t="n">
        <v>0.3339347703001024</v>
      </c>
      <c r="H15" s="15" t="n">
        <v>0.3339347703001024</v>
      </c>
      <c r="I15" s="15" t="n">
        <v>0.3339347703001024</v>
      </c>
      <c r="J15" s="15" t="n">
        <v>0.3339347703001024</v>
      </c>
      <c r="K15" s="15" t="n">
        <v>0.3339347703001024</v>
      </c>
      <c r="L15" s="15" t="n">
        <v>0.3339347703001024</v>
      </c>
      <c r="M15" s="15" t="n">
        <v>0.3339347703001024</v>
      </c>
      <c r="N15" s="15" t="n">
        <v>0.3339347703001024</v>
      </c>
      <c r="O15" s="15" t="n">
        <v>0.3339347703001024</v>
      </c>
      <c r="P15" s="15" t="n">
        <v>0.3339347703001024</v>
      </c>
    </row>
    <row r="16">
      <c r="A16" s="4" t="inlineStr">
        <is>
          <t>SG&amp;A</t>
        </is>
      </c>
      <c r="B16" s="28">
        <f>SUM(Financials!I9:L9)</f>
        <v/>
      </c>
      <c r="C16" s="28">
        <f>SUM(Financials!M9:P9)</f>
        <v/>
      </c>
      <c r="D16" s="28">
        <f>SUM(Financials!Q9:T9)</f>
        <v/>
      </c>
      <c r="E16" s="28">
        <f>SUM(Financials!U9:X9)</f>
        <v/>
      </c>
      <c r="F16" s="28">
        <f>SUM(Financials!Y9:AB9)</f>
        <v/>
      </c>
      <c r="G16" s="32">
        <f>G8*G17</f>
        <v/>
      </c>
      <c r="H16" s="32">
        <f>H8*H17</f>
        <v/>
      </c>
      <c r="I16" s="32">
        <f>I8*I17</f>
        <v/>
      </c>
      <c r="J16" s="32">
        <f>J8*J17</f>
        <v/>
      </c>
      <c r="K16" s="32">
        <f>K8*K17</f>
        <v/>
      </c>
      <c r="L16" s="32">
        <f>L8*L17</f>
        <v/>
      </c>
      <c r="M16" s="32">
        <f>M8*M17</f>
        <v/>
      </c>
      <c r="N16" s="32">
        <f>N8*N17</f>
        <v/>
      </c>
      <c r="O16" s="32">
        <f>O8*O17</f>
        <v/>
      </c>
      <c r="P16" s="32">
        <f>P8*P17</f>
        <v/>
      </c>
    </row>
    <row r="17">
      <c r="A17" s="4" t="inlineStr">
        <is>
          <t xml:space="preserve">    % of revenue</t>
        </is>
      </c>
      <c r="B17" s="27">
        <f>IFERROR(B16/B8,"")</f>
        <v/>
      </c>
      <c r="C17" s="27">
        <f>IFERROR(C16/C8,"")</f>
        <v/>
      </c>
      <c r="D17" s="27">
        <f>IFERROR(D16/D8,"")</f>
        <v/>
      </c>
      <c r="E17" s="27">
        <f>IFERROR(E16/E8,"")</f>
        <v/>
      </c>
      <c r="F17" s="27">
        <f>IFERROR(F16/F8,"")</f>
        <v/>
      </c>
      <c r="G17" s="15" t="n">
        <v>0.2106986555363383</v>
      </c>
      <c r="H17" s="15" t="n">
        <v>0.2106986555363383</v>
      </c>
      <c r="I17" s="15" t="n">
        <v>0.2106986555363383</v>
      </c>
      <c r="J17" s="15" t="n">
        <v>0.2106986555363383</v>
      </c>
      <c r="K17" s="15" t="n">
        <v>0.2106986555363383</v>
      </c>
      <c r="L17" s="15" t="n">
        <v>0.2106986555363383</v>
      </c>
      <c r="M17" s="15" t="n">
        <v>0.2106986555363383</v>
      </c>
      <c r="N17" s="15" t="n">
        <v>0.2106986555363383</v>
      </c>
      <c r="O17" s="15" t="n">
        <v>0.2106986555363383</v>
      </c>
      <c r="P17" s="15" t="n">
        <v>0.2106986555363383</v>
      </c>
    </row>
    <row r="18">
      <c r="A18" s="4" t="inlineStr">
        <is>
          <t>Other opex (fulfilment, etc.)</t>
        </is>
      </c>
      <c r="B18" s="28">
        <f>B8-(B12+B14+B16)-SUM(Financials!I13:L13)</f>
        <v/>
      </c>
      <c r="C18" s="28">
        <f>C8-(C12+C14+C16)-SUM(Financials!M13:P13)</f>
        <v/>
      </c>
      <c r="D18" s="28">
        <f>D8-(D12+D14+D16)-SUM(Financials!Q13:T13)</f>
        <v/>
      </c>
      <c r="E18" s="28">
        <f>E8-(E12+E14+E16)-SUM(Financials!U13:X13)</f>
        <v/>
      </c>
      <c r="F18" s="28">
        <f>F8-(F12+F14+F16)-SUM(Financials!Y13:AB13)</f>
        <v/>
      </c>
      <c r="G18" s="28">
        <f>G8*(1-(Dashboard!$B$29+(Dashboard!$B$30-Dashboard!$B$29)*MIN(1,0/4)))-(G12+G14+G16)</f>
        <v/>
      </c>
      <c r="H18" s="28">
        <f>H8*(1-(Dashboard!$B$29+(Dashboard!$B$30-Dashboard!$B$29)*MIN(1,1/4)))-(H12+H14+H16)</f>
        <v/>
      </c>
      <c r="I18" s="28">
        <f>I8*(1-(Dashboard!$B$29+(Dashboard!$B$30-Dashboard!$B$29)*MIN(1,2/4)))-(I12+I14+I16)</f>
        <v/>
      </c>
      <c r="J18" s="28">
        <f>J8*(1-(Dashboard!$B$29+(Dashboard!$B$30-Dashboard!$B$29)*MIN(1,3/4)))-(J12+J14+J16)</f>
        <v/>
      </c>
      <c r="K18" s="28">
        <f>K8*(1-(Dashboard!$B$29+(Dashboard!$B$30-Dashboard!$B$29)*MIN(1,4/4)))-(K12+K14+K16)</f>
        <v/>
      </c>
      <c r="L18" s="28">
        <f>L8*(1-(Dashboard!$B$29+(Dashboard!$B$30-Dashboard!$B$29)*MIN(1,5/4)))-(L12+L14+L16)</f>
        <v/>
      </c>
      <c r="M18" s="28">
        <f>M8*(1-(Dashboard!$B$29+(Dashboard!$B$30-Dashboard!$B$29)*MIN(1,6/4)))-(M12+M14+M16)</f>
        <v/>
      </c>
      <c r="N18" s="28">
        <f>N8*(1-(Dashboard!$B$29+(Dashboard!$B$30-Dashboard!$B$29)*MIN(1,7/4)))-(N12+N14+N16)</f>
        <v/>
      </c>
      <c r="O18" s="28">
        <f>O8*(1-(Dashboard!$B$29+(Dashboard!$B$30-Dashboard!$B$29)*MIN(1,8/4)))-(O12+O14+O16)</f>
        <v/>
      </c>
      <c r="P18" s="28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27">
        <f>IFERROR(B18/B8,"")</f>
        <v/>
      </c>
      <c r="C19" s="27">
        <f>IFERROR(C18/C8,"")</f>
        <v/>
      </c>
      <c r="D19" s="27">
        <f>IFERROR(D18/D8,"")</f>
        <v/>
      </c>
      <c r="E19" s="27">
        <f>IFERROR(E18/E8,"")</f>
        <v/>
      </c>
      <c r="F19" s="27">
        <f>IFERROR(F18/F8,"")</f>
        <v/>
      </c>
      <c r="G19" s="27">
        <f>IFERROR(G18/G8,"")</f>
        <v/>
      </c>
      <c r="H19" s="27">
        <f>IFERROR(H18/H8,"")</f>
        <v/>
      </c>
      <c r="I19" s="27">
        <f>IFERROR(I18/I8,"")</f>
        <v/>
      </c>
      <c r="J19" s="27">
        <f>IFERROR(J18/J8,"")</f>
        <v/>
      </c>
      <c r="K19" s="27">
        <f>IFERROR(K18/K8,"")</f>
        <v/>
      </c>
      <c r="L19" s="27">
        <f>IFERROR(L18/L8,"")</f>
        <v/>
      </c>
      <c r="M19" s="27">
        <f>IFERROR(M18/M8,"")</f>
        <v/>
      </c>
      <c r="N19" s="27">
        <f>IFERROR(N18/N8,"")</f>
        <v/>
      </c>
      <c r="O19" s="27">
        <f>IFERROR(O18/O8,"")</f>
        <v/>
      </c>
      <c r="P19" s="27">
        <f>IFERROR(P18/P8,"")</f>
        <v/>
      </c>
    </row>
    <row r="21">
      <c r="A21" s="3" t="inlineStr">
        <is>
          <t>Operating income (EBIT)</t>
        </is>
      </c>
      <c r="B21" s="33">
        <f>B8-(B12+B14+B16)-B18</f>
        <v/>
      </c>
      <c r="C21" s="33">
        <f>C8-(C12+C14+C16)-C18</f>
        <v/>
      </c>
      <c r="D21" s="33">
        <f>D8-(D12+D14+D16)-D18</f>
        <v/>
      </c>
      <c r="E21" s="33">
        <f>E8-(E12+E14+E16)-E18</f>
        <v/>
      </c>
      <c r="F21" s="33">
        <f>F8-(F12+F14+F16)-F18</f>
        <v/>
      </c>
      <c r="G21" s="33">
        <f>G8-(G12+G14+G16)-G18</f>
        <v/>
      </c>
      <c r="H21" s="33">
        <f>H8-(H12+H14+H16)-H18</f>
        <v/>
      </c>
      <c r="I21" s="33">
        <f>I8-(I12+I14+I16)-I18</f>
        <v/>
      </c>
      <c r="J21" s="33">
        <f>J8-(J12+J14+J16)-J18</f>
        <v/>
      </c>
      <c r="K21" s="33">
        <f>K8-(K12+K14+K16)-K18</f>
        <v/>
      </c>
      <c r="L21" s="33">
        <f>L8-(L12+L14+L16)-L18</f>
        <v/>
      </c>
      <c r="M21" s="33">
        <f>M8-(M12+M14+M16)-M18</f>
        <v/>
      </c>
      <c r="N21" s="33">
        <f>N8-(N12+N14+N16)-N18</f>
        <v/>
      </c>
      <c r="O21" s="33">
        <f>O8-(O12+O14+O16)-O18</f>
        <v/>
      </c>
      <c r="P21" s="33">
        <f>P8-(P12+P14+P16)-P18</f>
        <v/>
      </c>
    </row>
    <row r="22">
      <c r="A22" s="4" t="inlineStr">
        <is>
          <t xml:space="preserve">    operating margin</t>
        </is>
      </c>
      <c r="B22" s="27">
        <f>IFERROR(B21/B8,"")</f>
        <v/>
      </c>
      <c r="C22" s="27">
        <f>IFERROR(C21/C8,"")</f>
        <v/>
      </c>
      <c r="D22" s="27">
        <f>IFERROR(D21/D8,"")</f>
        <v/>
      </c>
      <c r="E22" s="27">
        <f>IFERROR(E21/E8,"")</f>
        <v/>
      </c>
      <c r="F22" s="27">
        <f>IFERROR(F21/F8,"")</f>
        <v/>
      </c>
      <c r="G22" s="27">
        <f>IFERROR(G21/G8,"")</f>
        <v/>
      </c>
      <c r="H22" s="27">
        <f>IFERROR(H21/H8,"")</f>
        <v/>
      </c>
      <c r="I22" s="27">
        <f>IFERROR(I21/I8,"")</f>
        <v/>
      </c>
      <c r="J22" s="27">
        <f>IFERROR(J21/J8,"")</f>
        <v/>
      </c>
      <c r="K22" s="27">
        <f>IFERROR(K21/K8,"")</f>
        <v/>
      </c>
      <c r="L22" s="27">
        <f>IFERROR(L21/L8,"")</f>
        <v/>
      </c>
      <c r="M22" s="27">
        <f>IFERROR(M21/M8,"")</f>
        <v/>
      </c>
      <c r="N22" s="27">
        <f>IFERROR(N21/N8,"")</f>
        <v/>
      </c>
      <c r="O22" s="27">
        <f>IFERROR(O21/O8,"")</f>
        <v/>
      </c>
      <c r="P22" s="27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28">
        <f>B21*(1-Valuation!$B$5)</f>
        <v/>
      </c>
      <c r="C25" s="28">
        <f>C21*(1-Valuation!$B$5)</f>
        <v/>
      </c>
      <c r="D25" s="28">
        <f>D21*(1-Valuation!$B$5)</f>
        <v/>
      </c>
      <c r="E25" s="28">
        <f>E21*(1-Valuation!$B$5)</f>
        <v/>
      </c>
      <c r="F25" s="28">
        <f>F21*(1-Valuation!$B$5)</f>
        <v/>
      </c>
      <c r="G25" s="28">
        <f>G21*(1-Valuation!$B$5)</f>
        <v/>
      </c>
      <c r="H25" s="28">
        <f>H21*(1-Valuation!$B$5)</f>
        <v/>
      </c>
      <c r="I25" s="28">
        <f>I21*(1-Valuation!$B$5)</f>
        <v/>
      </c>
      <c r="J25" s="28">
        <f>J21*(1-Valuation!$B$5)</f>
        <v/>
      </c>
      <c r="K25" s="28">
        <f>K21*(1-Valuation!$B$5)</f>
        <v/>
      </c>
      <c r="L25" s="28">
        <f>L21*(1-Valuation!$B$5)</f>
        <v/>
      </c>
      <c r="M25" s="28">
        <f>M21*(1-Valuation!$B$5)</f>
        <v/>
      </c>
      <c r="N25" s="28">
        <f>N21*(1-Valuation!$B$5)</f>
        <v/>
      </c>
      <c r="O25" s="28">
        <f>O21*(1-Valuation!$B$5)</f>
        <v/>
      </c>
      <c r="P25" s="28">
        <f>P21*(1-Valuation!$B$5)</f>
        <v/>
      </c>
    </row>
    <row r="26">
      <c r="A26" s="4" t="inlineStr">
        <is>
          <t>+ D&amp;A</t>
        </is>
      </c>
      <c r="B26" s="28">
        <f>SUM(Financials!I59:L59)</f>
        <v/>
      </c>
      <c r="C26" s="28">
        <f>SUM(Financials!M59:P59)</f>
        <v/>
      </c>
      <c r="D26" s="28">
        <f>SUM(Financials!Q59:T59)</f>
        <v/>
      </c>
      <c r="E26" s="28">
        <f>SUM(Financials!U59:X59)</f>
        <v/>
      </c>
      <c r="F26" s="28">
        <f>SUM(Financials!Y59:AB59)</f>
        <v/>
      </c>
      <c r="G26" s="32">
        <f>G8*0.0311</f>
        <v/>
      </c>
      <c r="H26" s="32">
        <f>H8*0.0311</f>
        <v/>
      </c>
      <c r="I26" s="32">
        <f>I8*0.0311</f>
        <v/>
      </c>
      <c r="J26" s="32">
        <f>J8*0.0311</f>
        <v/>
      </c>
      <c r="K26" s="32">
        <f>K8*0.0311</f>
        <v/>
      </c>
      <c r="L26" s="32">
        <f>L8*0.0311</f>
        <v/>
      </c>
      <c r="M26" s="32">
        <f>M8*0.0311</f>
        <v/>
      </c>
      <c r="N26" s="32">
        <f>N8*0.0311</f>
        <v/>
      </c>
      <c r="O26" s="32">
        <f>O8*0.0311</f>
        <v/>
      </c>
      <c r="P26" s="32">
        <f>P8*0.0311</f>
        <v/>
      </c>
    </row>
    <row r="27">
      <c r="A27" s="4" t="inlineStr">
        <is>
          <t>+ SBC (non-cash)</t>
        </is>
      </c>
      <c r="B27" s="28">
        <f>SUM(Financials!I60:L60)</f>
        <v/>
      </c>
      <c r="C27" s="28">
        <f>SUM(Financials!M60:P60)</f>
        <v/>
      </c>
      <c r="D27" s="28">
        <f>SUM(Financials!Q60:T60)</f>
        <v/>
      </c>
      <c r="E27" s="28">
        <f>SUM(Financials!U60:X60)</f>
        <v/>
      </c>
      <c r="F27" s="28">
        <f>SUM(Financials!Y60:AB60)</f>
        <v/>
      </c>
      <c r="G27" s="32">
        <f>G8*0.0646</f>
        <v/>
      </c>
      <c r="H27" s="32">
        <f>H8*0.0617</f>
        <v/>
      </c>
      <c r="I27" s="32">
        <f>I8*0.0588</f>
        <v/>
      </c>
      <c r="J27" s="32">
        <f>J8*0.0560</f>
        <v/>
      </c>
      <c r="K27" s="32">
        <f>K8*0.0531</f>
        <v/>
      </c>
      <c r="L27" s="32">
        <f>L8*0.0502</f>
        <v/>
      </c>
      <c r="M27" s="32">
        <f>M8*0.0474</f>
        <v/>
      </c>
      <c r="N27" s="32">
        <f>N8*0.0445</f>
        <v/>
      </c>
      <c r="O27" s="32">
        <f>O8*0.0416</f>
        <v/>
      </c>
      <c r="P27" s="32">
        <f>P8*0.0387</f>
        <v/>
      </c>
    </row>
    <row r="28">
      <c r="A28" s="4" t="inlineStr">
        <is>
          <t>- dNWC</t>
        </is>
      </c>
      <c r="G28" s="32">
        <f>(G8-F8)*0.0050</f>
        <v/>
      </c>
      <c r="H28" s="32">
        <f>(H8-G8)*0.0050</f>
        <v/>
      </c>
      <c r="I28" s="32">
        <f>(I8-H8)*0.0050</f>
        <v/>
      </c>
      <c r="J28" s="32">
        <f>(J8-I8)*0.0050</f>
        <v/>
      </c>
      <c r="K28" s="32">
        <f>(K8-J8)*0.0050</f>
        <v/>
      </c>
      <c r="L28" s="32">
        <f>(L8-K8)*0.0050</f>
        <v/>
      </c>
      <c r="M28" s="32">
        <f>(M8-L8)*0.0050</f>
        <v/>
      </c>
      <c r="N28" s="32">
        <f>(N8-M8)*0.0050</f>
        <v/>
      </c>
      <c r="O28" s="32">
        <f>(O8-N8)*0.0050</f>
        <v/>
      </c>
      <c r="P28" s="32">
        <f>(P8-O8)*0.0050</f>
        <v/>
      </c>
    </row>
    <row r="29">
      <c r="A29" s="4" t="inlineStr">
        <is>
          <t>- Capex</t>
        </is>
      </c>
      <c r="B29" s="28">
        <f>-SUM(Financials!I63:L63)</f>
        <v/>
      </c>
      <c r="C29" s="28">
        <f>-SUM(Financials!M63:P63)</f>
        <v/>
      </c>
      <c r="D29" s="28">
        <f>-SUM(Financials!Q63:T63)</f>
        <v/>
      </c>
      <c r="E29" s="28">
        <f>-SUM(Financials!U63:X63)</f>
        <v/>
      </c>
      <c r="F29" s="28">
        <f>-SUM(Financials!Y63:AB63)</f>
        <v/>
      </c>
      <c r="G29" s="32">
        <f>G26*G30</f>
        <v/>
      </c>
      <c r="H29" s="32">
        <f>H26*H30</f>
        <v/>
      </c>
      <c r="I29" s="32">
        <f>I26*I30</f>
        <v/>
      </c>
      <c r="J29" s="32">
        <f>J26*J30</f>
        <v/>
      </c>
      <c r="K29" s="32">
        <f>K26*K30</f>
        <v/>
      </c>
      <c r="L29" s="32">
        <f>L26*L30</f>
        <v/>
      </c>
      <c r="M29" s="32">
        <f>M26*M30</f>
        <v/>
      </c>
      <c r="N29" s="32">
        <f>N26*N30</f>
        <v/>
      </c>
      <c r="O29" s="32">
        <f>O26*O30</f>
        <v/>
      </c>
      <c r="P29" s="32">
        <f>P26*P30</f>
        <v/>
      </c>
    </row>
    <row r="30">
      <c r="A30" s="4" t="inlineStr">
        <is>
          <t xml:space="preserve">    Capex / D&amp;A  (from Dashboard: $cap'26 -&gt; terminal)</t>
        </is>
      </c>
      <c r="B30" s="34">
        <f>IFERROR(B29/B26,"")</f>
        <v/>
      </c>
      <c r="C30" s="34">
        <f>IFERROR(C29/C26,"")</f>
        <v/>
      </c>
      <c r="D30" s="34">
        <f>IFERROR(D29/D26,"")</f>
        <v/>
      </c>
      <c r="E30" s="34">
        <f>IFERROR(E29/E26,"")</f>
        <v/>
      </c>
      <c r="F30" s="34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33">
        <f>B25+B26+B27-B28-B29</f>
        <v/>
      </c>
      <c r="C32" s="33">
        <f>C25+C26+C27-C28-C29</f>
        <v/>
      </c>
      <c r="D32" s="33">
        <f>D25+D26+D27-D28-D29</f>
        <v/>
      </c>
      <c r="E32" s="33">
        <f>E25+E26+E27-E28-E29</f>
        <v/>
      </c>
      <c r="F32" s="33">
        <f>F25+F26+F27-F28-F29</f>
        <v/>
      </c>
      <c r="G32" s="33">
        <f>G25+G26+G27-G28-G29</f>
        <v/>
      </c>
      <c r="H32" s="33">
        <f>H25+H26+H27-H28-H29</f>
        <v/>
      </c>
      <c r="I32" s="33">
        <f>I25+I26+I27-I28-I29</f>
        <v/>
      </c>
      <c r="J32" s="33">
        <f>J25+J26+J27-J28-J29</f>
        <v/>
      </c>
      <c r="K32" s="33">
        <f>K25+K26+K27-K28-K29</f>
        <v/>
      </c>
      <c r="L32" s="33">
        <f>L25+L26+L27-L28-L29</f>
        <v/>
      </c>
      <c r="M32" s="33">
        <f>M25+M26+M27-M28-M29</f>
        <v/>
      </c>
      <c r="N32" s="33">
        <f>N25+N26+N27-N28-N29</f>
        <v/>
      </c>
      <c r="O32" s="33">
        <f>O25+O26+O27-O28-O29</f>
        <v/>
      </c>
      <c r="P32" s="33">
        <f>P25+P26+P27-P28-P29</f>
        <v/>
      </c>
    </row>
    <row r="33">
      <c r="A33" s="3" t="inlineStr">
        <is>
          <t>Valuation FCF (FCFF - SBC)</t>
        </is>
      </c>
      <c r="B33" s="33">
        <f>B32-B27</f>
        <v/>
      </c>
      <c r="C33" s="33">
        <f>C32-C27</f>
        <v/>
      </c>
      <c r="D33" s="33">
        <f>D32-D27</f>
        <v/>
      </c>
      <c r="E33" s="33">
        <f>E32-E27</f>
        <v/>
      </c>
      <c r="F33" s="33">
        <f>F32-F27</f>
        <v/>
      </c>
      <c r="G33" s="33">
        <f>G32-G27</f>
        <v/>
      </c>
      <c r="H33" s="33">
        <f>H32-H27</f>
        <v/>
      </c>
      <c r="I33" s="33">
        <f>I32-I27</f>
        <v/>
      </c>
      <c r="J33" s="33">
        <f>J32-J27</f>
        <v/>
      </c>
      <c r="K33" s="33">
        <f>K32-K27</f>
        <v/>
      </c>
      <c r="L33" s="33">
        <f>L32-L27</f>
        <v/>
      </c>
      <c r="M33" s="33">
        <f>M32-M27</f>
        <v/>
      </c>
      <c r="N33" s="33">
        <f>N32-N27</f>
        <v/>
      </c>
      <c r="O33" s="33">
        <f>O32-O27</f>
        <v/>
      </c>
      <c r="P33" s="33">
        <f>P32-P27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28">
        <f>Financials!L57+Financials!L56-Financials!L51</f>
        <v/>
      </c>
      <c r="C36" s="28">
        <f>Financials!P57+Financials!P56-Financials!P51</f>
        <v/>
      </c>
      <c r="D36" s="28">
        <f>Financials!T57+Financials!T56-Financials!T51</f>
        <v/>
      </c>
      <c r="E36" s="28">
        <f>Financials!X57+Financials!X56-Financials!X51</f>
        <v/>
      </c>
      <c r="F36" s="28">
        <f>Financials!AB57+Financials!AB56-Financials!AB51</f>
        <v/>
      </c>
      <c r="G36" s="32">
        <f>F36+G29-G26+G28</f>
        <v/>
      </c>
      <c r="H36" s="32">
        <f>G36+H29-H26+H28</f>
        <v/>
      </c>
      <c r="I36" s="32">
        <f>H36+I29-I26+I28</f>
        <v/>
      </c>
      <c r="J36" s="32">
        <f>I36+J29-J26+J28</f>
        <v/>
      </c>
      <c r="K36" s="32">
        <f>J36+K29-K26+K28</f>
        <v/>
      </c>
      <c r="L36" s="32">
        <f>K36+L29-L26+L28</f>
        <v/>
      </c>
      <c r="M36" s="32">
        <f>L36+M29-M26+M28</f>
        <v/>
      </c>
      <c r="N36" s="32">
        <f>M36+N29-N26+N28</f>
        <v/>
      </c>
      <c r="O36" s="32">
        <f>N36+O29-O26+O28</f>
        <v/>
      </c>
      <c r="P36" s="32">
        <f>O36+P29-P26+P28</f>
        <v/>
      </c>
    </row>
    <row r="37">
      <c r="A37" s="4" t="inlineStr">
        <is>
          <t>Book equity (year-end)</t>
        </is>
      </c>
      <c r="B37" s="28">
        <f>Financials!L57</f>
        <v/>
      </c>
      <c r="C37" s="28">
        <f>Financials!P57</f>
        <v/>
      </c>
      <c r="D37" s="28">
        <f>Financials!T57</f>
        <v/>
      </c>
      <c r="E37" s="28">
        <f>Financials!X57</f>
        <v/>
      </c>
      <c r="F37" s="28">
        <f>Financials!AB57</f>
        <v/>
      </c>
      <c r="G37" s="32">
        <f>F37+G25</f>
        <v/>
      </c>
      <c r="H37" s="32">
        <f>G37+H25</f>
        <v/>
      </c>
      <c r="I37" s="32">
        <f>H37+I25</f>
        <v/>
      </c>
      <c r="J37" s="32">
        <f>I37+J25</f>
        <v/>
      </c>
      <c r="K37" s="32">
        <f>J37+K25</f>
        <v/>
      </c>
      <c r="L37" s="32">
        <f>K37+L25</f>
        <v/>
      </c>
      <c r="M37" s="32">
        <f>L37+M25</f>
        <v/>
      </c>
      <c r="N37" s="32">
        <f>M37+N25</f>
        <v/>
      </c>
      <c r="O37" s="32">
        <f>N37+O25</f>
        <v/>
      </c>
      <c r="P37" s="32">
        <f>O37+P25</f>
        <v/>
      </c>
    </row>
    <row r="38">
      <c r="A38" s="3" t="inlineStr">
        <is>
          <t xml:space="preserve">  ROIC (NOPAT / beg. invested capital)</t>
        </is>
      </c>
      <c r="C38" s="27">
        <f>IFERROR(C25/B36,"")</f>
        <v/>
      </c>
      <c r="D38" s="27">
        <f>IFERROR(D25/C36,"")</f>
        <v/>
      </c>
      <c r="E38" s="27">
        <f>IFERROR(E25/D36,"")</f>
        <v/>
      </c>
      <c r="F38" s="27">
        <f>IFERROR(F25/E36,"")</f>
        <v/>
      </c>
      <c r="G38" s="27">
        <f>IFERROR(G25/F36,"")</f>
        <v/>
      </c>
      <c r="H38" s="27">
        <f>IFERROR(H25/G36,"")</f>
        <v/>
      </c>
      <c r="I38" s="27">
        <f>IFERROR(I25/H36,"")</f>
        <v/>
      </c>
      <c r="J38" s="27">
        <f>IFERROR(J25/I36,"")</f>
        <v/>
      </c>
      <c r="K38" s="27">
        <f>IFERROR(K25/J36,"")</f>
        <v/>
      </c>
      <c r="L38" s="27">
        <f>IFERROR(L25/K36,"")</f>
        <v/>
      </c>
      <c r="M38" s="27">
        <f>IFERROR(M25/L36,"")</f>
        <v/>
      </c>
      <c r="N38" s="27">
        <f>IFERROR(N25/M36,"")</f>
        <v/>
      </c>
      <c r="O38" s="27">
        <f>IFERROR(O25/N36,"")</f>
        <v/>
      </c>
      <c r="P38" s="27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IFERROR(SUM(Financials!M15:P15)/B37,"")</f>
        <v/>
      </c>
      <c r="D39" s="11">
        <f>IFERROR(SUM(Financials!Q15:T15)/C37,"")</f>
        <v/>
      </c>
      <c r="E39" s="11">
        <f>IFERROR(SUM(Financials!U15:X15)/D37,"")</f>
        <v/>
      </c>
      <c r="F39" s="11">
        <f>IFERROR(SUM(Financials!Y15:AB15)/E37,"")</f>
        <v/>
      </c>
      <c r="G39" s="27">
        <f>IFERROR(G25/F37,"")</f>
        <v/>
      </c>
      <c r="H39" s="27">
        <f>IFERROR(H25/G37,"")</f>
        <v/>
      </c>
      <c r="I39" s="27">
        <f>IFERROR(I25/H37,"")</f>
        <v/>
      </c>
      <c r="J39" s="27">
        <f>IFERROR(J25/I37,"")</f>
        <v/>
      </c>
      <c r="K39" s="27">
        <f>IFERROR(K25/J37,"")</f>
        <v/>
      </c>
      <c r="L39" s="27">
        <f>IFERROR(L25/K37,"")</f>
        <v/>
      </c>
      <c r="M39" s="27">
        <f>IFERROR(M25/L37,"")</f>
        <v/>
      </c>
      <c r="N39" s="27">
        <f>IFERROR(N25/M37,"")</f>
        <v/>
      </c>
      <c r="O39" s="27">
        <f>IFERROR(O25/N37,"")</f>
        <v/>
      </c>
      <c r="P39" s="27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IFERROR(C38-WACC!$B$14,"")</f>
        <v/>
      </c>
      <c r="D40" s="11">
        <f>IFERROR(D38-WACC!$B$14,"")</f>
        <v/>
      </c>
      <c r="E40" s="11">
        <f>IFERROR(E38-WACC!$B$14,"")</f>
        <v/>
      </c>
      <c r="F40" s="11">
        <f>IFERROR(F38-WACC!$B$14,"")</f>
        <v/>
      </c>
      <c r="G40" s="11">
        <f>IFERROR(G38-WACC!$B$14,"")</f>
        <v/>
      </c>
      <c r="H40" s="11">
        <f>IFERROR(H38-WACC!$B$14,"")</f>
        <v/>
      </c>
      <c r="I40" s="11">
        <f>IFERROR(I38-WACC!$B$14,"")</f>
        <v/>
      </c>
      <c r="J40" s="11">
        <f>IFERROR(J38-WACC!$B$14,"")</f>
        <v/>
      </c>
      <c r="K40" s="11">
        <f>IFERROR(K38-WACC!$B$14,"")</f>
        <v/>
      </c>
      <c r="L40" s="11">
        <f>IFERROR(L38-WACC!$B$14,"")</f>
        <v/>
      </c>
      <c r="M40" s="11">
        <f>IFERROR(M38-WACC!$B$14,"")</f>
        <v/>
      </c>
      <c r="N40" s="11">
        <f>IFERROR(N38-WACC!$B$14,"")</f>
        <v/>
      </c>
      <c r="O40" s="11">
        <f>IFERROR(O38-WACC!$B$14,"")</f>
        <v/>
      </c>
      <c r="P40" s="11">
        <f>IFERROR(P38-WACC!$B$14,"")</f>
        <v/>
      </c>
    </row>
    <row r="41">
      <c r="A41" s="4" t="inlineStr">
        <is>
          <t xml:space="preserve">  Incremental op margin (ΔEBIT / ΔRev)</t>
        </is>
      </c>
      <c r="C41" s="27">
        <f>IFERROR((C21-B21)/(C8-B8),"")</f>
        <v/>
      </c>
      <c r="D41" s="27">
        <f>IFERROR((D21-C21)/(D8-C8),"")</f>
        <v/>
      </c>
      <c r="E41" s="27">
        <f>IFERROR((E21-D21)/(E8-D8),"")</f>
        <v/>
      </c>
      <c r="F41" s="27">
        <f>IFERROR((F21-E21)/(F8-E8),"")</f>
        <v/>
      </c>
      <c r="G41" s="27">
        <f>IFERROR((G21-F21)/(G8-F8),"")</f>
        <v/>
      </c>
      <c r="H41" s="27">
        <f>IFERROR((H21-G21)/(H8-G8),"")</f>
        <v/>
      </c>
      <c r="I41" s="27">
        <f>IFERROR((I21-H21)/(I8-H8),"")</f>
        <v/>
      </c>
      <c r="J41" s="27">
        <f>IFERROR((J21-I21)/(J8-I8),"")</f>
        <v/>
      </c>
      <c r="K41" s="27">
        <f>IFERROR((K21-J21)/(K8-J8),"")</f>
        <v/>
      </c>
      <c r="L41" s="27">
        <f>IFERROR((L21-K21)/(L8-K8),"")</f>
        <v/>
      </c>
      <c r="M41" s="27">
        <f>IFERROR((M21-L21)/(M8-L8),"")</f>
        <v/>
      </c>
      <c r="N41" s="27">
        <f>IFERROR((N21-M21)/(N8-M8),"")</f>
        <v/>
      </c>
      <c r="O41" s="27">
        <f>IFERROR((O21-N21)/(O8-N8),"")</f>
        <v/>
      </c>
      <c r="P41" s="27">
        <f>IFERROR((P21-O21)/(P8-O8),"")</f>
        <v/>
      </c>
    </row>
    <row r="42">
      <c r="A42" s="3" t="inlineStr">
        <is>
          <t xml:space="preserve">  ROIIC (ΔNOPAT / ΔInvested capital)</t>
        </is>
      </c>
      <c r="C42" s="27">
        <f>IFERROR((C25-B25)/(C36-B36),"")</f>
        <v/>
      </c>
      <c r="D42" s="27">
        <f>IFERROR((D25-C25)/(D36-C36),"")</f>
        <v/>
      </c>
      <c r="E42" s="27">
        <f>IFERROR((E25-D25)/(E36-D36),"")</f>
        <v/>
      </c>
      <c r="F42" s="27">
        <f>IFERROR((F25-E25)/(F36-E36),"")</f>
        <v/>
      </c>
      <c r="G42" s="27">
        <f>IFERROR((G25-F25)/(G36-F36),"")</f>
        <v/>
      </c>
      <c r="H42" s="27">
        <f>IFERROR((H25-G25)/(H36-G36),"")</f>
        <v/>
      </c>
      <c r="I42" s="27">
        <f>IFERROR((I25-H25)/(I36-H36),"")</f>
        <v/>
      </c>
      <c r="J42" s="27">
        <f>IFERROR((J25-I25)/(J36-I36),"")</f>
        <v/>
      </c>
      <c r="K42" s="27">
        <f>IFERROR((K25-J25)/(K36-J36),"")</f>
        <v/>
      </c>
      <c r="L42" s="27">
        <f>IFERROR((L25-K25)/(L36-K36),"")</f>
        <v/>
      </c>
      <c r="M42" s="27">
        <f>IFERROR((M25-L25)/(M36-L36),"")</f>
        <v/>
      </c>
      <c r="N42" s="27">
        <f>IFERROR((N25-M25)/(N36-M36),"")</f>
        <v/>
      </c>
      <c r="O42" s="27">
        <f>IFERROR((O25-N25)/(O36-N36),"")</f>
        <v/>
      </c>
      <c r="P42" s="27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35">
        <f>IFERROR((C8-B8)/(C36-B36),"")</f>
        <v/>
      </c>
      <c r="D43" s="35">
        <f>IFERROR((D8-C8)/(D36-C36),"")</f>
        <v/>
      </c>
      <c r="E43" s="35">
        <f>IFERROR((E8-D8)/(E36-D36),"")</f>
        <v/>
      </c>
      <c r="F43" s="35">
        <f>IFERROR((F8-E8)/(F36-E36),"")</f>
        <v/>
      </c>
      <c r="G43" s="35">
        <f>IFERROR((G8-F8)/(G36-F36),"")</f>
        <v/>
      </c>
      <c r="H43" s="35">
        <f>IFERROR((H8-G8)/(H36-G36),"")</f>
        <v/>
      </c>
      <c r="I43" s="35">
        <f>IFERROR((I8-H8)/(I36-H36),"")</f>
        <v/>
      </c>
      <c r="J43" s="35">
        <f>IFERROR((J8-I8)/(J36-I36),"")</f>
        <v/>
      </c>
      <c r="K43" s="35">
        <f>IFERROR((K8-J8)/(K36-J36),"")</f>
        <v/>
      </c>
      <c r="L43" s="35">
        <f>IFERROR((L8-K8)/(L36-K36),"")</f>
        <v/>
      </c>
      <c r="M43" s="35">
        <f>IFERROR((M8-L8)/(M36-L36),"")</f>
        <v/>
      </c>
      <c r="N43" s="35">
        <f>IFERROR((N8-M8)/(N36-M36),"")</f>
        <v/>
      </c>
      <c r="O43" s="35">
        <f>IFERROR((O8-N8)/(O36-N36),"")</f>
        <v/>
      </c>
      <c r="P43" s="35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7">
        <f>IFERROR((C36-B36)/C25,"")</f>
        <v/>
      </c>
      <c r="D44" s="27">
        <f>IFERROR((D36-C36)/D25,"")</f>
        <v/>
      </c>
      <c r="E44" s="27">
        <f>IFERROR((E36-D36)/E25,"")</f>
        <v/>
      </c>
      <c r="F44" s="27">
        <f>IFERROR((F36-E36)/F25,"")</f>
        <v/>
      </c>
      <c r="G44" s="27">
        <f>IFERROR((G36-F36)/G25,"")</f>
        <v/>
      </c>
      <c r="H44" s="27">
        <f>IFERROR((H36-G36)/H25,"")</f>
        <v/>
      </c>
      <c r="I44" s="27">
        <f>IFERROR((I36-H36)/I25,"")</f>
        <v/>
      </c>
      <c r="J44" s="27">
        <f>IFERROR((J36-I36)/J25,"")</f>
        <v/>
      </c>
      <c r="K44" s="27">
        <f>IFERROR((K36-J36)/K25,"")</f>
        <v/>
      </c>
      <c r="L44" s="27">
        <f>IFERROR((L36-K36)/L25,"")</f>
        <v/>
      </c>
      <c r="M44" s="27">
        <f>IFERROR((M36-L36)/M25,"")</f>
        <v/>
      </c>
      <c r="N44" s="27">
        <f>IFERROR((N36-M36)/N25,"")</f>
        <v/>
      </c>
      <c r="O44" s="27">
        <f>IFERROR((O36-N36)/O25,"")</f>
        <v/>
      </c>
      <c r="P44" s="27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580.419</v>
      </c>
      <c r="C3" s="18" t="n">
        <v>579.603</v>
      </c>
      <c r="D3" s="18" t="n">
        <v>599.5549999999999</v>
      </c>
      <c r="E3" s="18" t="n">
        <v>617.957</v>
      </c>
      <c r="F3" s="18" t="n">
        <v>638.418</v>
      </c>
      <c r="G3" s="18" t="n">
        <v>666.607</v>
      </c>
      <c r="H3" s="18" t="n">
        <v>759.909</v>
      </c>
      <c r="I3" s="18" t="n">
        <v>736.028</v>
      </c>
      <c r="J3" s="18" t="n">
        <v>728.285</v>
      </c>
      <c r="K3" s="18" t="n">
        <v>750.895</v>
      </c>
      <c r="L3" s="18" t="n">
        <v>773.0359999999999</v>
      </c>
      <c r="M3" s="18" t="n">
        <v>901.766</v>
      </c>
      <c r="N3" s="18" t="n">
        <v>857.521</v>
      </c>
      <c r="O3" s="18" t="n">
        <v>902.554</v>
      </c>
      <c r="P3" s="18" t="n">
        <v>899.877</v>
      </c>
      <c r="Q3" s="18" t="n">
        <v>1021.69</v>
      </c>
      <c r="R3" s="18" t="n">
        <v>976.579</v>
      </c>
      <c r="S3" s="18" t="n">
        <v>1023.094</v>
      </c>
      <c r="T3" s="18" t="n">
        <v>1068.623</v>
      </c>
      <c r="U3" s="18" t="n">
        <v>1009.103</v>
      </c>
      <c r="V3" s="18" t="n">
        <v>1060.681</v>
      </c>
      <c r="W3" s="18" t="n">
        <v>1215.499</v>
      </c>
      <c r="X3" s="18" t="n">
        <v>1355.981</v>
      </c>
      <c r="Y3" s="18" t="n">
        <v>1242.366</v>
      </c>
      <c r="Z3" s="18" t="n">
        <v>1275.441</v>
      </c>
      <c r="AA3" s="18" t="n">
        <v>1338.838</v>
      </c>
      <c r="AB3" s="18" t="n">
        <v>1440.114</v>
      </c>
      <c r="AC3" s="18" t="n">
        <v>1474.22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61.469</v>
      </c>
      <c r="C5" s="18" t="n">
        <v>60.975</v>
      </c>
      <c r="D5" s="18" t="n">
        <v>73.328</v>
      </c>
      <c r="E5" s="18" t="n">
        <v>74.46299999999999</v>
      </c>
      <c r="F5" s="18" t="n">
        <v>75.215</v>
      </c>
      <c r="G5" s="18" t="n">
        <v>82.28400000000001</v>
      </c>
      <c r="H5" s="18" t="n">
        <v>73.536</v>
      </c>
      <c r="I5" s="18" t="n">
        <v>83.961</v>
      </c>
      <c r="J5" s="18" t="n">
        <v>76.717</v>
      </c>
      <c r="K5" s="18" t="n">
        <v>76.587</v>
      </c>
      <c r="L5" s="18" t="n">
        <v>69.726</v>
      </c>
      <c r="M5" s="18" t="n">
        <v>97.843</v>
      </c>
      <c r="N5" s="18" t="n">
        <v>92.648</v>
      </c>
      <c r="O5" s="18" t="n">
        <v>87.649</v>
      </c>
      <c r="P5" s="18" t="n">
        <v>93.515</v>
      </c>
      <c r="Q5" s="18" t="n">
        <v>124.472</v>
      </c>
      <c r="R5" s="18" t="n">
        <v>96.858</v>
      </c>
      <c r="S5" s="18" t="n">
        <v>109.581</v>
      </c>
      <c r="T5" s="18" t="n">
        <v>104.099</v>
      </c>
      <c r="U5" s="18" t="n">
        <v>125.197</v>
      </c>
      <c r="V5" s="18" t="n">
        <v>139.27</v>
      </c>
      <c r="W5" s="18" t="n">
        <v>163.051</v>
      </c>
      <c r="X5" s="18" t="n">
        <v>219.991</v>
      </c>
      <c r="Y5" s="18" t="n">
        <v>167.133</v>
      </c>
      <c r="Z5" s="18" t="n">
        <v>184.167</v>
      </c>
      <c r="AA5" s="18" t="n">
        <v>182.193</v>
      </c>
      <c r="AB5" s="18" t="n">
        <v>188.726</v>
      </c>
      <c r="AC5" s="18" t="n">
        <v>61.235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231.814</v>
      </c>
      <c r="C7" s="18" t="n">
        <v>240.542</v>
      </c>
      <c r="D7" s="18" t="n">
        <v>235.372</v>
      </c>
      <c r="E7" s="18" t="n">
        <v>241.668</v>
      </c>
      <c r="F7" s="18" t="n">
        <v>250.821</v>
      </c>
      <c r="G7" s="18" t="n">
        <v>250.934</v>
      </c>
      <c r="H7" s="18" t="n">
        <v>290.309</v>
      </c>
      <c r="I7" s="18" t="n">
        <v>270.992</v>
      </c>
      <c r="J7" s="18" t="n">
        <v>285.227</v>
      </c>
      <c r="K7" s="18" t="n">
        <v>289.105</v>
      </c>
      <c r="L7" s="18" t="n">
        <v>288.953</v>
      </c>
      <c r="M7" s="18" t="n">
        <v>290.895</v>
      </c>
      <c r="N7" s="18" t="n">
        <v>286.597</v>
      </c>
      <c r="O7" s="18" t="n">
        <v>323.629</v>
      </c>
      <c r="P7" s="18" t="n">
        <v>350.423</v>
      </c>
      <c r="Q7" s="18" t="n">
        <v>350.295</v>
      </c>
      <c r="R7" s="18" t="n">
        <v>354.416</v>
      </c>
      <c r="S7" s="18" t="n">
        <v>369.642</v>
      </c>
      <c r="T7" s="18" t="n">
        <v>367.443</v>
      </c>
      <c r="U7" s="18" t="n">
        <v>378.958</v>
      </c>
      <c r="V7" s="18" t="n">
        <v>370.74</v>
      </c>
      <c r="W7" s="18" t="n">
        <v>407.369</v>
      </c>
      <c r="X7" s="18" t="n">
        <v>392.026</v>
      </c>
      <c r="Y7" s="18" t="n">
        <v>439.102</v>
      </c>
      <c r="Z7" s="18" t="n">
        <v>442.057</v>
      </c>
      <c r="AA7" s="18" t="n">
        <v>423.031</v>
      </c>
      <c r="AB7" s="18" t="n">
        <v>464.582</v>
      </c>
      <c r="AC7" s="18" t="n">
        <v>508.437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150.615</v>
      </c>
      <c r="C9" s="18" t="n">
        <v>154.572</v>
      </c>
      <c r="D9" s="18" t="n">
        <v>169.36</v>
      </c>
      <c r="E9" s="18" t="n">
        <v>159.336</v>
      </c>
      <c r="F9" s="18" t="n">
        <v>156.117</v>
      </c>
      <c r="G9" s="18" t="n">
        <v>159.666</v>
      </c>
      <c r="H9" s="18" t="n">
        <v>195.766</v>
      </c>
      <c r="I9" s="18" t="n">
        <v>172.778</v>
      </c>
      <c r="J9" s="18" t="n">
        <v>176.3</v>
      </c>
      <c r="K9" s="18" t="n">
        <v>186.391</v>
      </c>
      <c r="L9" s="18" t="n">
        <v>213.811</v>
      </c>
      <c r="M9" s="18" t="n">
        <v>189.123</v>
      </c>
      <c r="N9" s="18" t="n">
        <v>190.722</v>
      </c>
      <c r="O9" s="18" t="n">
        <v>226.613</v>
      </c>
      <c r="P9" s="18" t="n">
        <v>239.882</v>
      </c>
      <c r="Q9" s="18" t="n">
        <v>220.193</v>
      </c>
      <c r="R9" s="18" t="n">
        <v>221.675</v>
      </c>
      <c r="S9" s="18" t="n">
        <v>234.771</v>
      </c>
      <c r="T9" s="18" t="n">
        <v>256.11</v>
      </c>
      <c r="U9" s="18" t="n">
        <v>249.305</v>
      </c>
      <c r="V9" s="18" t="n">
        <v>250.161</v>
      </c>
      <c r="W9" s="18" t="n">
        <v>261.344</v>
      </c>
      <c r="X9" s="18" t="n">
        <v>278.956</v>
      </c>
      <c r="Y9" s="18" t="n">
        <v>265.798</v>
      </c>
      <c r="Z9" s="18" t="n">
        <v>269.624</v>
      </c>
      <c r="AA9" s="18" t="n">
        <v>270.595</v>
      </c>
      <c r="AB9" s="18" t="n">
        <v>310.003</v>
      </c>
      <c r="AC9" s="18" t="n">
        <v>299.702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518.95</v>
      </c>
      <c r="C11" s="18" t="n">
        <v>518.628</v>
      </c>
      <c r="D11" s="18" t="n">
        <v>526.227</v>
      </c>
      <c r="E11" s="18" t="n">
        <v>543.494</v>
      </c>
      <c r="F11" s="18" t="n">
        <v>563.203</v>
      </c>
      <c r="G11" s="18" t="n">
        <v>584.323</v>
      </c>
      <c r="H11" s="18" t="n">
        <v>686.373</v>
      </c>
      <c r="I11" s="18" t="n">
        <v>652.067</v>
      </c>
      <c r="J11" s="18" t="n">
        <v>651.568</v>
      </c>
      <c r="K11" s="18" t="n">
        <v>674.308</v>
      </c>
      <c r="L11" s="18" t="n">
        <v>703.3099999999999</v>
      </c>
      <c r="M11" s="18" t="n">
        <v>803.923</v>
      </c>
      <c r="N11" s="18" t="n">
        <v>764.873</v>
      </c>
      <c r="O11" s="18" t="n">
        <v>814.905</v>
      </c>
      <c r="P11" s="18" t="n">
        <v>806.362</v>
      </c>
      <c r="Q11" s="18" t="n">
        <v>897.218</v>
      </c>
      <c r="R11" s="18" t="n">
        <v>879.721</v>
      </c>
      <c r="S11" s="18" t="n">
        <v>913.513</v>
      </c>
      <c r="T11" s="18" t="n">
        <v>964.524</v>
      </c>
      <c r="U11" s="18" t="n">
        <v>883.9059999999999</v>
      </c>
      <c r="V11" s="18" t="n">
        <v>921.4109999999999</v>
      </c>
      <c r="W11" s="18" t="n">
        <v>1052.448</v>
      </c>
      <c r="X11" s="18" t="n">
        <v>1135.99</v>
      </c>
      <c r="Y11" s="18" t="n">
        <v>1075.233</v>
      </c>
      <c r="Z11" s="18" t="n">
        <v>1091.274</v>
      </c>
      <c r="AA11" s="18" t="n">
        <v>1156.645</v>
      </c>
      <c r="AB11" s="18" t="n">
        <v>1251.388</v>
      </c>
      <c r="AC11" s="18" t="n">
        <v>1412.985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133.675</v>
      </c>
      <c r="C13" s="18" t="n">
        <v>120.826</v>
      </c>
      <c r="D13" s="18" t="n">
        <v>108.899</v>
      </c>
      <c r="E13" s="18" t="n">
        <v>138.284</v>
      </c>
      <c r="F13" s="18" t="n">
        <v>151.95</v>
      </c>
      <c r="G13" s="18" t="n">
        <v>169.272</v>
      </c>
      <c r="H13" s="18" t="n">
        <v>184.979</v>
      </c>
      <c r="I13" s="18" t="n">
        <v>203.937</v>
      </c>
      <c r="J13" s="18" t="n">
        <v>185.438</v>
      </c>
      <c r="K13" s="18" t="n">
        <v>194.034</v>
      </c>
      <c r="L13" s="18" t="n">
        <v>195.68</v>
      </c>
      <c r="M13" s="18" t="n">
        <v>318.929</v>
      </c>
      <c r="N13" s="18" t="n">
        <v>282.888</v>
      </c>
      <c r="O13" s="18" t="n">
        <v>260.752</v>
      </c>
      <c r="P13" s="18" t="n">
        <v>211.117</v>
      </c>
      <c r="Q13" s="18" t="n">
        <v>322.463</v>
      </c>
      <c r="R13" s="18" t="n">
        <v>299.328</v>
      </c>
      <c r="S13" s="18" t="n">
        <v>292.906</v>
      </c>
      <c r="T13" s="18" t="n">
        <v>336.528</v>
      </c>
      <c r="U13" s="18" t="n">
        <v>249.956</v>
      </c>
      <c r="V13" s="18" t="n">
        <v>293.876</v>
      </c>
      <c r="W13" s="18" t="n">
        <v>350.056</v>
      </c>
      <c r="X13" s="18" t="n">
        <v>456.875</v>
      </c>
      <c r="Y13" s="18" t="n">
        <v>361.411</v>
      </c>
      <c r="Z13" s="18" t="n">
        <v>370.389</v>
      </c>
      <c r="AA13" s="18" t="n">
        <v>452.786</v>
      </c>
      <c r="AB13" s="18" t="n">
        <v>465.225</v>
      </c>
      <c r="AC13" s="18" t="n">
        <v>431.329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107.235</v>
      </c>
      <c r="C15" s="18" t="n">
        <v>101.514</v>
      </c>
      <c r="D15" s="18" t="n">
        <v>659.675</v>
      </c>
      <c r="E15" s="18" t="n">
        <v>123.988</v>
      </c>
      <c r="F15" s="18" t="n">
        <v>131.288</v>
      </c>
      <c r="G15" s="18" t="n">
        <v>161.63</v>
      </c>
      <c r="H15" s="18" t="n">
        <v>173.738</v>
      </c>
      <c r="I15" s="18" t="n">
        <v>187.169</v>
      </c>
      <c r="J15" s="18" t="n">
        <v>155.9</v>
      </c>
      <c r="K15" s="18" t="n">
        <v>176.307</v>
      </c>
      <c r="L15" s="18" t="n">
        <v>176.579</v>
      </c>
      <c r="M15" s="18" t="n">
        <v>235.335</v>
      </c>
      <c r="N15" s="18" t="n">
        <v>186.92</v>
      </c>
      <c r="O15" s="18" t="n">
        <v>186.305</v>
      </c>
      <c r="P15" s="18" t="n">
        <v>240.392</v>
      </c>
      <c r="Q15" s="18" t="n">
        <v>241.804</v>
      </c>
      <c r="R15" s="18" t="n">
        <v>221.12</v>
      </c>
      <c r="S15" s="18" t="n">
        <v>254.321</v>
      </c>
      <c r="T15" s="18" t="n">
        <v>323.899</v>
      </c>
      <c r="U15" s="18" t="n">
        <v>247.643</v>
      </c>
      <c r="V15" s="18" t="n">
        <v>229.52</v>
      </c>
      <c r="W15" s="18" t="n">
        <v>238.111</v>
      </c>
      <c r="X15" s="18" t="n">
        <v>340.21</v>
      </c>
      <c r="Y15" s="18" t="n">
        <v>273.579</v>
      </c>
      <c r="Z15" s="18" t="n">
        <v>160.051</v>
      </c>
      <c r="AA15" s="18" t="n">
        <v>287.122</v>
      </c>
      <c r="AB15" s="18" t="n">
        <v>388.136</v>
      </c>
      <c r="AC15" s="18" t="n">
        <v>335.66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281.054</v>
      </c>
      <c r="C17" s="18" t="n">
        <v>280.666</v>
      </c>
      <c r="D17" s="18" t="n">
        <v>279.557</v>
      </c>
      <c r="E17" s="18" t="n">
        <v>279.265</v>
      </c>
      <c r="F17" s="18" t="n">
        <v>279.08</v>
      </c>
      <c r="G17" s="18" t="n">
        <v>280.024</v>
      </c>
      <c r="H17" s="18" t="n">
        <v>280.173</v>
      </c>
      <c r="I17" s="18" t="n">
        <v>280.14</v>
      </c>
      <c r="J17" s="18" t="n">
        <v>278.558</v>
      </c>
      <c r="K17" s="18" t="n">
        <v>278.311</v>
      </c>
      <c r="L17" s="18" t="n">
        <v>278.253</v>
      </c>
      <c r="M17" s="18" t="n">
        <v>276.918</v>
      </c>
      <c r="N17" s="18" t="n">
        <v>275.172</v>
      </c>
      <c r="O17" s="18" t="n">
        <v>274.957</v>
      </c>
      <c r="P17" s="18" t="n">
        <v>272.997</v>
      </c>
      <c r="Q17" s="18" t="n">
        <v>273.159</v>
      </c>
      <c r="R17" s="18" t="n">
        <v>272.996</v>
      </c>
      <c r="S17" s="18" t="n">
        <v>272.427</v>
      </c>
      <c r="T17" s="18" t="n">
        <v>272.419</v>
      </c>
      <c r="U17" s="18" t="n">
        <v>273.544</v>
      </c>
      <c r="V17" s="18" t="n">
        <v>273.52</v>
      </c>
      <c r="W17" s="18" t="n">
        <v>273.958</v>
      </c>
      <c r="X17" s="18" t="n">
        <v>274.292</v>
      </c>
      <c r="Y17" s="18" t="n">
        <v>273.631</v>
      </c>
      <c r="Z17" s="18" t="n">
        <v>272.899</v>
      </c>
      <c r="AA17" s="18" t="n">
        <v>273.798</v>
      </c>
      <c r="AB17" s="18" t="n">
        <v>272.932</v>
      </c>
      <c r="AC17" s="18" t="n">
        <v>273.725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Product and maintenance</t>
        </is>
      </c>
      <c r="B19" s="18" t="n">
        <v>548.028</v>
      </c>
      <c r="C19" s="18" t="n">
        <v>548.105</v>
      </c>
      <c r="D19" s="18" t="n">
        <v>564.9640000000001</v>
      </c>
      <c r="E19" s="18" t="n">
        <v>581.699</v>
      </c>
      <c r="F19" s="18" t="n">
        <v>601.356</v>
      </c>
      <c r="G19" s="18" t="n">
        <v>630.329</v>
      </c>
      <c r="H19" s="18" t="n">
        <v>723.2329999999999</v>
      </c>
      <c r="I19" s="18" t="n">
        <v>699.054</v>
      </c>
      <c r="J19" s="18" t="n">
        <v>687.884</v>
      </c>
      <c r="K19" s="18" t="n">
        <v>706.16</v>
      </c>
      <c r="L19" s="18" t="n">
        <v>719.849</v>
      </c>
      <c r="M19" s="18" t="n">
        <v>846.244</v>
      </c>
      <c r="N19" s="18" t="n">
        <v>802.285</v>
      </c>
      <c r="O19" s="18" t="n">
        <v>845.788</v>
      </c>
      <c r="P19" s="18" t="n">
        <v>845.88</v>
      </c>
      <c r="Q19" s="18" t="n">
        <v>963.742</v>
      </c>
      <c r="R19" s="18" t="n">
        <v>922.79</v>
      </c>
      <c r="S19" s="18" t="n">
        <v>965.84</v>
      </c>
      <c r="T19" s="18" t="n">
        <v>981.987</v>
      </c>
      <c r="U19" s="18" t="n">
        <v>913.385</v>
      </c>
      <c r="V19" s="18" t="n">
        <v>960.457</v>
      </c>
      <c r="W19" s="18" t="n">
        <v>1100.38</v>
      </c>
      <c r="X19" s="18" t="n">
        <v>1239.287</v>
      </c>
      <c r="Y19" s="18" t="n">
        <v>1110.85</v>
      </c>
      <c r="Z19" s="18" t="n">
        <v>1170.51</v>
      </c>
      <c r="AA19" s="18" t="n">
        <v>1207.703</v>
      </c>
      <c r="AB19" s="18" t="n">
        <v>1332.526</v>
      </c>
      <c r="AC19" s="18" t="n">
        <v>1348.922</v>
      </c>
    </row>
    <row r="20">
      <c r="A20" s="4" t="inlineStr">
        <is>
          <t xml:space="preserve">    % YoY</t>
        </is>
      </c>
      <c r="F20" s="27">
        <f>IFERROR(F19/B19-1,"")</f>
        <v/>
      </c>
      <c r="G20" s="27">
        <f>IFERROR(G19/C19-1,"")</f>
        <v/>
      </c>
      <c r="H20" s="27">
        <f>IFERROR(H19/D19-1,"")</f>
        <v/>
      </c>
      <c r="I20" s="27">
        <f>IFERROR(I19/E19-1,"")</f>
        <v/>
      </c>
      <c r="J20" s="27">
        <f>IFERROR(J19/F19-1,"")</f>
        <v/>
      </c>
      <c r="K20" s="27">
        <f>IFERROR(K19/G19-1,"")</f>
        <v/>
      </c>
      <c r="L20" s="27">
        <f>IFERROR(L19/H19-1,"")</f>
        <v/>
      </c>
      <c r="M20" s="27">
        <f>IFERROR(M19/I19-1,"")</f>
        <v/>
      </c>
      <c r="N20" s="27">
        <f>IFERROR(N19/J19-1,"")</f>
        <v/>
      </c>
      <c r="O20" s="27">
        <f>IFERROR(O19/K19-1,"")</f>
        <v/>
      </c>
      <c r="P20" s="27">
        <f>IFERROR(P19/L19-1,"")</f>
        <v/>
      </c>
      <c r="Q20" s="27">
        <f>IFERROR(Q19/M19-1,"")</f>
        <v/>
      </c>
      <c r="R20" s="27">
        <f>IFERROR(R19/N19-1,"")</f>
        <v/>
      </c>
      <c r="S20" s="27">
        <f>IFERROR(S19/O19-1,"")</f>
        <v/>
      </c>
      <c r="T20" s="27">
        <f>IFERROR(T19/P19-1,"")</f>
        <v/>
      </c>
      <c r="U20" s="27">
        <f>IFERROR(U19/Q19-1,"")</f>
        <v/>
      </c>
      <c r="V20" s="27">
        <f>IFERROR(V19/R19-1,"")</f>
        <v/>
      </c>
      <c r="W20" s="27">
        <f>IFERROR(W19/S19-1,"")</f>
        <v/>
      </c>
      <c r="X20" s="27">
        <f>IFERROR(X19/T19-1,"")</f>
        <v/>
      </c>
      <c r="Y20" s="27">
        <f>IFERROR(Y19/U19-1,"")</f>
        <v/>
      </c>
      <c r="Z20" s="27">
        <f>IFERROR(Z19/V19-1,"")</f>
        <v/>
      </c>
      <c r="AA20" s="27">
        <f>IFERROR(AA19/W19-1,"")</f>
        <v/>
      </c>
      <c r="AB20" s="27">
        <f>IFERROR(AB19/X19-1,"")</f>
        <v/>
      </c>
      <c r="AC20" s="27">
        <f>IFERROR(AC19/Y19-1,"")</f>
        <v/>
      </c>
    </row>
    <row r="21">
      <c r="A21" s="4" t="inlineStr">
        <is>
          <t xml:space="preserve">    % of revenue</t>
        </is>
      </c>
      <c r="B21" s="27">
        <f>IFERROR(B19/B3,"")</f>
        <v/>
      </c>
      <c r="C21" s="27">
        <f>IFERROR(C19/C3,"")</f>
        <v/>
      </c>
      <c r="D21" s="27">
        <f>IFERROR(D19/D3,"")</f>
        <v/>
      </c>
      <c r="E21" s="27">
        <f>IFERROR(E19/E3,"")</f>
        <v/>
      </c>
      <c r="F21" s="27">
        <f>IFERROR(F19/F3,"")</f>
        <v/>
      </c>
      <c r="G21" s="27">
        <f>IFERROR(G19/G3,"")</f>
        <v/>
      </c>
      <c r="H21" s="27">
        <f>IFERROR(H19/H3,"")</f>
        <v/>
      </c>
      <c r="I21" s="27">
        <f>IFERROR(I19/I3,"")</f>
        <v/>
      </c>
      <c r="J21" s="27">
        <f>IFERROR(J19/J3,"")</f>
        <v/>
      </c>
      <c r="K21" s="27">
        <f>IFERROR(K19/K3,"")</f>
        <v/>
      </c>
      <c r="L21" s="27">
        <f>IFERROR(L19/L3,"")</f>
        <v/>
      </c>
      <c r="M21" s="27">
        <f>IFERROR(M19/M3,"")</f>
        <v/>
      </c>
      <c r="N21" s="27">
        <f>IFERROR(N19/N3,"")</f>
        <v/>
      </c>
      <c r="O21" s="27">
        <f>IFERROR(O19/O3,"")</f>
        <v/>
      </c>
      <c r="P21" s="27">
        <f>IFERROR(P19/P3,"")</f>
        <v/>
      </c>
      <c r="Q21" s="27">
        <f>IFERROR(Q19/Q3,"")</f>
        <v/>
      </c>
      <c r="R21" s="27">
        <f>IFERROR(R19/R3,"")</f>
        <v/>
      </c>
      <c r="S21" s="27">
        <f>IFERROR(S19/S3,"")</f>
        <v/>
      </c>
      <c r="T21" s="27">
        <f>IFERROR(T19/T3,"")</f>
        <v/>
      </c>
      <c r="U21" s="27">
        <f>IFERROR(U19/U3,"")</f>
        <v/>
      </c>
      <c r="V21" s="27">
        <f>IFERROR(V19/V3,"")</f>
        <v/>
      </c>
      <c r="W21" s="27">
        <f>IFERROR(W19/W3,"")</f>
        <v/>
      </c>
      <c r="X21" s="27">
        <f>IFERROR(X19/X3,"")</f>
        <v/>
      </c>
      <c r="Y21" s="27">
        <f>IFERROR(Y19/Y3,"")</f>
        <v/>
      </c>
      <c r="Z21" s="27">
        <f>IFERROR(Z19/Z3,"")</f>
        <v/>
      </c>
      <c r="AA21" s="27">
        <f>IFERROR(AA19/AA3,"")</f>
        <v/>
      </c>
      <c r="AB21" s="27">
        <f>IFERROR(AB19/AB3,"")</f>
        <v/>
      </c>
      <c r="AC21" s="27">
        <f>IFERROR(AC19/AC3,"")</f>
        <v/>
      </c>
    </row>
    <row r="22">
      <c r="A22" s="4" t="inlineStr">
        <is>
          <t>Technology Service</t>
        </is>
      </c>
      <c r="B22" s="18" t="n">
        <v>32.391</v>
      </c>
      <c r="C22" s="18" t="n">
        <v>31.498</v>
      </c>
      <c r="D22" s="18" t="n">
        <v>34.591</v>
      </c>
      <c r="E22" s="18" t="n">
        <v>36.258</v>
      </c>
      <c r="F22" s="18" t="n">
        <v>37.062</v>
      </c>
      <c r="G22" s="18" t="n">
        <v>36.278</v>
      </c>
      <c r="H22" s="18" t="n">
        <v>36.676</v>
      </c>
      <c r="I22" s="18" t="n">
        <v>36.974</v>
      </c>
      <c r="J22" s="18" t="n">
        <v>40.401</v>
      </c>
      <c r="K22" s="18" t="n">
        <v>44.735</v>
      </c>
      <c r="L22" s="18" t="n">
        <v>53.187</v>
      </c>
      <c r="M22" s="18" t="n">
        <v>55.522</v>
      </c>
      <c r="N22" s="18" t="n">
        <v>55.236</v>
      </c>
      <c r="O22" s="18" t="n">
        <v>56.766</v>
      </c>
      <c r="P22" s="18" t="n">
        <v>53.997</v>
      </c>
      <c r="Q22" s="18" t="n">
        <v>57.948</v>
      </c>
      <c r="R22" s="18" t="n">
        <v>53.789</v>
      </c>
      <c r="S22" s="18" t="n">
        <v>57.254</v>
      </c>
      <c r="T22" s="18" t="n">
        <v>86.636</v>
      </c>
      <c r="U22" s="18" t="n">
        <v>95.718</v>
      </c>
      <c r="V22" s="18" t="n">
        <v>100.224</v>
      </c>
      <c r="W22" s="18" t="n">
        <v>115.119</v>
      </c>
      <c r="X22" s="18" t="n">
        <v>116.694</v>
      </c>
      <c r="Y22" s="18" t="n">
        <v>131.516</v>
      </c>
      <c r="Z22" s="18" t="n">
        <v>104.931</v>
      </c>
      <c r="AA22" s="18" t="n">
        <v>131.135</v>
      </c>
      <c r="AB22" s="18" t="n">
        <v>107.588</v>
      </c>
      <c r="AC22" s="18" t="n">
        <v>125.298</v>
      </c>
    </row>
    <row r="23">
      <c r="A23" s="4" t="inlineStr">
        <is>
          <t xml:space="preserve">    % YoY</t>
        </is>
      </c>
      <c r="F23" s="27">
        <f>IFERROR(F22/B22-1,"")</f>
        <v/>
      </c>
      <c r="G23" s="27">
        <f>IFERROR(G22/C22-1,"")</f>
        <v/>
      </c>
      <c r="H23" s="27">
        <f>IFERROR(H22/D22-1,"")</f>
        <v/>
      </c>
      <c r="I23" s="27">
        <f>IFERROR(I22/E22-1,"")</f>
        <v/>
      </c>
      <c r="J23" s="27">
        <f>IFERROR(J22/F22-1,"")</f>
        <v/>
      </c>
      <c r="K23" s="27">
        <f>IFERROR(K22/G22-1,"")</f>
        <v/>
      </c>
      <c r="L23" s="27">
        <f>IFERROR(L22/H22-1,"")</f>
        <v/>
      </c>
      <c r="M23" s="27">
        <f>IFERROR(M22/I22-1,"")</f>
        <v/>
      </c>
      <c r="N23" s="27">
        <f>IFERROR(N22/J22-1,"")</f>
        <v/>
      </c>
      <c r="O23" s="27">
        <f>IFERROR(O22/K22-1,"")</f>
        <v/>
      </c>
      <c r="P23" s="27">
        <f>IFERROR(P22/L22-1,"")</f>
        <v/>
      </c>
      <c r="Q23" s="27">
        <f>IFERROR(Q22/M22-1,"")</f>
        <v/>
      </c>
      <c r="R23" s="27">
        <f>IFERROR(R22/N22-1,"")</f>
        <v/>
      </c>
      <c r="S23" s="27">
        <f>IFERROR(S22/O22-1,"")</f>
        <v/>
      </c>
      <c r="T23" s="27">
        <f>IFERROR(T22/P22-1,"")</f>
        <v/>
      </c>
      <c r="U23" s="27">
        <f>IFERROR(U22/Q22-1,"")</f>
        <v/>
      </c>
      <c r="V23" s="27">
        <f>IFERROR(V22/R22-1,"")</f>
        <v/>
      </c>
      <c r="W23" s="27">
        <f>IFERROR(W22/S22-1,"")</f>
        <v/>
      </c>
      <c r="X23" s="27">
        <f>IFERROR(X22/T22-1,"")</f>
        <v/>
      </c>
      <c r="Y23" s="27">
        <f>IFERROR(Y22/U22-1,"")</f>
        <v/>
      </c>
      <c r="Z23" s="27">
        <f>IFERROR(Z22/V22-1,"")</f>
        <v/>
      </c>
      <c r="AA23" s="27">
        <f>IFERROR(AA22/W22-1,"")</f>
        <v/>
      </c>
      <c r="AB23" s="27">
        <f>IFERROR(AB22/X22-1,"")</f>
        <v/>
      </c>
      <c r="AC23" s="27">
        <f>IFERROR(AC22/Y22-1,"")</f>
        <v/>
      </c>
    </row>
    <row r="24">
      <c r="A24" s="4" t="inlineStr">
        <is>
          <t xml:space="preserve">    % of revenue</t>
        </is>
      </c>
      <c r="B24" s="27">
        <f>IFERROR(B22/B3,"")</f>
        <v/>
      </c>
      <c r="C24" s="27">
        <f>IFERROR(C22/C3,"")</f>
        <v/>
      </c>
      <c r="D24" s="27">
        <f>IFERROR(D22/D3,"")</f>
        <v/>
      </c>
      <c r="E24" s="27">
        <f>IFERROR(E22/E3,"")</f>
        <v/>
      </c>
      <c r="F24" s="27">
        <f>IFERROR(F22/F3,"")</f>
        <v/>
      </c>
      <c r="G24" s="27">
        <f>IFERROR(G22/G3,"")</f>
        <v/>
      </c>
      <c r="H24" s="27">
        <f>IFERROR(H22/H3,"")</f>
        <v/>
      </c>
      <c r="I24" s="27">
        <f>IFERROR(I22/I3,"")</f>
        <v/>
      </c>
      <c r="J24" s="27">
        <f>IFERROR(J22/J3,"")</f>
        <v/>
      </c>
      <c r="K24" s="27">
        <f>IFERROR(K22/K3,"")</f>
        <v/>
      </c>
      <c r="L24" s="27">
        <f>IFERROR(L22/L3,"")</f>
        <v/>
      </c>
      <c r="M24" s="27">
        <f>IFERROR(M22/M3,"")</f>
        <v/>
      </c>
      <c r="N24" s="27">
        <f>IFERROR(N22/N3,"")</f>
        <v/>
      </c>
      <c r="O24" s="27">
        <f>IFERROR(O22/O3,"")</f>
        <v/>
      </c>
      <c r="P24" s="27">
        <f>IFERROR(P22/P3,"")</f>
        <v/>
      </c>
      <c r="Q24" s="27">
        <f>IFERROR(Q22/Q3,"")</f>
        <v/>
      </c>
      <c r="R24" s="27">
        <f>IFERROR(R22/R3,"")</f>
        <v/>
      </c>
      <c r="S24" s="27">
        <f>IFERROR(S22/S3,"")</f>
        <v/>
      </c>
      <c r="T24" s="27">
        <f>IFERROR(T22/T3,"")</f>
        <v/>
      </c>
      <c r="U24" s="27">
        <f>IFERROR(U22/U3,"")</f>
        <v/>
      </c>
      <c r="V24" s="27">
        <f>IFERROR(V22/V3,"")</f>
        <v/>
      </c>
      <c r="W24" s="27">
        <f>IFERROR(W22/W3,"")</f>
        <v/>
      </c>
      <c r="X24" s="27">
        <f>IFERROR(X22/X3,"")</f>
        <v/>
      </c>
      <c r="Y24" s="27">
        <f>IFERROR(Y22/Y3,"")</f>
        <v/>
      </c>
      <c r="Z24" s="27">
        <f>IFERROR(Z22/Z3,"")</f>
        <v/>
      </c>
      <c r="AA24" s="27">
        <f>IFERROR(AA22/AA3,"")</f>
        <v/>
      </c>
      <c r="AB24" s="27">
        <f>IFERROR(AB22/AB3,"")</f>
        <v/>
      </c>
      <c r="AC24" s="27">
        <f>IFERROR(AC22/AC3,"")</f>
        <v/>
      </c>
    </row>
    <row r="25">
      <c r="A25" s="5" t="inlineStr">
        <is>
          <t xml:space="preserve">  REVENUE BY SEGMENT — GEOGRAPHY (% YoY, % of revenue)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Americas</t>
        </is>
      </c>
      <c r="B26" s="18" t="n">
        <v>246.515</v>
      </c>
      <c r="C26" s="18" t="n">
        <v>253.72</v>
      </c>
      <c r="D26" s="18" t="n">
        <v>273.964</v>
      </c>
      <c r="E26" s="18" t="n">
        <v>267.325</v>
      </c>
      <c r="F26" s="18" t="n">
        <v>277.12</v>
      </c>
      <c r="G26" s="18" t="n">
        <v>280.013</v>
      </c>
      <c r="H26" s="18" t="n">
        <v>315.457</v>
      </c>
      <c r="I26" s="18" t="n">
        <v>336</v>
      </c>
      <c r="J26" s="18" t="n">
        <v>323.328</v>
      </c>
      <c r="K26" s="18" t="n">
        <v>342.95</v>
      </c>
      <c r="L26" s="18" t="n">
        <v>332.843</v>
      </c>
      <c r="M26" s="18" t="n">
        <v>425.34</v>
      </c>
      <c r="N26" s="18" t="n">
        <v>381.017</v>
      </c>
      <c r="O26" s="18" t="n">
        <v>407.387</v>
      </c>
      <c r="P26" s="18" t="n">
        <v>417.26</v>
      </c>
      <c r="Q26" s="18" t="n">
        <v>450.464</v>
      </c>
      <c r="R26" s="18" t="n">
        <v>401.561</v>
      </c>
      <c r="S26" s="18" t="n">
        <v>437.347</v>
      </c>
      <c r="T26" s="18" t="n">
        <v>470.416</v>
      </c>
      <c r="U26" s="18" t="n">
        <v>462.87</v>
      </c>
      <c r="V26" s="18" t="n">
        <v>518.829</v>
      </c>
      <c r="W26" s="18" t="n">
        <v>605.402</v>
      </c>
      <c r="X26" s="18" t="n">
        <v>665.703</v>
      </c>
      <c r="Y26" s="18" t="n">
        <v>598.579</v>
      </c>
      <c r="Z26" s="18" t="n">
        <v>630.337</v>
      </c>
      <c r="AA26" s="18" t="n">
        <v>575.121</v>
      </c>
      <c r="AB26" s="18" t="n">
        <v>675.277</v>
      </c>
      <c r="AC26" s="18" t="n">
        <v>656.069</v>
      </c>
    </row>
    <row r="27">
      <c r="A27" s="4" t="inlineStr">
        <is>
          <t xml:space="preserve">    % YoY</t>
        </is>
      </c>
      <c r="F27" s="27">
        <f>IFERROR(F26/B26-1,"")</f>
        <v/>
      </c>
      <c r="G27" s="27">
        <f>IFERROR(G26/C26-1,"")</f>
        <v/>
      </c>
      <c r="H27" s="27">
        <f>IFERROR(H26/D26-1,"")</f>
        <v/>
      </c>
      <c r="I27" s="27">
        <f>IFERROR(I26/E26-1,"")</f>
        <v/>
      </c>
      <c r="J27" s="27">
        <f>IFERROR(J26/F26-1,"")</f>
        <v/>
      </c>
      <c r="K27" s="27">
        <f>IFERROR(K26/G26-1,"")</f>
        <v/>
      </c>
      <c r="L27" s="27">
        <f>IFERROR(L26/H26-1,"")</f>
        <v/>
      </c>
      <c r="M27" s="27">
        <f>IFERROR(M26/I26-1,"")</f>
        <v/>
      </c>
      <c r="N27" s="27">
        <f>IFERROR(N26/J26-1,"")</f>
        <v/>
      </c>
      <c r="O27" s="27">
        <f>IFERROR(O26/K26-1,"")</f>
        <v/>
      </c>
      <c r="P27" s="27">
        <f>IFERROR(P26/L26-1,"")</f>
        <v/>
      </c>
      <c r="Q27" s="27">
        <f>IFERROR(Q26/M26-1,"")</f>
        <v/>
      </c>
      <c r="R27" s="27">
        <f>IFERROR(R26/N26-1,"")</f>
        <v/>
      </c>
      <c r="S27" s="27">
        <f>IFERROR(S26/O26-1,"")</f>
        <v/>
      </c>
      <c r="T27" s="27">
        <f>IFERROR(T26/P26-1,"")</f>
        <v/>
      </c>
      <c r="U27" s="27">
        <f>IFERROR(U26/Q26-1,"")</f>
        <v/>
      </c>
      <c r="V27" s="27">
        <f>IFERROR(V26/R26-1,"")</f>
        <v/>
      </c>
      <c r="W27" s="27">
        <f>IFERROR(W26/S26-1,"")</f>
        <v/>
      </c>
      <c r="X27" s="27">
        <f>IFERROR(X26/T26-1,"")</f>
        <v/>
      </c>
      <c r="Y27" s="27">
        <f>IFERROR(Y26/U26-1,"")</f>
        <v/>
      </c>
      <c r="Z27" s="27">
        <f>IFERROR(Z26/V26-1,"")</f>
        <v/>
      </c>
      <c r="AA27" s="27">
        <f>IFERROR(AA26/W26-1,"")</f>
        <v/>
      </c>
      <c r="AB27" s="27">
        <f>IFERROR(AB26/X26-1,"")</f>
        <v/>
      </c>
      <c r="AC27" s="27">
        <f>IFERROR(AC26/Y26-1,"")</f>
        <v/>
      </c>
    </row>
    <row r="28">
      <c r="A28" s="4" t="inlineStr">
        <is>
          <t xml:space="preserve">    % of revenue</t>
        </is>
      </c>
      <c r="B28" s="27">
        <f>IFERROR(B26/B3,"")</f>
        <v/>
      </c>
      <c r="C28" s="27">
        <f>IFERROR(C26/C3,"")</f>
        <v/>
      </c>
      <c r="D28" s="27">
        <f>IFERROR(D26/D3,"")</f>
        <v/>
      </c>
      <c r="E28" s="27">
        <f>IFERROR(E26/E3,"")</f>
        <v/>
      </c>
      <c r="F28" s="27">
        <f>IFERROR(F26/F3,"")</f>
        <v/>
      </c>
      <c r="G28" s="27">
        <f>IFERROR(G26/G3,"")</f>
        <v/>
      </c>
      <c r="H28" s="27">
        <f>IFERROR(H26/H3,"")</f>
        <v/>
      </c>
      <c r="I28" s="27">
        <f>IFERROR(I26/I3,"")</f>
        <v/>
      </c>
      <c r="J28" s="27">
        <f>IFERROR(J26/J3,"")</f>
        <v/>
      </c>
      <c r="K28" s="27">
        <f>IFERROR(K26/K3,"")</f>
        <v/>
      </c>
      <c r="L28" s="27">
        <f>IFERROR(L26/L3,"")</f>
        <v/>
      </c>
      <c r="M28" s="27">
        <f>IFERROR(M26/M3,"")</f>
        <v/>
      </c>
      <c r="N28" s="27">
        <f>IFERROR(N26/N3,"")</f>
        <v/>
      </c>
      <c r="O28" s="27">
        <f>IFERROR(O26/O3,"")</f>
        <v/>
      </c>
      <c r="P28" s="27">
        <f>IFERROR(P26/P3,"")</f>
        <v/>
      </c>
      <c r="Q28" s="27">
        <f>IFERROR(Q26/Q3,"")</f>
        <v/>
      </c>
      <c r="R28" s="27">
        <f>IFERROR(R26/R3,"")</f>
        <v/>
      </c>
      <c r="S28" s="27">
        <f>IFERROR(S26/S3,"")</f>
        <v/>
      </c>
      <c r="T28" s="27">
        <f>IFERROR(T26/T3,"")</f>
        <v/>
      </c>
      <c r="U28" s="27">
        <f>IFERROR(U26/U3,"")</f>
        <v/>
      </c>
      <c r="V28" s="27">
        <f>IFERROR(V26/V3,"")</f>
        <v/>
      </c>
      <c r="W28" s="27">
        <f>IFERROR(W26/W3,"")</f>
        <v/>
      </c>
      <c r="X28" s="27">
        <f>IFERROR(X26/X3,"")</f>
        <v/>
      </c>
      <c r="Y28" s="27">
        <f>IFERROR(Y26/Y3,"")</f>
        <v/>
      </c>
      <c r="Z28" s="27">
        <f>IFERROR(Z26/Z3,"")</f>
        <v/>
      </c>
      <c r="AA28" s="27">
        <f>IFERROR(AA26/AA3,"")</f>
        <v/>
      </c>
      <c r="AB28" s="27">
        <f>IFERROR(AB26/AB3,"")</f>
        <v/>
      </c>
      <c r="AC28" s="27">
        <f>IFERROR(AC26/AC3,"")</f>
        <v/>
      </c>
    </row>
    <row r="29">
      <c r="A29" s="4" t="inlineStr">
        <is>
          <t>UNITED STATES</t>
        </is>
      </c>
      <c r="Z29" s="18" t="n">
        <v>591.265</v>
      </c>
      <c r="AA29" s="18" t="n">
        <v>532.119</v>
      </c>
      <c r="AB29" s="18" t="n">
        <v>1187.581</v>
      </c>
      <c r="AC29" s="18" t="n">
        <v>600.77</v>
      </c>
    </row>
    <row r="30">
      <c r="A30" s="4" t="inlineStr">
        <is>
          <t xml:space="preserve">    % YoY</t>
        </is>
      </c>
      <c r="F30" s="27">
        <f>IFERROR(F29/B29-1,"")</f>
        <v/>
      </c>
      <c r="G30" s="27">
        <f>IFERROR(G29/C29-1,"")</f>
        <v/>
      </c>
      <c r="H30" s="27">
        <f>IFERROR(H29/D29-1,"")</f>
        <v/>
      </c>
      <c r="I30" s="27">
        <f>IFERROR(I29/E29-1,"")</f>
        <v/>
      </c>
      <c r="J30" s="27">
        <f>IFERROR(J29/F29-1,"")</f>
        <v/>
      </c>
      <c r="K30" s="27">
        <f>IFERROR(K29/G29-1,"")</f>
        <v/>
      </c>
      <c r="L30" s="27">
        <f>IFERROR(L29/H29-1,"")</f>
        <v/>
      </c>
      <c r="M30" s="27">
        <f>IFERROR(M29/I29-1,"")</f>
        <v/>
      </c>
      <c r="N30" s="27">
        <f>IFERROR(N29/J29-1,"")</f>
        <v/>
      </c>
      <c r="O30" s="27">
        <f>IFERROR(O29/K29-1,"")</f>
        <v/>
      </c>
      <c r="P30" s="27">
        <f>IFERROR(P29/L29-1,"")</f>
        <v/>
      </c>
      <c r="Q30" s="27">
        <f>IFERROR(Q29/M29-1,"")</f>
        <v/>
      </c>
      <c r="R30" s="27">
        <f>IFERROR(R29/N29-1,"")</f>
        <v/>
      </c>
      <c r="S30" s="27">
        <f>IFERROR(S29/O29-1,"")</f>
        <v/>
      </c>
      <c r="T30" s="27">
        <f>IFERROR(T29/P29-1,"")</f>
        <v/>
      </c>
      <c r="U30" s="27">
        <f>IFERROR(U29/Q29-1,"")</f>
        <v/>
      </c>
      <c r="V30" s="27">
        <f>IFERROR(V29/R29-1,"")</f>
        <v/>
      </c>
      <c r="W30" s="27">
        <f>IFERROR(W29/S29-1,"")</f>
        <v/>
      </c>
      <c r="X30" s="27">
        <f>IFERROR(X29/T29-1,"")</f>
        <v/>
      </c>
      <c r="Y30" s="27">
        <f>IFERROR(Y29/U29-1,"")</f>
        <v/>
      </c>
      <c r="Z30" s="27">
        <f>IFERROR(Z29/V29-1,"")</f>
        <v/>
      </c>
      <c r="AA30" s="27">
        <f>IFERROR(AA29/W29-1,"")</f>
        <v/>
      </c>
      <c r="AB30" s="27">
        <f>IFERROR(AB29/X29-1,"")</f>
        <v/>
      </c>
      <c r="AC30" s="27">
        <f>IFERROR(AC29/Y29-1,"")</f>
        <v/>
      </c>
    </row>
    <row r="31">
      <c r="A31" s="4" t="inlineStr">
        <is>
          <t xml:space="preserve">    % of revenue</t>
        </is>
      </c>
      <c r="B31" s="27">
        <f>IFERROR(B29/B3,"")</f>
        <v/>
      </c>
      <c r="C31" s="27">
        <f>IFERROR(C29/C3,"")</f>
        <v/>
      </c>
      <c r="D31" s="27">
        <f>IFERROR(D29/D3,"")</f>
        <v/>
      </c>
      <c r="E31" s="27">
        <f>IFERROR(E29/E3,"")</f>
        <v/>
      </c>
      <c r="F31" s="27">
        <f>IFERROR(F29/F3,"")</f>
        <v/>
      </c>
      <c r="G31" s="27">
        <f>IFERROR(G29/G3,"")</f>
        <v/>
      </c>
      <c r="H31" s="27">
        <f>IFERROR(H29/H3,"")</f>
        <v/>
      </c>
      <c r="I31" s="27">
        <f>IFERROR(I29/I3,"")</f>
        <v/>
      </c>
      <c r="J31" s="27">
        <f>IFERROR(J29/J3,"")</f>
        <v/>
      </c>
      <c r="K31" s="27">
        <f>IFERROR(K29/K3,"")</f>
        <v/>
      </c>
      <c r="L31" s="27">
        <f>IFERROR(L29/L3,"")</f>
        <v/>
      </c>
      <c r="M31" s="27">
        <f>IFERROR(M29/M3,"")</f>
        <v/>
      </c>
      <c r="N31" s="27">
        <f>IFERROR(N29/N3,"")</f>
        <v/>
      </c>
      <c r="O31" s="27">
        <f>IFERROR(O29/O3,"")</f>
        <v/>
      </c>
      <c r="P31" s="27">
        <f>IFERROR(P29/P3,"")</f>
        <v/>
      </c>
      <c r="Q31" s="27">
        <f>IFERROR(Q29/Q3,"")</f>
        <v/>
      </c>
      <c r="R31" s="27">
        <f>IFERROR(R29/R3,"")</f>
        <v/>
      </c>
      <c r="S31" s="27">
        <f>IFERROR(S29/S3,"")</f>
        <v/>
      </c>
      <c r="T31" s="27">
        <f>IFERROR(T29/T3,"")</f>
        <v/>
      </c>
      <c r="U31" s="27">
        <f>IFERROR(U29/U3,"")</f>
        <v/>
      </c>
      <c r="V31" s="27">
        <f>IFERROR(V29/V3,"")</f>
        <v/>
      </c>
      <c r="W31" s="27">
        <f>IFERROR(W29/W3,"")</f>
        <v/>
      </c>
      <c r="X31" s="27">
        <f>IFERROR(X29/X3,"")</f>
        <v/>
      </c>
      <c r="Y31" s="27">
        <f>IFERROR(Y29/Y3,"")</f>
        <v/>
      </c>
      <c r="Z31" s="27">
        <f>IFERROR(Z29/Z3,"")</f>
        <v/>
      </c>
      <c r="AA31" s="27">
        <f>IFERROR(AA29/AA3,"")</f>
        <v/>
      </c>
      <c r="AB31" s="27">
        <f>IFERROR(AB29/AB3,"")</f>
        <v/>
      </c>
      <c r="AC31" s="27">
        <f>IFERROR(AC29/AC3,"")</f>
        <v/>
      </c>
    </row>
    <row r="32">
      <c r="A32" s="4" t="inlineStr">
        <is>
          <t>Asia</t>
        </is>
      </c>
      <c r="B32" s="18" t="n">
        <v>177.804</v>
      </c>
      <c r="C32" s="18" t="n">
        <v>178.337</v>
      </c>
      <c r="D32" s="18" t="n">
        <v>174.037</v>
      </c>
      <c r="E32" s="18" t="n">
        <v>193.398</v>
      </c>
      <c r="F32" s="18" t="n">
        <v>198.508</v>
      </c>
      <c r="G32" s="18" t="n">
        <v>237.348</v>
      </c>
      <c r="H32" s="18" t="n">
        <v>264.753</v>
      </c>
      <c r="I32" s="18" t="n">
        <v>223.289</v>
      </c>
      <c r="J32" s="18" t="n">
        <v>233.98</v>
      </c>
      <c r="K32" s="18" t="n">
        <v>234.597</v>
      </c>
      <c r="L32" s="18" t="n">
        <v>253.066</v>
      </c>
      <c r="M32" s="18" t="n">
        <v>298.64</v>
      </c>
      <c r="N32" s="18" t="n">
        <v>265.136</v>
      </c>
      <c r="O32" s="18" t="n">
        <v>304.575</v>
      </c>
      <c r="P32" s="18" t="n">
        <v>282.691</v>
      </c>
      <c r="Q32" s="18" t="n">
        <v>361.518</v>
      </c>
      <c r="R32" s="18" t="n">
        <v>351.01</v>
      </c>
      <c r="S32" s="18" t="n">
        <v>369.853</v>
      </c>
      <c r="T32" s="18" t="n">
        <v>363.566</v>
      </c>
      <c r="U32" s="18" t="n">
        <v>325.76</v>
      </c>
      <c r="V32" s="18" t="n">
        <v>325.737</v>
      </c>
      <c r="W32" s="18" t="n">
        <v>367.836</v>
      </c>
      <c r="X32" s="18" t="n">
        <v>409.682</v>
      </c>
      <c r="Y32" s="18" t="n">
        <v>379.893</v>
      </c>
      <c r="Z32" s="18" t="n">
        <v>358.942</v>
      </c>
      <c r="AA32" s="18" t="n">
        <v>487.736</v>
      </c>
      <c r="AB32" s="18" t="n">
        <v>458.632</v>
      </c>
      <c r="AC32" s="18" t="n">
        <v>576.7380000000001</v>
      </c>
    </row>
    <row r="33">
      <c r="A33" s="4" t="inlineStr">
        <is>
          <t xml:space="preserve">    % YoY</t>
        </is>
      </c>
      <c r="F33" s="27">
        <f>IFERROR(F32/B32-1,"")</f>
        <v/>
      </c>
      <c r="G33" s="27">
        <f>IFERROR(G32/C32-1,"")</f>
        <v/>
      </c>
      <c r="H33" s="27">
        <f>IFERROR(H32/D32-1,"")</f>
        <v/>
      </c>
      <c r="I33" s="27">
        <f>IFERROR(I32/E32-1,"")</f>
        <v/>
      </c>
      <c r="J33" s="27">
        <f>IFERROR(J32/F32-1,"")</f>
        <v/>
      </c>
      <c r="K33" s="27">
        <f>IFERROR(K32/G32-1,"")</f>
        <v/>
      </c>
      <c r="L33" s="27">
        <f>IFERROR(L32/H32-1,"")</f>
        <v/>
      </c>
      <c r="M33" s="27">
        <f>IFERROR(M32/I32-1,"")</f>
        <v/>
      </c>
      <c r="N33" s="27">
        <f>IFERROR(N32/J32-1,"")</f>
        <v/>
      </c>
      <c r="O33" s="27">
        <f>IFERROR(O32/K32-1,"")</f>
        <v/>
      </c>
      <c r="P33" s="27">
        <f>IFERROR(P32/L32-1,"")</f>
        <v/>
      </c>
      <c r="Q33" s="27">
        <f>IFERROR(Q32/M32-1,"")</f>
        <v/>
      </c>
      <c r="R33" s="27">
        <f>IFERROR(R32/N32-1,"")</f>
        <v/>
      </c>
      <c r="S33" s="27">
        <f>IFERROR(S32/O32-1,"")</f>
        <v/>
      </c>
      <c r="T33" s="27">
        <f>IFERROR(T32/P32-1,"")</f>
        <v/>
      </c>
      <c r="U33" s="27">
        <f>IFERROR(U32/Q32-1,"")</f>
        <v/>
      </c>
      <c r="V33" s="27">
        <f>IFERROR(V32/R32-1,"")</f>
        <v/>
      </c>
      <c r="W33" s="27">
        <f>IFERROR(W32/S32-1,"")</f>
        <v/>
      </c>
      <c r="X33" s="27">
        <f>IFERROR(X32/T32-1,"")</f>
        <v/>
      </c>
      <c r="Y33" s="27">
        <f>IFERROR(Y32/U32-1,"")</f>
        <v/>
      </c>
      <c r="Z33" s="27">
        <f>IFERROR(Z32/V32-1,"")</f>
        <v/>
      </c>
      <c r="AA33" s="27">
        <f>IFERROR(AA32/W32-1,"")</f>
        <v/>
      </c>
      <c r="AB33" s="27">
        <f>IFERROR(AB32/X32-1,"")</f>
        <v/>
      </c>
      <c r="AC33" s="27">
        <f>IFERROR(AC32/Y32-1,"")</f>
        <v/>
      </c>
    </row>
    <row r="34">
      <c r="A34" s="4" t="inlineStr">
        <is>
          <t xml:space="preserve">    % of revenue</t>
        </is>
      </c>
      <c r="B34" s="27">
        <f>IFERROR(B32/B3,"")</f>
        <v/>
      </c>
      <c r="C34" s="27">
        <f>IFERROR(C32/C3,"")</f>
        <v/>
      </c>
      <c r="D34" s="27">
        <f>IFERROR(D32/D3,"")</f>
        <v/>
      </c>
      <c r="E34" s="27">
        <f>IFERROR(E32/E3,"")</f>
        <v/>
      </c>
      <c r="F34" s="27">
        <f>IFERROR(F32/F3,"")</f>
        <v/>
      </c>
      <c r="G34" s="27">
        <f>IFERROR(G32/G3,"")</f>
        <v/>
      </c>
      <c r="H34" s="27">
        <f>IFERROR(H32/H3,"")</f>
        <v/>
      </c>
      <c r="I34" s="27">
        <f>IFERROR(I32/I3,"")</f>
        <v/>
      </c>
      <c r="J34" s="27">
        <f>IFERROR(J32/J3,"")</f>
        <v/>
      </c>
      <c r="K34" s="27">
        <f>IFERROR(K32/K3,"")</f>
        <v/>
      </c>
      <c r="L34" s="27">
        <f>IFERROR(L32/L3,"")</f>
        <v/>
      </c>
      <c r="M34" s="27">
        <f>IFERROR(M32/M3,"")</f>
        <v/>
      </c>
      <c r="N34" s="27">
        <f>IFERROR(N32/N3,"")</f>
        <v/>
      </c>
      <c r="O34" s="27">
        <f>IFERROR(O32/O3,"")</f>
        <v/>
      </c>
      <c r="P34" s="27">
        <f>IFERROR(P32/P3,"")</f>
        <v/>
      </c>
      <c r="Q34" s="27">
        <f>IFERROR(Q32/Q3,"")</f>
        <v/>
      </c>
      <c r="R34" s="27">
        <f>IFERROR(R32/R3,"")</f>
        <v/>
      </c>
      <c r="S34" s="27">
        <f>IFERROR(S32/S3,"")</f>
        <v/>
      </c>
      <c r="T34" s="27">
        <f>IFERROR(T32/T3,"")</f>
        <v/>
      </c>
      <c r="U34" s="27">
        <f>IFERROR(U32/U3,"")</f>
        <v/>
      </c>
      <c r="V34" s="27">
        <f>IFERROR(V32/V3,"")</f>
        <v/>
      </c>
      <c r="W34" s="27">
        <f>IFERROR(W32/W3,"")</f>
        <v/>
      </c>
      <c r="X34" s="27">
        <f>IFERROR(X32/X3,"")</f>
        <v/>
      </c>
      <c r="Y34" s="27">
        <f>IFERROR(Y32/Y3,"")</f>
        <v/>
      </c>
      <c r="Z34" s="27">
        <f>IFERROR(Z32/Z3,"")</f>
        <v/>
      </c>
      <c r="AA34" s="27">
        <f>IFERROR(AA32/AA3,"")</f>
        <v/>
      </c>
      <c r="AB34" s="27">
        <f>IFERROR(AB32/AB3,"")</f>
        <v/>
      </c>
      <c r="AC34" s="27">
        <f>IFERROR(AC32/AC3,"")</f>
        <v/>
      </c>
    </row>
    <row r="35">
      <c r="A35" s="4" t="inlineStr">
        <is>
          <t>Other Asia</t>
        </is>
      </c>
      <c r="Z35" s="18" t="n">
        <v>238.225</v>
      </c>
      <c r="AA35" s="18" t="n">
        <v>242.721</v>
      </c>
      <c r="AB35" s="18" t="n">
        <v>524.2859999999999</v>
      </c>
      <c r="AC35" s="18" t="n">
        <v>294.722</v>
      </c>
    </row>
    <row r="36">
      <c r="A36" s="4" t="inlineStr">
        <is>
          <t xml:space="preserve">    % YoY</t>
        </is>
      </c>
      <c r="F36" s="27">
        <f>IFERROR(F35/B35-1,"")</f>
        <v/>
      </c>
      <c r="G36" s="27">
        <f>IFERROR(G35/C35-1,"")</f>
        <v/>
      </c>
      <c r="H36" s="27">
        <f>IFERROR(H35/D35-1,"")</f>
        <v/>
      </c>
      <c r="I36" s="27">
        <f>IFERROR(I35/E35-1,"")</f>
        <v/>
      </c>
      <c r="J36" s="27">
        <f>IFERROR(J35/F35-1,"")</f>
        <v/>
      </c>
      <c r="K36" s="27">
        <f>IFERROR(K35/G35-1,"")</f>
        <v/>
      </c>
      <c r="L36" s="27">
        <f>IFERROR(L35/H35-1,"")</f>
        <v/>
      </c>
      <c r="M36" s="27">
        <f>IFERROR(M35/I35-1,"")</f>
        <v/>
      </c>
      <c r="N36" s="27">
        <f>IFERROR(N35/J35-1,"")</f>
        <v/>
      </c>
      <c r="O36" s="27">
        <f>IFERROR(O35/K35-1,"")</f>
        <v/>
      </c>
      <c r="P36" s="27">
        <f>IFERROR(P35/L35-1,"")</f>
        <v/>
      </c>
      <c r="Q36" s="27">
        <f>IFERROR(Q35/M35-1,"")</f>
        <v/>
      </c>
      <c r="R36" s="27">
        <f>IFERROR(R35/N35-1,"")</f>
        <v/>
      </c>
      <c r="S36" s="27">
        <f>IFERROR(S35/O35-1,"")</f>
        <v/>
      </c>
      <c r="T36" s="27">
        <f>IFERROR(T35/P35-1,"")</f>
        <v/>
      </c>
      <c r="U36" s="27">
        <f>IFERROR(U35/Q35-1,"")</f>
        <v/>
      </c>
      <c r="V36" s="27">
        <f>IFERROR(V35/R35-1,"")</f>
        <v/>
      </c>
      <c r="W36" s="27">
        <f>IFERROR(W35/S35-1,"")</f>
        <v/>
      </c>
      <c r="X36" s="27">
        <f>IFERROR(X35/T35-1,"")</f>
        <v/>
      </c>
      <c r="Y36" s="27">
        <f>IFERROR(Y35/U35-1,"")</f>
        <v/>
      </c>
      <c r="Z36" s="27">
        <f>IFERROR(Z35/V35-1,"")</f>
        <v/>
      </c>
      <c r="AA36" s="27">
        <f>IFERROR(AA35/W35-1,"")</f>
        <v/>
      </c>
      <c r="AB36" s="27">
        <f>IFERROR(AB35/X35-1,"")</f>
        <v/>
      </c>
      <c r="AC36" s="27">
        <f>IFERROR(AC35/Y35-1,"")</f>
        <v/>
      </c>
    </row>
    <row r="37">
      <c r="A37" s="4" t="inlineStr">
        <is>
          <t xml:space="preserve">    % of revenue</t>
        </is>
      </c>
      <c r="B37" s="27">
        <f>IFERROR(B35/B3,"")</f>
        <v/>
      </c>
      <c r="C37" s="27">
        <f>IFERROR(C35/C3,"")</f>
        <v/>
      </c>
      <c r="D37" s="27">
        <f>IFERROR(D35/D3,"")</f>
        <v/>
      </c>
      <c r="E37" s="27">
        <f>IFERROR(E35/E3,"")</f>
        <v/>
      </c>
      <c r="F37" s="27">
        <f>IFERROR(F35/F3,"")</f>
        <v/>
      </c>
      <c r="G37" s="27">
        <f>IFERROR(G35/G3,"")</f>
        <v/>
      </c>
      <c r="H37" s="27">
        <f>IFERROR(H35/H3,"")</f>
        <v/>
      </c>
      <c r="I37" s="27">
        <f>IFERROR(I35/I3,"")</f>
        <v/>
      </c>
      <c r="J37" s="27">
        <f>IFERROR(J35/J3,"")</f>
        <v/>
      </c>
      <c r="K37" s="27">
        <f>IFERROR(K35/K3,"")</f>
        <v/>
      </c>
      <c r="L37" s="27">
        <f>IFERROR(L35/L3,"")</f>
        <v/>
      </c>
      <c r="M37" s="27">
        <f>IFERROR(M35/M3,"")</f>
        <v/>
      </c>
      <c r="N37" s="27">
        <f>IFERROR(N35/N3,"")</f>
        <v/>
      </c>
      <c r="O37" s="27">
        <f>IFERROR(O35/O3,"")</f>
        <v/>
      </c>
      <c r="P37" s="27">
        <f>IFERROR(P35/P3,"")</f>
        <v/>
      </c>
      <c r="Q37" s="27">
        <f>IFERROR(Q35/Q3,"")</f>
        <v/>
      </c>
      <c r="R37" s="27">
        <f>IFERROR(R35/R3,"")</f>
        <v/>
      </c>
      <c r="S37" s="27">
        <f>IFERROR(S35/S3,"")</f>
        <v/>
      </c>
      <c r="T37" s="27">
        <f>IFERROR(T35/T3,"")</f>
        <v/>
      </c>
      <c r="U37" s="27">
        <f>IFERROR(U35/U3,"")</f>
        <v/>
      </c>
      <c r="V37" s="27">
        <f>IFERROR(V35/V3,"")</f>
        <v/>
      </c>
      <c r="W37" s="27">
        <f>IFERROR(W35/W3,"")</f>
        <v/>
      </c>
      <c r="X37" s="27">
        <f>IFERROR(X35/X3,"")</f>
        <v/>
      </c>
      <c r="Y37" s="27">
        <f>IFERROR(Y35/Y3,"")</f>
        <v/>
      </c>
      <c r="Z37" s="27">
        <f>IFERROR(Z35/Z3,"")</f>
        <v/>
      </c>
      <c r="AA37" s="27">
        <f>IFERROR(AA35/AA3,"")</f>
        <v/>
      </c>
      <c r="AB37" s="27">
        <f>IFERROR(AB35/AB3,"")</f>
        <v/>
      </c>
      <c r="AC37" s="27">
        <f>IFERROR(AC35/AC3,"")</f>
        <v/>
      </c>
    </row>
    <row r="38">
      <c r="A38" s="4" t="inlineStr">
        <is>
          <t>EMEA</t>
        </is>
      </c>
      <c r="B38" s="18" t="n">
        <v>113.829</v>
      </c>
      <c r="C38" s="18" t="n">
        <v>106.151</v>
      </c>
      <c r="D38" s="18" t="n">
        <v>109.872</v>
      </c>
      <c r="E38" s="18" t="n">
        <v>115.72</v>
      </c>
      <c r="F38" s="18" t="n">
        <v>116.54</v>
      </c>
      <c r="G38" s="18" t="n">
        <v>107.913</v>
      </c>
      <c r="H38" s="18" t="n">
        <v>129.631</v>
      </c>
      <c r="I38" s="18" t="n">
        <v>130.233</v>
      </c>
      <c r="J38" s="18" t="n">
        <v>124.502</v>
      </c>
      <c r="K38" s="18" t="n">
        <v>129.606</v>
      </c>
      <c r="L38" s="18" t="n">
        <v>139.049</v>
      </c>
      <c r="M38" s="18" t="n">
        <v>130.634</v>
      </c>
      <c r="N38" s="18" t="n">
        <v>158.043</v>
      </c>
      <c r="O38" s="18" t="n">
        <v>142.983</v>
      </c>
      <c r="P38" s="18" t="n">
        <v>150.69</v>
      </c>
      <c r="Q38" s="18" t="n">
        <v>154.27</v>
      </c>
      <c r="R38" s="18" t="n">
        <v>166.804</v>
      </c>
      <c r="S38" s="18" t="n">
        <v>158.194</v>
      </c>
      <c r="T38" s="18" t="n">
        <v>175.81</v>
      </c>
      <c r="U38" s="18" t="n">
        <v>169.056</v>
      </c>
      <c r="V38" s="18" t="n">
        <v>152.521</v>
      </c>
      <c r="W38" s="18" t="n">
        <v>174.606</v>
      </c>
      <c r="X38" s="18" t="n">
        <v>203.058</v>
      </c>
      <c r="Y38" s="18" t="n">
        <v>195.743</v>
      </c>
      <c r="Z38" s="18" t="n">
        <v>200.186</v>
      </c>
      <c r="AA38" s="18" t="n">
        <v>189.551</v>
      </c>
      <c r="AB38" s="18" t="n">
        <v>205.089</v>
      </c>
      <c r="AC38" s="18" t="n">
        <v>241.413</v>
      </c>
    </row>
    <row r="39">
      <c r="A39" s="4" t="inlineStr">
        <is>
          <t xml:space="preserve">    % YoY</t>
        </is>
      </c>
      <c r="F39" s="27">
        <f>IFERROR(F38/B38-1,"")</f>
        <v/>
      </c>
      <c r="G39" s="27">
        <f>IFERROR(G38/C38-1,"")</f>
        <v/>
      </c>
      <c r="H39" s="27">
        <f>IFERROR(H38/D38-1,"")</f>
        <v/>
      </c>
      <c r="I39" s="27">
        <f>IFERROR(I38/E38-1,"")</f>
        <v/>
      </c>
      <c r="J39" s="27">
        <f>IFERROR(J38/F38-1,"")</f>
        <v/>
      </c>
      <c r="K39" s="27">
        <f>IFERROR(K38/G38-1,"")</f>
        <v/>
      </c>
      <c r="L39" s="27">
        <f>IFERROR(L38/H38-1,"")</f>
        <v/>
      </c>
      <c r="M39" s="27">
        <f>IFERROR(M38/I38-1,"")</f>
        <v/>
      </c>
      <c r="N39" s="27">
        <f>IFERROR(N38/J38-1,"")</f>
        <v/>
      </c>
      <c r="O39" s="27">
        <f>IFERROR(O38/K38-1,"")</f>
        <v/>
      </c>
      <c r="P39" s="27">
        <f>IFERROR(P38/L38-1,"")</f>
        <v/>
      </c>
      <c r="Q39" s="27">
        <f>IFERROR(Q38/M38-1,"")</f>
        <v/>
      </c>
      <c r="R39" s="27">
        <f>IFERROR(R38/N38-1,"")</f>
        <v/>
      </c>
      <c r="S39" s="27">
        <f>IFERROR(S38/O38-1,"")</f>
        <v/>
      </c>
      <c r="T39" s="27">
        <f>IFERROR(T38/P38-1,"")</f>
        <v/>
      </c>
      <c r="U39" s="27">
        <f>IFERROR(U38/Q38-1,"")</f>
        <v/>
      </c>
      <c r="V39" s="27">
        <f>IFERROR(V38/R38-1,"")</f>
        <v/>
      </c>
      <c r="W39" s="27">
        <f>IFERROR(W38/S38-1,"")</f>
        <v/>
      </c>
      <c r="X39" s="27">
        <f>IFERROR(X38/T38-1,"")</f>
        <v/>
      </c>
      <c r="Y39" s="27">
        <f>IFERROR(Y38/U38-1,"")</f>
        <v/>
      </c>
      <c r="Z39" s="27">
        <f>IFERROR(Z38/V38-1,"")</f>
        <v/>
      </c>
      <c r="AA39" s="27">
        <f>IFERROR(AA38/W38-1,"")</f>
        <v/>
      </c>
      <c r="AB39" s="27">
        <f>IFERROR(AB38/X38-1,"")</f>
        <v/>
      </c>
      <c r="AC39" s="27">
        <f>IFERROR(AC38/Y38-1,"")</f>
        <v/>
      </c>
    </row>
    <row r="40">
      <c r="A40" s="4" t="inlineStr">
        <is>
          <t xml:space="preserve">    % of revenue</t>
        </is>
      </c>
      <c r="B40" s="27">
        <f>IFERROR(B38/B3,"")</f>
        <v/>
      </c>
      <c r="C40" s="27">
        <f>IFERROR(C38/C3,"")</f>
        <v/>
      </c>
      <c r="D40" s="27">
        <f>IFERROR(D38/D3,"")</f>
        <v/>
      </c>
      <c r="E40" s="27">
        <f>IFERROR(E38/E3,"")</f>
        <v/>
      </c>
      <c r="F40" s="27">
        <f>IFERROR(F38/F3,"")</f>
        <v/>
      </c>
      <c r="G40" s="27">
        <f>IFERROR(G38/G3,"")</f>
        <v/>
      </c>
      <c r="H40" s="27">
        <f>IFERROR(H38/H3,"")</f>
        <v/>
      </c>
      <c r="I40" s="27">
        <f>IFERROR(I38/I3,"")</f>
        <v/>
      </c>
      <c r="J40" s="27">
        <f>IFERROR(J38/J3,"")</f>
        <v/>
      </c>
      <c r="K40" s="27">
        <f>IFERROR(K38/K3,"")</f>
        <v/>
      </c>
      <c r="L40" s="27">
        <f>IFERROR(L38/L3,"")</f>
        <v/>
      </c>
      <c r="M40" s="27">
        <f>IFERROR(M38/M3,"")</f>
        <v/>
      </c>
      <c r="N40" s="27">
        <f>IFERROR(N38/N3,"")</f>
        <v/>
      </c>
      <c r="O40" s="27">
        <f>IFERROR(O38/O3,"")</f>
        <v/>
      </c>
      <c r="P40" s="27">
        <f>IFERROR(P38/P3,"")</f>
        <v/>
      </c>
      <c r="Q40" s="27">
        <f>IFERROR(Q38/Q3,"")</f>
        <v/>
      </c>
      <c r="R40" s="27">
        <f>IFERROR(R38/R3,"")</f>
        <v/>
      </c>
      <c r="S40" s="27">
        <f>IFERROR(S38/S3,"")</f>
        <v/>
      </c>
      <c r="T40" s="27">
        <f>IFERROR(T38/T3,"")</f>
        <v/>
      </c>
      <c r="U40" s="27">
        <f>IFERROR(U38/U3,"")</f>
        <v/>
      </c>
      <c r="V40" s="27">
        <f>IFERROR(V38/V3,"")</f>
        <v/>
      </c>
      <c r="W40" s="27">
        <f>IFERROR(W38/W3,"")</f>
        <v/>
      </c>
      <c r="X40" s="27">
        <f>IFERROR(X38/X3,"")</f>
        <v/>
      </c>
      <c r="Y40" s="27">
        <f>IFERROR(Y38/Y3,"")</f>
        <v/>
      </c>
      <c r="Z40" s="27">
        <f>IFERROR(Z38/Z3,"")</f>
        <v/>
      </c>
      <c r="AA40" s="27">
        <f>IFERROR(AA38/AA3,"")</f>
        <v/>
      </c>
      <c r="AB40" s="27">
        <f>IFERROR(AB38/AB3,"")</f>
        <v/>
      </c>
      <c r="AC40" s="27">
        <f>IFERROR(AC38/AC3,"")</f>
        <v/>
      </c>
    </row>
    <row r="41">
      <c r="A41" s="4" t="inlineStr">
        <is>
          <t>CHINA</t>
        </is>
      </c>
      <c r="Z41" s="18" t="n">
        <v>120.717</v>
      </c>
      <c r="AA41" s="18" t="n">
        <v>245.015</v>
      </c>
      <c r="AB41" s="18" t="n">
        <v>314.239</v>
      </c>
      <c r="AC41" s="18" t="n">
        <v>189.369</v>
      </c>
    </row>
    <row r="42">
      <c r="A42" s="4" t="inlineStr">
        <is>
          <t xml:space="preserve">    % YoY</t>
        </is>
      </c>
      <c r="F42" s="27">
        <f>IFERROR(F41/B41-1,"")</f>
        <v/>
      </c>
      <c r="G42" s="27">
        <f>IFERROR(G41/C41-1,"")</f>
        <v/>
      </c>
      <c r="H42" s="27">
        <f>IFERROR(H41/D41-1,"")</f>
        <v/>
      </c>
      <c r="I42" s="27">
        <f>IFERROR(I41/E41-1,"")</f>
        <v/>
      </c>
      <c r="J42" s="27">
        <f>IFERROR(J41/F41-1,"")</f>
        <v/>
      </c>
      <c r="K42" s="27">
        <f>IFERROR(K41/G41-1,"")</f>
        <v/>
      </c>
      <c r="L42" s="27">
        <f>IFERROR(L41/H41-1,"")</f>
        <v/>
      </c>
      <c r="M42" s="27">
        <f>IFERROR(M41/I41-1,"")</f>
        <v/>
      </c>
      <c r="N42" s="27">
        <f>IFERROR(N41/J41-1,"")</f>
        <v/>
      </c>
      <c r="O42" s="27">
        <f>IFERROR(O41/K41-1,"")</f>
        <v/>
      </c>
      <c r="P42" s="27">
        <f>IFERROR(P41/L41-1,"")</f>
        <v/>
      </c>
      <c r="Q42" s="27">
        <f>IFERROR(Q41/M41-1,"")</f>
        <v/>
      </c>
      <c r="R42" s="27">
        <f>IFERROR(R41/N41-1,"")</f>
        <v/>
      </c>
      <c r="S42" s="27">
        <f>IFERROR(S41/O41-1,"")</f>
        <v/>
      </c>
      <c r="T42" s="27">
        <f>IFERROR(T41/P41-1,"")</f>
        <v/>
      </c>
      <c r="U42" s="27">
        <f>IFERROR(U41/Q41-1,"")</f>
        <v/>
      </c>
      <c r="V42" s="27">
        <f>IFERROR(V41/R41-1,"")</f>
        <v/>
      </c>
      <c r="W42" s="27">
        <f>IFERROR(W41/S41-1,"")</f>
        <v/>
      </c>
      <c r="X42" s="27">
        <f>IFERROR(X41/T41-1,"")</f>
        <v/>
      </c>
      <c r="Y42" s="27">
        <f>IFERROR(Y41/U41-1,"")</f>
        <v/>
      </c>
      <c r="Z42" s="27">
        <f>IFERROR(Z41/V41-1,"")</f>
        <v/>
      </c>
      <c r="AA42" s="27">
        <f>IFERROR(AA41/W41-1,"")</f>
        <v/>
      </c>
      <c r="AB42" s="27">
        <f>IFERROR(AB41/X41-1,"")</f>
        <v/>
      </c>
      <c r="AC42" s="27">
        <f>IFERROR(AC41/Y41-1,"")</f>
        <v/>
      </c>
    </row>
    <row r="43">
      <c r="A43" s="4" t="inlineStr">
        <is>
          <t xml:space="preserve">    % of revenue</t>
        </is>
      </c>
      <c r="B43" s="27">
        <f>IFERROR(B41/B3,"")</f>
        <v/>
      </c>
      <c r="C43" s="27">
        <f>IFERROR(C41/C3,"")</f>
        <v/>
      </c>
      <c r="D43" s="27">
        <f>IFERROR(D41/D3,"")</f>
        <v/>
      </c>
      <c r="E43" s="27">
        <f>IFERROR(E41/E3,"")</f>
        <v/>
      </c>
      <c r="F43" s="27">
        <f>IFERROR(F41/F3,"")</f>
        <v/>
      </c>
      <c r="G43" s="27">
        <f>IFERROR(G41/G3,"")</f>
        <v/>
      </c>
      <c r="H43" s="27">
        <f>IFERROR(H41/H3,"")</f>
        <v/>
      </c>
      <c r="I43" s="27">
        <f>IFERROR(I41/I3,"")</f>
        <v/>
      </c>
      <c r="J43" s="27">
        <f>IFERROR(J41/J3,"")</f>
        <v/>
      </c>
      <c r="K43" s="27">
        <f>IFERROR(K41/K3,"")</f>
        <v/>
      </c>
      <c r="L43" s="27">
        <f>IFERROR(L41/L3,"")</f>
        <v/>
      </c>
      <c r="M43" s="27">
        <f>IFERROR(M41/M3,"")</f>
        <v/>
      </c>
      <c r="N43" s="27">
        <f>IFERROR(N41/N3,"")</f>
        <v/>
      </c>
      <c r="O43" s="27">
        <f>IFERROR(O41/O3,"")</f>
        <v/>
      </c>
      <c r="P43" s="27">
        <f>IFERROR(P41/P3,"")</f>
        <v/>
      </c>
      <c r="Q43" s="27">
        <f>IFERROR(Q41/Q3,"")</f>
        <v/>
      </c>
      <c r="R43" s="27">
        <f>IFERROR(R41/R3,"")</f>
        <v/>
      </c>
      <c r="S43" s="27">
        <f>IFERROR(S41/S3,"")</f>
        <v/>
      </c>
      <c r="T43" s="27">
        <f>IFERROR(T41/T3,"")</f>
        <v/>
      </c>
      <c r="U43" s="27">
        <f>IFERROR(U41/U3,"")</f>
        <v/>
      </c>
      <c r="V43" s="27">
        <f>IFERROR(V41/V3,"")</f>
        <v/>
      </c>
      <c r="W43" s="27">
        <f>IFERROR(W41/W3,"")</f>
        <v/>
      </c>
      <c r="X43" s="27">
        <f>IFERROR(X41/X3,"")</f>
        <v/>
      </c>
      <c r="Y43" s="27">
        <f>IFERROR(Y41/Y3,"")</f>
        <v/>
      </c>
      <c r="Z43" s="27">
        <f>IFERROR(Z41/Z3,"")</f>
        <v/>
      </c>
      <c r="AA43" s="27">
        <f>IFERROR(AA41/AA3,"")</f>
        <v/>
      </c>
      <c r="AB43" s="27">
        <f>IFERROR(AB41/AB3,"")</f>
        <v/>
      </c>
      <c r="AC43" s="27">
        <f>IFERROR(AC41/AC3,"")</f>
        <v/>
      </c>
    </row>
    <row r="44">
      <c r="A44" s="4" t="inlineStr">
        <is>
          <t>JAPAN</t>
        </is>
      </c>
      <c r="B44" s="18" t="n">
        <v>42.271</v>
      </c>
      <c r="C44" s="18" t="n">
        <v>41.395</v>
      </c>
      <c r="D44" s="18" t="n">
        <v>41.682</v>
      </c>
      <c r="E44" s="18" t="n">
        <v>41.514</v>
      </c>
      <c r="F44" s="18" t="n">
        <v>46.25</v>
      </c>
      <c r="G44" s="18" t="n">
        <v>41.333</v>
      </c>
      <c r="H44" s="18" t="n">
        <v>50.068</v>
      </c>
      <c r="I44" s="18" t="n">
        <v>46.506</v>
      </c>
      <c r="J44" s="18" t="n">
        <v>46.475</v>
      </c>
      <c r="K44" s="18" t="n">
        <v>43.742</v>
      </c>
      <c r="L44" s="18" t="n">
        <v>48.078</v>
      </c>
      <c r="M44" s="18" t="n">
        <v>47.152</v>
      </c>
      <c r="N44" s="18" t="n">
        <v>53.325</v>
      </c>
      <c r="O44" s="18" t="n">
        <v>47.609</v>
      </c>
      <c r="P44" s="18" t="n">
        <v>49.236</v>
      </c>
      <c r="Q44" s="18" t="n">
        <v>55.438</v>
      </c>
      <c r="R44" s="18" t="n">
        <v>57.204</v>
      </c>
      <c r="S44" s="18" t="n">
        <v>57.7</v>
      </c>
      <c r="T44" s="18" t="n">
        <v>58.831</v>
      </c>
      <c r="U44" s="18" t="n">
        <v>51.417</v>
      </c>
      <c r="V44" s="18" t="n">
        <v>63.594</v>
      </c>
      <c r="W44" s="18" t="n">
        <v>67.655</v>
      </c>
      <c r="X44" s="18" t="n">
        <v>77.538</v>
      </c>
      <c r="Y44" s="18" t="n">
        <v>68.151</v>
      </c>
      <c r="Z44" s="18" t="n">
        <v>85.976</v>
      </c>
      <c r="AA44" s="18" t="n">
        <v>86.43000000000001</v>
      </c>
      <c r="AB44" s="18" t="n">
        <v>101.116</v>
      </c>
      <c r="AC44" s="18" t="n">
        <v>92.64700000000001</v>
      </c>
    </row>
    <row r="45">
      <c r="A45" s="4" t="inlineStr">
        <is>
          <t xml:space="preserve">    % YoY</t>
        </is>
      </c>
      <c r="F45" s="27">
        <f>IFERROR(F44/B44-1,"")</f>
        <v/>
      </c>
      <c r="G45" s="27">
        <f>IFERROR(G44/C44-1,"")</f>
        <v/>
      </c>
      <c r="H45" s="27">
        <f>IFERROR(H44/D44-1,"")</f>
        <v/>
      </c>
      <c r="I45" s="27">
        <f>IFERROR(I44/E44-1,"")</f>
        <v/>
      </c>
      <c r="J45" s="27">
        <f>IFERROR(J44/F44-1,"")</f>
        <v/>
      </c>
      <c r="K45" s="27">
        <f>IFERROR(K44/G44-1,"")</f>
        <v/>
      </c>
      <c r="L45" s="27">
        <f>IFERROR(L44/H44-1,"")</f>
        <v/>
      </c>
      <c r="M45" s="27">
        <f>IFERROR(M44/I44-1,"")</f>
        <v/>
      </c>
      <c r="N45" s="27">
        <f>IFERROR(N44/J44-1,"")</f>
        <v/>
      </c>
      <c r="O45" s="27">
        <f>IFERROR(O44/K44-1,"")</f>
        <v/>
      </c>
      <c r="P45" s="27">
        <f>IFERROR(P44/L44-1,"")</f>
        <v/>
      </c>
      <c r="Q45" s="27">
        <f>IFERROR(Q44/M44-1,"")</f>
        <v/>
      </c>
      <c r="R45" s="27">
        <f>IFERROR(R44/N44-1,"")</f>
        <v/>
      </c>
      <c r="S45" s="27">
        <f>IFERROR(S44/O44-1,"")</f>
        <v/>
      </c>
      <c r="T45" s="27">
        <f>IFERROR(T44/P44-1,"")</f>
        <v/>
      </c>
      <c r="U45" s="27">
        <f>IFERROR(U44/Q44-1,"")</f>
        <v/>
      </c>
      <c r="V45" s="27">
        <f>IFERROR(V44/R44-1,"")</f>
        <v/>
      </c>
      <c r="W45" s="27">
        <f>IFERROR(W44/S44-1,"")</f>
        <v/>
      </c>
      <c r="X45" s="27">
        <f>IFERROR(X44/T44-1,"")</f>
        <v/>
      </c>
      <c r="Y45" s="27">
        <f>IFERROR(Y44/U44-1,"")</f>
        <v/>
      </c>
      <c r="Z45" s="27">
        <f>IFERROR(Z44/V44-1,"")</f>
        <v/>
      </c>
      <c r="AA45" s="27">
        <f>IFERROR(AA44/W44-1,"")</f>
        <v/>
      </c>
      <c r="AB45" s="27">
        <f>IFERROR(AB44/X44-1,"")</f>
        <v/>
      </c>
      <c r="AC45" s="27">
        <f>IFERROR(AC44/Y44-1,"")</f>
        <v/>
      </c>
    </row>
    <row r="46">
      <c r="A46" s="4" t="inlineStr">
        <is>
          <t xml:space="preserve">    % of revenue</t>
        </is>
      </c>
      <c r="B46" s="27">
        <f>IFERROR(B44/B3,"")</f>
        <v/>
      </c>
      <c r="C46" s="27">
        <f>IFERROR(C44/C3,"")</f>
        <v/>
      </c>
      <c r="D46" s="27">
        <f>IFERROR(D44/D3,"")</f>
        <v/>
      </c>
      <c r="E46" s="27">
        <f>IFERROR(E44/E3,"")</f>
        <v/>
      </c>
      <c r="F46" s="27">
        <f>IFERROR(F44/F3,"")</f>
        <v/>
      </c>
      <c r="G46" s="27">
        <f>IFERROR(G44/G3,"")</f>
        <v/>
      </c>
      <c r="H46" s="27">
        <f>IFERROR(H44/H3,"")</f>
        <v/>
      </c>
      <c r="I46" s="27">
        <f>IFERROR(I44/I3,"")</f>
        <v/>
      </c>
      <c r="J46" s="27">
        <f>IFERROR(J44/J3,"")</f>
        <v/>
      </c>
      <c r="K46" s="27">
        <f>IFERROR(K44/K3,"")</f>
        <v/>
      </c>
      <c r="L46" s="27">
        <f>IFERROR(L44/L3,"")</f>
        <v/>
      </c>
      <c r="M46" s="27">
        <f>IFERROR(M44/M3,"")</f>
        <v/>
      </c>
      <c r="N46" s="27">
        <f>IFERROR(N44/N3,"")</f>
        <v/>
      </c>
      <c r="O46" s="27">
        <f>IFERROR(O44/O3,"")</f>
        <v/>
      </c>
      <c r="P46" s="27">
        <f>IFERROR(P44/P3,"")</f>
        <v/>
      </c>
      <c r="Q46" s="27">
        <f>IFERROR(Q44/Q3,"")</f>
        <v/>
      </c>
      <c r="R46" s="27">
        <f>IFERROR(R44/R3,"")</f>
        <v/>
      </c>
      <c r="S46" s="27">
        <f>IFERROR(S44/S3,"")</f>
        <v/>
      </c>
      <c r="T46" s="27">
        <f>IFERROR(T44/T3,"")</f>
        <v/>
      </c>
      <c r="U46" s="27">
        <f>IFERROR(U44/U3,"")</f>
        <v/>
      </c>
      <c r="V46" s="27">
        <f>IFERROR(V44/V3,"")</f>
        <v/>
      </c>
      <c r="W46" s="27">
        <f>IFERROR(W44/W3,"")</f>
        <v/>
      </c>
      <c r="X46" s="27">
        <f>IFERROR(X44/X3,"")</f>
        <v/>
      </c>
      <c r="Y46" s="27">
        <f>IFERROR(Y44/Y3,"")</f>
        <v/>
      </c>
      <c r="Z46" s="27">
        <f>IFERROR(Z44/Z3,"")</f>
        <v/>
      </c>
      <c r="AA46" s="27">
        <f>IFERROR(AA44/AA3,"")</f>
        <v/>
      </c>
      <c r="AB46" s="27">
        <f>IFERROR(AB44/AB3,"")</f>
        <v/>
      </c>
      <c r="AC46" s="27">
        <f>IFERROR(AC44/AC3,"")</f>
        <v/>
      </c>
    </row>
    <row r="47">
      <c r="A47" s="4" t="inlineStr">
        <is>
          <t>Other America</t>
        </is>
      </c>
      <c r="Z47" s="18" t="n">
        <v>39.072</v>
      </c>
      <c r="AA47" s="18" t="n">
        <v>43.002</v>
      </c>
      <c r="AB47" s="18" t="n">
        <v>86.27500000000001</v>
      </c>
      <c r="AC47" s="18" t="n">
        <v>55.299</v>
      </c>
    </row>
    <row r="48">
      <c r="A48" s="4" t="inlineStr">
        <is>
          <t xml:space="preserve">    % YoY</t>
        </is>
      </c>
      <c r="F48" s="27">
        <f>IFERROR(F47/B47-1,"")</f>
        <v/>
      </c>
      <c r="G48" s="27">
        <f>IFERROR(G47/C47-1,"")</f>
        <v/>
      </c>
      <c r="H48" s="27">
        <f>IFERROR(H47/D47-1,"")</f>
        <v/>
      </c>
      <c r="I48" s="27">
        <f>IFERROR(I47/E47-1,"")</f>
        <v/>
      </c>
      <c r="J48" s="27">
        <f>IFERROR(J47/F47-1,"")</f>
        <v/>
      </c>
      <c r="K48" s="27">
        <f>IFERROR(K47/G47-1,"")</f>
        <v/>
      </c>
      <c r="L48" s="27">
        <f>IFERROR(L47/H47-1,"")</f>
        <v/>
      </c>
      <c r="M48" s="27">
        <f>IFERROR(M47/I47-1,"")</f>
        <v/>
      </c>
      <c r="N48" s="27">
        <f>IFERROR(N47/J47-1,"")</f>
        <v/>
      </c>
      <c r="O48" s="27">
        <f>IFERROR(O47/K47-1,"")</f>
        <v/>
      </c>
      <c r="P48" s="27">
        <f>IFERROR(P47/L47-1,"")</f>
        <v/>
      </c>
      <c r="Q48" s="27">
        <f>IFERROR(Q47/M47-1,"")</f>
        <v/>
      </c>
      <c r="R48" s="27">
        <f>IFERROR(R47/N47-1,"")</f>
        <v/>
      </c>
      <c r="S48" s="27">
        <f>IFERROR(S47/O47-1,"")</f>
        <v/>
      </c>
      <c r="T48" s="27">
        <f>IFERROR(T47/P47-1,"")</f>
        <v/>
      </c>
      <c r="U48" s="27">
        <f>IFERROR(U47/Q47-1,"")</f>
        <v/>
      </c>
      <c r="V48" s="27">
        <f>IFERROR(V47/R47-1,"")</f>
        <v/>
      </c>
      <c r="W48" s="27">
        <f>IFERROR(W47/S47-1,"")</f>
        <v/>
      </c>
      <c r="X48" s="27">
        <f>IFERROR(X47/T47-1,"")</f>
        <v/>
      </c>
      <c r="Y48" s="27">
        <f>IFERROR(Y47/U47-1,"")</f>
        <v/>
      </c>
      <c r="Z48" s="27">
        <f>IFERROR(Z47/V47-1,"")</f>
        <v/>
      </c>
      <c r="AA48" s="27">
        <f>IFERROR(AA47/W47-1,"")</f>
        <v/>
      </c>
      <c r="AB48" s="27">
        <f>IFERROR(AB47/X47-1,"")</f>
        <v/>
      </c>
      <c r="AC48" s="27">
        <f>IFERROR(AC47/Y47-1,"")</f>
        <v/>
      </c>
    </row>
    <row r="49">
      <c r="A49" s="4" t="inlineStr">
        <is>
          <t xml:space="preserve">    % of revenue</t>
        </is>
      </c>
      <c r="B49" s="27">
        <f>IFERROR(B47/B3,"")</f>
        <v/>
      </c>
      <c r="C49" s="27">
        <f>IFERROR(C47/C3,"")</f>
        <v/>
      </c>
      <c r="D49" s="27">
        <f>IFERROR(D47/D3,"")</f>
        <v/>
      </c>
      <c r="E49" s="27">
        <f>IFERROR(E47/E3,"")</f>
        <v/>
      </c>
      <c r="F49" s="27">
        <f>IFERROR(F47/F3,"")</f>
        <v/>
      </c>
      <c r="G49" s="27">
        <f>IFERROR(G47/G3,"")</f>
        <v/>
      </c>
      <c r="H49" s="27">
        <f>IFERROR(H47/H3,"")</f>
        <v/>
      </c>
      <c r="I49" s="27">
        <f>IFERROR(I47/I3,"")</f>
        <v/>
      </c>
      <c r="J49" s="27">
        <f>IFERROR(J47/J3,"")</f>
        <v/>
      </c>
      <c r="K49" s="27">
        <f>IFERROR(K47/K3,"")</f>
        <v/>
      </c>
      <c r="L49" s="27">
        <f>IFERROR(L47/L3,"")</f>
        <v/>
      </c>
      <c r="M49" s="27">
        <f>IFERROR(M47/M3,"")</f>
        <v/>
      </c>
      <c r="N49" s="27">
        <f>IFERROR(N47/N3,"")</f>
        <v/>
      </c>
      <c r="O49" s="27">
        <f>IFERROR(O47/O3,"")</f>
        <v/>
      </c>
      <c r="P49" s="27">
        <f>IFERROR(P47/P3,"")</f>
        <v/>
      </c>
      <c r="Q49" s="27">
        <f>IFERROR(Q47/Q3,"")</f>
        <v/>
      </c>
      <c r="R49" s="27">
        <f>IFERROR(R47/R3,"")</f>
        <v/>
      </c>
      <c r="S49" s="27">
        <f>IFERROR(S47/S3,"")</f>
        <v/>
      </c>
      <c r="T49" s="27">
        <f>IFERROR(T47/T3,"")</f>
        <v/>
      </c>
      <c r="U49" s="27">
        <f>IFERROR(U47/U3,"")</f>
        <v/>
      </c>
      <c r="V49" s="27">
        <f>IFERROR(V47/V3,"")</f>
        <v/>
      </c>
      <c r="W49" s="27">
        <f>IFERROR(W47/W3,"")</f>
        <v/>
      </c>
      <c r="X49" s="27">
        <f>IFERROR(X47/X3,"")</f>
        <v/>
      </c>
      <c r="Y49" s="27">
        <f>IFERROR(Y47/Y3,"")</f>
        <v/>
      </c>
      <c r="Z49" s="27">
        <f>IFERROR(Z47/Z3,"")</f>
        <v/>
      </c>
      <c r="AA49" s="27">
        <f>IFERROR(AA47/AA3,"")</f>
        <v/>
      </c>
      <c r="AB49" s="27">
        <f>IFERROR(AB47/AB3,"")</f>
        <v/>
      </c>
      <c r="AC49" s="27">
        <f>IFERROR(AC47/AC3,"")</f>
        <v/>
      </c>
    </row>
    <row r="50">
      <c r="A50" s="5" t="inlineStr">
        <is>
          <t xml:space="preserve">  BALANCE SHEET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</row>
    <row r="51">
      <c r="A51" s="4" t="inlineStr">
        <is>
          <t>Cash &amp; ST Investments</t>
        </is>
      </c>
      <c r="B51" s="18" t="n">
        <v>633.415</v>
      </c>
      <c r="C51" s="18" t="n">
        <v>655.216</v>
      </c>
      <c r="D51" s="18" t="n">
        <v>705.21</v>
      </c>
      <c r="E51" s="18" t="n">
        <v>946.285</v>
      </c>
      <c r="F51" s="18" t="n">
        <v>1189.186</v>
      </c>
      <c r="G51" s="18" t="n">
        <v>1306.564</v>
      </c>
      <c r="H51" s="18" t="n">
        <v>928.432</v>
      </c>
      <c r="I51" s="18" t="n">
        <v>742.981</v>
      </c>
      <c r="J51" s="18" t="n">
        <v>847.16</v>
      </c>
      <c r="K51" s="18" t="n">
        <v>1013.819</v>
      </c>
      <c r="L51" s="18" t="n">
        <v>1088.94</v>
      </c>
      <c r="M51" s="18" t="n">
        <v>1134.752</v>
      </c>
      <c r="N51" s="18" t="n">
        <v>1029.544</v>
      </c>
      <c r="O51" s="18" t="n">
        <v>1026.050999</v>
      </c>
      <c r="P51" s="18" t="n">
        <v>886.8150000000001</v>
      </c>
      <c r="Q51" s="18" t="n">
        <v>916.963</v>
      </c>
      <c r="R51" s="18" t="n">
        <v>873.925</v>
      </c>
      <c r="S51" s="18" t="n">
        <v>961.982</v>
      </c>
      <c r="T51" s="18" t="n">
        <v>1138.511</v>
      </c>
      <c r="U51" s="18" t="n">
        <v>1012.418</v>
      </c>
      <c r="V51" s="18" t="n">
        <v>1058.955</v>
      </c>
      <c r="W51" s="18" t="n">
        <v>2786.04</v>
      </c>
      <c r="X51" s="18" t="n">
        <v>2784.655</v>
      </c>
      <c r="Y51" s="18" t="n">
        <v>2777.674</v>
      </c>
      <c r="Z51" s="18" t="n">
        <v>2822.762</v>
      </c>
      <c r="AA51" s="18" t="n">
        <v>2753.246</v>
      </c>
      <c r="AB51" s="18" t="n">
        <v>3001.317</v>
      </c>
      <c r="AC51" s="18" t="n">
        <v>1546.108</v>
      </c>
    </row>
    <row r="52">
      <c r="A52" s="4" t="inlineStr">
        <is>
          <t>Total Current Assets</t>
        </is>
      </c>
      <c r="B52" s="18" t="n">
        <v>979.241</v>
      </c>
      <c r="C52" s="18" t="n">
        <v>1049.949</v>
      </c>
      <c r="D52" s="18" t="n">
        <v>1169.343</v>
      </c>
      <c r="E52" s="18" t="n">
        <v>1399.507</v>
      </c>
      <c r="F52" s="18" t="n">
        <v>1639.783</v>
      </c>
      <c r="G52" s="18" t="n">
        <v>1736.482</v>
      </c>
      <c r="H52" s="18" t="n">
        <v>1478.587</v>
      </c>
      <c r="I52" s="18" t="n">
        <v>1349.729</v>
      </c>
      <c r="J52" s="18" t="n">
        <v>1457.067</v>
      </c>
      <c r="K52" s="18" t="n">
        <v>1543.013</v>
      </c>
      <c r="L52" s="18" t="n">
        <v>1715.769</v>
      </c>
      <c r="M52" s="18" t="n">
        <v>1734.897</v>
      </c>
      <c r="N52" s="18" t="n">
        <v>1657.62</v>
      </c>
      <c r="O52" s="18" t="n">
        <v>1670.483</v>
      </c>
      <c r="P52" s="18" t="n">
        <v>1706.767</v>
      </c>
      <c r="Q52" s="18" t="n">
        <v>1698.544</v>
      </c>
      <c r="R52" s="18" t="n">
        <v>1643.05</v>
      </c>
      <c r="S52" s="18" t="n">
        <v>1824.463</v>
      </c>
      <c r="T52" s="18" t="n">
        <v>1976.217</v>
      </c>
      <c r="U52" s="18" t="n">
        <v>1929.932</v>
      </c>
      <c r="V52" s="18" t="n">
        <v>2196.388</v>
      </c>
      <c r="W52" s="18" t="n">
        <v>4099.923</v>
      </c>
      <c r="X52" s="18" t="n">
        <v>4016.079</v>
      </c>
      <c r="Y52" s="18" t="n">
        <v>3998.087</v>
      </c>
      <c r="Z52" s="18" t="n">
        <v>4222.543</v>
      </c>
      <c r="AA52" s="18" t="n">
        <v>4287.04</v>
      </c>
      <c r="AB52" s="18" t="n">
        <v>4669.673</v>
      </c>
      <c r="AC52" s="18" t="n">
        <v>3180.4</v>
      </c>
    </row>
    <row r="53">
      <c r="A53" s="4" t="inlineStr">
        <is>
          <t>PP&amp;E (net)</t>
        </is>
      </c>
      <c r="B53" s="18" t="n">
        <v>366.761</v>
      </c>
      <c r="C53" s="18" t="n">
        <v>363.971</v>
      </c>
      <c r="D53" s="18" t="n">
        <v>376.198</v>
      </c>
      <c r="E53" s="18" t="n">
        <v>281.207</v>
      </c>
      <c r="F53" s="18" t="n">
        <v>282.738</v>
      </c>
      <c r="G53" s="18" t="n">
        <v>288.163</v>
      </c>
      <c r="H53" s="18" t="n">
        <v>444.479</v>
      </c>
      <c r="I53" s="18" t="n">
        <v>305.089</v>
      </c>
      <c r="J53" s="18" t="n">
        <v>301.979</v>
      </c>
      <c r="K53" s="18" t="n">
        <v>303.313</v>
      </c>
      <c r="L53" s="18" t="n">
        <v>436.035</v>
      </c>
      <c r="M53" s="18" t="n">
        <v>310.69</v>
      </c>
      <c r="N53" s="18" t="n">
        <v>316.741</v>
      </c>
      <c r="O53" s="18" t="n">
        <v>348.238</v>
      </c>
      <c r="P53" s="18" t="n">
        <v>541.83</v>
      </c>
      <c r="Q53" s="18" t="n">
        <v>372.956</v>
      </c>
      <c r="R53" s="18" t="n">
        <v>370.193</v>
      </c>
      <c r="S53" s="18" t="n">
        <v>379.776</v>
      </c>
      <c r="T53" s="18" t="n">
        <v>554.01</v>
      </c>
      <c r="U53" s="18" t="n">
        <v>433.016</v>
      </c>
      <c r="V53" s="18" t="n">
        <v>449.422</v>
      </c>
      <c r="W53" s="18" t="n">
        <v>448.652</v>
      </c>
      <c r="X53" s="18" t="n">
        <v>604.39</v>
      </c>
      <c r="Y53" s="18" t="n">
        <v>466.322</v>
      </c>
      <c r="Z53" s="18" t="n">
        <v>482.131</v>
      </c>
      <c r="AA53" s="18" t="n">
        <v>494.701</v>
      </c>
      <c r="AB53" s="18" t="n">
        <v>517.004</v>
      </c>
      <c r="AC53" s="18" t="n">
        <v>536.903</v>
      </c>
    </row>
    <row r="54">
      <c r="A54" s="4" t="inlineStr">
        <is>
          <t>Total Assets</t>
        </is>
      </c>
      <c r="B54" s="18" t="n">
        <v>2612.325</v>
      </c>
      <c r="C54" s="18" t="n">
        <v>2662.198</v>
      </c>
      <c r="D54" s="18" t="n">
        <v>3357.225</v>
      </c>
      <c r="E54" s="18" t="n">
        <v>3767.973</v>
      </c>
      <c r="F54" s="18" t="n">
        <v>3999.497</v>
      </c>
      <c r="G54" s="18" t="n">
        <v>4140.152</v>
      </c>
      <c r="H54" s="18" t="n">
        <v>3950.785</v>
      </c>
      <c r="I54" s="18" t="n">
        <v>3998.959</v>
      </c>
      <c r="J54" s="18" t="n">
        <v>4122.548</v>
      </c>
      <c r="K54" s="18" t="n">
        <v>4213.875</v>
      </c>
      <c r="L54" s="18" t="n">
        <v>4386.299</v>
      </c>
      <c r="M54" s="18" t="n">
        <v>4395.067</v>
      </c>
      <c r="N54" s="18" t="n">
        <v>4361.274</v>
      </c>
      <c r="O54" s="18" t="n">
        <v>4968.087</v>
      </c>
      <c r="P54" s="18" t="n">
        <v>5137.071</v>
      </c>
      <c r="Q54" s="18" t="n">
        <v>5171.619</v>
      </c>
      <c r="R54" s="18" t="n">
        <v>5155.124</v>
      </c>
      <c r="S54" s="18" t="n">
        <v>5431.375</v>
      </c>
      <c r="T54" s="18" t="n">
        <v>5669.491</v>
      </c>
      <c r="U54" s="18" t="n">
        <v>5722.13</v>
      </c>
      <c r="V54" s="18" t="n">
        <v>7225.741</v>
      </c>
      <c r="W54" s="18" t="n">
        <v>9167.031000000001</v>
      </c>
      <c r="X54" s="18" t="n">
        <v>8974.482</v>
      </c>
      <c r="Y54" s="18" t="n">
        <v>9013.486000000001</v>
      </c>
      <c r="Z54" s="18" t="n">
        <v>9508.698</v>
      </c>
      <c r="AA54" s="18" t="n">
        <v>9599.271000000001</v>
      </c>
      <c r="AB54" s="18" t="n">
        <v>10153.148</v>
      </c>
      <c r="AC54" s="18" t="n">
        <v>12098.354</v>
      </c>
    </row>
    <row r="55">
      <c r="A55" s="4" t="inlineStr">
        <is>
          <t>Total Current Liabilities</t>
        </is>
      </c>
      <c r="B55" s="18" t="n">
        <v>610.183</v>
      </c>
      <c r="C55" s="18" t="n">
        <v>618.982</v>
      </c>
      <c r="D55" s="18" t="n">
        <v>672.391</v>
      </c>
      <c r="E55" s="18" t="n">
        <v>1012.429</v>
      </c>
      <c r="F55" s="18" t="n">
        <v>1151.887</v>
      </c>
      <c r="G55" s="18" t="n">
        <v>1117.889</v>
      </c>
      <c r="H55" s="18" t="n">
        <v>796.808</v>
      </c>
      <c r="I55" s="18" t="n">
        <v>792.341</v>
      </c>
      <c r="J55" s="18" t="n">
        <v>926.716</v>
      </c>
      <c r="K55" s="18" t="n">
        <v>907.196</v>
      </c>
      <c r="L55" s="18" t="n">
        <v>971.225</v>
      </c>
      <c r="M55" s="18" t="n">
        <v>960.826</v>
      </c>
      <c r="N55" s="18" t="n">
        <v>1042.491</v>
      </c>
      <c r="O55" s="18" t="n">
        <v>1256.994</v>
      </c>
      <c r="P55" s="18" t="n">
        <v>1347.696</v>
      </c>
      <c r="Q55" s="18" t="n">
        <v>1181.381</v>
      </c>
      <c r="R55" s="18" t="n">
        <v>1196.3</v>
      </c>
      <c r="S55" s="18" t="n">
        <v>1264.167</v>
      </c>
      <c r="T55" s="18" t="n">
        <v>1590.867</v>
      </c>
      <c r="U55" s="18" t="n">
        <v>1465.743</v>
      </c>
      <c r="V55" s="18" t="n">
        <v>1533.722</v>
      </c>
      <c r="W55" s="18" t="n">
        <v>1674.994</v>
      </c>
      <c r="X55" s="18" t="n">
        <v>1370.105</v>
      </c>
      <c r="Y55" s="18" t="n">
        <v>1300.767</v>
      </c>
      <c r="Z55" s="18" t="n">
        <v>1496.565</v>
      </c>
      <c r="AA55" s="18" t="n">
        <v>1406.557</v>
      </c>
      <c r="AB55" s="18" t="n">
        <v>1635.291</v>
      </c>
      <c r="AC55" s="18" t="n">
        <v>2162.508</v>
      </c>
    </row>
    <row r="56">
      <c r="A56" s="4" t="inlineStr">
        <is>
          <t>Long-term Debt</t>
        </is>
      </c>
      <c r="B56" s="18" t="n">
        <v>345.652</v>
      </c>
      <c r="C56" s="18" t="n">
        <v>345.833</v>
      </c>
      <c r="D56" s="18" t="n">
        <v>346.019</v>
      </c>
      <c r="E56" s="18" t="n">
        <v>346.205</v>
      </c>
      <c r="F56" s="18" t="n">
        <v>346.394</v>
      </c>
      <c r="G56" s="18" t="n">
        <v>346.584</v>
      </c>
      <c r="H56" s="18" t="n">
        <v>346.793</v>
      </c>
      <c r="I56" s="18" t="n">
        <v>346.988</v>
      </c>
      <c r="J56" s="18" t="n">
        <v>347.186</v>
      </c>
      <c r="K56" s="18" t="n">
        <v>347.385</v>
      </c>
      <c r="L56" s="18" t="n">
        <v>347.588</v>
      </c>
      <c r="M56" s="18" t="n">
        <v>347.792</v>
      </c>
      <c r="N56" s="18" t="n">
        <v>347.999</v>
      </c>
      <c r="O56" s="18" t="n">
        <v>647.799</v>
      </c>
      <c r="P56" s="18" t="n">
        <v>648.078</v>
      </c>
      <c r="Q56" s="18" t="n">
        <v>648.301</v>
      </c>
      <c r="R56" s="18" t="n">
        <v>648.551</v>
      </c>
      <c r="S56" s="18" t="n">
        <v>648.801</v>
      </c>
      <c r="T56" s="18" t="n">
        <v>299.771</v>
      </c>
      <c r="U56" s="18" t="n">
        <v>299.805</v>
      </c>
      <c r="V56" s="18" t="n">
        <v>998.9349999999999</v>
      </c>
      <c r="W56" s="18" t="n">
        <v>2475.232</v>
      </c>
      <c r="X56" s="18" t="n">
        <v>2476.183</v>
      </c>
      <c r="Y56" s="18" t="n">
        <v>2477.159</v>
      </c>
      <c r="Z56" s="18" t="n">
        <v>2478.145</v>
      </c>
      <c r="AA56" s="18" t="n">
        <v>2479.142</v>
      </c>
      <c r="AB56" s="18" t="n">
        <v>2480.15</v>
      </c>
      <c r="AC56" s="18" t="n">
        <v>2481.17</v>
      </c>
    </row>
    <row r="57">
      <c r="A57" s="4" t="inlineStr">
        <is>
          <t>Total Equity</t>
        </is>
      </c>
      <c r="B57" s="18" t="n">
        <v>1430.545</v>
      </c>
      <c r="C57" s="18" t="n">
        <v>1480.262</v>
      </c>
      <c r="D57" s="18" t="n">
        <v>2102.894</v>
      </c>
      <c r="E57" s="18" t="n">
        <v>2157.994</v>
      </c>
      <c r="F57" s="18" t="n">
        <v>2256.631</v>
      </c>
      <c r="G57" s="18" t="n">
        <v>2395.718</v>
      </c>
      <c r="H57" s="18" t="n">
        <v>2493.018</v>
      </c>
      <c r="I57" s="18" t="n">
        <v>2542.432</v>
      </c>
      <c r="J57" s="18" t="n">
        <v>2516.743</v>
      </c>
      <c r="K57" s="18" t="n">
        <v>2631.262</v>
      </c>
      <c r="L57" s="18" t="n">
        <v>2740.675</v>
      </c>
      <c r="M57" s="18" t="n">
        <v>2760.183</v>
      </c>
      <c r="N57" s="18" t="n">
        <v>2625.229</v>
      </c>
      <c r="O57" s="18" t="n">
        <v>2708.128</v>
      </c>
      <c r="P57" s="18" t="n">
        <v>2745.113</v>
      </c>
      <c r="Q57" s="18" t="n">
        <v>2940.876</v>
      </c>
      <c r="R57" s="18" t="n">
        <v>2908.455</v>
      </c>
      <c r="S57" s="18" t="n">
        <v>3113.894</v>
      </c>
      <c r="T57" s="18" t="n">
        <v>3404.271</v>
      </c>
      <c r="U57" s="18" t="n">
        <v>3567.596</v>
      </c>
      <c r="V57" s="18" t="n">
        <v>4260.892</v>
      </c>
      <c r="W57" s="18" t="n">
        <v>4563.338</v>
      </c>
      <c r="X57" s="18" t="n">
        <v>4673.578</v>
      </c>
      <c r="Y57" s="18" t="n">
        <v>4776.257</v>
      </c>
      <c r="Z57" s="18" t="n">
        <v>5006.538</v>
      </c>
      <c r="AA57" s="18" t="n">
        <v>5199.002</v>
      </c>
      <c r="AB57" s="18" t="n">
        <v>5474.181</v>
      </c>
      <c r="AC57" s="18" t="n">
        <v>6561.463</v>
      </c>
    </row>
    <row r="58">
      <c r="A58" s="5" t="inlineStr">
        <is>
          <t xml:space="preserve">  CASH FLOW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</row>
    <row r="59">
      <c r="A59" s="4" t="inlineStr">
        <is>
          <t>D&amp;A</t>
        </is>
      </c>
      <c r="B59" s="18" t="n">
        <v>33.961</v>
      </c>
      <c r="C59" s="18" t="n">
        <v>31.984</v>
      </c>
      <c r="D59" s="18" t="n">
        <v>27.666</v>
      </c>
      <c r="E59" s="18" t="n">
        <v>34.027</v>
      </c>
      <c r="F59" s="18" t="n">
        <v>37.377</v>
      </c>
      <c r="G59" s="18" t="n">
        <v>37.679</v>
      </c>
      <c r="H59" s="18" t="n">
        <v>41.053</v>
      </c>
      <c r="I59" s="18" t="n">
        <v>34.082</v>
      </c>
      <c r="J59" s="18" t="n">
        <v>35.234</v>
      </c>
      <c r="K59" s="18" t="n">
        <v>34.729</v>
      </c>
      <c r="L59" s="18" t="n">
        <v>26.657</v>
      </c>
      <c r="M59" s="18" t="n">
        <v>35.751</v>
      </c>
      <c r="N59" s="18" t="n">
        <v>33.681</v>
      </c>
      <c r="O59" s="18" t="n">
        <v>27.863</v>
      </c>
      <c r="P59" s="18" t="n">
        <v>38.135</v>
      </c>
      <c r="Q59" s="18" t="n">
        <v>33.008</v>
      </c>
      <c r="R59" s="18" t="n">
        <v>33.881</v>
      </c>
      <c r="S59" s="18" t="n">
        <v>37.21</v>
      </c>
      <c r="T59" s="18" t="n">
        <v>38.509</v>
      </c>
      <c r="U59" s="18" t="n">
        <v>39.556</v>
      </c>
      <c r="V59" s="18" t="n">
        <v>47.153</v>
      </c>
      <c r="W59" s="18" t="n">
        <v>55.36</v>
      </c>
      <c r="X59" s="18" t="n">
        <v>53.863</v>
      </c>
      <c r="Y59" s="18" t="n">
        <v>52.916</v>
      </c>
      <c r="Z59" s="18" t="n">
        <v>57.751</v>
      </c>
      <c r="AA59" s="18" t="n">
        <v>54.304</v>
      </c>
      <c r="AB59" s="18" t="n">
        <v>0</v>
      </c>
      <c r="AC59" s="18" t="n">
        <v>84.372</v>
      </c>
    </row>
    <row r="60">
      <c r="A60" s="4" t="inlineStr">
        <is>
          <t>Stock-based Compensation</t>
        </is>
      </c>
      <c r="B60" s="18" t="n">
        <v>44.257</v>
      </c>
      <c r="C60" s="18" t="n">
        <v>48.279</v>
      </c>
      <c r="D60" s="18" t="n">
        <v>46.758</v>
      </c>
      <c r="E60" s="18" t="n">
        <v>46.482</v>
      </c>
      <c r="F60" s="18" t="n">
        <v>46.907</v>
      </c>
      <c r="G60" s="18" t="n">
        <v>45.334</v>
      </c>
      <c r="H60" s="18" t="n">
        <v>58.545</v>
      </c>
      <c r="I60" s="18" t="n">
        <v>52.596</v>
      </c>
      <c r="J60" s="18" t="n">
        <v>50.518</v>
      </c>
      <c r="K60" s="18" t="n">
        <v>52.746</v>
      </c>
      <c r="L60" s="18" t="n">
        <v>54.23</v>
      </c>
      <c r="M60" s="18" t="n">
        <v>59.469</v>
      </c>
      <c r="N60" s="18" t="n">
        <v>64.27</v>
      </c>
      <c r="O60" s="18" t="n">
        <v>73.45099999999999</v>
      </c>
      <c r="P60" s="18" t="n">
        <v>73.249</v>
      </c>
      <c r="Q60" s="18" t="n">
        <v>74.288</v>
      </c>
      <c r="R60" s="18" t="n">
        <v>76.608</v>
      </c>
      <c r="S60" s="18" t="n">
        <v>88.032</v>
      </c>
      <c r="T60" s="18" t="n">
        <v>86.68300000000001</v>
      </c>
      <c r="U60" s="18" t="n">
        <v>88.129</v>
      </c>
      <c r="V60" s="18" t="n">
        <v>87.569</v>
      </c>
      <c r="W60" s="18" t="n">
        <v>109.013</v>
      </c>
      <c r="X60" s="18" t="n">
        <v>106.508</v>
      </c>
      <c r="Y60" s="18" t="n">
        <v>107.613</v>
      </c>
      <c r="Z60" s="18" t="n">
        <v>118.325</v>
      </c>
      <c r="AA60" s="18" t="n">
        <v>116.073</v>
      </c>
      <c r="AB60" s="18" t="n">
        <v>0</v>
      </c>
      <c r="AC60" s="18" t="n">
        <v>138.183</v>
      </c>
    </row>
    <row r="61">
      <c r="A61" s="4" t="inlineStr">
        <is>
          <t>Change in Working Capital</t>
        </is>
      </c>
      <c r="B61" s="18" t="n">
        <v>61.11</v>
      </c>
      <c r="C61" s="18" t="n">
        <v>-43.179</v>
      </c>
      <c r="D61" s="18" t="n">
        <v>-11.913</v>
      </c>
      <c r="E61" s="18" t="n">
        <v>5.743</v>
      </c>
      <c r="F61" s="18" t="n">
        <v>132.874</v>
      </c>
      <c r="G61" s="18" t="n">
        <v>-22.348</v>
      </c>
      <c r="H61" s="18" t="n">
        <v>-131.686</v>
      </c>
      <c r="I61" s="18" t="n">
        <v>-67.325</v>
      </c>
      <c r="J61" s="18" t="n">
        <v>138.617</v>
      </c>
      <c r="K61" s="18" t="n">
        <v>68.092</v>
      </c>
      <c r="L61" s="18" t="n">
        <v>-33.586</v>
      </c>
      <c r="M61" s="18" t="n">
        <v>28.923</v>
      </c>
      <c r="N61" s="18" t="n">
        <v>54.513</v>
      </c>
      <c r="O61" s="18" t="n">
        <v>35.396</v>
      </c>
      <c r="P61" s="18" t="n">
        <v>-31.287</v>
      </c>
      <c r="Q61" s="18" t="n">
        <v>-70.56</v>
      </c>
      <c r="R61" s="18" t="n">
        <v>87.459</v>
      </c>
      <c r="S61" s="18" t="n">
        <v>31.556</v>
      </c>
      <c r="T61" s="18" t="n">
        <v>-147.233</v>
      </c>
      <c r="U61" s="18" t="n">
        <v>-64.818</v>
      </c>
      <c r="V61" s="18" t="n">
        <v>-176.043</v>
      </c>
      <c r="W61" s="18" t="n">
        <v>-15.358</v>
      </c>
      <c r="X61" s="18" t="n">
        <v>47.244</v>
      </c>
      <c r="Y61" s="18" t="n">
        <v>53.567</v>
      </c>
      <c r="Z61" s="18" t="n">
        <v>72.179</v>
      </c>
      <c r="AA61" s="18" t="n">
        <v>-250.528</v>
      </c>
      <c r="AB61" s="18" t="n">
        <v>51.531</v>
      </c>
      <c r="AC61" s="18" t="n">
        <v>-263.265</v>
      </c>
    </row>
    <row r="62">
      <c r="A62" s="4" t="inlineStr">
        <is>
          <t>Operating Cash Flow</t>
        </is>
      </c>
      <c r="B62" s="18" t="n">
        <v>246.36</v>
      </c>
      <c r="C62" s="18" t="n">
        <v>138.53</v>
      </c>
      <c r="D62" s="18" t="n">
        <v>159.296</v>
      </c>
      <c r="E62" s="18" t="n">
        <v>217.719</v>
      </c>
      <c r="F62" s="18" t="n">
        <v>345.124</v>
      </c>
      <c r="G62" s="18" t="n">
        <v>206.557</v>
      </c>
      <c r="H62" s="18" t="n">
        <v>135.522</v>
      </c>
      <c r="I62" s="18" t="n">
        <v>208.442</v>
      </c>
      <c r="J62" s="18" t="n">
        <v>380.376</v>
      </c>
      <c r="K62" s="18" t="n">
        <v>296.283</v>
      </c>
      <c r="L62" s="18" t="n">
        <v>215.857</v>
      </c>
      <c r="M62" s="18" t="n">
        <v>336.608</v>
      </c>
      <c r="N62" s="18" t="n">
        <v>324.541</v>
      </c>
      <c r="O62" s="18" t="n">
        <v>317.11</v>
      </c>
      <c r="P62" s="18" t="n">
        <v>263.635</v>
      </c>
      <c r="Q62" s="18" t="n">
        <v>267.401</v>
      </c>
      <c r="R62" s="18" t="n">
        <v>413.77</v>
      </c>
      <c r="S62" s="18" t="n">
        <v>395.914</v>
      </c>
      <c r="T62" s="18" t="n">
        <v>272.091</v>
      </c>
      <c r="U62" s="18" t="n">
        <v>253.232</v>
      </c>
      <c r="V62" s="18" t="n">
        <v>155.965</v>
      </c>
      <c r="W62" s="18" t="n">
        <v>409.995</v>
      </c>
      <c r="X62" s="18" t="n">
        <v>441.359</v>
      </c>
      <c r="Y62" s="18" t="n">
        <v>487.021</v>
      </c>
      <c r="Z62" s="18" t="n">
        <v>377.603</v>
      </c>
      <c r="AA62" s="18" t="n">
        <v>310.662</v>
      </c>
      <c r="AB62" s="18" t="n">
        <v>553.495</v>
      </c>
      <c r="AC62" s="18" t="n">
        <v>355.782</v>
      </c>
    </row>
    <row r="63">
      <c r="A63" s="4" t="inlineStr">
        <is>
          <t>Capex</t>
        </is>
      </c>
      <c r="B63" s="18" t="n">
        <v>-15.287</v>
      </c>
      <c r="C63" s="18" t="n">
        <v>-16.965</v>
      </c>
      <c r="D63" s="18" t="n">
        <v>-27.078</v>
      </c>
      <c r="E63" s="18" t="n">
        <v>-22.179</v>
      </c>
      <c r="F63" s="18" t="n">
        <v>-21.356</v>
      </c>
      <c r="G63" s="18" t="n">
        <v>-20.21</v>
      </c>
      <c r="H63" s="18" t="n">
        <v>-31.068</v>
      </c>
      <c r="I63" s="18" t="n">
        <v>-16.968</v>
      </c>
      <c r="J63" s="18" t="n">
        <v>-14.171</v>
      </c>
      <c r="K63" s="18" t="n">
        <v>-18.838</v>
      </c>
      <c r="L63" s="18" t="n">
        <v>-16.904</v>
      </c>
      <c r="M63" s="18" t="n">
        <v>-18.88</v>
      </c>
      <c r="N63" s="18" t="n">
        <v>-24.072</v>
      </c>
      <c r="O63" s="18" t="n">
        <v>-44.343</v>
      </c>
      <c r="P63" s="18" t="n">
        <v>-36.92</v>
      </c>
      <c r="Q63" s="18" t="n">
        <v>-26.719</v>
      </c>
      <c r="R63" s="18" t="n">
        <v>-19.936</v>
      </c>
      <c r="S63" s="18" t="n">
        <v>-21.979</v>
      </c>
      <c r="T63" s="18" t="n">
        <v>-33.869</v>
      </c>
      <c r="U63" s="18" t="n">
        <v>-49.601</v>
      </c>
      <c r="V63" s="18" t="n">
        <v>-29.199</v>
      </c>
      <c r="W63" s="18" t="n">
        <v>-26.54</v>
      </c>
      <c r="X63" s="18" t="n">
        <v>-37.202</v>
      </c>
      <c r="Y63" s="18" t="n">
        <v>-23.061</v>
      </c>
      <c r="Z63" s="18" t="n">
        <v>-44.085</v>
      </c>
      <c r="AA63" s="18" t="n">
        <v>-33.684</v>
      </c>
      <c r="AB63" s="18" t="n">
        <v>-41.041</v>
      </c>
      <c r="AC63" s="18" t="n">
        <v>-48.82</v>
      </c>
    </row>
    <row r="64">
      <c r="A64" s="4" t="inlineStr">
        <is>
          <t>Free Cash Flow</t>
        </is>
      </c>
      <c r="B64" s="18" t="n">
        <v>231.073</v>
      </c>
      <c r="C64" s="18" t="n">
        <v>121.565</v>
      </c>
      <c r="D64" s="18" t="n">
        <v>132.218</v>
      </c>
      <c r="E64" s="18" t="n">
        <v>195.54</v>
      </c>
      <c r="F64" s="18" t="n">
        <v>323.768</v>
      </c>
      <c r="G64" s="18" t="n">
        <v>186.347</v>
      </c>
      <c r="H64" s="18" t="n">
        <v>104.454</v>
      </c>
      <c r="I64" s="18" t="n">
        <v>191.474</v>
      </c>
      <c r="J64" s="18" t="n">
        <v>366.205</v>
      </c>
      <c r="K64" s="18" t="n">
        <v>277.445</v>
      </c>
      <c r="L64" s="18" t="n">
        <v>198.953</v>
      </c>
      <c r="M64" s="18" t="n">
        <v>317.728</v>
      </c>
      <c r="N64" s="18" t="n">
        <v>300.469</v>
      </c>
      <c r="O64" s="18" t="n">
        <v>272.767</v>
      </c>
      <c r="P64" s="18" t="n">
        <v>226.715</v>
      </c>
      <c r="Q64" s="18" t="n">
        <v>240.682</v>
      </c>
      <c r="R64" s="18" t="n">
        <v>393.834</v>
      </c>
      <c r="S64" s="18" t="n">
        <v>373.935</v>
      </c>
      <c r="T64" s="18" t="n">
        <v>238.222</v>
      </c>
      <c r="U64" s="18" t="n">
        <v>203.631</v>
      </c>
      <c r="V64" s="18" t="n">
        <v>126.766</v>
      </c>
      <c r="W64" s="18" t="n">
        <v>383.455</v>
      </c>
      <c r="X64" s="18" t="n">
        <v>404.157</v>
      </c>
      <c r="Y64" s="18" t="n">
        <v>463.96</v>
      </c>
      <c r="Z64" s="18" t="n">
        <v>333.518</v>
      </c>
      <c r="AA64" s="18" t="n">
        <v>276.978</v>
      </c>
      <c r="AB64" s="18" t="n">
        <v>512.453999</v>
      </c>
      <c r="AC64" s="18" t="n">
        <v>306.962</v>
      </c>
    </row>
    <row r="66">
      <c r="A66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6202.981277</v>
      </c>
      <c r="C4" s="18" t="n">
        <v>7003.653045</v>
      </c>
      <c r="D4" s="18" t="n">
        <v>7926.016796</v>
      </c>
      <c r="E4" s="18" t="n">
        <v>8484.106191000001</v>
      </c>
      <c r="F4" s="18" t="n">
        <v>8825.700000000001</v>
      </c>
    </row>
    <row r="5">
      <c r="A5" s="4" t="inlineStr">
        <is>
          <t xml:space="preserve">  model</t>
        </is>
      </c>
      <c r="B5" s="28">
        <f>Model!G8</f>
        <v/>
      </c>
      <c r="C5" s="28">
        <f>Model!H8</f>
        <v/>
      </c>
      <c r="D5" s="28">
        <f>Model!I8</f>
        <v/>
      </c>
      <c r="E5" s="28">
        <f>Model!J8</f>
        <v/>
      </c>
      <c r="F5" s="28">
        <f>Model!K8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2524.456271</v>
      </c>
      <c r="C8" s="18" t="n">
        <v>2850.309401</v>
      </c>
      <c r="D8" s="18" t="n">
        <v>3225.688087</v>
      </c>
      <c r="E8" s="18" t="n">
        <v>3452.816335</v>
      </c>
      <c r="F8" s="18" t="n">
        <v>3591.836364</v>
      </c>
    </row>
    <row r="9">
      <c r="A9" s="4" t="inlineStr">
        <is>
          <t xml:space="preserve">  model</t>
        </is>
      </c>
      <c r="B9" s="28">
        <f>Model!G21+Model!G26</f>
        <v/>
      </c>
      <c r="C9" s="28">
        <f>Model!H21+Model!H26</f>
        <v/>
      </c>
      <c r="D9" s="28">
        <f>Model!I21+Model!I26</f>
        <v/>
      </c>
      <c r="E9" s="28">
        <f>Model!J21+Model!J26</f>
        <v/>
      </c>
      <c r="F9" s="28">
        <f>Model!K21+Model!K26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2238.834091</v>
      </c>
      <c r="C12" s="18" t="n">
        <v>2527.819527</v>
      </c>
      <c r="D12" s="18" t="n">
        <v>2860.727095</v>
      </c>
      <c r="E12" s="18" t="n">
        <v>3062.157586</v>
      </c>
      <c r="F12" s="18" t="n">
        <v>3185.448603</v>
      </c>
    </row>
    <row r="13">
      <c r="A13" s="4" t="inlineStr">
        <is>
          <t xml:space="preserve">  model</t>
        </is>
      </c>
      <c r="B13" s="28">
        <f>Model!G21</f>
        <v/>
      </c>
      <c r="C13" s="28">
        <f>Model!H21</f>
        <v/>
      </c>
      <c r="D13" s="28">
        <f>Model!I21</f>
        <v/>
      </c>
      <c r="E13" s="28">
        <f>Model!J21</f>
        <v/>
      </c>
      <c r="F13" s="28">
        <f>Model!K21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1425.88267</v>
      </c>
      <c r="C16" s="18" t="n">
        <v>1609.933523</v>
      </c>
      <c r="D16" s="18" t="n">
        <v>1821.957779</v>
      </c>
      <c r="E16" s="18" t="n">
        <v>1950.246091</v>
      </c>
      <c r="F16" s="18" t="n">
        <v>2028.768445</v>
      </c>
    </row>
    <row r="17">
      <c r="A17" s="4" t="inlineStr">
        <is>
          <t xml:space="preserve">  model</t>
        </is>
      </c>
      <c r="B17" s="28">
        <f>Model!G16</f>
        <v/>
      </c>
      <c r="C17" s="28">
        <f>Model!H16</f>
        <v/>
      </c>
      <c r="D17" s="28">
        <f>Model!I16</f>
        <v/>
      </c>
      <c r="E17" s="28">
        <f>Model!J16</f>
        <v/>
      </c>
      <c r="F17" s="28">
        <f>Model!K16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2172.461436</v>
      </c>
      <c r="C20" s="18" t="n">
        <v>2532.563663</v>
      </c>
      <c r="D20" s="18" t="n">
        <v>3022.651711</v>
      </c>
      <c r="E20" s="18" t="n">
        <v>3087.791527</v>
      </c>
      <c r="F20" s="18" t="n">
        <v>3047.428811</v>
      </c>
    </row>
    <row r="21">
      <c r="A21" s="4" t="inlineStr">
        <is>
          <t xml:space="preserve">  model</t>
        </is>
      </c>
      <c r="B21" s="28">
        <f>Model!G25</f>
        <v/>
      </c>
      <c r="C21" s="28">
        <f>Model!H25</f>
        <v/>
      </c>
      <c r="D21" s="28">
        <f>Model!I25</f>
        <v/>
      </c>
      <c r="E21" s="28">
        <f>Model!J25</f>
        <v/>
      </c>
      <c r="F21" s="28">
        <f>Model!K25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7.93865</v>
      </c>
      <c r="C24" s="38" t="n">
        <v>9.35675</v>
      </c>
      <c r="D24" s="38" t="n">
        <v>10.87558</v>
      </c>
      <c r="E24" s="38" t="n">
        <v>11.29768</v>
      </c>
      <c r="F24" s="38" t="n">
        <v>11.15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  <c r="F25" s="8">
        <f>Model!K25/Financials!AC17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Cadence Design Systems,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Model!G33</f>
        <v/>
      </c>
      <c r="D12" s="28">
        <f>Model!H33</f>
        <v/>
      </c>
      <c r="E12" s="28">
        <f>Model!I33</f>
        <v/>
      </c>
      <c r="F12" s="28">
        <f>Model!J33</f>
        <v/>
      </c>
      <c r="G12" s="28">
        <f>Model!K33</f>
        <v/>
      </c>
      <c r="H12" s="28">
        <f>Model!L33</f>
        <v/>
      </c>
      <c r="I12" s="28">
        <f>Model!M33</f>
        <v/>
      </c>
      <c r="J12" s="28">
        <f>Model!N33</f>
        <v/>
      </c>
      <c r="K12" s="28">
        <f>Model!O33</f>
        <v/>
      </c>
      <c r="L12" s="28">
        <f>Model!P33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Model!P8</f>
        <v/>
      </c>
    </row>
    <row r="21">
      <c r="A21" s="4" t="inlineStr">
        <is>
          <t>Terminal EBIT</t>
        </is>
      </c>
      <c r="B21" s="28">
        <f>Model!P21</f>
        <v/>
      </c>
    </row>
    <row r="22">
      <c r="A22" s="4" t="inlineStr">
        <is>
          <t>Terminal EBITDA</t>
        </is>
      </c>
      <c r="B22" s="28">
        <f>Model!P21+Model!P26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Financials!AC51</f>
        <v/>
      </c>
    </row>
    <row r="33">
      <c r="A33" s="4" t="inlineStr">
        <is>
          <t>- Long-term debt</t>
        </is>
      </c>
      <c r="B33" s="28">
        <f>-Financials!AC56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0.03114564963216186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0.866894745137024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0.012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0.01799736241202517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1.029870045067107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Financials!AC51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Financials!AC56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2026-06-08T03:49:15Z</dcterms:created>
  <dcterms:modified xmlns:dcterms="http://purl.org/dc/terms/" xmlns:xsi="http://www.w3.org/2001/XMLSchema-instance" xsi:type="dcterms:W3CDTF">2026-06-08T03:49:15Z</dcterms:modified>
</cp:coreProperties>
</file>