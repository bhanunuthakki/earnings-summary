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Oracle Corporation (ORCL)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Q3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Oracle is a mature database/applications franchise re-accelerating on OCI and AI-training capacity, with a record RPO backlog driving the Cloud &amp; License segment to ~20%+ near-term growth while legacy Services and Hardware stagnate or decline. We fade total growth toward a ~4% mature rate as the AI capacity buildout matures and the cloud base gets large; operating margins expand from ~31% toward ~38% on scale and software mix, but the aggressive, partly debt-funded data-center capex ramp (37% of revenue in FY25) keeps near-term FCFF compressed before capex/D&amp;A normalizes to ~1.1x at maturity. The value rests on OCI compounding into a durable cash engine that eventually out-earns its capex.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Oracle Corporation (ORCL)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Model!G40-WACC!B14</f>
        <v/>
      </c>
      <c r="C15" s="10">
        <f>IF(Model!G40-WACC!B14&lt;0,"!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Cloud And License Business</t>
        </is>
      </c>
      <c r="B20" s="15" t="n">
        <v>0.22</v>
      </c>
      <c r="C20" s="15" t="n">
        <v>0.04</v>
      </c>
      <c r="D20" s="16" t="n">
        <v>0.22</v>
      </c>
      <c r="E20" s="2" t="inlineStr"/>
    </row>
    <row r="21">
      <c r="A21" s="4" t="inlineStr">
        <is>
          <t>Services Business</t>
        </is>
      </c>
      <c r="B21" s="15" t="n">
        <v>0.02</v>
      </c>
      <c r="C21" s="15" t="n">
        <v>0.03</v>
      </c>
      <c r="D21" s="16" t="n">
        <v>0.02</v>
      </c>
      <c r="E21" s="2" t="inlineStr"/>
    </row>
    <row r="22">
      <c r="A22" s="4" t="inlineStr">
        <is>
          <t>Hardware Business</t>
        </is>
      </c>
      <c r="B22" s="15" t="n">
        <v>-0.02</v>
      </c>
      <c r="C22" s="15" t="n">
        <v>0.02</v>
      </c>
      <c r="D22" s="16" t="n">
        <v>-0.02</v>
      </c>
      <c r="E22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0.31</v>
      </c>
      <c r="D29" s="16" t="n">
        <v>0.31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0.21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20180.6823021</v>
      </c>
      <c r="D34" s="18" t="n">
        <v>20180.6823021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1.544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14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181.47</v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Cloud And License Business</t>
        </is>
      </c>
      <c r="B4" s="28">
        <f>SUM(Financials!G19:J19)</f>
        <v/>
      </c>
      <c r="C4" s="28">
        <f>SUM(Financials!K19:N19)</f>
        <v/>
      </c>
      <c r="D4" s="28">
        <f>SUM(Financials!O19:R19)</f>
        <v/>
      </c>
      <c r="E4" s="28">
        <f>SUM(Financials!S19:V19)</f>
        <v/>
      </c>
      <c r="F4" s="28">
        <f>SUM(Financials!W19:Z19)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Services Business</t>
        </is>
      </c>
      <c r="B6" s="28">
        <f>SUM(Financials!G22:J22)</f>
        <v/>
      </c>
      <c r="C6" s="28">
        <f>SUM(Financials!K22:N22)</f>
        <v/>
      </c>
      <c r="D6" s="28">
        <f>SUM(Financials!O22:R22)</f>
        <v/>
      </c>
      <c r="E6" s="28">
        <f>SUM(Financials!S22:V22)</f>
        <v/>
      </c>
      <c r="F6" s="28">
        <f>SUM(Financials!W22:Z22)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4" t="inlineStr">
        <is>
          <t>Hardware Business</t>
        </is>
      </c>
      <c r="B8" s="28">
        <f>SUM(Financials!G25:J25)</f>
        <v/>
      </c>
      <c r="C8" s="28">
        <f>SUM(Financials!K25:N25)</f>
        <v/>
      </c>
      <c r="D8" s="28">
        <f>SUM(Financials!O25:R25)</f>
        <v/>
      </c>
      <c r="E8" s="28">
        <f>SUM(Financials!S25:V25)</f>
        <v/>
      </c>
      <c r="F8" s="28">
        <f>SUM(Financials!W25:Z25)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11">
        <f>Dashboard!$B$22+(Dashboard!$C$22-Dashboard!$B$22)*MAX(0,0-2)/7</f>
        <v/>
      </c>
      <c r="H9" s="11">
        <f>Dashboard!$B$22+(Dashboard!$C$22-Dashboard!$B$22)*MAX(0,1-2)/7</f>
        <v/>
      </c>
      <c r="I9" s="11">
        <f>Dashboard!$B$22+(Dashboard!$C$22-Dashboard!$B$22)*MAX(0,2-2)/7</f>
        <v/>
      </c>
      <c r="J9" s="11">
        <f>Dashboard!$B$22+(Dashboard!$C$22-Dashboard!$B$22)*MAX(0,3-2)/7</f>
        <v/>
      </c>
      <c r="K9" s="11">
        <f>Dashboard!$B$22+(Dashboard!$C$22-Dashboard!$B$22)*MAX(0,4-2)/7</f>
        <v/>
      </c>
      <c r="L9" s="11">
        <f>Dashboard!$B$22+(Dashboard!$C$22-Dashboard!$B$22)*MAX(0,5-2)/7</f>
        <v/>
      </c>
      <c r="M9" s="11">
        <f>Dashboard!$B$22+(Dashboard!$C$22-Dashboard!$B$22)*MAX(0,6-2)/7</f>
        <v/>
      </c>
      <c r="N9" s="11">
        <f>Dashboard!$B$22+(Dashboard!$C$22-Dashboard!$B$22)*MAX(0,7-2)/7</f>
        <v/>
      </c>
      <c r="O9" s="11">
        <f>Dashboard!$B$22+(Dashboard!$C$22-Dashboard!$B$22)*MAX(0,8-2)/7</f>
        <v/>
      </c>
      <c r="P9" s="11">
        <f>Dashboard!$B$22+(Dashboard!$C$22-Dashboard!$B$22)*MAX(0,9-2)/7</f>
        <v/>
      </c>
    </row>
    <row r="10">
      <c r="A10" s="3" t="inlineStr">
        <is>
          <t>Total revenue</t>
        </is>
      </c>
      <c r="B10" s="33">
        <f>B4+B6+B8</f>
        <v/>
      </c>
      <c r="C10" s="33">
        <f>C4+C6+C8</f>
        <v/>
      </c>
      <c r="D10" s="33">
        <f>D4+D6+D8</f>
        <v/>
      </c>
      <c r="E10" s="33">
        <f>E4+E6+E8</f>
        <v/>
      </c>
      <c r="F10" s="33">
        <f>F4+F6+F8</f>
        <v/>
      </c>
      <c r="G10" s="33">
        <f>G4+G6+G8</f>
        <v/>
      </c>
      <c r="H10" s="33">
        <f>H4+H6+H8</f>
        <v/>
      </c>
      <c r="I10" s="33">
        <f>I4+I6+I8</f>
        <v/>
      </c>
      <c r="J10" s="33">
        <f>J4+J6+J8</f>
        <v/>
      </c>
      <c r="K10" s="33">
        <f>K4+K6+K8</f>
        <v/>
      </c>
      <c r="L10" s="33">
        <f>L4+L6+L8</f>
        <v/>
      </c>
      <c r="M10" s="33">
        <f>M4+M6+M8</f>
        <v/>
      </c>
      <c r="N10" s="33">
        <f>N4+N6+N8</f>
        <v/>
      </c>
      <c r="O10" s="33">
        <f>O4+O6+O8</f>
        <v/>
      </c>
      <c r="P10" s="33">
        <f>P4+P6+P8</f>
        <v/>
      </c>
    </row>
    <row r="11">
      <c r="A11" s="4" t="inlineStr">
        <is>
          <t xml:space="preserve">    growth %</t>
        </is>
      </c>
      <c r="C11" s="27">
        <f>IFERROR(C10/B10-1,"")</f>
        <v/>
      </c>
      <c r="D11" s="27">
        <f>IFERROR(D10/C10-1,"")</f>
        <v/>
      </c>
      <c r="E11" s="27">
        <f>IFERROR(E10/D10-1,"")</f>
        <v/>
      </c>
      <c r="F11" s="27">
        <f>IFERROR(F10/E10-1,"")</f>
        <v/>
      </c>
      <c r="G11" s="27">
        <f>IFERROR(G10/F10-1,"")</f>
        <v/>
      </c>
      <c r="H11" s="27">
        <f>IFERROR(H10/G10-1,"")</f>
        <v/>
      </c>
      <c r="I11" s="27">
        <f>IFERROR(I10/H10-1,"")</f>
        <v/>
      </c>
      <c r="J11" s="27">
        <f>IFERROR(J10/I10-1,"")</f>
        <v/>
      </c>
      <c r="K11" s="27">
        <f>IFERROR(K10/J10-1,"")</f>
        <v/>
      </c>
      <c r="L11" s="27">
        <f>IFERROR(L10/K10-1,"")</f>
        <v/>
      </c>
      <c r="M11" s="27">
        <f>IFERROR(M10/L10-1,"")</f>
        <v/>
      </c>
      <c r="N11" s="27">
        <f>IFERROR(N10/M10-1,"")</f>
        <v/>
      </c>
      <c r="O11" s="27">
        <f>IFERROR(O10/N10-1,"")</f>
        <v/>
      </c>
      <c r="P11" s="27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28">
        <f>SUM(Financials!G5:J5)</f>
        <v/>
      </c>
      <c r="C14" s="28">
        <f>SUM(Financials!K5:N5)</f>
        <v/>
      </c>
      <c r="D14" s="28">
        <f>SUM(Financials!O5:R5)</f>
        <v/>
      </c>
      <c r="E14" s="28">
        <f>SUM(Financials!S5:V5)</f>
        <v/>
      </c>
      <c r="F14" s="28">
        <f>SUM(Financials!W5:Z5)</f>
        <v/>
      </c>
      <c r="G14" s="32">
        <f>G10*G15</f>
        <v/>
      </c>
      <c r="H14" s="32">
        <f>H10*H15</f>
        <v/>
      </c>
      <c r="I14" s="32">
        <f>I10*I15</f>
        <v/>
      </c>
      <c r="J14" s="32">
        <f>J10*J15</f>
        <v/>
      </c>
      <c r="K14" s="32">
        <f>K10*K15</f>
        <v/>
      </c>
      <c r="L14" s="32">
        <f>L10*L15</f>
        <v/>
      </c>
      <c r="M14" s="32">
        <f>M10*M15</f>
        <v/>
      </c>
      <c r="N14" s="32">
        <f>N10*N15</f>
        <v/>
      </c>
      <c r="O14" s="32">
        <f>O10*O15</f>
        <v/>
      </c>
      <c r="P14" s="32">
        <f>P10*P15</f>
        <v/>
      </c>
    </row>
    <row r="15">
      <c r="A15" s="4" t="inlineStr">
        <is>
          <t xml:space="preserve">    % of revenue</t>
        </is>
      </c>
      <c r="B15" s="27">
        <f>IFERROR(B14/B10,"")</f>
        <v/>
      </c>
      <c r="C15" s="27">
        <f>IFERROR(C14/C10,"")</f>
        <v/>
      </c>
      <c r="D15" s="27">
        <f>IFERROR(D14/D10,"")</f>
        <v/>
      </c>
      <c r="E15" s="27">
        <f>IFERROR(E14/E10,"")</f>
        <v/>
      </c>
      <c r="F15" s="27">
        <f>IFERROR(F14/F10,"")</f>
        <v/>
      </c>
      <c r="G15" s="15" t="n">
        <v>0.2948831861182251</v>
      </c>
      <c r="H15" s="15" t="n">
        <v>0.2948831861182251</v>
      </c>
      <c r="I15" s="15" t="n">
        <v>0.2948831861182251</v>
      </c>
      <c r="J15" s="15" t="n">
        <v>0.2948831861182251</v>
      </c>
      <c r="K15" s="15" t="n">
        <v>0.2948831861182251</v>
      </c>
      <c r="L15" s="15" t="n">
        <v>0.2948831861182251</v>
      </c>
      <c r="M15" s="15" t="n">
        <v>0.2948831861182251</v>
      </c>
      <c r="N15" s="15" t="n">
        <v>0.2948831861182251</v>
      </c>
      <c r="O15" s="15" t="n">
        <v>0.2948831861182251</v>
      </c>
      <c r="P15" s="15" t="n">
        <v>0.2948831861182251</v>
      </c>
    </row>
    <row r="16">
      <c r="A16" s="4" t="inlineStr">
        <is>
          <t>R&amp;D / Technology</t>
        </is>
      </c>
      <c r="B16" s="28">
        <f>SUM(Financials!G7:J7)</f>
        <v/>
      </c>
      <c r="C16" s="28">
        <f>SUM(Financials!K7:N7)</f>
        <v/>
      </c>
      <c r="D16" s="28">
        <f>SUM(Financials!O7:R7)</f>
        <v/>
      </c>
      <c r="E16" s="28">
        <f>SUM(Financials!S7:V7)</f>
        <v/>
      </c>
      <c r="F16" s="28">
        <f>SUM(Financials!W7:Z7)</f>
        <v/>
      </c>
      <c r="G16" s="32">
        <f>G10*G17</f>
        <v/>
      </c>
      <c r="H16" s="32">
        <f>H10*H17</f>
        <v/>
      </c>
      <c r="I16" s="32">
        <f>I10*I17</f>
        <v/>
      </c>
      <c r="J16" s="32">
        <f>J10*J17</f>
        <v/>
      </c>
      <c r="K16" s="32">
        <f>K10*K17</f>
        <v/>
      </c>
      <c r="L16" s="32">
        <f>L10*L17</f>
        <v/>
      </c>
      <c r="M16" s="32">
        <f>M10*M17</f>
        <v/>
      </c>
      <c r="N16" s="32">
        <f>N10*N17</f>
        <v/>
      </c>
      <c r="O16" s="32">
        <f>O10*O17</f>
        <v/>
      </c>
      <c r="P16" s="32">
        <f>P10*P17</f>
        <v/>
      </c>
    </row>
    <row r="17">
      <c r="A17" s="4" t="inlineStr">
        <is>
          <t xml:space="preserve">    % of revenue</t>
        </is>
      </c>
      <c r="B17" s="27">
        <f>IFERROR(B16/B10,"")</f>
        <v/>
      </c>
      <c r="C17" s="27">
        <f>IFERROR(C16/C10,"")</f>
        <v/>
      </c>
      <c r="D17" s="27">
        <f>IFERROR(D16/D10,"")</f>
        <v/>
      </c>
      <c r="E17" s="27">
        <f>IFERROR(E16/E10,"")</f>
        <v/>
      </c>
      <c r="F17" s="27">
        <f>IFERROR(F16/F10,"")</f>
        <v/>
      </c>
      <c r="G17" s="15" t="n">
        <v>0.1717799961671806</v>
      </c>
      <c r="H17" s="15" t="n">
        <v>0.1717799961671806</v>
      </c>
      <c r="I17" s="15" t="n">
        <v>0.1717799961671806</v>
      </c>
      <c r="J17" s="15" t="n">
        <v>0.1717799961671806</v>
      </c>
      <c r="K17" s="15" t="n">
        <v>0.1717799961671806</v>
      </c>
      <c r="L17" s="15" t="n">
        <v>0.1717799961671806</v>
      </c>
      <c r="M17" s="15" t="n">
        <v>0.1717799961671806</v>
      </c>
      <c r="N17" s="15" t="n">
        <v>0.1717799961671806</v>
      </c>
      <c r="O17" s="15" t="n">
        <v>0.1717799961671806</v>
      </c>
      <c r="P17" s="15" t="n">
        <v>0.1717799961671806</v>
      </c>
    </row>
    <row r="18">
      <c r="A18" s="4" t="inlineStr">
        <is>
          <t>SG&amp;A</t>
        </is>
      </c>
      <c r="B18" s="28">
        <f>SUM(Financials!G9:J9)</f>
        <v/>
      </c>
      <c r="C18" s="28">
        <f>SUM(Financials!K9:N9)</f>
        <v/>
      </c>
      <c r="D18" s="28">
        <f>SUM(Financials!O9:R9)</f>
        <v/>
      </c>
      <c r="E18" s="28">
        <f>SUM(Financials!S9:V9)</f>
        <v/>
      </c>
      <c r="F18" s="28">
        <f>SUM(Financials!W9:Z9)</f>
        <v/>
      </c>
      <c r="G18" s="32">
        <f>G10*G19</f>
        <v/>
      </c>
      <c r="H18" s="32">
        <f>H10*H19</f>
        <v/>
      </c>
      <c r="I18" s="32">
        <f>I10*I19</f>
        <v/>
      </c>
      <c r="J18" s="32">
        <f>J10*J19</f>
        <v/>
      </c>
      <c r="K18" s="32">
        <f>K10*K19</f>
        <v/>
      </c>
      <c r="L18" s="32">
        <f>L10*L19</f>
        <v/>
      </c>
      <c r="M18" s="32">
        <f>M10*M19</f>
        <v/>
      </c>
      <c r="N18" s="32">
        <f>N10*N19</f>
        <v/>
      </c>
      <c r="O18" s="32">
        <f>O10*O19</f>
        <v/>
      </c>
      <c r="P18" s="32">
        <f>P10*P19</f>
        <v/>
      </c>
    </row>
    <row r="19">
      <c r="A19" s="4" t="inlineStr">
        <is>
          <t xml:space="preserve">    % of revenue</t>
        </is>
      </c>
      <c r="B19" s="27">
        <f>IFERROR(B18/B10,"")</f>
        <v/>
      </c>
      <c r="C19" s="27">
        <f>IFERROR(C18/C10,"")</f>
        <v/>
      </c>
      <c r="D19" s="27">
        <f>IFERROR(D18/D10,"")</f>
        <v/>
      </c>
      <c r="E19" s="27">
        <f>IFERROR(E18/E10,"")</f>
        <v/>
      </c>
      <c r="F19" s="27">
        <f>IFERROR(F18/F10,"")</f>
        <v/>
      </c>
      <c r="G19" s="15" t="n">
        <v>0.1786268053450409</v>
      </c>
      <c r="H19" s="15" t="n">
        <v>0.1786268053450409</v>
      </c>
      <c r="I19" s="15" t="n">
        <v>0.1786268053450409</v>
      </c>
      <c r="J19" s="15" t="n">
        <v>0.1786268053450409</v>
      </c>
      <c r="K19" s="15" t="n">
        <v>0.1786268053450409</v>
      </c>
      <c r="L19" s="15" t="n">
        <v>0.1786268053450409</v>
      </c>
      <c r="M19" s="15" t="n">
        <v>0.1786268053450409</v>
      </c>
      <c r="N19" s="15" t="n">
        <v>0.1786268053450409</v>
      </c>
      <c r="O19" s="15" t="n">
        <v>0.1786268053450409</v>
      </c>
      <c r="P19" s="15" t="n">
        <v>0.1786268053450409</v>
      </c>
    </row>
    <row r="20">
      <c r="A20" s="4" t="inlineStr">
        <is>
          <t>Other opex (fulfilment, etc.)</t>
        </is>
      </c>
      <c r="B20" s="28">
        <f>B10-(B14+B16+B18)-SUM(Financials!G13:J13)</f>
        <v/>
      </c>
      <c r="C20" s="28">
        <f>C10-(C14+C16+C18)-SUM(Financials!K13:N13)</f>
        <v/>
      </c>
      <c r="D20" s="28">
        <f>D10-(D14+D16+D18)-SUM(Financials!O13:R13)</f>
        <v/>
      </c>
      <c r="E20" s="28">
        <f>E10-(E14+E16+E18)-SUM(Financials!S13:V13)</f>
        <v/>
      </c>
      <c r="F20" s="28">
        <f>F10-(F14+F16+F18)-SUM(Financials!W13:Z13)</f>
        <v/>
      </c>
      <c r="G20" s="28">
        <f>G10*(1-(Dashboard!$B$29+(Dashboard!$B$30-Dashboard!$B$29)*MIN(1,0/4)))-(G14+G16+G18)</f>
        <v/>
      </c>
      <c r="H20" s="28">
        <f>H10*(1-(Dashboard!$B$29+(Dashboard!$B$30-Dashboard!$B$29)*MIN(1,1/4)))-(H14+H16+H18)</f>
        <v/>
      </c>
      <c r="I20" s="28">
        <f>I10*(1-(Dashboard!$B$29+(Dashboard!$B$30-Dashboard!$B$29)*MIN(1,2/4)))-(I14+I16+I18)</f>
        <v/>
      </c>
      <c r="J20" s="28">
        <f>J10*(1-(Dashboard!$B$29+(Dashboard!$B$30-Dashboard!$B$29)*MIN(1,3/4)))-(J14+J16+J18)</f>
        <v/>
      </c>
      <c r="K20" s="28">
        <f>K10*(1-(Dashboard!$B$29+(Dashboard!$B$30-Dashboard!$B$29)*MIN(1,4/4)))-(K14+K16+K18)</f>
        <v/>
      </c>
      <c r="L20" s="28">
        <f>L10*(1-(Dashboard!$B$29+(Dashboard!$B$30-Dashboard!$B$29)*MIN(1,5/4)))-(L14+L16+L18)</f>
        <v/>
      </c>
      <c r="M20" s="28">
        <f>M10*(1-(Dashboard!$B$29+(Dashboard!$B$30-Dashboard!$B$29)*MIN(1,6/4)))-(M14+M16+M18)</f>
        <v/>
      </c>
      <c r="N20" s="28">
        <f>N10*(1-(Dashboard!$B$29+(Dashboard!$B$30-Dashboard!$B$29)*MIN(1,7/4)))-(N14+N16+N18)</f>
        <v/>
      </c>
      <c r="O20" s="28">
        <f>O10*(1-(Dashboard!$B$29+(Dashboard!$B$30-Dashboard!$B$29)*MIN(1,8/4)))-(O14+O16+O18)</f>
        <v/>
      </c>
      <c r="P20" s="28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7">
        <f>IFERROR(B20/B10,"")</f>
        <v/>
      </c>
      <c r="C21" s="27">
        <f>IFERROR(C20/C10,"")</f>
        <v/>
      </c>
      <c r="D21" s="27">
        <f>IFERROR(D20/D10,"")</f>
        <v/>
      </c>
      <c r="E21" s="27">
        <f>IFERROR(E20/E10,"")</f>
        <v/>
      </c>
      <c r="F21" s="27">
        <f>IFERROR(F20/F10,"")</f>
        <v/>
      </c>
      <c r="G21" s="27">
        <f>IFERROR(G20/G10,"")</f>
        <v/>
      </c>
      <c r="H21" s="27">
        <f>IFERROR(H20/H10,"")</f>
        <v/>
      </c>
      <c r="I21" s="27">
        <f>IFERROR(I20/I10,"")</f>
        <v/>
      </c>
      <c r="J21" s="27">
        <f>IFERROR(J20/J10,"")</f>
        <v/>
      </c>
      <c r="K21" s="27">
        <f>IFERROR(K20/K10,"")</f>
        <v/>
      </c>
      <c r="L21" s="27">
        <f>IFERROR(L20/L10,"")</f>
        <v/>
      </c>
      <c r="M21" s="27">
        <f>IFERROR(M20/M10,"")</f>
        <v/>
      </c>
      <c r="N21" s="27">
        <f>IFERROR(N20/N10,"")</f>
        <v/>
      </c>
      <c r="O21" s="27">
        <f>IFERROR(O20/O10,"")</f>
        <v/>
      </c>
      <c r="P21" s="27">
        <f>IFERROR(P20/P10,"")</f>
        <v/>
      </c>
    </row>
    <row r="23">
      <c r="A23" s="3" t="inlineStr">
        <is>
          <t>Operating income (EBIT)</t>
        </is>
      </c>
      <c r="B23" s="33">
        <f>B10-(B14+B16+B18)-B20</f>
        <v/>
      </c>
      <c r="C23" s="33">
        <f>C10-(C14+C16+C18)-C20</f>
        <v/>
      </c>
      <c r="D23" s="33">
        <f>D10-(D14+D16+D18)-D20</f>
        <v/>
      </c>
      <c r="E23" s="33">
        <f>E10-(E14+E16+E18)-E20</f>
        <v/>
      </c>
      <c r="F23" s="33">
        <f>F10-(F14+F16+F18)-F20</f>
        <v/>
      </c>
      <c r="G23" s="33">
        <f>G10-(G14+G16+G18)-G20</f>
        <v/>
      </c>
      <c r="H23" s="33">
        <f>H10-(H14+H16+H18)-H20</f>
        <v/>
      </c>
      <c r="I23" s="33">
        <f>I10-(I14+I16+I18)-I20</f>
        <v/>
      </c>
      <c r="J23" s="33">
        <f>J10-(J14+J16+J18)-J20</f>
        <v/>
      </c>
      <c r="K23" s="33">
        <f>K10-(K14+K16+K18)-K20</f>
        <v/>
      </c>
      <c r="L23" s="33">
        <f>L10-(L14+L16+L18)-L20</f>
        <v/>
      </c>
      <c r="M23" s="33">
        <f>M10-(M14+M16+M18)-M20</f>
        <v/>
      </c>
      <c r="N23" s="33">
        <f>N10-(N14+N16+N18)-N20</f>
        <v/>
      </c>
      <c r="O23" s="33">
        <f>O10-(O14+O16+O18)-O20</f>
        <v/>
      </c>
      <c r="P23" s="33">
        <f>P10-(P14+P16+P18)-P20</f>
        <v/>
      </c>
    </row>
    <row r="24">
      <c r="A24" s="4" t="inlineStr">
        <is>
          <t xml:space="preserve">    operating margin</t>
        </is>
      </c>
      <c r="B24" s="27">
        <f>IFERROR(B23/B10,"")</f>
        <v/>
      </c>
      <c r="C24" s="27">
        <f>IFERROR(C23/C10,"")</f>
        <v/>
      </c>
      <c r="D24" s="27">
        <f>IFERROR(D23/D10,"")</f>
        <v/>
      </c>
      <c r="E24" s="27">
        <f>IFERROR(E23/E10,"")</f>
        <v/>
      </c>
      <c r="F24" s="27">
        <f>IFERROR(F23/F10,"")</f>
        <v/>
      </c>
      <c r="G24" s="27">
        <f>IFERROR(G23/G10,"")</f>
        <v/>
      </c>
      <c r="H24" s="27">
        <f>IFERROR(H23/H10,"")</f>
        <v/>
      </c>
      <c r="I24" s="27">
        <f>IFERROR(I23/I10,"")</f>
        <v/>
      </c>
      <c r="J24" s="27">
        <f>IFERROR(J23/J10,"")</f>
        <v/>
      </c>
      <c r="K24" s="27">
        <f>IFERROR(K23/K10,"")</f>
        <v/>
      </c>
      <c r="L24" s="27">
        <f>IFERROR(L23/L10,"")</f>
        <v/>
      </c>
      <c r="M24" s="27">
        <f>IFERROR(M23/M10,"")</f>
        <v/>
      </c>
      <c r="N24" s="27">
        <f>IFERROR(N23/N10,"")</f>
        <v/>
      </c>
      <c r="O24" s="27">
        <f>IFERROR(O23/O10,"")</f>
        <v/>
      </c>
      <c r="P24" s="27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28">
        <f>B23*(1-Valuation!$B$5)</f>
        <v/>
      </c>
      <c r="C27" s="28">
        <f>C23*(1-Valuation!$B$5)</f>
        <v/>
      </c>
      <c r="D27" s="28">
        <f>D23*(1-Valuation!$B$5)</f>
        <v/>
      </c>
      <c r="E27" s="28">
        <f>E23*(1-Valuation!$B$5)</f>
        <v/>
      </c>
      <c r="F27" s="28">
        <f>F23*(1-Valuation!$B$5)</f>
        <v/>
      </c>
      <c r="G27" s="28">
        <f>G23*(1-Valuation!$B$5)</f>
        <v/>
      </c>
      <c r="H27" s="28">
        <f>H23*(1-Valuation!$B$5)</f>
        <v/>
      </c>
      <c r="I27" s="28">
        <f>I23*(1-Valuation!$B$5)</f>
        <v/>
      </c>
      <c r="J27" s="28">
        <f>J23*(1-Valuation!$B$5)</f>
        <v/>
      </c>
      <c r="K27" s="28">
        <f>K23*(1-Valuation!$B$5)</f>
        <v/>
      </c>
      <c r="L27" s="28">
        <f>L23*(1-Valuation!$B$5)</f>
        <v/>
      </c>
      <c r="M27" s="28">
        <f>M23*(1-Valuation!$B$5)</f>
        <v/>
      </c>
      <c r="N27" s="28">
        <f>N23*(1-Valuation!$B$5)</f>
        <v/>
      </c>
      <c r="O27" s="28">
        <f>O23*(1-Valuation!$B$5)</f>
        <v/>
      </c>
      <c r="P27" s="28">
        <f>P23*(1-Valuation!$B$5)</f>
        <v/>
      </c>
    </row>
    <row r="28">
      <c r="A28" s="4" t="inlineStr">
        <is>
          <t>+ D&amp;A</t>
        </is>
      </c>
      <c r="B28" s="28">
        <f>SUM(Financials!G47:J47)</f>
        <v/>
      </c>
      <c r="C28" s="28">
        <f>SUM(Financials!K47:N47)</f>
        <v/>
      </c>
      <c r="D28" s="28">
        <f>SUM(Financials!O47:R47)</f>
        <v/>
      </c>
      <c r="E28" s="28">
        <f>SUM(Financials!S47:V47)</f>
        <v/>
      </c>
      <c r="F28" s="28">
        <f>SUM(Financials!W47:Z47)</f>
        <v/>
      </c>
      <c r="G28" s="32">
        <f>G10*0.1076</f>
        <v/>
      </c>
      <c r="H28" s="32">
        <f>H10*0.1076</f>
        <v/>
      </c>
      <c r="I28" s="32">
        <f>I10*0.1076</f>
        <v/>
      </c>
      <c r="J28" s="32">
        <f>J10*0.1076</f>
        <v/>
      </c>
      <c r="K28" s="32">
        <f>K10*0.1076</f>
        <v/>
      </c>
      <c r="L28" s="32">
        <f>L10*0.1076</f>
        <v/>
      </c>
      <c r="M28" s="32">
        <f>M10*0.1076</f>
        <v/>
      </c>
      <c r="N28" s="32">
        <f>N10*0.1076</f>
        <v/>
      </c>
      <c r="O28" s="32">
        <f>O10*0.1076</f>
        <v/>
      </c>
      <c r="P28" s="32">
        <f>P10*0.1076</f>
        <v/>
      </c>
    </row>
    <row r="29">
      <c r="A29" s="4" t="inlineStr">
        <is>
          <t>+ SBC (non-cash)</t>
        </is>
      </c>
      <c r="B29" s="28">
        <f>SUM(Financials!G48:J48)</f>
        <v/>
      </c>
      <c r="C29" s="28">
        <f>SUM(Financials!K48:N48)</f>
        <v/>
      </c>
      <c r="D29" s="28">
        <f>SUM(Financials!O48:R48)</f>
        <v/>
      </c>
      <c r="E29" s="28">
        <f>SUM(Financials!S48:V48)</f>
        <v/>
      </c>
      <c r="F29" s="28">
        <f>SUM(Financials!W48:Z48)</f>
        <v/>
      </c>
      <c r="G29" s="32">
        <f>G10*0.0814</f>
        <v/>
      </c>
      <c r="H29" s="32">
        <f>H10*0.0778</f>
        <v/>
      </c>
      <c r="I29" s="32">
        <f>I10*0.0742</f>
        <v/>
      </c>
      <c r="J29" s="32">
        <f>J10*0.0706</f>
        <v/>
      </c>
      <c r="K29" s="32">
        <f>K10*0.0670</f>
        <v/>
      </c>
      <c r="L29" s="32">
        <f>L10*0.0633</f>
        <v/>
      </c>
      <c r="M29" s="32">
        <f>M10*0.0597</f>
        <v/>
      </c>
      <c r="N29" s="32">
        <f>N10*0.0561</f>
        <v/>
      </c>
      <c r="O29" s="32">
        <f>O10*0.0525</f>
        <v/>
      </c>
      <c r="P29" s="32">
        <f>P10*0.0489</f>
        <v/>
      </c>
    </row>
    <row r="30">
      <c r="A30" s="4" t="inlineStr">
        <is>
          <t>- dNWC</t>
        </is>
      </c>
      <c r="G30" s="32">
        <f>(G10-F10)*0.0050</f>
        <v/>
      </c>
      <c r="H30" s="32">
        <f>(H10-G10)*0.0050</f>
        <v/>
      </c>
      <c r="I30" s="32">
        <f>(I10-H10)*0.0050</f>
        <v/>
      </c>
      <c r="J30" s="32">
        <f>(J10-I10)*0.0050</f>
        <v/>
      </c>
      <c r="K30" s="32">
        <f>(K10-J10)*0.0050</f>
        <v/>
      </c>
      <c r="L30" s="32">
        <f>(L10-K10)*0.0050</f>
        <v/>
      </c>
      <c r="M30" s="32">
        <f>(M10-L10)*0.0050</f>
        <v/>
      </c>
      <c r="N30" s="32">
        <f>(N10-M10)*0.0050</f>
        <v/>
      </c>
      <c r="O30" s="32">
        <f>(O10-N10)*0.0050</f>
        <v/>
      </c>
      <c r="P30" s="32">
        <f>(P10-O10)*0.0050</f>
        <v/>
      </c>
    </row>
    <row r="31">
      <c r="A31" s="4" t="inlineStr">
        <is>
          <t>- Capex</t>
        </is>
      </c>
      <c r="B31" s="28">
        <f>-SUM(Financials!G51:J51)</f>
        <v/>
      </c>
      <c r="C31" s="28">
        <f>-SUM(Financials!K51:N51)</f>
        <v/>
      </c>
      <c r="D31" s="28">
        <f>-SUM(Financials!O51:R51)</f>
        <v/>
      </c>
      <c r="E31" s="28">
        <f>-SUM(Financials!S51:V51)</f>
        <v/>
      </c>
      <c r="F31" s="28">
        <f>-SUM(Financials!W51:Z51)</f>
        <v/>
      </c>
      <c r="G31" s="32">
        <f>G28*G32</f>
        <v/>
      </c>
      <c r="H31" s="32">
        <f>H28*H32</f>
        <v/>
      </c>
      <c r="I31" s="32">
        <f>I28*I32</f>
        <v/>
      </c>
      <c r="J31" s="32">
        <f>J28*J32</f>
        <v/>
      </c>
      <c r="K31" s="32">
        <f>K28*K32</f>
        <v/>
      </c>
      <c r="L31" s="32">
        <f>L28*L32</f>
        <v/>
      </c>
      <c r="M31" s="32">
        <f>M28*M32</f>
        <v/>
      </c>
      <c r="N31" s="32">
        <f>N28*N32</f>
        <v/>
      </c>
      <c r="O31" s="32">
        <f>O28*O32</f>
        <v/>
      </c>
      <c r="P31" s="32">
        <f>P28*P32</f>
        <v/>
      </c>
    </row>
    <row r="32">
      <c r="A32" s="4" t="inlineStr">
        <is>
          <t xml:space="preserve">    Capex / D&amp;A  (from Dashboard: $cap'26 -&gt; terminal)</t>
        </is>
      </c>
      <c r="B32" s="34">
        <f>IFERROR(B31/B28,"")</f>
        <v/>
      </c>
      <c r="C32" s="34">
        <f>IFERROR(C31/C28,"")</f>
        <v/>
      </c>
      <c r="D32" s="34">
        <f>IFERROR(D31/D28,"")</f>
        <v/>
      </c>
      <c r="E32" s="34">
        <f>IFERROR(E31/E28,"")</f>
        <v/>
      </c>
      <c r="F32" s="34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33">
        <f>B27+B28+B29-B30-B31</f>
        <v/>
      </c>
      <c r="C34" s="33">
        <f>C27+C28+C29-C30-C31</f>
        <v/>
      </c>
      <c r="D34" s="33">
        <f>D27+D28+D29-D30-D31</f>
        <v/>
      </c>
      <c r="E34" s="33">
        <f>E27+E28+E29-E30-E31</f>
        <v/>
      </c>
      <c r="F34" s="33">
        <f>F27+F28+F29-F30-F31</f>
        <v/>
      </c>
      <c r="G34" s="33">
        <f>G27+G28+G29-G30-G31</f>
        <v/>
      </c>
      <c r="H34" s="33">
        <f>H27+H28+H29-H30-H31</f>
        <v/>
      </c>
      <c r="I34" s="33">
        <f>I27+I28+I29-I30-I31</f>
        <v/>
      </c>
      <c r="J34" s="33">
        <f>J27+J28+J29-J30-J31</f>
        <v/>
      </c>
      <c r="K34" s="33">
        <f>K27+K28+K29-K30-K31</f>
        <v/>
      </c>
      <c r="L34" s="33">
        <f>L27+L28+L29-L30-L31</f>
        <v/>
      </c>
      <c r="M34" s="33">
        <f>M27+M28+M29-M30-M31</f>
        <v/>
      </c>
      <c r="N34" s="33">
        <f>N27+N28+N29-N30-N31</f>
        <v/>
      </c>
      <c r="O34" s="33">
        <f>O27+O28+O29-O30-O31</f>
        <v/>
      </c>
      <c r="P34" s="33">
        <f>P27+P28+P29-P30-P31</f>
        <v/>
      </c>
    </row>
    <row r="35">
      <c r="A35" s="3" t="inlineStr">
        <is>
          <t>Valuation FCF (FCFF - SBC)</t>
        </is>
      </c>
      <c r="B35" s="33">
        <f>B34-B29</f>
        <v/>
      </c>
      <c r="C35" s="33">
        <f>C34-C29</f>
        <v/>
      </c>
      <c r="D35" s="33">
        <f>D34-D29</f>
        <v/>
      </c>
      <c r="E35" s="33">
        <f>E34-E29</f>
        <v/>
      </c>
      <c r="F35" s="33">
        <f>F34-F29</f>
        <v/>
      </c>
      <c r="G35" s="33">
        <f>G34-G29</f>
        <v/>
      </c>
      <c r="H35" s="33">
        <f>H34-H29</f>
        <v/>
      </c>
      <c r="I35" s="33">
        <f>I34-I29</f>
        <v/>
      </c>
      <c r="J35" s="33">
        <f>J34-J29</f>
        <v/>
      </c>
      <c r="K35" s="33">
        <f>K34-K29</f>
        <v/>
      </c>
      <c r="L35" s="33">
        <f>L34-L29</f>
        <v/>
      </c>
      <c r="M35" s="33">
        <f>M34-M29</f>
        <v/>
      </c>
      <c r="N35" s="33">
        <f>N34-N29</f>
        <v/>
      </c>
      <c r="O35" s="33">
        <f>O34-O29</f>
        <v/>
      </c>
      <c r="P35" s="33">
        <f>P34-P29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28">
        <f>Financials!J45+Financials!J44-Financials!J39</f>
        <v/>
      </c>
      <c r="C38" s="28">
        <f>Financials!N45+Financials!N44-Financials!N39</f>
        <v/>
      </c>
      <c r="D38" s="28">
        <f>Financials!R45+Financials!R44-Financials!R39</f>
        <v/>
      </c>
      <c r="E38" s="28">
        <f>Financials!V45+Financials!V44-Financials!V39</f>
        <v/>
      </c>
      <c r="F38" s="28">
        <f>Financials!Z45+Financials!Z44-Financials!Z39</f>
        <v/>
      </c>
      <c r="G38" s="32">
        <f>F38+G31-G28+G30</f>
        <v/>
      </c>
      <c r="H38" s="32">
        <f>G38+H31-H28+H30</f>
        <v/>
      </c>
      <c r="I38" s="32">
        <f>H38+I31-I28+I30</f>
        <v/>
      </c>
      <c r="J38" s="32">
        <f>I38+J31-J28+J30</f>
        <v/>
      </c>
      <c r="K38" s="32">
        <f>J38+K31-K28+K30</f>
        <v/>
      </c>
      <c r="L38" s="32">
        <f>K38+L31-L28+L30</f>
        <v/>
      </c>
      <c r="M38" s="32">
        <f>L38+M31-M28+M30</f>
        <v/>
      </c>
      <c r="N38" s="32">
        <f>M38+N31-N28+N30</f>
        <v/>
      </c>
      <c r="O38" s="32">
        <f>N38+O31-O28+O30</f>
        <v/>
      </c>
      <c r="P38" s="32">
        <f>O38+P31-P28+P30</f>
        <v/>
      </c>
    </row>
    <row r="39">
      <c r="A39" s="4" t="inlineStr">
        <is>
          <t>Book equity (year-end)</t>
        </is>
      </c>
      <c r="B39" s="28">
        <f>Financials!J45</f>
        <v/>
      </c>
      <c r="C39" s="28">
        <f>Financials!N45</f>
        <v/>
      </c>
      <c r="D39" s="28">
        <f>Financials!R45</f>
        <v/>
      </c>
      <c r="E39" s="28">
        <f>Financials!V45</f>
        <v/>
      </c>
      <c r="F39" s="28">
        <f>Financials!Z45</f>
        <v/>
      </c>
      <c r="G39" s="32">
        <f>F39+G27</f>
        <v/>
      </c>
      <c r="H39" s="32">
        <f>G39+H27</f>
        <v/>
      </c>
      <c r="I39" s="32">
        <f>H39+I27</f>
        <v/>
      </c>
      <c r="J39" s="32">
        <f>I39+J27</f>
        <v/>
      </c>
      <c r="K39" s="32">
        <f>J39+K27</f>
        <v/>
      </c>
      <c r="L39" s="32">
        <f>K39+L27</f>
        <v/>
      </c>
      <c r="M39" s="32">
        <f>L39+M27</f>
        <v/>
      </c>
      <c r="N39" s="32">
        <f>M39+N27</f>
        <v/>
      </c>
      <c r="O39" s="32">
        <f>N39+O27</f>
        <v/>
      </c>
      <c r="P39" s="32">
        <f>O39+P27</f>
        <v/>
      </c>
    </row>
    <row r="40">
      <c r="A40" s="3" t="inlineStr">
        <is>
          <t xml:space="preserve">  ROIC (NOPAT / beg. invested capital)</t>
        </is>
      </c>
      <c r="C40" s="27">
        <f>IFERROR(C27/B38,"")</f>
        <v/>
      </c>
      <c r="D40" s="27">
        <f>IFERROR(D27/C38,"")</f>
        <v/>
      </c>
      <c r="E40" s="27">
        <f>IFERROR(E27/D38,"")</f>
        <v/>
      </c>
      <c r="F40" s="27">
        <f>IFERROR(F27/E38,"")</f>
        <v/>
      </c>
      <c r="G40" s="27">
        <f>IFERROR(G27/F38,"")</f>
        <v/>
      </c>
      <c r="H40" s="27">
        <f>IFERROR(H27/G38,"")</f>
        <v/>
      </c>
      <c r="I40" s="27">
        <f>IFERROR(I27/H38,"")</f>
        <v/>
      </c>
      <c r="J40" s="27">
        <f>IFERROR(J27/I38,"")</f>
        <v/>
      </c>
      <c r="K40" s="27">
        <f>IFERROR(K27/J38,"")</f>
        <v/>
      </c>
      <c r="L40" s="27">
        <f>IFERROR(L27/K38,"")</f>
        <v/>
      </c>
      <c r="M40" s="27">
        <f>IFERROR(M27/L38,"")</f>
        <v/>
      </c>
      <c r="N40" s="27">
        <f>IFERROR(N27/M38,"")</f>
        <v/>
      </c>
      <c r="O40" s="27">
        <f>IFERROR(O27/N38,"")</f>
        <v/>
      </c>
      <c r="P40" s="27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IFERROR(SUM(Financials!K15:N15)/B39,"")</f>
        <v/>
      </c>
      <c r="D41" s="11">
        <f>IFERROR(SUM(Financials!O15:R15)/C39,"")</f>
        <v/>
      </c>
      <c r="E41" s="11">
        <f>IFERROR(SUM(Financials!S15:V15)/D39,"")</f>
        <v/>
      </c>
      <c r="F41" s="11">
        <f>IFERROR(SUM(Financials!W15:Z15)/E39,"")</f>
        <v/>
      </c>
      <c r="G41" s="27">
        <f>IFERROR(G27/F39,"")</f>
        <v/>
      </c>
      <c r="H41" s="27">
        <f>IFERROR(H27/G39,"")</f>
        <v/>
      </c>
      <c r="I41" s="27">
        <f>IFERROR(I27/H39,"")</f>
        <v/>
      </c>
      <c r="J41" s="27">
        <f>IFERROR(J27/I39,"")</f>
        <v/>
      </c>
      <c r="K41" s="27">
        <f>IFERROR(K27/J39,"")</f>
        <v/>
      </c>
      <c r="L41" s="27">
        <f>IFERROR(L27/K39,"")</f>
        <v/>
      </c>
      <c r="M41" s="27">
        <f>IFERROR(M27/L39,"")</f>
        <v/>
      </c>
      <c r="N41" s="27">
        <f>IFERROR(N27/M39,"")</f>
        <v/>
      </c>
      <c r="O41" s="27">
        <f>IFERROR(O27/N39,"")</f>
        <v/>
      </c>
      <c r="P41" s="27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IFERROR(C40-WACC!$B$14,"")</f>
        <v/>
      </c>
      <c r="D42" s="11">
        <f>IFERROR(D40-WACC!$B$14,"")</f>
        <v/>
      </c>
      <c r="E42" s="11">
        <f>IFERROR(E40-WACC!$B$14,"")</f>
        <v/>
      </c>
      <c r="F42" s="11">
        <f>IFERROR(F40-WACC!$B$14,"")</f>
        <v/>
      </c>
      <c r="G42" s="11">
        <f>IFERROR(G40-WACC!$B$14,"")</f>
        <v/>
      </c>
      <c r="H42" s="11">
        <f>IFERROR(H40-WACC!$B$14,"")</f>
        <v/>
      </c>
      <c r="I42" s="11">
        <f>IFERROR(I40-WACC!$B$14,"")</f>
        <v/>
      </c>
      <c r="J42" s="11">
        <f>IFERROR(J40-WACC!$B$14,"")</f>
        <v/>
      </c>
      <c r="K42" s="11">
        <f>IFERROR(K40-WACC!$B$14,"")</f>
        <v/>
      </c>
      <c r="L42" s="11">
        <f>IFERROR(L40-WACC!$B$14,"")</f>
        <v/>
      </c>
      <c r="M42" s="11">
        <f>IFERROR(M40-WACC!$B$14,"")</f>
        <v/>
      </c>
      <c r="N42" s="11">
        <f>IFERROR(N40-WACC!$B$14,"")</f>
        <v/>
      </c>
      <c r="O42" s="11">
        <f>IFERROR(O40-WACC!$B$14,"")</f>
        <v/>
      </c>
      <c r="P42" s="11">
        <f>IFERROR(P40-WACC!$B$14,"")</f>
        <v/>
      </c>
    </row>
    <row r="43">
      <c r="A43" s="4" t="inlineStr">
        <is>
          <t xml:space="preserve">  Incremental op margin (ΔEBIT / ΔRev)</t>
        </is>
      </c>
      <c r="C43" s="27">
        <f>IFERROR((C23-B23)/(C10-B10),"")</f>
        <v/>
      </c>
      <c r="D43" s="27">
        <f>IFERROR((D23-C23)/(D10-C10),"")</f>
        <v/>
      </c>
      <c r="E43" s="27">
        <f>IFERROR((E23-D23)/(E10-D10),"")</f>
        <v/>
      </c>
      <c r="F43" s="27">
        <f>IFERROR((F23-E23)/(F10-E10),"")</f>
        <v/>
      </c>
      <c r="G43" s="27">
        <f>IFERROR((G23-F23)/(G10-F10),"")</f>
        <v/>
      </c>
      <c r="H43" s="27">
        <f>IFERROR((H23-G23)/(H10-G10),"")</f>
        <v/>
      </c>
      <c r="I43" s="27">
        <f>IFERROR((I23-H23)/(I10-H10),"")</f>
        <v/>
      </c>
      <c r="J43" s="27">
        <f>IFERROR((J23-I23)/(J10-I10),"")</f>
        <v/>
      </c>
      <c r="K43" s="27">
        <f>IFERROR((K23-J23)/(K10-J10),"")</f>
        <v/>
      </c>
      <c r="L43" s="27">
        <f>IFERROR((L23-K23)/(L10-K10),"")</f>
        <v/>
      </c>
      <c r="M43" s="27">
        <f>IFERROR((M23-L23)/(M10-L10),"")</f>
        <v/>
      </c>
      <c r="N43" s="27">
        <f>IFERROR((N23-M23)/(N10-M10),"")</f>
        <v/>
      </c>
      <c r="O43" s="27">
        <f>IFERROR((O23-N23)/(O10-N10),"")</f>
        <v/>
      </c>
      <c r="P43" s="27">
        <f>IFERROR((P23-O23)/(P10-O10),"")</f>
        <v/>
      </c>
    </row>
    <row r="44">
      <c r="A44" s="3" t="inlineStr">
        <is>
          <t xml:space="preserve">  ROIIC (ΔNOPAT / ΔInvested capital)</t>
        </is>
      </c>
      <c r="C44" s="27">
        <f>IFERROR((C27-B27)/(C38-B38),"")</f>
        <v/>
      </c>
      <c r="D44" s="27">
        <f>IFERROR((D27-C27)/(D38-C38),"")</f>
        <v/>
      </c>
      <c r="E44" s="27">
        <f>IFERROR((E27-D27)/(E38-D38),"")</f>
        <v/>
      </c>
      <c r="F44" s="27">
        <f>IFERROR((F27-E27)/(F38-E38),"")</f>
        <v/>
      </c>
      <c r="G44" s="27">
        <f>IFERROR((G27-F27)/(G38-F38),"")</f>
        <v/>
      </c>
      <c r="H44" s="27">
        <f>IFERROR((H27-G27)/(H38-G38),"")</f>
        <v/>
      </c>
      <c r="I44" s="27">
        <f>IFERROR((I27-H27)/(I38-H38),"")</f>
        <v/>
      </c>
      <c r="J44" s="27">
        <f>IFERROR((J27-I27)/(J38-I38),"")</f>
        <v/>
      </c>
      <c r="K44" s="27">
        <f>IFERROR((K27-J27)/(K38-J38),"")</f>
        <v/>
      </c>
      <c r="L44" s="27">
        <f>IFERROR((L27-K27)/(L38-K38),"")</f>
        <v/>
      </c>
      <c r="M44" s="27">
        <f>IFERROR((M27-L27)/(M38-L38),"")</f>
        <v/>
      </c>
      <c r="N44" s="27">
        <f>IFERROR((N27-M27)/(N38-M38),"")</f>
        <v/>
      </c>
      <c r="O44" s="27">
        <f>IFERROR((O27-N27)/(O38-N38),"")</f>
        <v/>
      </c>
      <c r="P44" s="27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35">
        <f>IFERROR((C10-B10)/(C38-B38),"")</f>
        <v/>
      </c>
      <c r="D45" s="35">
        <f>IFERROR((D10-C10)/(D38-C38),"")</f>
        <v/>
      </c>
      <c r="E45" s="35">
        <f>IFERROR((E10-D10)/(E38-D38),"")</f>
        <v/>
      </c>
      <c r="F45" s="35">
        <f>IFERROR((F10-E10)/(F38-E38),"")</f>
        <v/>
      </c>
      <c r="G45" s="35">
        <f>IFERROR((G10-F10)/(G38-F38),"")</f>
        <v/>
      </c>
      <c r="H45" s="35">
        <f>IFERROR((H10-G10)/(H38-G38),"")</f>
        <v/>
      </c>
      <c r="I45" s="35">
        <f>IFERROR((I10-H10)/(I38-H38),"")</f>
        <v/>
      </c>
      <c r="J45" s="35">
        <f>IFERROR((J10-I10)/(J38-I38),"")</f>
        <v/>
      </c>
      <c r="K45" s="35">
        <f>IFERROR((K10-J10)/(K38-J38),"")</f>
        <v/>
      </c>
      <c r="L45" s="35">
        <f>IFERROR((L10-K10)/(L38-K38),"")</f>
        <v/>
      </c>
      <c r="M45" s="35">
        <f>IFERROR((M10-L10)/(M38-L38),"")</f>
        <v/>
      </c>
      <c r="N45" s="35">
        <f>IFERROR((N10-M10)/(N38-M38),"")</f>
        <v/>
      </c>
      <c r="O45" s="35">
        <f>IFERROR((O10-N10)/(O38-N38),"")</f>
        <v/>
      </c>
      <c r="P45" s="35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7">
        <f>IFERROR((C38-B38)/C27,"")</f>
        <v/>
      </c>
      <c r="D46" s="27">
        <f>IFERROR((D38-C38)/D27,"")</f>
        <v/>
      </c>
      <c r="E46" s="27">
        <f>IFERROR((E38-D38)/E27,"")</f>
        <v/>
      </c>
      <c r="F46" s="27">
        <f>IFERROR((F38-E38)/F27,"")</f>
        <v/>
      </c>
      <c r="G46" s="27">
        <f>IFERROR((G38-F38)/G27,"")</f>
        <v/>
      </c>
      <c r="H46" s="27">
        <f>IFERROR((H38-G38)/H27,"")</f>
        <v/>
      </c>
      <c r="I46" s="27">
        <f>IFERROR((I38-H38)/I27,"")</f>
        <v/>
      </c>
      <c r="J46" s="27">
        <f>IFERROR((J38-I38)/J27,"")</f>
        <v/>
      </c>
      <c r="K46" s="27">
        <f>IFERROR((K38-J38)/K27,"")</f>
        <v/>
      </c>
      <c r="L46" s="27">
        <f>IFERROR((L38-K38)/L27,"")</f>
        <v/>
      </c>
      <c r="M46" s="27">
        <f>IFERROR((M38-L38)/M27,"")</f>
        <v/>
      </c>
      <c r="N46" s="27">
        <f>IFERROR((N38-M38)/N27,"")</f>
        <v/>
      </c>
      <c r="O46" s="27">
        <f>IFERROR((O38-N38)/O27,"")</f>
        <v/>
      </c>
      <c r="P46" s="27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Q4 2019</t>
        </is>
      </c>
      <c r="C1" s="36" t="inlineStr">
        <is>
          <t>Q1 2020</t>
        </is>
      </c>
      <c r="D1" s="36" t="inlineStr">
        <is>
          <t>Q2 2020</t>
        </is>
      </c>
      <c r="E1" s="36" t="inlineStr">
        <is>
          <t>Q3 2020</t>
        </is>
      </c>
      <c r="F1" s="36" t="inlineStr">
        <is>
          <t>Q4 2020</t>
        </is>
      </c>
      <c r="G1" s="36" t="inlineStr">
        <is>
          <t>Q1 2021</t>
        </is>
      </c>
      <c r="H1" s="36" t="inlineStr">
        <is>
          <t>Q2 2021</t>
        </is>
      </c>
      <c r="I1" s="36" t="inlineStr">
        <is>
          <t>Q3 2021</t>
        </is>
      </c>
      <c r="J1" s="36" t="inlineStr">
        <is>
          <t>Q4 2021</t>
        </is>
      </c>
      <c r="K1" s="36" t="inlineStr">
        <is>
          <t>Q1 2022</t>
        </is>
      </c>
      <c r="L1" s="36" t="inlineStr">
        <is>
          <t>Q2 2022</t>
        </is>
      </c>
      <c r="M1" s="36" t="inlineStr">
        <is>
          <t>Q3 2022</t>
        </is>
      </c>
      <c r="N1" s="36" t="inlineStr">
        <is>
          <t>Q4 2022</t>
        </is>
      </c>
      <c r="O1" s="36" t="inlineStr">
        <is>
          <t>Q1 2023</t>
        </is>
      </c>
      <c r="P1" s="36" t="inlineStr">
        <is>
          <t>Q2 2023</t>
        </is>
      </c>
      <c r="Q1" s="36" t="inlineStr">
        <is>
          <t>Q3 2023</t>
        </is>
      </c>
      <c r="R1" s="36" t="inlineStr">
        <is>
          <t>Q4 2023</t>
        </is>
      </c>
      <c r="S1" s="36" t="inlineStr">
        <is>
          <t>Q1 2024</t>
        </is>
      </c>
      <c r="T1" s="36" t="inlineStr">
        <is>
          <t>Q2 2024</t>
        </is>
      </c>
      <c r="U1" s="36" t="inlineStr">
        <is>
          <t>Q3 2024</t>
        </is>
      </c>
      <c r="V1" s="36" t="inlineStr">
        <is>
          <t>Q4 2024</t>
        </is>
      </c>
      <c r="W1" s="36" t="inlineStr">
        <is>
          <t>Q1 2025</t>
        </is>
      </c>
      <c r="X1" s="36" t="inlineStr">
        <is>
          <t>Q2 2025</t>
        </is>
      </c>
      <c r="Y1" s="36" t="inlineStr">
        <is>
          <t>Q3 2025</t>
        </is>
      </c>
      <c r="Z1" s="36" t="inlineStr">
        <is>
          <t>Q4 2025</t>
        </is>
      </c>
      <c r="AA1" s="36" t="inlineStr">
        <is>
          <t>Q1 2026</t>
        </is>
      </c>
      <c r="AB1" s="36" t="inlineStr">
        <is>
          <t>Q2 2026</t>
        </is>
      </c>
      <c r="AC1" s="36" t="inlineStr">
        <is>
          <t>Q3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11136</v>
      </c>
      <c r="C3" s="18" t="n">
        <v>9218</v>
      </c>
      <c r="D3" s="18" t="n">
        <v>9614</v>
      </c>
      <c r="E3" s="18" t="n">
        <v>9796</v>
      </c>
      <c r="F3" s="18" t="n">
        <v>10439</v>
      </c>
      <c r="G3" s="18" t="n">
        <v>9367</v>
      </c>
      <c r="H3" s="18" t="n">
        <v>9800</v>
      </c>
      <c r="I3" s="18" t="n">
        <v>10085</v>
      </c>
      <c r="J3" s="18" t="n">
        <v>11227</v>
      </c>
      <c r="K3" s="18" t="n">
        <v>9728</v>
      </c>
      <c r="L3" s="18" t="n">
        <v>10360</v>
      </c>
      <c r="M3" s="18" t="n">
        <v>10513</v>
      </c>
      <c r="N3" s="18" t="n">
        <v>11840</v>
      </c>
      <c r="O3" s="18" t="n">
        <v>11445</v>
      </c>
      <c r="P3" s="18" t="n">
        <v>12275</v>
      </c>
      <c r="Q3" s="18" t="n">
        <v>12398</v>
      </c>
      <c r="R3" s="18" t="n">
        <v>13836</v>
      </c>
      <c r="S3" s="18" t="n">
        <v>12453</v>
      </c>
      <c r="T3" s="18" t="n">
        <v>12941</v>
      </c>
      <c r="U3" s="18" t="n">
        <v>13280</v>
      </c>
      <c r="V3" s="18" t="n">
        <v>14287</v>
      </c>
      <c r="W3" s="18" t="n">
        <v>13307</v>
      </c>
      <c r="X3" s="18" t="n">
        <v>14059</v>
      </c>
      <c r="Y3" s="18" t="n">
        <v>14130</v>
      </c>
      <c r="Z3" s="18" t="n">
        <v>15903</v>
      </c>
      <c r="AA3" s="18" t="n">
        <v>14926</v>
      </c>
      <c r="AB3" s="18" t="n">
        <v>16058</v>
      </c>
      <c r="AC3" s="18" t="n">
        <v>17190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2063</v>
      </c>
      <c r="C5" s="18" t="n">
        <v>1957</v>
      </c>
      <c r="D5" s="18" t="n">
        <v>2048</v>
      </c>
      <c r="E5" s="18" t="n">
        <v>1964</v>
      </c>
      <c r="F5" s="18" t="n">
        <v>1969</v>
      </c>
      <c r="G5" s="18" t="n">
        <v>1880</v>
      </c>
      <c r="H5" s="18" t="n">
        <v>1939</v>
      </c>
      <c r="I5" s="18" t="n">
        <v>1915</v>
      </c>
      <c r="J5" s="18" t="n">
        <v>2122</v>
      </c>
      <c r="K5" s="18" t="n">
        <v>2103</v>
      </c>
      <c r="L5" s="18" t="n">
        <v>2159</v>
      </c>
      <c r="M5" s="18" t="n">
        <v>2218</v>
      </c>
      <c r="N5" s="18" t="n">
        <v>2397</v>
      </c>
      <c r="O5" s="18" t="n">
        <v>3037</v>
      </c>
      <c r="P5" s="18" t="n">
        <v>3358</v>
      </c>
      <c r="Q5" s="18" t="n">
        <v>3439</v>
      </c>
      <c r="R5" s="18" t="n">
        <v>3730</v>
      </c>
      <c r="S5" s="18" t="n">
        <v>3610</v>
      </c>
      <c r="T5" s="18" t="n">
        <v>3740</v>
      </c>
      <c r="U5" s="18" t="n">
        <v>3869</v>
      </c>
      <c r="V5" s="18" t="n">
        <v>3924</v>
      </c>
      <c r="W5" s="18" t="n">
        <v>3906</v>
      </c>
      <c r="X5" s="18" t="n">
        <v>4085</v>
      </c>
      <c r="Y5" s="18" t="n">
        <v>4195</v>
      </c>
      <c r="Z5" s="18" t="n">
        <v>4740</v>
      </c>
      <c r="AA5" s="18" t="n">
        <v>4884</v>
      </c>
      <c r="AB5" s="18" t="n">
        <v>5374</v>
      </c>
      <c r="AC5" s="18" t="n">
        <v>6505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1562</v>
      </c>
      <c r="C7" s="18" t="n">
        <v>1557</v>
      </c>
      <c r="D7" s="18" t="n">
        <v>1531</v>
      </c>
      <c r="E7" s="18" t="n">
        <v>1500</v>
      </c>
      <c r="F7" s="18" t="n">
        <v>1479</v>
      </c>
      <c r="G7" s="18" t="n">
        <v>1589</v>
      </c>
      <c r="H7" s="18" t="n">
        <v>1601</v>
      </c>
      <c r="I7" s="18" t="n">
        <v>1621</v>
      </c>
      <c r="J7" s="18" t="n">
        <v>1715</v>
      </c>
      <c r="K7" s="18" t="n">
        <v>1684</v>
      </c>
      <c r="L7" s="18" t="n">
        <v>1754</v>
      </c>
      <c r="M7" s="18" t="n">
        <v>1816</v>
      </c>
      <c r="N7" s="18" t="n">
        <v>1965</v>
      </c>
      <c r="O7" s="18" t="n">
        <v>2093</v>
      </c>
      <c r="P7" s="18" t="n">
        <v>2158</v>
      </c>
      <c r="Q7" s="18" t="n">
        <v>2146</v>
      </c>
      <c r="R7" s="18" t="n">
        <v>2226</v>
      </c>
      <c r="S7" s="18" t="n">
        <v>2216</v>
      </c>
      <c r="T7" s="18" t="n">
        <v>2226</v>
      </c>
      <c r="U7" s="18" t="n">
        <v>2248</v>
      </c>
      <c r="V7" s="18" t="n">
        <v>2226</v>
      </c>
      <c r="W7" s="18" t="n">
        <v>2306</v>
      </c>
      <c r="X7" s="18" t="n">
        <v>2471</v>
      </c>
      <c r="Y7" s="18" t="n">
        <v>2429</v>
      </c>
      <c r="Z7" s="18" t="n">
        <v>2654</v>
      </c>
      <c r="AA7" s="18" t="n">
        <v>2491</v>
      </c>
      <c r="AB7" s="18" t="n">
        <v>2561</v>
      </c>
      <c r="AC7" s="18" t="n">
        <v>2607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2648</v>
      </c>
      <c r="C9" s="18" t="n">
        <v>2310</v>
      </c>
      <c r="D9" s="18" t="n">
        <v>2391</v>
      </c>
      <c r="E9" s="18" t="n">
        <v>2337</v>
      </c>
      <c r="F9" s="18" t="n">
        <v>2237</v>
      </c>
      <c r="G9" s="18" t="n">
        <v>2149</v>
      </c>
      <c r="H9" s="18" t="n">
        <v>2160</v>
      </c>
      <c r="I9" s="18" t="n">
        <v>2245</v>
      </c>
      <c r="J9" s="18" t="n">
        <v>2382</v>
      </c>
      <c r="K9" s="18" t="n">
        <v>2152</v>
      </c>
      <c r="L9" s="18" t="n">
        <v>2273</v>
      </c>
      <c r="M9" s="18" t="n">
        <v>2339</v>
      </c>
      <c r="N9" s="18" t="n">
        <v>2602</v>
      </c>
      <c r="O9" s="18" t="n">
        <v>2588</v>
      </c>
      <c r="P9" s="18" t="n">
        <v>2582</v>
      </c>
      <c r="Q9" s="18" t="n">
        <v>2552</v>
      </c>
      <c r="R9" s="18" t="n">
        <v>2689</v>
      </c>
      <c r="S9" s="18" t="n">
        <v>2419</v>
      </c>
      <c r="T9" s="18" t="n">
        <v>2468</v>
      </c>
      <c r="U9" s="18" t="n">
        <v>2419</v>
      </c>
      <c r="V9" s="18" t="n">
        <v>2515</v>
      </c>
      <c r="W9" s="18" t="n">
        <v>2394</v>
      </c>
      <c r="X9" s="18" t="n">
        <v>2577</v>
      </c>
      <c r="Y9" s="18" t="n">
        <v>2509</v>
      </c>
      <c r="Z9" s="18" t="n">
        <v>2773</v>
      </c>
      <c r="AA9" s="18" t="n">
        <v>2439</v>
      </c>
      <c r="AB9" s="18" t="n">
        <v>2558</v>
      </c>
      <c r="AC9" s="18" t="n">
        <v>2441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9073</v>
      </c>
      <c r="C11" s="18" t="n">
        <v>7261</v>
      </c>
      <c r="D11" s="18" t="n">
        <v>7566</v>
      </c>
      <c r="E11" s="18" t="n">
        <v>7832</v>
      </c>
      <c r="F11" s="18" t="n">
        <v>8470</v>
      </c>
      <c r="G11" s="18" t="n">
        <v>7487</v>
      </c>
      <c r="H11" s="18" t="n">
        <v>7861</v>
      </c>
      <c r="I11" s="18" t="n">
        <v>8170</v>
      </c>
      <c r="J11" s="18" t="n">
        <v>9105</v>
      </c>
      <c r="K11" s="18" t="n">
        <v>7625</v>
      </c>
      <c r="L11" s="18" t="n">
        <v>8201</v>
      </c>
      <c r="M11" s="18" t="n">
        <v>8295</v>
      </c>
      <c r="N11" s="18" t="n">
        <v>9444</v>
      </c>
      <c r="O11" s="18" t="n">
        <v>8408</v>
      </c>
      <c r="P11" s="18" t="n">
        <v>8917</v>
      </c>
      <c r="Q11" s="18" t="n">
        <v>8959</v>
      </c>
      <c r="R11" s="18" t="n">
        <v>10106</v>
      </c>
      <c r="S11" s="18" t="n">
        <v>8843</v>
      </c>
      <c r="T11" s="18" t="n">
        <v>9201</v>
      </c>
      <c r="U11" s="18" t="n">
        <v>9411</v>
      </c>
      <c r="V11" s="18" t="n">
        <v>10363</v>
      </c>
      <c r="W11" s="18" t="n">
        <v>9401</v>
      </c>
      <c r="X11" s="18" t="n">
        <v>9974</v>
      </c>
      <c r="Y11" s="18" t="n">
        <v>9935</v>
      </c>
      <c r="Z11" s="18" t="n">
        <v>11162</v>
      </c>
      <c r="AA11" s="18" t="n">
        <v>10042</v>
      </c>
      <c r="AB11" s="18" t="n">
        <v>10684</v>
      </c>
      <c r="AC11" s="18" t="n">
        <v>10685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4257</v>
      </c>
      <c r="C13" s="18" t="n">
        <v>2877</v>
      </c>
      <c r="D13" s="18" t="n">
        <v>3183</v>
      </c>
      <c r="E13" s="18" t="n">
        <v>3528</v>
      </c>
      <c r="F13" s="18" t="n">
        <v>4308</v>
      </c>
      <c r="G13" s="18" t="n">
        <v>3211</v>
      </c>
      <c r="H13" s="18" t="n">
        <v>3583</v>
      </c>
      <c r="I13" s="18" t="n">
        <v>3878</v>
      </c>
      <c r="J13" s="18" t="n">
        <v>4541</v>
      </c>
      <c r="K13" s="18" t="n">
        <v>3427</v>
      </c>
      <c r="L13" s="18" t="n">
        <v>-824</v>
      </c>
      <c r="M13" s="18" t="n">
        <v>3822</v>
      </c>
      <c r="N13" s="18" t="n">
        <v>4503</v>
      </c>
      <c r="O13" s="18" t="n">
        <v>2623</v>
      </c>
      <c r="P13" s="18" t="n">
        <v>3071</v>
      </c>
      <c r="Q13" s="18" t="n">
        <v>3260</v>
      </c>
      <c r="R13" s="18" t="n">
        <v>4140</v>
      </c>
      <c r="S13" s="18" t="n">
        <v>3296</v>
      </c>
      <c r="T13" s="18" t="n">
        <v>3622</v>
      </c>
      <c r="U13" s="18" t="n">
        <v>3750</v>
      </c>
      <c r="V13" s="18" t="n">
        <v>4686</v>
      </c>
      <c r="W13" s="18" t="n">
        <v>3991</v>
      </c>
      <c r="X13" s="18" t="n">
        <v>4220</v>
      </c>
      <c r="Y13" s="18" t="n">
        <v>4358</v>
      </c>
      <c r="Z13" s="18" t="n">
        <v>5109</v>
      </c>
      <c r="AA13" s="18" t="n">
        <v>4277</v>
      </c>
      <c r="AB13" s="18" t="n">
        <v>4731</v>
      </c>
      <c r="AC13" s="18" t="n">
        <v>5637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3740</v>
      </c>
      <c r="C15" s="18" t="n">
        <v>2137</v>
      </c>
      <c r="D15" s="18" t="n">
        <v>2311</v>
      </c>
      <c r="E15" s="18" t="n">
        <v>2571</v>
      </c>
      <c r="F15" s="18" t="n">
        <v>3116</v>
      </c>
      <c r="G15" s="18" t="n">
        <v>2251</v>
      </c>
      <c r="H15" s="18" t="n">
        <v>2442</v>
      </c>
      <c r="I15" s="18" t="n">
        <v>5021</v>
      </c>
      <c r="J15" s="18" t="n">
        <v>4033</v>
      </c>
      <c r="K15" s="18" t="n">
        <v>2457</v>
      </c>
      <c r="L15" s="18" t="n">
        <v>-1247</v>
      </c>
      <c r="M15" s="18" t="n">
        <v>2319</v>
      </c>
      <c r="N15" s="18" t="n">
        <v>3189</v>
      </c>
      <c r="O15" s="18" t="n">
        <v>1548</v>
      </c>
      <c r="P15" s="18" t="n">
        <v>1741</v>
      </c>
      <c r="Q15" s="18" t="n">
        <v>1896</v>
      </c>
      <c r="R15" s="18" t="n">
        <v>3319</v>
      </c>
      <c r="S15" s="18" t="n">
        <v>2420</v>
      </c>
      <c r="T15" s="18" t="n">
        <v>2503</v>
      </c>
      <c r="U15" s="18" t="n">
        <v>2401</v>
      </c>
      <c r="V15" s="18" t="n">
        <v>3144</v>
      </c>
      <c r="W15" s="18" t="n">
        <v>2929</v>
      </c>
      <c r="X15" s="18" t="n">
        <v>3151</v>
      </c>
      <c r="Y15" s="18" t="n">
        <v>2936</v>
      </c>
      <c r="Z15" s="18" t="n">
        <v>3427</v>
      </c>
      <c r="AA15" s="18" t="n">
        <v>2927</v>
      </c>
      <c r="AB15" s="18" t="n">
        <v>6135</v>
      </c>
      <c r="AC15" s="18" t="n">
        <v>3721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3505.49</v>
      </c>
      <c r="C17" s="18" t="n">
        <v>3410</v>
      </c>
      <c r="D17" s="18" t="n">
        <v>3349.275</v>
      </c>
      <c r="E17" s="18" t="n">
        <v>3271</v>
      </c>
      <c r="F17" s="18" t="n">
        <v>3162</v>
      </c>
      <c r="G17" s="18" t="n">
        <v>3126.389</v>
      </c>
      <c r="H17" s="18" t="n">
        <v>3052.5</v>
      </c>
      <c r="I17" s="18" t="n">
        <v>2994</v>
      </c>
      <c r="J17" s="18" t="n">
        <v>2949.007</v>
      </c>
      <c r="K17" s="18" t="n">
        <v>2861</v>
      </c>
      <c r="L17" s="18" t="n">
        <v>2694.003</v>
      </c>
      <c r="M17" s="18" t="n">
        <v>2754</v>
      </c>
      <c r="N17" s="18" t="n">
        <v>2742</v>
      </c>
      <c r="O17" s="18" t="n">
        <v>2747</v>
      </c>
      <c r="P17" s="18" t="n">
        <v>2746</v>
      </c>
      <c r="Q17" s="18" t="n">
        <v>2776</v>
      </c>
      <c r="R17" s="18" t="n">
        <v>2796</v>
      </c>
      <c r="S17" s="18" t="n">
        <v>2823</v>
      </c>
      <c r="T17" s="18" t="n">
        <v>2817</v>
      </c>
      <c r="U17" s="18" t="n">
        <v>2819</v>
      </c>
      <c r="V17" s="18" t="n">
        <v>2834</v>
      </c>
      <c r="W17" s="18" t="n">
        <v>2851</v>
      </c>
      <c r="X17" s="18" t="n">
        <v>2869</v>
      </c>
      <c r="Y17" s="18" t="n">
        <v>2874</v>
      </c>
      <c r="Z17" s="18" t="n">
        <v>2871</v>
      </c>
      <c r="AA17" s="18" t="n">
        <v>2909</v>
      </c>
      <c r="AB17" s="18" t="n">
        <v>2922</v>
      </c>
      <c r="AC17" s="18" t="n">
        <v>2914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Cloud And License Business</t>
        </is>
      </c>
      <c r="B19" s="18" t="n">
        <v>9322</v>
      </c>
      <c r="C19" s="18" t="n">
        <v>7619</v>
      </c>
      <c r="D19" s="18" t="n">
        <v>7938</v>
      </c>
      <c r="E19" s="18" t="n">
        <v>8162</v>
      </c>
      <c r="F19" s="18" t="n">
        <v>8804</v>
      </c>
      <c r="G19" s="18" t="n">
        <v>7834</v>
      </c>
      <c r="H19" s="18" t="n">
        <v>8204</v>
      </c>
      <c r="I19" s="18" t="n">
        <v>8529</v>
      </c>
      <c r="J19" s="18" t="n">
        <v>9534</v>
      </c>
      <c r="K19" s="18" t="n">
        <v>8184</v>
      </c>
      <c r="L19" s="18" t="n">
        <v>8791</v>
      </c>
      <c r="M19" s="18" t="n">
        <v>8926</v>
      </c>
      <c r="N19" s="18" t="n">
        <v>10151</v>
      </c>
      <c r="O19" s="18" t="n">
        <v>9321</v>
      </c>
      <c r="P19" s="18" t="n">
        <v>10033</v>
      </c>
      <c r="Q19" s="18" t="n">
        <v>10211</v>
      </c>
      <c r="R19" s="18" t="n">
        <v>11521</v>
      </c>
      <c r="S19" s="18" t="n">
        <v>10356</v>
      </c>
      <c r="T19" s="18" t="n">
        <v>10817</v>
      </c>
      <c r="U19" s="18" t="n">
        <v>11219</v>
      </c>
      <c r="V19" s="18" t="n">
        <v>12072</v>
      </c>
      <c r="W19" s="18" t="n">
        <v>11389</v>
      </c>
      <c r="X19" s="18" t="n">
        <v>12001</v>
      </c>
      <c r="Y19" s="18" t="n">
        <v>12136</v>
      </c>
      <c r="Z19" s="18" t="n">
        <v>13704</v>
      </c>
      <c r="AA19" s="18" t="n">
        <v>12907</v>
      </c>
      <c r="AC19" s="18" t="n">
        <v>15033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Services Business</t>
        </is>
      </c>
      <c r="B22" s="18" t="n">
        <v>824</v>
      </c>
      <c r="C22" s="18" t="n">
        <v>786</v>
      </c>
      <c r="D22" s="18" t="n">
        <v>806</v>
      </c>
      <c r="E22" s="18" t="n">
        <v>778</v>
      </c>
      <c r="F22" s="18" t="n">
        <v>736</v>
      </c>
      <c r="G22" s="18" t="n">
        <v>720</v>
      </c>
      <c r="H22" s="18" t="n">
        <v>752</v>
      </c>
      <c r="I22" s="18" t="n">
        <v>737</v>
      </c>
      <c r="J22" s="18" t="n">
        <v>812</v>
      </c>
      <c r="K22" s="18" t="n">
        <v>781</v>
      </c>
      <c r="L22" s="18" t="n">
        <v>802</v>
      </c>
      <c r="M22" s="18" t="n">
        <v>789</v>
      </c>
      <c r="N22" s="18" t="n">
        <v>833</v>
      </c>
      <c r="O22" s="18" t="n">
        <v>1361</v>
      </c>
      <c r="P22" s="18" t="n">
        <v>1392</v>
      </c>
      <c r="Q22" s="18" t="n">
        <v>1376</v>
      </c>
      <c r="R22" s="18" t="n">
        <v>1465</v>
      </c>
      <c r="S22" s="18" t="n">
        <v>1383</v>
      </c>
      <c r="T22" s="18" t="n">
        <v>1368</v>
      </c>
      <c r="U22" s="18" t="n">
        <v>1307</v>
      </c>
      <c r="V22" s="18" t="n">
        <v>1373</v>
      </c>
      <c r="W22" s="18" t="n">
        <v>1263</v>
      </c>
      <c r="X22" s="18" t="n">
        <v>1330</v>
      </c>
      <c r="Y22" s="18" t="n">
        <v>1291</v>
      </c>
      <c r="Z22" s="18" t="n">
        <v>1349</v>
      </c>
      <c r="AA22" s="18" t="n">
        <v>1349</v>
      </c>
      <c r="AC22" s="18" t="n">
        <v>1443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4" t="inlineStr">
        <is>
          <t>Hardware Business</t>
        </is>
      </c>
      <c r="B25" s="18" t="n">
        <v>994</v>
      </c>
      <c r="C25" s="18" t="n">
        <v>815</v>
      </c>
      <c r="D25" s="18" t="n">
        <v>871</v>
      </c>
      <c r="E25" s="18" t="n">
        <v>857</v>
      </c>
      <c r="F25" s="18" t="n">
        <v>900</v>
      </c>
      <c r="G25" s="18" t="n">
        <v>814</v>
      </c>
      <c r="H25" s="18" t="n">
        <v>844</v>
      </c>
      <c r="I25" s="18" t="n">
        <v>820</v>
      </c>
      <c r="J25" s="18" t="n">
        <v>881</v>
      </c>
      <c r="K25" s="18" t="n">
        <v>763</v>
      </c>
      <c r="L25" s="18" t="n">
        <v>767</v>
      </c>
      <c r="M25" s="18" t="n">
        <v>798</v>
      </c>
      <c r="N25" s="18" t="n">
        <v>855</v>
      </c>
      <c r="O25" s="18" t="n">
        <v>763</v>
      </c>
      <c r="P25" s="18" t="n">
        <v>850</v>
      </c>
      <c r="Q25" s="18" t="n">
        <v>811</v>
      </c>
      <c r="R25" s="18" t="n">
        <v>850</v>
      </c>
      <c r="S25" s="18" t="n">
        <v>714</v>
      </c>
      <c r="T25" s="18" t="n">
        <v>756</v>
      </c>
      <c r="U25" s="18" t="n">
        <v>754</v>
      </c>
      <c r="V25" s="18" t="n">
        <v>842</v>
      </c>
      <c r="W25" s="18" t="n">
        <v>655</v>
      </c>
      <c r="X25" s="18" t="n">
        <v>728</v>
      </c>
      <c r="Y25" s="18" t="n">
        <v>703</v>
      </c>
      <c r="Z25" s="18" t="n">
        <v>850</v>
      </c>
      <c r="AA25" s="18" t="n">
        <v>670</v>
      </c>
      <c r="AC25" s="18" t="n">
        <v>714</v>
      </c>
    </row>
    <row r="26">
      <c r="A26" s="4" t="inlineStr">
        <is>
          <t xml:space="preserve">    % YoY</t>
        </is>
      </c>
      <c r="F26" s="27">
        <f>IFERROR(F25/B25-1,"")</f>
        <v/>
      </c>
      <c r="G26" s="27">
        <f>IFERROR(G25/C25-1,"")</f>
        <v/>
      </c>
      <c r="H26" s="27">
        <f>IFERROR(H25/D25-1,"")</f>
        <v/>
      </c>
      <c r="I26" s="27">
        <f>IFERROR(I25/E25-1,"")</f>
        <v/>
      </c>
      <c r="J26" s="27">
        <f>IFERROR(J25/F25-1,"")</f>
        <v/>
      </c>
      <c r="K26" s="27">
        <f>IFERROR(K25/G25-1,"")</f>
        <v/>
      </c>
      <c r="L26" s="27">
        <f>IFERROR(L25/H25-1,"")</f>
        <v/>
      </c>
      <c r="M26" s="27">
        <f>IFERROR(M25/I25-1,"")</f>
        <v/>
      </c>
      <c r="N26" s="27">
        <f>IFERROR(N25/J25-1,"")</f>
        <v/>
      </c>
      <c r="O26" s="27">
        <f>IFERROR(O25/K25-1,"")</f>
        <v/>
      </c>
      <c r="P26" s="27">
        <f>IFERROR(P25/L25-1,"")</f>
        <v/>
      </c>
      <c r="Q26" s="27">
        <f>IFERROR(Q25/M25-1,"")</f>
        <v/>
      </c>
      <c r="R26" s="27">
        <f>IFERROR(R25/N25-1,"")</f>
        <v/>
      </c>
      <c r="S26" s="27">
        <f>IFERROR(S25/O25-1,"")</f>
        <v/>
      </c>
      <c r="T26" s="27">
        <f>IFERROR(T25/P25-1,"")</f>
        <v/>
      </c>
      <c r="U26" s="27">
        <f>IFERROR(U25/Q25-1,"")</f>
        <v/>
      </c>
      <c r="V26" s="27">
        <f>IFERROR(V25/R25-1,"")</f>
        <v/>
      </c>
      <c r="W26" s="27">
        <f>IFERROR(W25/S25-1,"")</f>
        <v/>
      </c>
      <c r="X26" s="27">
        <f>IFERROR(X25/T25-1,"")</f>
        <v/>
      </c>
      <c r="Y26" s="27">
        <f>IFERROR(Y25/U25-1,"")</f>
        <v/>
      </c>
      <c r="Z26" s="27">
        <f>IFERROR(Z25/V25-1,"")</f>
        <v/>
      </c>
      <c r="AA26" s="27">
        <f>IFERROR(AA25/W25-1,"")</f>
        <v/>
      </c>
      <c r="AB26" s="27">
        <f>IFERROR(AB25/X25-1,"")</f>
        <v/>
      </c>
      <c r="AC26" s="27">
        <f>IFERROR(AC25/Y25-1,"")</f>
        <v/>
      </c>
    </row>
    <row r="27">
      <c r="A27" s="4" t="inlineStr">
        <is>
          <t xml:space="preserve">    % of revenue</t>
        </is>
      </c>
      <c r="B27" s="27">
        <f>IFERROR(B25/B3,"")</f>
        <v/>
      </c>
      <c r="C27" s="27">
        <f>IFERROR(C25/C3,"")</f>
        <v/>
      </c>
      <c r="D27" s="27">
        <f>IFERROR(D25/D3,"")</f>
        <v/>
      </c>
      <c r="E27" s="27">
        <f>IFERROR(E25/E3,"")</f>
        <v/>
      </c>
      <c r="F27" s="27">
        <f>IFERROR(F25/F3,"")</f>
        <v/>
      </c>
      <c r="G27" s="27">
        <f>IFERROR(G25/G3,"")</f>
        <v/>
      </c>
      <c r="H27" s="27">
        <f>IFERROR(H25/H3,"")</f>
        <v/>
      </c>
      <c r="I27" s="27">
        <f>IFERROR(I25/I3,"")</f>
        <v/>
      </c>
      <c r="J27" s="27">
        <f>IFERROR(J25/J3,"")</f>
        <v/>
      </c>
      <c r="K27" s="27">
        <f>IFERROR(K25/K3,"")</f>
        <v/>
      </c>
      <c r="L27" s="27">
        <f>IFERROR(L25/L3,"")</f>
        <v/>
      </c>
      <c r="M27" s="27">
        <f>IFERROR(M25/M3,"")</f>
        <v/>
      </c>
      <c r="N27" s="27">
        <f>IFERROR(N25/N3,"")</f>
        <v/>
      </c>
      <c r="O27" s="27">
        <f>IFERROR(O25/O3,"")</f>
        <v/>
      </c>
      <c r="P27" s="27">
        <f>IFERROR(P25/P3,"")</f>
        <v/>
      </c>
      <c r="Q27" s="27">
        <f>IFERROR(Q25/Q3,"")</f>
        <v/>
      </c>
      <c r="R27" s="27">
        <f>IFERROR(R25/R3,"")</f>
        <v/>
      </c>
      <c r="S27" s="27">
        <f>IFERROR(S25/S3,"")</f>
        <v/>
      </c>
      <c r="T27" s="27">
        <f>IFERROR(T25/T3,"")</f>
        <v/>
      </c>
      <c r="U27" s="27">
        <f>IFERROR(U25/U3,"")</f>
        <v/>
      </c>
      <c r="V27" s="27">
        <f>IFERROR(V25/V3,"")</f>
        <v/>
      </c>
      <c r="W27" s="27">
        <f>IFERROR(W25/W3,"")</f>
        <v/>
      </c>
      <c r="X27" s="27">
        <f>IFERROR(X25/X3,"")</f>
        <v/>
      </c>
      <c r="Y27" s="27">
        <f>IFERROR(Y25/Y3,"")</f>
        <v/>
      </c>
      <c r="Z27" s="27">
        <f>IFERROR(Z25/Z3,"")</f>
        <v/>
      </c>
      <c r="AA27" s="27">
        <f>IFERROR(AA25/AA3,"")</f>
        <v/>
      </c>
      <c r="AB27" s="27">
        <f>IFERROR(AB25/AB3,"")</f>
        <v/>
      </c>
      <c r="AC27" s="27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Americas</t>
        </is>
      </c>
      <c r="B29" s="18" t="n">
        <v>6186</v>
      </c>
      <c r="C29" s="18" t="n">
        <v>5150</v>
      </c>
      <c r="D29" s="18" t="n">
        <v>5304</v>
      </c>
      <c r="E29" s="18" t="n">
        <v>5363</v>
      </c>
      <c r="F29" s="18" t="n">
        <v>5746</v>
      </c>
      <c r="G29" s="18" t="n">
        <v>5068</v>
      </c>
      <c r="H29" s="18" t="n">
        <v>5259</v>
      </c>
      <c r="I29" s="18" t="n">
        <v>5424</v>
      </c>
      <c r="J29" s="18" t="n">
        <v>6077</v>
      </c>
      <c r="K29" s="18" t="n">
        <v>5321</v>
      </c>
      <c r="L29" s="18" t="n">
        <v>5736</v>
      </c>
      <c r="M29" s="18" t="n">
        <v>5849</v>
      </c>
      <c r="N29" s="18" t="n">
        <v>6773</v>
      </c>
      <c r="O29" s="18" t="n">
        <v>7192</v>
      </c>
      <c r="P29" s="18" t="n">
        <v>7786</v>
      </c>
      <c r="Q29" s="18" t="n">
        <v>7671</v>
      </c>
      <c r="R29" s="18" t="n">
        <v>8577</v>
      </c>
      <c r="S29" s="18" t="n">
        <v>7841</v>
      </c>
      <c r="T29" s="18" t="n">
        <v>8067</v>
      </c>
      <c r="U29" s="18" t="n">
        <v>8270</v>
      </c>
      <c r="V29" s="18" t="n">
        <v>8944</v>
      </c>
      <c r="W29" s="18" t="n">
        <v>8372</v>
      </c>
      <c r="X29" s="18" t="n">
        <v>8933</v>
      </c>
      <c r="Y29" s="18" t="n">
        <v>9000</v>
      </c>
      <c r="Z29" s="18" t="n">
        <v>10034</v>
      </c>
      <c r="AA29" s="18" t="n">
        <v>9662</v>
      </c>
      <c r="AC29" s="18" t="n">
        <v>11361</v>
      </c>
    </row>
    <row r="30">
      <c r="A30" s="4" t="inlineStr">
        <is>
          <t xml:space="preserve">    % YoY</t>
        </is>
      </c>
      <c r="F30" s="27">
        <f>IFERROR(F29/B29-1,"")</f>
        <v/>
      </c>
      <c r="G30" s="27">
        <f>IFERROR(G29/C29-1,"")</f>
        <v/>
      </c>
      <c r="H30" s="27">
        <f>IFERROR(H29/D29-1,"")</f>
        <v/>
      </c>
      <c r="I30" s="27">
        <f>IFERROR(I29/E29-1,"")</f>
        <v/>
      </c>
      <c r="J30" s="27">
        <f>IFERROR(J29/F29-1,"")</f>
        <v/>
      </c>
      <c r="K30" s="27">
        <f>IFERROR(K29/G29-1,"")</f>
        <v/>
      </c>
      <c r="L30" s="27">
        <f>IFERROR(L29/H29-1,"")</f>
        <v/>
      </c>
      <c r="M30" s="27">
        <f>IFERROR(M29/I29-1,"")</f>
        <v/>
      </c>
      <c r="N30" s="27">
        <f>IFERROR(N29/J29-1,"")</f>
        <v/>
      </c>
      <c r="O30" s="27">
        <f>IFERROR(O29/K29-1,"")</f>
        <v/>
      </c>
      <c r="P30" s="27">
        <f>IFERROR(P29/L29-1,"")</f>
        <v/>
      </c>
      <c r="Q30" s="27">
        <f>IFERROR(Q29/M29-1,"")</f>
        <v/>
      </c>
      <c r="R30" s="27">
        <f>IFERROR(R29/N29-1,"")</f>
        <v/>
      </c>
      <c r="S30" s="27">
        <f>IFERROR(S29/O29-1,"")</f>
        <v/>
      </c>
      <c r="T30" s="27">
        <f>IFERROR(T29/P29-1,"")</f>
        <v/>
      </c>
      <c r="U30" s="27">
        <f>IFERROR(U29/Q29-1,"")</f>
        <v/>
      </c>
      <c r="V30" s="27">
        <f>IFERROR(V29/R29-1,"")</f>
        <v/>
      </c>
      <c r="W30" s="27">
        <f>IFERROR(W29/S29-1,"")</f>
        <v/>
      </c>
      <c r="X30" s="27">
        <f>IFERROR(X29/T29-1,"")</f>
        <v/>
      </c>
      <c r="Y30" s="27">
        <f>IFERROR(Y29/U29-1,"")</f>
        <v/>
      </c>
      <c r="Z30" s="27">
        <f>IFERROR(Z29/V29-1,"")</f>
        <v/>
      </c>
      <c r="AA30" s="27">
        <f>IFERROR(AA29/W29-1,"")</f>
        <v/>
      </c>
      <c r="AB30" s="27">
        <f>IFERROR(AB29/X29-1,"")</f>
        <v/>
      </c>
      <c r="AC30" s="27">
        <f>IFERROR(AC29/Y29-1,"")</f>
        <v/>
      </c>
    </row>
    <row r="31">
      <c r="A31" s="4" t="inlineStr">
        <is>
          <t xml:space="preserve">    % of revenue</t>
        </is>
      </c>
      <c r="B31" s="27">
        <f>IFERROR(B29/B3,"")</f>
        <v/>
      </c>
      <c r="C31" s="27">
        <f>IFERROR(C29/C3,"")</f>
        <v/>
      </c>
      <c r="D31" s="27">
        <f>IFERROR(D29/D3,"")</f>
        <v/>
      </c>
      <c r="E31" s="27">
        <f>IFERROR(E29/E3,"")</f>
        <v/>
      </c>
      <c r="F31" s="27">
        <f>IFERROR(F29/F3,"")</f>
        <v/>
      </c>
      <c r="G31" s="27">
        <f>IFERROR(G29/G3,"")</f>
        <v/>
      </c>
      <c r="H31" s="27">
        <f>IFERROR(H29/H3,"")</f>
        <v/>
      </c>
      <c r="I31" s="27">
        <f>IFERROR(I29/I3,"")</f>
        <v/>
      </c>
      <c r="J31" s="27">
        <f>IFERROR(J29/J3,"")</f>
        <v/>
      </c>
      <c r="K31" s="27">
        <f>IFERROR(K29/K3,"")</f>
        <v/>
      </c>
      <c r="L31" s="27">
        <f>IFERROR(L29/L3,"")</f>
        <v/>
      </c>
      <c r="M31" s="27">
        <f>IFERROR(M29/M3,"")</f>
        <v/>
      </c>
      <c r="N31" s="27">
        <f>IFERROR(N29/N3,"")</f>
        <v/>
      </c>
      <c r="O31" s="27">
        <f>IFERROR(O29/O3,"")</f>
        <v/>
      </c>
      <c r="P31" s="27">
        <f>IFERROR(P29/P3,"")</f>
        <v/>
      </c>
      <c r="Q31" s="27">
        <f>IFERROR(Q29/Q3,"")</f>
        <v/>
      </c>
      <c r="R31" s="27">
        <f>IFERROR(R29/R3,"")</f>
        <v/>
      </c>
      <c r="S31" s="27">
        <f>IFERROR(S29/S3,"")</f>
        <v/>
      </c>
      <c r="T31" s="27">
        <f>IFERROR(T29/T3,"")</f>
        <v/>
      </c>
      <c r="U31" s="27">
        <f>IFERROR(U29/U3,"")</f>
        <v/>
      </c>
      <c r="V31" s="27">
        <f>IFERROR(V29/V3,"")</f>
        <v/>
      </c>
      <c r="W31" s="27">
        <f>IFERROR(W29/W3,"")</f>
        <v/>
      </c>
      <c r="X31" s="27">
        <f>IFERROR(X29/X3,"")</f>
        <v/>
      </c>
      <c r="Y31" s="27">
        <f>IFERROR(Y29/Y3,"")</f>
        <v/>
      </c>
      <c r="Z31" s="27">
        <f>IFERROR(Z29/Z3,"")</f>
        <v/>
      </c>
      <c r="AA31" s="27">
        <f>IFERROR(AA29/AA3,"")</f>
        <v/>
      </c>
      <c r="AB31" s="27">
        <f>IFERROR(AB29/AB3,"")</f>
        <v/>
      </c>
      <c r="AC31" s="27">
        <f>IFERROR(AC29/AC3,"")</f>
        <v/>
      </c>
    </row>
    <row r="32">
      <c r="A32" s="4" t="inlineStr">
        <is>
          <t>E M E A</t>
        </is>
      </c>
      <c r="B32" s="18" t="n">
        <v>3131</v>
      </c>
      <c r="C32" s="18" t="n">
        <v>2553</v>
      </c>
      <c r="D32" s="18" t="n">
        <v>2695</v>
      </c>
      <c r="E32" s="18" t="n">
        <v>2835</v>
      </c>
      <c r="F32" s="18" t="n">
        <v>2952</v>
      </c>
      <c r="G32" s="18" t="n">
        <v>2738</v>
      </c>
      <c r="H32" s="18" t="n">
        <v>2852</v>
      </c>
      <c r="I32" s="18" t="n">
        <v>2981</v>
      </c>
      <c r="J32" s="18" t="n">
        <v>3323</v>
      </c>
      <c r="K32" s="18" t="n">
        <v>2784</v>
      </c>
      <c r="L32" s="18" t="n">
        <v>2953</v>
      </c>
      <c r="M32" s="18" t="n">
        <v>3014</v>
      </c>
      <c r="N32" s="18" t="n">
        <v>3260</v>
      </c>
      <c r="O32" s="18" t="n">
        <v>2691</v>
      </c>
      <c r="P32" s="18" t="n">
        <v>2895</v>
      </c>
      <c r="Q32" s="18" t="n">
        <v>3067</v>
      </c>
      <c r="R32" s="18" t="n">
        <v>3456</v>
      </c>
      <c r="S32" s="18" t="n">
        <v>3005</v>
      </c>
      <c r="T32" s="18" t="n">
        <v>3170</v>
      </c>
      <c r="U32" s="18" t="n">
        <v>3316</v>
      </c>
      <c r="V32" s="18" t="n">
        <v>3539</v>
      </c>
      <c r="W32" s="18" t="n">
        <v>3228</v>
      </c>
      <c r="X32" s="18" t="n">
        <v>3381</v>
      </c>
      <c r="Y32" s="18" t="n">
        <v>3421</v>
      </c>
      <c r="Z32" s="18" t="n">
        <v>3995</v>
      </c>
      <c r="AA32" s="18" t="n">
        <v>3481</v>
      </c>
      <c r="AC32" s="18" t="n">
        <v>3964</v>
      </c>
    </row>
    <row r="33">
      <c r="A33" s="4" t="inlineStr">
        <is>
          <t xml:space="preserve">    % YoY</t>
        </is>
      </c>
      <c r="F33" s="27">
        <f>IFERROR(F32/B32-1,"")</f>
        <v/>
      </c>
      <c r="G33" s="27">
        <f>IFERROR(G32/C32-1,"")</f>
        <v/>
      </c>
      <c r="H33" s="27">
        <f>IFERROR(H32/D32-1,"")</f>
        <v/>
      </c>
      <c r="I33" s="27">
        <f>IFERROR(I32/E32-1,"")</f>
        <v/>
      </c>
      <c r="J33" s="27">
        <f>IFERROR(J32/F32-1,"")</f>
        <v/>
      </c>
      <c r="K33" s="27">
        <f>IFERROR(K32/G32-1,"")</f>
        <v/>
      </c>
      <c r="L33" s="27">
        <f>IFERROR(L32/H32-1,"")</f>
        <v/>
      </c>
      <c r="M33" s="27">
        <f>IFERROR(M32/I32-1,"")</f>
        <v/>
      </c>
      <c r="N33" s="27">
        <f>IFERROR(N32/J32-1,"")</f>
        <v/>
      </c>
      <c r="O33" s="27">
        <f>IFERROR(O32/K32-1,"")</f>
        <v/>
      </c>
      <c r="P33" s="27">
        <f>IFERROR(P32/L32-1,"")</f>
        <v/>
      </c>
      <c r="Q33" s="27">
        <f>IFERROR(Q32/M32-1,"")</f>
        <v/>
      </c>
      <c r="R33" s="27">
        <f>IFERROR(R32/N32-1,"")</f>
        <v/>
      </c>
      <c r="S33" s="27">
        <f>IFERROR(S32/O32-1,"")</f>
        <v/>
      </c>
      <c r="T33" s="27">
        <f>IFERROR(T32/P32-1,"")</f>
        <v/>
      </c>
      <c r="U33" s="27">
        <f>IFERROR(U32/Q32-1,"")</f>
        <v/>
      </c>
      <c r="V33" s="27">
        <f>IFERROR(V32/R32-1,"")</f>
        <v/>
      </c>
      <c r="W33" s="27">
        <f>IFERROR(W32/S32-1,"")</f>
        <v/>
      </c>
      <c r="X33" s="27">
        <f>IFERROR(X32/T32-1,"")</f>
        <v/>
      </c>
      <c r="Y33" s="27">
        <f>IFERROR(Y32/U32-1,"")</f>
        <v/>
      </c>
      <c r="Z33" s="27">
        <f>IFERROR(Z32/V32-1,"")</f>
        <v/>
      </c>
      <c r="AA33" s="27">
        <f>IFERROR(AA32/W32-1,"")</f>
        <v/>
      </c>
      <c r="AB33" s="27">
        <f>IFERROR(AB32/X32-1,"")</f>
        <v/>
      </c>
      <c r="AC33" s="27">
        <f>IFERROR(AC32/Y32-1,"")</f>
        <v/>
      </c>
    </row>
    <row r="34">
      <c r="A34" s="4" t="inlineStr">
        <is>
          <t xml:space="preserve">    % of revenue</t>
        </is>
      </c>
      <c r="B34" s="27">
        <f>IFERROR(B32/B3,"")</f>
        <v/>
      </c>
      <c r="C34" s="27">
        <f>IFERROR(C32/C3,"")</f>
        <v/>
      </c>
      <c r="D34" s="27">
        <f>IFERROR(D32/D3,"")</f>
        <v/>
      </c>
      <c r="E34" s="27">
        <f>IFERROR(E32/E3,"")</f>
        <v/>
      </c>
      <c r="F34" s="27">
        <f>IFERROR(F32/F3,"")</f>
        <v/>
      </c>
      <c r="G34" s="27">
        <f>IFERROR(G32/G3,"")</f>
        <v/>
      </c>
      <c r="H34" s="27">
        <f>IFERROR(H32/H3,"")</f>
        <v/>
      </c>
      <c r="I34" s="27">
        <f>IFERROR(I32/I3,"")</f>
        <v/>
      </c>
      <c r="J34" s="27">
        <f>IFERROR(J32/J3,"")</f>
        <v/>
      </c>
      <c r="K34" s="27">
        <f>IFERROR(K32/K3,"")</f>
        <v/>
      </c>
      <c r="L34" s="27">
        <f>IFERROR(L32/L3,"")</f>
        <v/>
      </c>
      <c r="M34" s="27">
        <f>IFERROR(M32/M3,"")</f>
        <v/>
      </c>
      <c r="N34" s="27">
        <f>IFERROR(N32/N3,"")</f>
        <v/>
      </c>
      <c r="O34" s="27">
        <f>IFERROR(O32/O3,"")</f>
        <v/>
      </c>
      <c r="P34" s="27">
        <f>IFERROR(P32/P3,"")</f>
        <v/>
      </c>
      <c r="Q34" s="27">
        <f>IFERROR(Q32/Q3,"")</f>
        <v/>
      </c>
      <c r="R34" s="27">
        <f>IFERROR(R32/R3,"")</f>
        <v/>
      </c>
      <c r="S34" s="27">
        <f>IFERROR(S32/S3,"")</f>
        <v/>
      </c>
      <c r="T34" s="27">
        <f>IFERROR(T32/T3,"")</f>
        <v/>
      </c>
      <c r="U34" s="27">
        <f>IFERROR(U32/U3,"")</f>
        <v/>
      </c>
      <c r="V34" s="27">
        <f>IFERROR(V32/V3,"")</f>
        <v/>
      </c>
      <c r="W34" s="27">
        <f>IFERROR(W32/W3,"")</f>
        <v/>
      </c>
      <c r="X34" s="27">
        <f>IFERROR(X32/X3,"")</f>
        <v/>
      </c>
      <c r="Y34" s="27">
        <f>IFERROR(Y32/Y3,"")</f>
        <v/>
      </c>
      <c r="Z34" s="27">
        <f>IFERROR(Z32/Z3,"")</f>
        <v/>
      </c>
      <c r="AA34" s="27">
        <f>IFERROR(AA32/AA3,"")</f>
        <v/>
      </c>
      <c r="AB34" s="27">
        <f>IFERROR(AB32/AB3,"")</f>
        <v/>
      </c>
      <c r="AC34" s="27">
        <f>IFERROR(AC32/AC3,"")</f>
        <v/>
      </c>
    </row>
    <row r="35">
      <c r="A35" s="4" t="inlineStr">
        <is>
          <t>Asia Pacific</t>
        </is>
      </c>
      <c r="B35" s="18" t="n">
        <v>1820</v>
      </c>
      <c r="C35" s="18" t="n">
        <v>1515</v>
      </c>
      <c r="D35" s="18" t="n">
        <v>1615</v>
      </c>
      <c r="E35" s="18" t="n">
        <v>1598</v>
      </c>
      <c r="F35" s="18" t="n">
        <v>1742</v>
      </c>
      <c r="G35" s="18" t="n">
        <v>1561</v>
      </c>
      <c r="H35" s="18" t="n">
        <v>1689</v>
      </c>
      <c r="I35" s="18" t="n">
        <v>1680</v>
      </c>
      <c r="J35" s="18" t="n">
        <v>1827</v>
      </c>
      <c r="K35" s="18" t="n">
        <v>1623</v>
      </c>
      <c r="L35" s="18" t="n">
        <v>1671</v>
      </c>
      <c r="M35" s="18" t="n">
        <v>1650</v>
      </c>
      <c r="N35" s="18" t="n">
        <v>1806</v>
      </c>
      <c r="O35" s="18" t="n">
        <v>1562</v>
      </c>
      <c r="P35" s="18" t="n">
        <v>1594</v>
      </c>
      <c r="Q35" s="18" t="n">
        <v>1660</v>
      </c>
      <c r="R35" s="18" t="n">
        <v>1803</v>
      </c>
      <c r="S35" s="18" t="n">
        <v>1607</v>
      </c>
      <c r="T35" s="18" t="n">
        <v>1704</v>
      </c>
      <c r="U35" s="18" t="n">
        <v>1694</v>
      </c>
      <c r="V35" s="18" t="n">
        <v>1804</v>
      </c>
      <c r="W35" s="18" t="n">
        <v>1707</v>
      </c>
      <c r="X35" s="18" t="n">
        <v>1745</v>
      </c>
      <c r="Y35" s="18" t="n">
        <v>1709</v>
      </c>
      <c r="Z35" s="18" t="n">
        <v>1874</v>
      </c>
      <c r="AA35" s="18" t="n">
        <v>1783</v>
      </c>
      <c r="AC35" s="18" t="n">
        <v>1865</v>
      </c>
    </row>
    <row r="36">
      <c r="A36" s="4" t="inlineStr">
        <is>
          <t xml:space="preserve">    % YoY</t>
        </is>
      </c>
      <c r="F36" s="27">
        <f>IFERROR(F35/B35-1,"")</f>
        <v/>
      </c>
      <c r="G36" s="27">
        <f>IFERROR(G35/C35-1,"")</f>
        <v/>
      </c>
      <c r="H36" s="27">
        <f>IFERROR(H35/D35-1,"")</f>
        <v/>
      </c>
      <c r="I36" s="27">
        <f>IFERROR(I35/E35-1,"")</f>
        <v/>
      </c>
      <c r="J36" s="27">
        <f>IFERROR(J35/F35-1,"")</f>
        <v/>
      </c>
      <c r="K36" s="27">
        <f>IFERROR(K35/G35-1,"")</f>
        <v/>
      </c>
      <c r="L36" s="27">
        <f>IFERROR(L35/H35-1,"")</f>
        <v/>
      </c>
      <c r="M36" s="27">
        <f>IFERROR(M35/I35-1,"")</f>
        <v/>
      </c>
      <c r="N36" s="27">
        <f>IFERROR(N35/J35-1,"")</f>
        <v/>
      </c>
      <c r="O36" s="27">
        <f>IFERROR(O35/K35-1,"")</f>
        <v/>
      </c>
      <c r="P36" s="27">
        <f>IFERROR(P35/L35-1,"")</f>
        <v/>
      </c>
      <c r="Q36" s="27">
        <f>IFERROR(Q35/M35-1,"")</f>
        <v/>
      </c>
      <c r="R36" s="27">
        <f>IFERROR(R35/N35-1,"")</f>
        <v/>
      </c>
      <c r="S36" s="27">
        <f>IFERROR(S35/O35-1,"")</f>
        <v/>
      </c>
      <c r="T36" s="27">
        <f>IFERROR(T35/P35-1,"")</f>
        <v/>
      </c>
      <c r="U36" s="27">
        <f>IFERROR(U35/Q35-1,"")</f>
        <v/>
      </c>
      <c r="V36" s="27">
        <f>IFERROR(V35/R35-1,"")</f>
        <v/>
      </c>
      <c r="W36" s="27">
        <f>IFERROR(W35/S35-1,"")</f>
        <v/>
      </c>
      <c r="X36" s="27">
        <f>IFERROR(X35/T35-1,"")</f>
        <v/>
      </c>
      <c r="Y36" s="27">
        <f>IFERROR(Y35/U35-1,"")</f>
        <v/>
      </c>
      <c r="Z36" s="27">
        <f>IFERROR(Z35/V35-1,"")</f>
        <v/>
      </c>
      <c r="AA36" s="27">
        <f>IFERROR(AA35/W35-1,"")</f>
        <v/>
      </c>
      <c r="AB36" s="27">
        <f>IFERROR(AB35/X35-1,"")</f>
        <v/>
      </c>
      <c r="AC36" s="27">
        <f>IFERROR(AC35/Y35-1,"")</f>
        <v/>
      </c>
    </row>
    <row r="37">
      <c r="A37" s="4" t="inlineStr">
        <is>
          <t xml:space="preserve">    % of revenue</t>
        </is>
      </c>
      <c r="B37" s="27">
        <f>IFERROR(B35/B3,"")</f>
        <v/>
      </c>
      <c r="C37" s="27">
        <f>IFERROR(C35/C3,"")</f>
        <v/>
      </c>
      <c r="D37" s="27">
        <f>IFERROR(D35/D3,"")</f>
        <v/>
      </c>
      <c r="E37" s="27">
        <f>IFERROR(E35/E3,"")</f>
        <v/>
      </c>
      <c r="F37" s="27">
        <f>IFERROR(F35/F3,"")</f>
        <v/>
      </c>
      <c r="G37" s="27">
        <f>IFERROR(G35/G3,"")</f>
        <v/>
      </c>
      <c r="H37" s="27">
        <f>IFERROR(H35/H3,"")</f>
        <v/>
      </c>
      <c r="I37" s="27">
        <f>IFERROR(I35/I3,"")</f>
        <v/>
      </c>
      <c r="J37" s="27">
        <f>IFERROR(J35/J3,"")</f>
        <v/>
      </c>
      <c r="K37" s="27">
        <f>IFERROR(K35/K3,"")</f>
        <v/>
      </c>
      <c r="L37" s="27">
        <f>IFERROR(L35/L3,"")</f>
        <v/>
      </c>
      <c r="M37" s="27">
        <f>IFERROR(M35/M3,"")</f>
        <v/>
      </c>
      <c r="N37" s="27">
        <f>IFERROR(N35/N3,"")</f>
        <v/>
      </c>
      <c r="O37" s="27">
        <f>IFERROR(O35/O3,"")</f>
        <v/>
      </c>
      <c r="P37" s="27">
        <f>IFERROR(P35/P3,"")</f>
        <v/>
      </c>
      <c r="Q37" s="27">
        <f>IFERROR(Q35/Q3,"")</f>
        <v/>
      </c>
      <c r="R37" s="27">
        <f>IFERROR(R35/R3,"")</f>
        <v/>
      </c>
      <c r="S37" s="27">
        <f>IFERROR(S35/S3,"")</f>
        <v/>
      </c>
      <c r="T37" s="27">
        <f>IFERROR(T35/T3,"")</f>
        <v/>
      </c>
      <c r="U37" s="27">
        <f>IFERROR(U35/U3,"")</f>
        <v/>
      </c>
      <c r="V37" s="27">
        <f>IFERROR(V35/V3,"")</f>
        <v/>
      </c>
      <c r="W37" s="27">
        <f>IFERROR(W35/W3,"")</f>
        <v/>
      </c>
      <c r="X37" s="27">
        <f>IFERROR(X35/X3,"")</f>
        <v/>
      </c>
      <c r="Y37" s="27">
        <f>IFERROR(Y35/Y3,"")</f>
        <v/>
      </c>
      <c r="Z37" s="27">
        <f>IFERROR(Z35/Z3,"")</f>
        <v/>
      </c>
      <c r="AA37" s="27">
        <f>IFERROR(AA35/AA3,"")</f>
        <v/>
      </c>
      <c r="AB37" s="27">
        <f>IFERROR(AB35/AB3,"")</f>
        <v/>
      </c>
      <c r="AC37" s="27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37827</v>
      </c>
      <c r="C39" s="18" t="n">
        <v>35704</v>
      </c>
      <c r="D39" s="18" t="n">
        <v>27444</v>
      </c>
      <c r="E39" s="18" t="n">
        <v>25858</v>
      </c>
      <c r="F39" s="18" t="n">
        <v>43057</v>
      </c>
      <c r="G39" s="18" t="n">
        <v>42279</v>
      </c>
      <c r="H39" s="18" t="n">
        <v>38593</v>
      </c>
      <c r="I39" s="18" t="n">
        <v>35864</v>
      </c>
      <c r="J39" s="18" t="n">
        <v>46554</v>
      </c>
      <c r="K39" s="18" t="n">
        <v>39310</v>
      </c>
      <c r="L39" s="18" t="n">
        <v>22838</v>
      </c>
      <c r="M39" s="18" t="n">
        <v>23389</v>
      </c>
      <c r="N39" s="18" t="n">
        <v>21902</v>
      </c>
      <c r="O39" s="18" t="n">
        <v>11220</v>
      </c>
      <c r="P39" s="18" t="n">
        <v>7350</v>
      </c>
      <c r="Q39" s="18" t="n">
        <v>8769</v>
      </c>
      <c r="R39" s="18" t="n">
        <v>10187</v>
      </c>
      <c r="S39" s="18" t="n">
        <v>12083</v>
      </c>
      <c r="T39" s="18" t="n">
        <v>8690</v>
      </c>
      <c r="U39" s="18" t="n">
        <v>9904</v>
      </c>
      <c r="V39" s="18" t="n">
        <v>10661</v>
      </c>
      <c r="W39" s="18" t="n">
        <v>10911</v>
      </c>
      <c r="X39" s="18" t="n">
        <v>11311</v>
      </c>
      <c r="Y39" s="18" t="n">
        <v>17823</v>
      </c>
      <c r="Z39" s="18" t="n">
        <v>11203</v>
      </c>
      <c r="AA39" s="18" t="n">
        <v>11005</v>
      </c>
      <c r="AB39" s="18" t="n">
        <v>19766</v>
      </c>
      <c r="AC39" s="18" t="n">
        <v>39132</v>
      </c>
    </row>
    <row r="40">
      <c r="A40" s="4" t="inlineStr">
        <is>
          <t>Total Current Assets</t>
        </is>
      </c>
      <c r="B40" s="18" t="n">
        <v>46386</v>
      </c>
      <c r="C40" s="18" t="n">
        <v>42384</v>
      </c>
      <c r="D40" s="18" t="n">
        <v>34540</v>
      </c>
      <c r="E40" s="18" t="n">
        <v>33442</v>
      </c>
      <c r="F40" s="18" t="n">
        <v>52140</v>
      </c>
      <c r="G40" s="18" t="n">
        <v>49939</v>
      </c>
      <c r="H40" s="18" t="n">
        <v>46251</v>
      </c>
      <c r="I40" s="18" t="n">
        <v>43744</v>
      </c>
      <c r="J40" s="18" t="n">
        <v>55567</v>
      </c>
      <c r="K40" s="18" t="n">
        <v>47117</v>
      </c>
      <c r="L40" s="18" t="n">
        <v>31078</v>
      </c>
      <c r="M40" s="18" t="n">
        <v>31675</v>
      </c>
      <c r="N40" s="18" t="n">
        <v>31633</v>
      </c>
      <c r="O40" s="18" t="n">
        <v>21004</v>
      </c>
      <c r="P40" s="18" t="n">
        <v>17561</v>
      </c>
      <c r="Q40" s="18" t="n">
        <v>18696</v>
      </c>
      <c r="R40" s="18" t="n">
        <v>21004</v>
      </c>
      <c r="S40" s="18" t="n">
        <v>22166</v>
      </c>
      <c r="T40" s="18" t="n">
        <v>19289</v>
      </c>
      <c r="U40" s="18" t="n">
        <v>21063</v>
      </c>
      <c r="V40" s="18" t="n">
        <v>22554</v>
      </c>
      <c r="W40" s="18" t="n">
        <v>23072</v>
      </c>
      <c r="X40" s="18" t="n">
        <v>23503</v>
      </c>
      <c r="Y40" s="18" t="n">
        <v>30116</v>
      </c>
      <c r="Z40" s="18" t="n">
        <v>24579</v>
      </c>
      <c r="AA40" s="18" t="n">
        <v>24634</v>
      </c>
      <c r="AB40" s="18" t="n">
        <v>34366</v>
      </c>
      <c r="AC40" s="18" t="n">
        <v>54874</v>
      </c>
    </row>
    <row r="41">
      <c r="A41" s="4" t="inlineStr">
        <is>
          <t>PP&amp;E (net)</t>
        </is>
      </c>
      <c r="B41" s="18" t="n">
        <v>6252</v>
      </c>
      <c r="C41" s="18" t="n">
        <v>6264</v>
      </c>
      <c r="D41" s="18" t="n">
        <v>6270</v>
      </c>
      <c r="E41" s="18" t="n">
        <v>6248</v>
      </c>
      <c r="F41" s="18" t="n">
        <v>6244</v>
      </c>
      <c r="G41" s="18" t="n">
        <v>6401</v>
      </c>
      <c r="H41" s="18" t="n">
        <v>6627</v>
      </c>
      <c r="I41" s="18" t="n">
        <v>6816</v>
      </c>
      <c r="J41" s="18" t="n">
        <v>7049</v>
      </c>
      <c r="K41" s="18" t="n">
        <v>7610</v>
      </c>
      <c r="L41" s="18" t="n">
        <v>8029</v>
      </c>
      <c r="M41" s="18" t="n">
        <v>8609</v>
      </c>
      <c r="N41" s="18" t="n">
        <v>9716</v>
      </c>
      <c r="O41" s="18" t="n">
        <v>12280</v>
      </c>
      <c r="P41" s="18" t="n">
        <v>14351</v>
      </c>
      <c r="Q41" s="18" t="n">
        <v>16345</v>
      </c>
      <c r="R41" s="18" t="n">
        <v>17069</v>
      </c>
      <c r="S41" s="18" t="n">
        <v>17644</v>
      </c>
      <c r="T41" s="18" t="n">
        <v>18009</v>
      </c>
      <c r="U41" s="18" t="n">
        <v>19117</v>
      </c>
      <c r="V41" s="18" t="n">
        <v>21536</v>
      </c>
      <c r="W41" s="18" t="n">
        <v>23094</v>
      </c>
      <c r="X41" s="18" t="n">
        <v>26432</v>
      </c>
      <c r="Y41" s="18" t="n">
        <v>31970</v>
      </c>
      <c r="Z41" s="18" t="n">
        <v>43522</v>
      </c>
      <c r="AA41" s="18" t="n">
        <v>53194</v>
      </c>
      <c r="AB41" s="18" t="n">
        <v>67875</v>
      </c>
      <c r="AC41" s="18" t="n">
        <v>83617</v>
      </c>
    </row>
    <row r="42">
      <c r="A42" s="4" t="inlineStr">
        <is>
          <t>Total Assets</t>
        </is>
      </c>
      <c r="B42" s="18" t="n">
        <v>108709</v>
      </c>
      <c r="C42" s="18" t="n">
        <v>106229</v>
      </c>
      <c r="D42" s="18" t="n">
        <v>98443</v>
      </c>
      <c r="E42" s="18" t="n">
        <v>96704</v>
      </c>
      <c r="F42" s="18" t="n">
        <v>115438</v>
      </c>
      <c r="G42" s="18" t="n">
        <v>113546</v>
      </c>
      <c r="H42" s="18" t="n">
        <v>110014</v>
      </c>
      <c r="I42" s="18" t="n">
        <v>118109</v>
      </c>
      <c r="J42" s="18" t="n">
        <v>131107</v>
      </c>
      <c r="K42" s="18" t="n">
        <v>122924</v>
      </c>
      <c r="L42" s="18" t="n">
        <v>106897</v>
      </c>
      <c r="M42" s="18" t="n">
        <v>108644</v>
      </c>
      <c r="N42" s="18" t="n">
        <v>109297</v>
      </c>
      <c r="O42" s="18" t="n">
        <v>130309</v>
      </c>
      <c r="P42" s="18" t="n">
        <v>128469</v>
      </c>
      <c r="Q42" s="18" t="n">
        <v>131620</v>
      </c>
      <c r="R42" s="18" t="n">
        <v>134384</v>
      </c>
      <c r="S42" s="18" t="n">
        <v>136662</v>
      </c>
      <c r="T42" s="18" t="n">
        <v>134324</v>
      </c>
      <c r="U42" s="18" t="n">
        <v>137082</v>
      </c>
      <c r="V42" s="18" t="n">
        <v>140976</v>
      </c>
      <c r="W42" s="18" t="n">
        <v>144214</v>
      </c>
      <c r="X42" s="18" t="n">
        <v>148483</v>
      </c>
      <c r="Y42" s="18" t="n">
        <v>161378</v>
      </c>
      <c r="Z42" s="18" t="n">
        <v>168361</v>
      </c>
      <c r="AA42" s="18" t="n">
        <v>180449</v>
      </c>
      <c r="AB42" s="18" t="n">
        <v>204984</v>
      </c>
      <c r="AC42" s="18" t="n">
        <v>245240</v>
      </c>
    </row>
    <row r="43">
      <c r="A43" s="4" t="inlineStr">
        <is>
          <t>Total Current Liabilities</t>
        </is>
      </c>
      <c r="B43" s="18" t="n">
        <v>18630</v>
      </c>
      <c r="C43" s="18" t="n">
        <v>18875</v>
      </c>
      <c r="D43" s="18" t="n">
        <v>14592</v>
      </c>
      <c r="E43" s="18" t="n">
        <v>15740</v>
      </c>
      <c r="F43" s="18" t="n">
        <v>17200</v>
      </c>
      <c r="G43" s="18" t="n">
        <v>18748</v>
      </c>
      <c r="H43" s="18" t="n">
        <v>21347</v>
      </c>
      <c r="I43" s="18" t="n">
        <v>20250</v>
      </c>
      <c r="J43" s="18" t="n">
        <v>24164</v>
      </c>
      <c r="K43" s="18" t="n">
        <v>23071</v>
      </c>
      <c r="L43" s="18" t="n">
        <v>18881</v>
      </c>
      <c r="M43" s="18" t="n">
        <v>20833</v>
      </c>
      <c r="N43" s="18" t="n">
        <v>19511</v>
      </c>
      <c r="O43" s="18" t="n">
        <v>34819</v>
      </c>
      <c r="P43" s="18" t="n">
        <v>27106</v>
      </c>
      <c r="Q43" s="18" t="n">
        <v>22880</v>
      </c>
      <c r="R43" s="18" t="n">
        <v>23090</v>
      </c>
      <c r="S43" s="18" t="n">
        <v>25357</v>
      </c>
      <c r="T43" s="18" t="n">
        <v>24407</v>
      </c>
      <c r="U43" s="18" t="n">
        <v>24885</v>
      </c>
      <c r="V43" s="18" t="n">
        <v>31544</v>
      </c>
      <c r="W43" s="18" t="n">
        <v>32045</v>
      </c>
      <c r="X43" s="18" t="n">
        <v>29052</v>
      </c>
      <c r="Y43" s="18" t="n">
        <v>29623</v>
      </c>
      <c r="Z43" s="18" t="n">
        <v>32643</v>
      </c>
      <c r="AA43" s="18" t="n">
        <v>39874</v>
      </c>
      <c r="AB43" s="18" t="n">
        <v>37795</v>
      </c>
      <c r="AC43" s="18" t="n">
        <v>40737</v>
      </c>
    </row>
    <row r="44">
      <c r="A44" s="4" t="inlineStr">
        <is>
          <t>Long-term Debt</t>
        </is>
      </c>
      <c r="B44" s="18" t="n">
        <v>51673</v>
      </c>
      <c r="C44" s="18" t="n">
        <v>50692</v>
      </c>
      <c r="D44" s="18" t="n">
        <v>50670</v>
      </c>
      <c r="E44" s="18" t="n">
        <v>49320</v>
      </c>
      <c r="F44" s="18" t="n">
        <v>69226</v>
      </c>
      <c r="G44" s="18" t="n">
        <v>67769</v>
      </c>
      <c r="H44" s="18" t="n">
        <v>63531</v>
      </c>
      <c r="I44" s="18" t="n">
        <v>63541</v>
      </c>
      <c r="J44" s="18" t="n">
        <v>75995</v>
      </c>
      <c r="K44" s="18" t="n">
        <v>75970</v>
      </c>
      <c r="L44" s="18" t="n">
        <v>73433</v>
      </c>
      <c r="M44" s="18" t="n">
        <v>72165</v>
      </c>
      <c r="N44" s="18" t="n">
        <v>72110</v>
      </c>
      <c r="O44" s="18" t="n">
        <v>75480</v>
      </c>
      <c r="P44" s="18" t="n">
        <v>81173</v>
      </c>
      <c r="Q44" s="18" t="n">
        <v>86396</v>
      </c>
      <c r="R44" s="18" t="n">
        <v>86420</v>
      </c>
      <c r="S44" s="18" t="n">
        <v>84442</v>
      </c>
      <c r="T44" s="18" t="n">
        <v>82468</v>
      </c>
      <c r="U44" s="18" t="n">
        <v>82470</v>
      </c>
      <c r="V44" s="18" t="n">
        <v>76264</v>
      </c>
      <c r="W44" s="18" t="n">
        <v>75314</v>
      </c>
      <c r="X44" s="18" t="n">
        <v>80462</v>
      </c>
      <c r="Y44" s="18" t="n">
        <v>88109</v>
      </c>
      <c r="Z44" s="18" t="n">
        <v>85297</v>
      </c>
      <c r="AA44" s="18" t="n">
        <v>82236</v>
      </c>
      <c r="AB44" s="18" t="n">
        <v>99984</v>
      </c>
      <c r="AC44" s="18" t="n">
        <v>130429</v>
      </c>
    </row>
    <row r="45">
      <c r="A45" s="4" t="inlineStr">
        <is>
          <t>Total Equity</t>
        </is>
      </c>
      <c r="B45" s="18" t="n">
        <v>21785</v>
      </c>
      <c r="C45" s="18" t="n">
        <v>18433</v>
      </c>
      <c r="D45" s="18" t="n">
        <v>15563</v>
      </c>
      <c r="E45" s="18" t="n">
        <v>14235</v>
      </c>
      <c r="F45" s="18" t="n">
        <v>12074</v>
      </c>
      <c r="G45" s="18" t="n">
        <v>9491</v>
      </c>
      <c r="H45" s="18" t="n">
        <v>7917</v>
      </c>
      <c r="I45" s="18" t="n">
        <v>8900</v>
      </c>
      <c r="J45" s="18" t="n">
        <v>5238</v>
      </c>
      <c r="K45" s="18" t="n">
        <v>-1541</v>
      </c>
      <c r="L45" s="18" t="n">
        <v>-10101</v>
      </c>
      <c r="M45" s="18" t="n">
        <v>-8696</v>
      </c>
      <c r="N45" s="18" t="n">
        <v>-6220</v>
      </c>
      <c r="O45" s="18" t="n">
        <v>-5875</v>
      </c>
      <c r="P45" s="18" t="n">
        <v>-4246</v>
      </c>
      <c r="Q45" s="18" t="n">
        <v>-2421</v>
      </c>
      <c r="R45" s="18" t="n">
        <v>1073</v>
      </c>
      <c r="S45" s="18" t="n">
        <v>2370</v>
      </c>
      <c r="T45" s="18" t="n">
        <v>3866</v>
      </c>
      <c r="U45" s="18" t="n">
        <v>5623</v>
      </c>
      <c r="V45" s="18" t="n">
        <v>8704</v>
      </c>
      <c r="W45" s="18" t="n">
        <v>10816</v>
      </c>
      <c r="X45" s="18" t="n">
        <v>13746</v>
      </c>
      <c r="Y45" s="18" t="n">
        <v>16730</v>
      </c>
      <c r="Z45" s="18" t="n">
        <v>20451</v>
      </c>
      <c r="AA45" s="18" t="n">
        <v>24154</v>
      </c>
      <c r="AB45" s="18" t="n">
        <v>29951</v>
      </c>
      <c r="AC45" s="18" t="n">
        <v>38495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754</v>
      </c>
      <c r="C47" s="18" t="n">
        <v>750</v>
      </c>
      <c r="D47" s="18" t="n">
        <v>748</v>
      </c>
      <c r="E47" s="18" t="n">
        <v>748</v>
      </c>
      <c r="F47" s="18" t="n">
        <v>722</v>
      </c>
      <c r="G47" s="18" t="n">
        <v>701</v>
      </c>
      <c r="H47" s="18" t="n">
        <v>731</v>
      </c>
      <c r="I47" s="18" t="n">
        <v>732</v>
      </c>
      <c r="J47" s="18" t="n">
        <v>752</v>
      </c>
      <c r="K47" s="18" t="n">
        <v>757</v>
      </c>
      <c r="L47" s="18" t="n">
        <v>759</v>
      </c>
      <c r="M47" s="18" t="n">
        <v>775</v>
      </c>
      <c r="N47" s="18" t="n">
        <v>831</v>
      </c>
      <c r="O47" s="18" t="n">
        <v>1466</v>
      </c>
      <c r="P47" s="18" t="n">
        <v>1498</v>
      </c>
      <c r="Q47" s="18" t="n">
        <v>1558</v>
      </c>
      <c r="R47" s="18" t="n">
        <v>1586</v>
      </c>
      <c r="S47" s="18" t="n">
        <v>1475</v>
      </c>
      <c r="T47" s="18" t="n">
        <v>1553</v>
      </c>
      <c r="U47" s="18" t="n">
        <v>1557</v>
      </c>
      <c r="V47" s="18" t="n">
        <v>1554</v>
      </c>
      <c r="W47" s="18" t="n">
        <v>1428</v>
      </c>
      <c r="X47" s="18" t="n">
        <v>1499</v>
      </c>
      <c r="Y47" s="18" t="n">
        <v>1551</v>
      </c>
      <c r="Z47" s="18" t="n">
        <v>1696</v>
      </c>
      <c r="AA47" s="18" t="n">
        <v>1771</v>
      </c>
      <c r="AB47" s="18" t="n">
        <v>2111</v>
      </c>
      <c r="AC47" s="18" t="n">
        <v>2565</v>
      </c>
    </row>
    <row r="48">
      <c r="A48" s="4" t="inlineStr">
        <is>
          <t>Stock-based Compensation</t>
        </is>
      </c>
      <c r="B48" s="18" t="n">
        <v>394</v>
      </c>
      <c r="C48" s="18" t="n">
        <v>446</v>
      </c>
      <c r="D48" s="18" t="n">
        <v>397</v>
      </c>
      <c r="E48" s="18" t="n">
        <v>361</v>
      </c>
      <c r="F48" s="18" t="n">
        <v>386</v>
      </c>
      <c r="G48" s="18" t="n">
        <v>428</v>
      </c>
      <c r="H48" s="18" t="n">
        <v>488</v>
      </c>
      <c r="I48" s="18" t="n">
        <v>479</v>
      </c>
      <c r="J48" s="18" t="n">
        <v>442</v>
      </c>
      <c r="K48" s="18" t="n">
        <v>545</v>
      </c>
      <c r="L48" s="18" t="n">
        <v>681</v>
      </c>
      <c r="M48" s="18" t="n">
        <v>674</v>
      </c>
      <c r="N48" s="18" t="n">
        <v>713</v>
      </c>
      <c r="O48" s="18" t="n">
        <v>750</v>
      </c>
      <c r="P48" s="18" t="n">
        <v>909</v>
      </c>
      <c r="Q48" s="18" t="n">
        <v>924</v>
      </c>
      <c r="R48" s="18" t="n">
        <v>964</v>
      </c>
      <c r="S48" s="18" t="n">
        <v>849</v>
      </c>
      <c r="T48" s="18" t="n">
        <v>1029</v>
      </c>
      <c r="U48" s="18" t="n">
        <v>1048</v>
      </c>
      <c r="V48" s="18" t="n">
        <v>1047</v>
      </c>
      <c r="W48" s="18" t="n">
        <v>1007</v>
      </c>
      <c r="X48" s="18" t="n">
        <v>1169</v>
      </c>
      <c r="Y48" s="18" t="n">
        <v>1198</v>
      </c>
      <c r="Z48" s="18" t="n">
        <v>1300</v>
      </c>
      <c r="AA48" s="18" t="n">
        <v>1124</v>
      </c>
      <c r="AB48" s="18" t="n">
        <v>0</v>
      </c>
      <c r="AC48" s="18" t="n">
        <v>2484</v>
      </c>
    </row>
    <row r="49">
      <c r="A49" s="4" t="inlineStr">
        <is>
          <t>Change in Working Capital</t>
        </is>
      </c>
      <c r="B49" s="18" t="n">
        <v>-219</v>
      </c>
      <c r="C49" s="18" t="n">
        <v>2621</v>
      </c>
      <c r="D49" s="18" t="n">
        <v>-2751</v>
      </c>
      <c r="E49" s="18" t="n">
        <v>-583</v>
      </c>
      <c r="F49" s="18" t="n">
        <v>-474</v>
      </c>
      <c r="G49" s="18" t="n">
        <v>2322</v>
      </c>
      <c r="H49" s="18" t="n">
        <v>-2163</v>
      </c>
      <c r="I49" s="18" t="n">
        <v>-139</v>
      </c>
      <c r="J49" s="18" t="n">
        <v>-360</v>
      </c>
      <c r="K49" s="18" t="n">
        <v>1674</v>
      </c>
      <c r="L49" s="18" t="n">
        <v>-2920</v>
      </c>
      <c r="M49" s="18" t="n">
        <v>-18</v>
      </c>
      <c r="N49" s="18" t="n">
        <v>-723</v>
      </c>
      <c r="O49" s="18" t="n">
        <v>2818</v>
      </c>
      <c r="P49" s="18" t="n">
        <v>-2924</v>
      </c>
      <c r="Q49" s="18" t="n">
        <v>101</v>
      </c>
      <c r="R49" s="18" t="n">
        <v>518</v>
      </c>
      <c r="S49" s="18" t="n">
        <v>2578</v>
      </c>
      <c r="T49" s="18" t="n">
        <v>-4572</v>
      </c>
      <c r="U49" s="18" t="n">
        <v>875</v>
      </c>
      <c r="V49" s="18" t="n">
        <v>631</v>
      </c>
      <c r="W49" s="18" t="n">
        <v>2084</v>
      </c>
      <c r="X49" s="18" t="n">
        <v>-2084</v>
      </c>
      <c r="Y49" s="18" t="n">
        <v>620</v>
      </c>
      <c r="Z49" s="18" t="n">
        <v>29</v>
      </c>
      <c r="AA49" s="18" t="n">
        <v>1639</v>
      </c>
      <c r="AB49" s="18" t="n">
        <v>-4761</v>
      </c>
      <c r="AC49" s="18" t="n">
        <v>3122</v>
      </c>
    </row>
    <row r="50">
      <c r="A50" s="4" t="inlineStr">
        <is>
          <t>Operating Cash Flow</t>
        </is>
      </c>
      <c r="B50" s="18" t="n">
        <v>4422</v>
      </c>
      <c r="C50" s="18" t="n">
        <v>6000</v>
      </c>
      <c r="D50" s="18" t="n">
        <v>513</v>
      </c>
      <c r="E50" s="18" t="n">
        <v>3012</v>
      </c>
      <c r="F50" s="18" t="n">
        <v>3614</v>
      </c>
      <c r="G50" s="18" t="n">
        <v>5953</v>
      </c>
      <c r="H50" s="18" t="n">
        <v>1388</v>
      </c>
      <c r="I50" s="18" t="n">
        <v>3704</v>
      </c>
      <c r="J50" s="18" t="n">
        <v>4842</v>
      </c>
      <c r="K50" s="18" t="n">
        <v>5391</v>
      </c>
      <c r="L50" s="18" t="n">
        <v>-3682</v>
      </c>
      <c r="M50" s="18" t="n">
        <v>3845</v>
      </c>
      <c r="N50" s="18" t="n">
        <v>3985</v>
      </c>
      <c r="O50" s="18" t="n">
        <v>6394</v>
      </c>
      <c r="P50" s="18" t="n">
        <v>849</v>
      </c>
      <c r="Q50" s="18" t="n">
        <v>4275</v>
      </c>
      <c r="R50" s="18" t="n">
        <v>5647</v>
      </c>
      <c r="S50" s="18" t="n">
        <v>6974</v>
      </c>
      <c r="T50" s="18" t="n">
        <v>143</v>
      </c>
      <c r="U50" s="18" t="n">
        <v>5475</v>
      </c>
      <c r="V50" s="18" t="n">
        <v>6081</v>
      </c>
      <c r="W50" s="18" t="n">
        <v>7427</v>
      </c>
      <c r="X50" s="18" t="n">
        <v>1304</v>
      </c>
      <c r="Y50" s="18" t="n">
        <v>5933</v>
      </c>
      <c r="Z50" s="18" t="n">
        <v>6157</v>
      </c>
      <c r="AA50" s="18" t="n">
        <v>8140</v>
      </c>
      <c r="AB50" s="18" t="n">
        <v>2066</v>
      </c>
      <c r="AC50" s="18" t="n">
        <v>7151</v>
      </c>
    </row>
    <row r="51">
      <c r="A51" s="4" t="inlineStr">
        <is>
          <t>Capex</t>
        </is>
      </c>
      <c r="B51" s="18" t="n">
        <v>-413</v>
      </c>
      <c r="C51" s="18" t="n">
        <v>-386</v>
      </c>
      <c r="D51" s="18" t="n">
        <v>-349</v>
      </c>
      <c r="E51" s="18" t="n">
        <v>-396</v>
      </c>
      <c r="F51" s="18" t="n">
        <v>-433</v>
      </c>
      <c r="G51" s="18" t="n">
        <v>-436</v>
      </c>
      <c r="H51" s="18" t="n">
        <v>-568</v>
      </c>
      <c r="I51" s="18" t="n">
        <v>-414</v>
      </c>
      <c r="J51" s="18" t="n">
        <v>-717</v>
      </c>
      <c r="K51" s="18" t="n">
        <v>-1062</v>
      </c>
      <c r="L51" s="18" t="n">
        <v>-925</v>
      </c>
      <c r="M51" s="18" t="n">
        <v>-1101</v>
      </c>
      <c r="N51" s="18" t="n">
        <v>-1423</v>
      </c>
      <c r="O51" s="18" t="n">
        <v>-1719</v>
      </c>
      <c r="P51" s="18" t="n">
        <v>-2435</v>
      </c>
      <c r="Q51" s="18" t="n">
        <v>-2628</v>
      </c>
      <c r="R51" s="18" t="n">
        <v>-1913</v>
      </c>
      <c r="S51" s="18" t="n">
        <v>-1314</v>
      </c>
      <c r="T51" s="18" t="n">
        <v>-1080</v>
      </c>
      <c r="U51" s="18" t="n">
        <v>-1674</v>
      </c>
      <c r="V51" s="18" t="n">
        <v>-2798</v>
      </c>
      <c r="W51" s="18" t="n">
        <v>-2303</v>
      </c>
      <c r="X51" s="18" t="n">
        <v>-3970</v>
      </c>
      <c r="Y51" s="18" t="n">
        <v>-5862</v>
      </c>
      <c r="Z51" s="18" t="n">
        <v>-9080</v>
      </c>
      <c r="AA51" s="18" t="n">
        <v>-8502</v>
      </c>
      <c r="AB51" s="18" t="n">
        <v>-12033</v>
      </c>
      <c r="AC51" s="18" t="n">
        <v>-18635</v>
      </c>
    </row>
    <row r="52">
      <c r="A52" s="4" t="inlineStr">
        <is>
          <t>Free Cash Flow</t>
        </is>
      </c>
      <c r="B52" s="18" t="n">
        <v>4009</v>
      </c>
      <c r="C52" s="18" t="n">
        <v>5614</v>
      </c>
      <c r="D52" s="18" t="n">
        <v>164</v>
      </c>
      <c r="E52" s="18" t="n">
        <v>2616</v>
      </c>
      <c r="F52" s="18" t="n">
        <v>3181</v>
      </c>
      <c r="G52" s="18" t="n">
        <v>5517</v>
      </c>
      <c r="H52" s="18" t="n">
        <v>820</v>
      </c>
      <c r="I52" s="18" t="n">
        <v>3290</v>
      </c>
      <c r="J52" s="18" t="n">
        <v>4125</v>
      </c>
      <c r="K52" s="18" t="n">
        <v>4329</v>
      </c>
      <c r="L52" s="18" t="n">
        <v>-4607</v>
      </c>
      <c r="M52" s="18" t="n">
        <v>2744</v>
      </c>
      <c r="N52" s="18" t="n">
        <v>2562</v>
      </c>
      <c r="O52" s="18" t="n">
        <v>4675</v>
      </c>
      <c r="P52" s="18" t="n">
        <v>-1586</v>
      </c>
      <c r="Q52" s="18" t="n">
        <v>1647</v>
      </c>
      <c r="R52" s="18" t="n">
        <v>3734</v>
      </c>
      <c r="S52" s="18" t="n">
        <v>5660</v>
      </c>
      <c r="T52" s="18" t="n">
        <v>-937</v>
      </c>
      <c r="U52" s="18" t="n">
        <v>3801</v>
      </c>
      <c r="V52" s="18" t="n">
        <v>3283</v>
      </c>
      <c r="W52" s="18" t="n">
        <v>5124</v>
      </c>
      <c r="X52" s="18" t="n">
        <v>-2666</v>
      </c>
      <c r="Y52" s="18" t="n">
        <v>71</v>
      </c>
      <c r="Z52" s="18" t="n">
        <v>-2923</v>
      </c>
      <c r="AA52" s="18" t="n">
        <v>-362</v>
      </c>
      <c r="AB52" s="18" t="n">
        <v>-9967</v>
      </c>
      <c r="AC52" s="18" t="n">
        <v>-11484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67268.941007</v>
      </c>
      <c r="C4" s="18" t="n">
        <v>88802.066183</v>
      </c>
      <c r="D4" s="18" t="n">
        <v>129909.120276</v>
      </c>
      <c r="E4" s="18" t="n">
        <v>178502.986821</v>
      </c>
      <c r="F4" s="18" t="n">
        <v>215587.914286</v>
      </c>
    </row>
    <row r="5">
      <c r="A5" s="4" t="inlineStr">
        <is>
          <t xml:space="preserve">  model</t>
        </is>
      </c>
      <c r="B5" s="28">
        <f>Model!G10</f>
        <v/>
      </c>
      <c r="C5" s="28">
        <f>Model!H10</f>
        <v/>
      </c>
      <c r="D5" s="28">
        <f>Model!I10</f>
        <v/>
      </c>
      <c r="E5" s="28">
        <f>Model!J10</f>
        <v/>
      </c>
      <c r="F5" s="28">
        <f>Model!K10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26493.368742</v>
      </c>
      <c r="C8" s="18" t="n">
        <v>34974.028864</v>
      </c>
      <c r="D8" s="18" t="n">
        <v>51163.734332</v>
      </c>
      <c r="E8" s="18" t="n">
        <v>70302.064826</v>
      </c>
      <c r="F8" s="18" t="n">
        <v>84907.685837</v>
      </c>
    </row>
    <row r="9">
      <c r="A9" s="4" t="inlineStr">
        <is>
          <t xml:space="preserve">  model</t>
        </is>
      </c>
      <c r="B9" s="28">
        <f>Model!G23+Model!G28</f>
        <v/>
      </c>
      <c r="C9" s="28">
        <f>Model!H23+Model!H28</f>
        <v/>
      </c>
      <c r="D9" s="28">
        <f>Model!I23+Model!I28</f>
        <v/>
      </c>
      <c r="E9" s="28">
        <f>Model!J23+Model!J28</f>
        <v/>
      </c>
      <c r="F9" s="28">
        <f>Model!K23+Model!K28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19882.838412</v>
      </c>
      <c r="C12" s="18" t="n">
        <v>26247.434642</v>
      </c>
      <c r="D12" s="18" t="n">
        <v>38397.542878</v>
      </c>
      <c r="E12" s="18" t="n">
        <v>52760.545801</v>
      </c>
      <c r="F12" s="18" t="n">
        <v>63721.824651</v>
      </c>
    </row>
    <row r="13">
      <c r="A13" s="4" t="inlineStr">
        <is>
          <t xml:space="preserve">  model</t>
        </is>
      </c>
      <c r="B13" s="28">
        <f>Model!G23</f>
        <v/>
      </c>
      <c r="C13" s="28">
        <f>Model!H23</f>
        <v/>
      </c>
      <c r="D13" s="28">
        <f>Model!I23</f>
        <v/>
      </c>
      <c r="E13" s="28">
        <f>Model!J23</f>
        <v/>
      </c>
      <c r="F13" s="28">
        <f>Model!K23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13640.972535</v>
      </c>
      <c r="C16" s="18" t="n">
        <v>18007.516214</v>
      </c>
      <c r="D16" s="18" t="n">
        <v>26343.312608</v>
      </c>
      <c r="E16" s="18" t="n">
        <v>36197.304495</v>
      </c>
      <c r="F16" s="18" t="n">
        <v>43717.483488</v>
      </c>
    </row>
    <row r="17">
      <c r="A17" s="4" t="inlineStr">
        <is>
          <t xml:space="preserve">  model</t>
        </is>
      </c>
      <c r="B17" s="28">
        <f>Model!G18</f>
        <v/>
      </c>
      <c r="C17" s="28">
        <f>Model!H18</f>
        <v/>
      </c>
      <c r="D17" s="28">
        <f>Model!I18</f>
        <v/>
      </c>
      <c r="E17" s="28">
        <f>Model!J18</f>
        <v/>
      </c>
      <c r="F17" s="28">
        <f>Model!K18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20918.289157</v>
      </c>
      <c r="C20" s="18" t="n">
        <v>22710.7428775</v>
      </c>
      <c r="D20" s="18" t="n">
        <v>27083.66414</v>
      </c>
      <c r="E20" s="18" t="n">
        <v>43398.376355</v>
      </c>
      <c r="F20" s="18" t="n">
        <v>55850.143259</v>
      </c>
    </row>
    <row r="21">
      <c r="A21" s="4" t="inlineStr">
        <is>
          <t xml:space="preserve">  model</t>
        </is>
      </c>
      <c r="B21" s="28">
        <f>Model!G27</f>
        <v/>
      </c>
      <c r="C21" s="28">
        <f>Model!H27</f>
        <v/>
      </c>
      <c r="D21" s="28">
        <f>Model!I27</f>
        <v/>
      </c>
      <c r="E21" s="28">
        <f>Model!J27</f>
        <v/>
      </c>
      <c r="F21" s="28">
        <f>Model!K27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7.48438</v>
      </c>
      <c r="C24" s="38" t="n">
        <v>7.99423</v>
      </c>
      <c r="D24" s="38" t="n">
        <v>10.76376</v>
      </c>
      <c r="E24" s="38" t="n">
        <v>15.14249</v>
      </c>
      <c r="F24" s="38" t="n">
        <v>19.48714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Oracle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Model!G35</f>
        <v/>
      </c>
      <c r="D12" s="28">
        <f>Model!H35</f>
        <v/>
      </c>
      <c r="E12" s="28">
        <f>Model!I35</f>
        <v/>
      </c>
      <c r="F12" s="28">
        <f>Model!J35</f>
        <v/>
      </c>
      <c r="G12" s="28">
        <f>Model!K35</f>
        <v/>
      </c>
      <c r="H12" s="28">
        <f>Model!L35</f>
        <v/>
      </c>
      <c r="I12" s="28">
        <f>Model!M35</f>
        <v/>
      </c>
      <c r="J12" s="28">
        <f>Model!N35</f>
        <v/>
      </c>
      <c r="K12" s="28">
        <f>Model!O35</f>
        <v/>
      </c>
      <c r="L12" s="28">
        <f>Model!P35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Model!P10</f>
        <v/>
      </c>
    </row>
    <row r="21">
      <c r="A21" s="4" t="inlineStr">
        <is>
          <t>Terminal EBIT</t>
        </is>
      </c>
      <c r="B21" s="28">
        <f>Model!P23</f>
        <v/>
      </c>
    </row>
    <row r="22">
      <c r="A22" s="4" t="inlineStr">
        <is>
          <t>Terminal EBITDA</t>
        </is>
      </c>
      <c r="B22" s="28">
        <f>Model!P23+Model!P28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Financials!AC39</f>
        <v/>
      </c>
    </row>
    <row r="33">
      <c r="A33" s="4" t="inlineStr">
        <is>
          <t>- Long-term debt</t>
        </is>
      </c>
      <c r="B33" s="28">
        <f>-Financials!AC44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0.1075628495269952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2.789067055393586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0.02525116221935105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1.032652460652252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2026-06-08T03:55:20Z</dcterms:created>
  <dcterms:modified xmlns:dcterms="http://purl.org/dc/terms/" xmlns:xsi="http://www.w3.org/2001/XMLSchema-instance" xsi:type="dcterms:W3CDTF">2026-06-08T03:55:20Z</dcterms:modified>
</cp:coreProperties>
</file>