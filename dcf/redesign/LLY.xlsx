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Eli Lilly and Company (LLY)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LLY is the GLP-1 franchise leader (Mounjaro/Zepbound) with a multi-year capacity ramp and a deep incretin pipeline (oral orforglipron, retatrutide), driving Cardiometabolic—now ~80% of revenue—well above 20% near-term before fading toward a mature, branded-pharma growth rate as patents and competition normalize. Operating margins, already 45.6% in FY2025, hold near-term on operating leverage from the volume ramp, then normalize toward ~42% as pricing matures and pipeline/SG&amp;A reinvestment continues. Capex/D&amp;A converges toward maintenance (~1.1x) as the manufacturing build-out completes, lifting terminal FCFF conversion.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Eli Lilly and Company (LLY)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Model!G42-WACC!B14</f>
        <v/>
      </c>
      <c r="C15" s="10">
        <f>IF(Model!G42-WACC!B14&lt;0,"!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Cardiometabolic Health</t>
        </is>
      </c>
      <c r="B20" s="15" t="n">
        <v>0.3</v>
      </c>
      <c r="C20" s="15" t="n">
        <v>0.03</v>
      </c>
      <c r="D20" s="16" t="n">
        <v>0.3</v>
      </c>
      <c r="E20" s="2" t="inlineStr"/>
    </row>
    <row r="21">
      <c r="A21" s="4" t="inlineStr">
        <is>
          <t>Oncology</t>
        </is>
      </c>
      <c r="B21" s="15" t="n">
        <v>0.06</v>
      </c>
      <c r="C21" s="15" t="n">
        <v>0.025</v>
      </c>
      <c r="D21" s="16" t="n">
        <v>0.06</v>
      </c>
      <c r="E21" s="2" t="inlineStr"/>
    </row>
    <row r="22">
      <c r="A22" s="4" t="inlineStr">
        <is>
          <t>Immunology</t>
        </is>
      </c>
      <c r="B22" s="15" t="n">
        <v>0.12</v>
      </c>
      <c r="C22" s="15" t="n">
        <v>0.03</v>
      </c>
      <c r="D22" s="16" t="n">
        <v>0.12</v>
      </c>
      <c r="E22" s="2" t="inlineStr"/>
    </row>
    <row r="23">
      <c r="A23" s="4" t="inlineStr">
        <is>
          <t>Neuroscience</t>
        </is>
      </c>
      <c r="B23" s="15" t="n">
        <v>0.08</v>
      </c>
      <c r="C23" s="15" t="n">
        <v>0.025</v>
      </c>
      <c r="D23" s="16" t="n">
        <v>0.08</v>
      </c>
      <c r="E23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0.46</v>
      </c>
      <c r="D29" s="16" t="n">
        <v>0.46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0.42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0.15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8483.1718979</v>
      </c>
      <c r="D34" s="18" t="n">
        <v>8483.1718979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0.481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</t>
        </is>
      </c>
    </row>
    <row r="45">
      <c r="A45" s="4" t="inlineStr">
        <is>
          <t>Exit multiple</t>
        </is>
      </c>
      <c r="B45" s="19" t="n">
        <v>16</v>
      </c>
    </row>
    <row r="46">
      <c r="A46" s="4" t="inlineStr">
        <is>
          <t>Terminal growth (g)</t>
        </is>
      </c>
      <c r="B46" s="15" t="n">
        <v>0.04</v>
      </c>
    </row>
    <row r="48">
      <c r="A48" s="4" t="inlineStr">
        <is>
          <t>Current price</t>
        </is>
      </c>
      <c r="B48" s="23" t="n">
        <v>1068.625</v>
      </c>
    </row>
  </sheetData>
  <conditionalFormatting sqref="B20:B23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Financials!AC53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Cardiometabolic Health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Oncology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4" t="inlineStr">
        <is>
          <t>Immunology</t>
        </is>
      </c>
      <c r="B8" s="28">
        <f>SUM(Financials!I25:L25)</f>
        <v/>
      </c>
      <c r="C8" s="28">
        <f>SUM(Financials!M25:P25)</f>
        <v/>
      </c>
      <c r="D8" s="28">
        <f>SUM(Financials!Q25:T25)</f>
        <v/>
      </c>
      <c r="E8" s="28">
        <f>SUM(Financials!U25:X25)</f>
        <v/>
      </c>
      <c r="F8" s="28">
        <f>SUM(Financials!Y25:AB25)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11">
        <f>Dashboard!$B$22+(Dashboard!$C$22-Dashboard!$B$22)*MAX(0,0-2)/7</f>
        <v/>
      </c>
      <c r="H9" s="11">
        <f>Dashboard!$B$22+(Dashboard!$C$22-Dashboard!$B$22)*MAX(0,1-2)/7</f>
        <v/>
      </c>
      <c r="I9" s="11">
        <f>Dashboard!$B$22+(Dashboard!$C$22-Dashboard!$B$22)*MAX(0,2-2)/7</f>
        <v/>
      </c>
      <c r="J9" s="11">
        <f>Dashboard!$B$22+(Dashboard!$C$22-Dashboard!$B$22)*MAX(0,3-2)/7</f>
        <v/>
      </c>
      <c r="K9" s="11">
        <f>Dashboard!$B$22+(Dashboard!$C$22-Dashboard!$B$22)*MAX(0,4-2)/7</f>
        <v/>
      </c>
      <c r="L9" s="11">
        <f>Dashboard!$B$22+(Dashboard!$C$22-Dashboard!$B$22)*MAX(0,5-2)/7</f>
        <v/>
      </c>
      <c r="M9" s="11">
        <f>Dashboard!$B$22+(Dashboard!$C$22-Dashboard!$B$22)*MAX(0,6-2)/7</f>
        <v/>
      </c>
      <c r="N9" s="11">
        <f>Dashboard!$B$22+(Dashboard!$C$22-Dashboard!$B$22)*MAX(0,7-2)/7</f>
        <v/>
      </c>
      <c r="O9" s="11">
        <f>Dashboard!$B$22+(Dashboard!$C$22-Dashboard!$B$22)*MAX(0,8-2)/7</f>
        <v/>
      </c>
      <c r="P9" s="11">
        <f>Dashboard!$B$22+(Dashboard!$C$22-Dashboard!$B$22)*MAX(0,9-2)/7</f>
        <v/>
      </c>
    </row>
    <row r="10">
      <c r="A10" s="4" t="inlineStr">
        <is>
          <t>Neuroscience</t>
        </is>
      </c>
      <c r="B10" s="28">
        <f>SUM(Financials!I28:L28)</f>
        <v/>
      </c>
      <c r="C10" s="28">
        <f>SUM(Financials!M28:P28)</f>
        <v/>
      </c>
      <c r="D10" s="28">
        <f>SUM(Financials!Q28:T28)</f>
        <v/>
      </c>
      <c r="E10" s="28">
        <f>SUM(Financials!U28:X28)</f>
        <v/>
      </c>
      <c r="F10" s="28">
        <f>SUM(Financials!Y28:AB28)</f>
        <v/>
      </c>
      <c r="G10" s="32">
        <f>F10*(1+G11)</f>
        <v/>
      </c>
      <c r="H10" s="32">
        <f>G10*(1+H11)</f>
        <v/>
      </c>
      <c r="I10" s="32">
        <f>H10*(1+I11)</f>
        <v/>
      </c>
      <c r="J10" s="32">
        <f>I10*(1+J11)</f>
        <v/>
      </c>
      <c r="K10" s="32">
        <f>J10*(1+K11)</f>
        <v/>
      </c>
      <c r="L10" s="32">
        <f>K10*(1+L11)</f>
        <v/>
      </c>
      <c r="M10" s="32">
        <f>L10*(1+M11)</f>
        <v/>
      </c>
      <c r="N10" s="32">
        <f>M10*(1+N11)</f>
        <v/>
      </c>
      <c r="O10" s="32">
        <f>N10*(1+O11)</f>
        <v/>
      </c>
      <c r="P10" s="32">
        <f>O10*(1+P11)</f>
        <v/>
      </c>
    </row>
    <row r="11">
      <c r="A11" s="4" t="inlineStr">
        <is>
          <t xml:space="preserve">    growth % (interpolated from Dashboard)</t>
        </is>
      </c>
      <c r="C11" s="27">
        <f>IFERROR(C10/B10-1,"")</f>
        <v/>
      </c>
      <c r="D11" s="27">
        <f>IFERROR(D10/C10-1,"")</f>
        <v/>
      </c>
      <c r="E11" s="27">
        <f>IFERROR(E10/D10-1,"")</f>
        <v/>
      </c>
      <c r="F11" s="27">
        <f>IFERROR(F10/E10-1,"")</f>
        <v/>
      </c>
      <c r="G11" s="11">
        <f>Dashboard!$B$23+(Dashboard!$C$23-Dashboard!$B$23)*MAX(0,0-2)/7</f>
        <v/>
      </c>
      <c r="H11" s="11">
        <f>Dashboard!$B$23+(Dashboard!$C$23-Dashboard!$B$23)*MAX(0,1-2)/7</f>
        <v/>
      </c>
      <c r="I11" s="11">
        <f>Dashboard!$B$23+(Dashboard!$C$23-Dashboard!$B$23)*MAX(0,2-2)/7</f>
        <v/>
      </c>
      <c r="J11" s="11">
        <f>Dashboard!$B$23+(Dashboard!$C$23-Dashboard!$B$23)*MAX(0,3-2)/7</f>
        <v/>
      </c>
      <c r="K11" s="11">
        <f>Dashboard!$B$23+(Dashboard!$C$23-Dashboard!$B$23)*MAX(0,4-2)/7</f>
        <v/>
      </c>
      <c r="L11" s="11">
        <f>Dashboard!$B$23+(Dashboard!$C$23-Dashboard!$B$23)*MAX(0,5-2)/7</f>
        <v/>
      </c>
      <c r="M11" s="11">
        <f>Dashboard!$B$23+(Dashboard!$C$23-Dashboard!$B$23)*MAX(0,6-2)/7</f>
        <v/>
      </c>
      <c r="N11" s="11">
        <f>Dashboard!$B$23+(Dashboard!$C$23-Dashboard!$B$23)*MAX(0,7-2)/7</f>
        <v/>
      </c>
      <c r="O11" s="11">
        <f>Dashboard!$B$23+(Dashboard!$C$23-Dashboard!$B$23)*MAX(0,8-2)/7</f>
        <v/>
      </c>
      <c r="P11" s="11">
        <f>Dashboard!$B$23+(Dashboard!$C$23-Dashboard!$B$23)*MAX(0,9-2)/7</f>
        <v/>
      </c>
    </row>
    <row r="12">
      <c r="A12" s="3" t="inlineStr">
        <is>
          <t>Total revenue</t>
        </is>
      </c>
      <c r="B12" s="33">
        <f>B4+B6+B8+B10</f>
        <v/>
      </c>
      <c r="C12" s="33">
        <f>C4+C6+C8+C10</f>
        <v/>
      </c>
      <c r="D12" s="33">
        <f>D4+D6+D8+D10</f>
        <v/>
      </c>
      <c r="E12" s="33">
        <f>E4+E6+E8+E10</f>
        <v/>
      </c>
      <c r="F12" s="33">
        <f>F4+F6+F8+F10</f>
        <v/>
      </c>
      <c r="G12" s="33">
        <f>G4+G6+G8+G10</f>
        <v/>
      </c>
      <c r="H12" s="33">
        <f>H4+H6+H8+H10</f>
        <v/>
      </c>
      <c r="I12" s="33">
        <f>I4+I6+I8+I10</f>
        <v/>
      </c>
      <c r="J12" s="33">
        <f>J4+J6+J8+J10</f>
        <v/>
      </c>
      <c r="K12" s="33">
        <f>K4+K6+K8+K10</f>
        <v/>
      </c>
      <c r="L12" s="33">
        <f>L4+L6+L8+L10</f>
        <v/>
      </c>
      <c r="M12" s="33">
        <f>M4+M6+M8+M10</f>
        <v/>
      </c>
      <c r="N12" s="33">
        <f>N4+N6+N8+N10</f>
        <v/>
      </c>
      <c r="O12" s="33">
        <f>O4+O6+O8+O10</f>
        <v/>
      </c>
      <c r="P12" s="33">
        <f>P4+P6+P8+P10</f>
        <v/>
      </c>
    </row>
    <row r="13">
      <c r="A13" s="4" t="inlineStr">
        <is>
          <t xml:space="preserve">    growth %</t>
        </is>
      </c>
      <c r="C13" s="27">
        <f>IFERROR(C12/B12-1,"")</f>
        <v/>
      </c>
      <c r="D13" s="27">
        <f>IFERROR(D12/C12-1,"")</f>
        <v/>
      </c>
      <c r="E13" s="27">
        <f>IFERROR(E12/D12-1,"")</f>
        <v/>
      </c>
      <c r="F13" s="27">
        <f>IFERROR(F12/E12-1,"")</f>
        <v/>
      </c>
      <c r="G13" s="27">
        <f>IFERROR(G12/F12-1,"")</f>
        <v/>
      </c>
      <c r="H13" s="27">
        <f>IFERROR(H12/G12-1,"")</f>
        <v/>
      </c>
      <c r="I13" s="27">
        <f>IFERROR(I12/H12-1,"")</f>
        <v/>
      </c>
      <c r="J13" s="27">
        <f>IFERROR(J12/I12-1,"")</f>
        <v/>
      </c>
      <c r="K13" s="27">
        <f>IFERROR(K12/J12-1,"")</f>
        <v/>
      </c>
      <c r="L13" s="27">
        <f>IFERROR(L12/K12-1,"")</f>
        <v/>
      </c>
      <c r="M13" s="27">
        <f>IFERROR(M12/L12-1,"")</f>
        <v/>
      </c>
      <c r="N13" s="27">
        <f>IFERROR(N12/M12-1,"")</f>
        <v/>
      </c>
      <c r="O13" s="27">
        <f>IFERROR(O12/N12-1,"")</f>
        <v/>
      </c>
      <c r="P13" s="27">
        <f>IFERROR(P12/O12-1,"")</f>
        <v/>
      </c>
    </row>
    <row r="15">
      <c r="A15" s="5" t="inlineStr">
        <is>
          <t xml:space="preserve">  COST STRUCTURE (yellow = % of revenue)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4" t="inlineStr">
        <is>
          <t>Cost of revenue</t>
        </is>
      </c>
      <c r="B16" s="28">
        <f>SUM(Financials!I5:L5)</f>
        <v/>
      </c>
      <c r="C16" s="28">
        <f>SUM(Financials!M5:P5)</f>
        <v/>
      </c>
      <c r="D16" s="28">
        <f>SUM(Financials!Q5:T5)</f>
        <v/>
      </c>
      <c r="E16" s="28">
        <f>SUM(Financials!U5:X5)</f>
        <v/>
      </c>
      <c r="F16" s="28">
        <f>SUM(Financials!Y5:AB5)</f>
        <v/>
      </c>
      <c r="G16" s="32">
        <f>G12*G17</f>
        <v/>
      </c>
      <c r="H16" s="32">
        <f>H12*H17</f>
        <v/>
      </c>
      <c r="I16" s="32">
        <f>I12*I17</f>
        <v/>
      </c>
      <c r="J16" s="32">
        <f>J12*J17</f>
        <v/>
      </c>
      <c r="K16" s="32">
        <f>K12*K17</f>
        <v/>
      </c>
      <c r="L16" s="32">
        <f>L12*L17</f>
        <v/>
      </c>
      <c r="M16" s="32">
        <f>M12*M17</f>
        <v/>
      </c>
      <c r="N16" s="32">
        <f>N12*N17</f>
        <v/>
      </c>
      <c r="O16" s="32">
        <f>O12*O17</f>
        <v/>
      </c>
      <c r="P16" s="32">
        <f>P12*P17</f>
        <v/>
      </c>
    </row>
    <row r="17">
      <c r="A17" s="4" t="inlineStr">
        <is>
          <t xml:space="preserve">    % of revenue</t>
        </is>
      </c>
      <c r="B17" s="27">
        <f>IFERROR(B16/B12,"")</f>
        <v/>
      </c>
      <c r="C17" s="27">
        <f>IFERROR(C16/C12,"")</f>
        <v/>
      </c>
      <c r="D17" s="27">
        <f>IFERROR(D16/D12,"")</f>
        <v/>
      </c>
      <c r="E17" s="27">
        <f>IFERROR(E16/E12,"")</f>
        <v/>
      </c>
      <c r="F17" s="27">
        <f>IFERROR(F16/F12,"")</f>
        <v/>
      </c>
      <c r="G17" s="15" t="n">
        <v>0.1620767425090903</v>
      </c>
      <c r="H17" s="15" t="n">
        <v>0.1620767425090903</v>
      </c>
      <c r="I17" s="15" t="n">
        <v>0.1620767425090903</v>
      </c>
      <c r="J17" s="15" t="n">
        <v>0.1620767425090903</v>
      </c>
      <c r="K17" s="15" t="n">
        <v>0.1620767425090903</v>
      </c>
      <c r="L17" s="15" t="n">
        <v>0.1620767425090903</v>
      </c>
      <c r="M17" s="15" t="n">
        <v>0.1620767425090903</v>
      </c>
      <c r="N17" s="15" t="n">
        <v>0.1620767425090903</v>
      </c>
      <c r="O17" s="15" t="n">
        <v>0.1620767425090903</v>
      </c>
      <c r="P17" s="15" t="n">
        <v>0.1620767425090903</v>
      </c>
    </row>
    <row r="18">
      <c r="A18" s="4" t="inlineStr">
        <is>
          <t>R&amp;D / Technology</t>
        </is>
      </c>
      <c r="B18" s="28">
        <f>SUM(Financials!I7:L7)</f>
        <v/>
      </c>
      <c r="C18" s="28">
        <f>SUM(Financials!M7:P7)</f>
        <v/>
      </c>
      <c r="D18" s="28">
        <f>SUM(Financials!Q7:T7)</f>
        <v/>
      </c>
      <c r="E18" s="28">
        <f>SUM(Financials!U7:X7)</f>
        <v/>
      </c>
      <c r="F18" s="28">
        <f>SUM(Financials!Y7:AB7)</f>
        <v/>
      </c>
      <c r="G18" s="32">
        <f>G12*G19</f>
        <v/>
      </c>
      <c r="H18" s="32">
        <f>H12*H19</f>
        <v/>
      </c>
      <c r="I18" s="32">
        <f>I12*I19</f>
        <v/>
      </c>
      <c r="J18" s="32">
        <f>J12*J19</f>
        <v/>
      </c>
      <c r="K18" s="32">
        <f>K12*K19</f>
        <v/>
      </c>
      <c r="L18" s="32">
        <f>L12*L19</f>
        <v/>
      </c>
      <c r="M18" s="32">
        <f>M12*M19</f>
        <v/>
      </c>
      <c r="N18" s="32">
        <f>N12*N19</f>
        <v/>
      </c>
      <c r="O18" s="32">
        <f>O12*O19</f>
        <v/>
      </c>
      <c r="P18" s="32">
        <f>P12*P19</f>
        <v/>
      </c>
    </row>
    <row r="19">
      <c r="A19" s="4" t="inlineStr">
        <is>
          <t xml:space="preserve">    % of revenue</t>
        </is>
      </c>
      <c r="B19" s="27">
        <f>IFERROR(B18/B12,"")</f>
        <v/>
      </c>
      <c r="C19" s="27">
        <f>IFERROR(C18/C12,"")</f>
        <v/>
      </c>
      <c r="D19" s="27">
        <f>IFERROR(D18/D12,"")</f>
        <v/>
      </c>
      <c r="E19" s="27">
        <f>IFERROR(E18/E12,"")</f>
        <v/>
      </c>
      <c r="F19" s="27">
        <f>IFERROR(F18/F12,"")</f>
        <v/>
      </c>
      <c r="G19" s="15" t="n">
        <v>0.204628791481919</v>
      </c>
      <c r="H19" s="15" t="n">
        <v>0.204628791481919</v>
      </c>
      <c r="I19" s="15" t="n">
        <v>0.204628791481919</v>
      </c>
      <c r="J19" s="15" t="n">
        <v>0.204628791481919</v>
      </c>
      <c r="K19" s="15" t="n">
        <v>0.204628791481919</v>
      </c>
      <c r="L19" s="15" t="n">
        <v>0.204628791481919</v>
      </c>
      <c r="M19" s="15" t="n">
        <v>0.204628791481919</v>
      </c>
      <c r="N19" s="15" t="n">
        <v>0.204628791481919</v>
      </c>
      <c r="O19" s="15" t="n">
        <v>0.204628791481919</v>
      </c>
      <c r="P19" s="15" t="n">
        <v>0.204628791481919</v>
      </c>
    </row>
    <row r="20">
      <c r="A20" s="4" t="inlineStr">
        <is>
          <t>SG&amp;A</t>
        </is>
      </c>
      <c r="B20" s="28">
        <f>SUM(Financials!I9:L9)</f>
        <v/>
      </c>
      <c r="C20" s="28">
        <f>SUM(Financials!M9:P9)</f>
        <v/>
      </c>
      <c r="D20" s="28">
        <f>SUM(Financials!Q9:T9)</f>
        <v/>
      </c>
      <c r="E20" s="28">
        <f>SUM(Financials!U9:X9)</f>
        <v/>
      </c>
      <c r="F20" s="28">
        <f>SUM(Financials!Y9:AB9)</f>
        <v/>
      </c>
      <c r="G20" s="32">
        <f>G12*G21</f>
        <v/>
      </c>
      <c r="H20" s="32">
        <f>H12*H21</f>
        <v/>
      </c>
      <c r="I20" s="32">
        <f>I12*I21</f>
        <v/>
      </c>
      <c r="J20" s="32">
        <f>J12*J21</f>
        <v/>
      </c>
      <c r="K20" s="32">
        <f>K12*K21</f>
        <v/>
      </c>
      <c r="L20" s="32">
        <f>L12*L21</f>
        <v/>
      </c>
      <c r="M20" s="32">
        <f>M12*M21</f>
        <v/>
      </c>
      <c r="N20" s="32">
        <f>N12*N21</f>
        <v/>
      </c>
      <c r="O20" s="32">
        <f>O12*O21</f>
        <v/>
      </c>
      <c r="P20" s="32">
        <f>P12*P21</f>
        <v/>
      </c>
    </row>
    <row r="21">
      <c r="A21" s="4" t="inlineStr">
        <is>
          <t xml:space="preserve">    % of revenue</t>
        </is>
      </c>
      <c r="B21" s="27">
        <f>IFERROR(B20/B12,"")</f>
        <v/>
      </c>
      <c r="C21" s="27">
        <f>IFERROR(C20/C12,"")</f>
        <v/>
      </c>
      <c r="D21" s="27">
        <f>IFERROR(D20/D12,"")</f>
        <v/>
      </c>
      <c r="E21" s="27">
        <f>IFERROR(E20/E12,"")</f>
        <v/>
      </c>
      <c r="F21" s="27">
        <f>IFERROR(F20/F12,"")</f>
        <v/>
      </c>
      <c r="G21" s="15" t="n">
        <v>0.1702081958913147</v>
      </c>
      <c r="H21" s="15" t="n">
        <v>0.1702081958913147</v>
      </c>
      <c r="I21" s="15" t="n">
        <v>0.1702081958913147</v>
      </c>
      <c r="J21" s="15" t="n">
        <v>0.1702081958913147</v>
      </c>
      <c r="K21" s="15" t="n">
        <v>0.1702081958913147</v>
      </c>
      <c r="L21" s="15" t="n">
        <v>0.1702081958913147</v>
      </c>
      <c r="M21" s="15" t="n">
        <v>0.1702081958913147</v>
      </c>
      <c r="N21" s="15" t="n">
        <v>0.1702081958913147</v>
      </c>
      <c r="O21" s="15" t="n">
        <v>0.1702081958913147</v>
      </c>
      <c r="P21" s="15" t="n">
        <v>0.1702081958913147</v>
      </c>
    </row>
    <row r="22">
      <c r="A22" s="4" t="inlineStr">
        <is>
          <t>Other opex (fulfilment, etc.)</t>
        </is>
      </c>
      <c r="B22" s="28">
        <f>B12-(B16+B18+B20)-SUM(Financials!I13:L13)</f>
        <v/>
      </c>
      <c r="C22" s="28">
        <f>C12-(C16+C18+C20)-SUM(Financials!M13:P13)</f>
        <v/>
      </c>
      <c r="D22" s="28">
        <f>D12-(D16+D18+D20)-SUM(Financials!Q13:T13)</f>
        <v/>
      </c>
      <c r="E22" s="28">
        <f>E12-(E16+E18+E20)-SUM(Financials!U13:X13)</f>
        <v/>
      </c>
      <c r="F22" s="28">
        <f>F12-(F16+F18+F20)-SUM(Financials!Y13:AB13)</f>
        <v/>
      </c>
      <c r="G22" s="28">
        <f>G12*(1-(Dashboard!$B$29+(Dashboard!$B$30-Dashboard!$B$29)*MIN(1,0/4)))-(G16+G18+G20)</f>
        <v/>
      </c>
      <c r="H22" s="28">
        <f>H12*(1-(Dashboard!$B$29+(Dashboard!$B$30-Dashboard!$B$29)*MIN(1,1/4)))-(H16+H18+H20)</f>
        <v/>
      </c>
      <c r="I22" s="28">
        <f>I12*(1-(Dashboard!$B$29+(Dashboard!$B$30-Dashboard!$B$29)*MIN(1,2/4)))-(I16+I18+I20)</f>
        <v/>
      </c>
      <c r="J22" s="28">
        <f>J12*(1-(Dashboard!$B$29+(Dashboard!$B$30-Dashboard!$B$29)*MIN(1,3/4)))-(J16+J18+J20)</f>
        <v/>
      </c>
      <c r="K22" s="28">
        <f>K12*(1-(Dashboard!$B$29+(Dashboard!$B$30-Dashboard!$B$29)*MIN(1,4/4)))-(K16+K18+K20)</f>
        <v/>
      </c>
      <c r="L22" s="28">
        <f>L12*(1-(Dashboard!$B$29+(Dashboard!$B$30-Dashboard!$B$29)*MIN(1,5/4)))-(L16+L18+L20)</f>
        <v/>
      </c>
      <c r="M22" s="28">
        <f>M12*(1-(Dashboard!$B$29+(Dashboard!$B$30-Dashboard!$B$29)*MIN(1,6/4)))-(M16+M18+M20)</f>
        <v/>
      </c>
      <c r="N22" s="28">
        <f>N12*(1-(Dashboard!$B$29+(Dashboard!$B$30-Dashboard!$B$29)*MIN(1,7/4)))-(N16+N18+N20)</f>
        <v/>
      </c>
      <c r="O22" s="28">
        <f>O12*(1-(Dashboard!$B$29+(Dashboard!$B$30-Dashboard!$B$29)*MIN(1,8/4)))-(O16+O18+O20)</f>
        <v/>
      </c>
      <c r="P22" s="28">
        <f>P12*(1-(Dashboard!$B$29+(Dashboard!$B$30-Dashboard!$B$29)*MIN(1,9/4)))-(P16+P18+P20)</f>
        <v/>
      </c>
    </row>
    <row r="23">
      <c r="A23" s="4" t="inlineStr">
        <is>
          <t xml:space="preserve">    % of revenue</t>
        </is>
      </c>
      <c r="B23" s="27">
        <f>IFERROR(B22/B12,"")</f>
        <v/>
      </c>
      <c r="C23" s="27">
        <f>IFERROR(C22/C12,"")</f>
        <v/>
      </c>
      <c r="D23" s="27">
        <f>IFERROR(D22/D12,"")</f>
        <v/>
      </c>
      <c r="E23" s="27">
        <f>IFERROR(E22/E12,"")</f>
        <v/>
      </c>
      <c r="F23" s="27">
        <f>IFERROR(F22/F12,"")</f>
        <v/>
      </c>
      <c r="G23" s="27">
        <f>IFERROR(G22/G12,"")</f>
        <v/>
      </c>
      <c r="H23" s="27">
        <f>IFERROR(H22/H12,"")</f>
        <v/>
      </c>
      <c r="I23" s="27">
        <f>IFERROR(I22/I12,"")</f>
        <v/>
      </c>
      <c r="J23" s="27">
        <f>IFERROR(J22/J12,"")</f>
        <v/>
      </c>
      <c r="K23" s="27">
        <f>IFERROR(K22/K12,"")</f>
        <v/>
      </c>
      <c r="L23" s="27">
        <f>IFERROR(L22/L12,"")</f>
        <v/>
      </c>
      <c r="M23" s="27">
        <f>IFERROR(M22/M12,"")</f>
        <v/>
      </c>
      <c r="N23" s="27">
        <f>IFERROR(N22/N12,"")</f>
        <v/>
      </c>
      <c r="O23" s="27">
        <f>IFERROR(O22/O12,"")</f>
        <v/>
      </c>
      <c r="P23" s="27">
        <f>IFERROR(P22/P12,"")</f>
        <v/>
      </c>
    </row>
    <row r="25">
      <c r="A25" s="3" t="inlineStr">
        <is>
          <t>Operating income (EBIT)</t>
        </is>
      </c>
      <c r="B25" s="33">
        <f>B12-(B16+B18+B20)-B22</f>
        <v/>
      </c>
      <c r="C25" s="33">
        <f>C12-(C16+C18+C20)-C22</f>
        <v/>
      </c>
      <c r="D25" s="33">
        <f>D12-(D16+D18+D20)-D22</f>
        <v/>
      </c>
      <c r="E25" s="33">
        <f>E12-(E16+E18+E20)-E22</f>
        <v/>
      </c>
      <c r="F25" s="33">
        <f>F12-(F16+F18+F20)-F22</f>
        <v/>
      </c>
      <c r="G25" s="33">
        <f>G12-(G16+G18+G20)-G22</f>
        <v/>
      </c>
      <c r="H25" s="33">
        <f>H12-(H16+H18+H20)-H22</f>
        <v/>
      </c>
      <c r="I25" s="33">
        <f>I12-(I16+I18+I20)-I22</f>
        <v/>
      </c>
      <c r="J25" s="33">
        <f>J12-(J16+J18+J20)-J22</f>
        <v/>
      </c>
      <c r="K25" s="33">
        <f>K12-(K16+K18+K20)-K22</f>
        <v/>
      </c>
      <c r="L25" s="33">
        <f>L12-(L16+L18+L20)-L22</f>
        <v/>
      </c>
      <c r="M25" s="33">
        <f>M12-(M16+M18+M20)-M22</f>
        <v/>
      </c>
      <c r="N25" s="33">
        <f>N12-(N16+N18+N20)-N22</f>
        <v/>
      </c>
      <c r="O25" s="33">
        <f>O12-(O16+O18+O20)-O22</f>
        <v/>
      </c>
      <c r="P25" s="33">
        <f>P12-(P16+P18+P20)-P22</f>
        <v/>
      </c>
    </row>
    <row r="26">
      <c r="A26" s="4" t="inlineStr">
        <is>
          <t xml:space="preserve">    operating margin</t>
        </is>
      </c>
      <c r="B26" s="27">
        <f>IFERROR(B25/B12,"")</f>
        <v/>
      </c>
      <c r="C26" s="27">
        <f>IFERROR(C25/C12,"")</f>
        <v/>
      </c>
      <c r="D26" s="27">
        <f>IFERROR(D25/D12,"")</f>
        <v/>
      </c>
      <c r="E26" s="27">
        <f>IFERROR(E25/E12,"")</f>
        <v/>
      </c>
      <c r="F26" s="27">
        <f>IFERROR(F25/F12,"")</f>
        <v/>
      </c>
      <c r="G26" s="27">
        <f>IFERROR(G25/G12,"")</f>
        <v/>
      </c>
      <c r="H26" s="27">
        <f>IFERROR(H25/H12,"")</f>
        <v/>
      </c>
      <c r="I26" s="27">
        <f>IFERROR(I25/I12,"")</f>
        <v/>
      </c>
      <c r="J26" s="27">
        <f>IFERROR(J25/J12,"")</f>
        <v/>
      </c>
      <c r="K26" s="27">
        <f>IFERROR(K25/K12,"")</f>
        <v/>
      </c>
      <c r="L26" s="27">
        <f>IFERROR(L25/L12,"")</f>
        <v/>
      </c>
      <c r="M26" s="27">
        <f>IFERROR(M25/M12,"")</f>
        <v/>
      </c>
      <c r="N26" s="27">
        <f>IFERROR(N25/N12,"")</f>
        <v/>
      </c>
      <c r="O26" s="27">
        <f>IFERROR(O25/O12,"")</f>
        <v/>
      </c>
      <c r="P26" s="27">
        <f>IFERROR(P25/P12,"")</f>
        <v/>
      </c>
    </row>
    <row r="28">
      <c r="A28" s="5" t="inlineStr">
        <is>
          <t xml:space="preserve">  FCF BRIDGE (NOPAT + D&amp;A + SBC - dNWC - Capex)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4" t="inlineStr">
        <is>
          <t>NOPAT = EBIT x (1 - tax)</t>
        </is>
      </c>
      <c r="B29" s="28">
        <f>B25*(1-Valuation!$B$5)</f>
        <v/>
      </c>
      <c r="C29" s="28">
        <f>C25*(1-Valuation!$B$5)</f>
        <v/>
      </c>
      <c r="D29" s="28">
        <f>D25*(1-Valuation!$B$5)</f>
        <v/>
      </c>
      <c r="E29" s="28">
        <f>E25*(1-Valuation!$B$5)</f>
        <v/>
      </c>
      <c r="F29" s="28">
        <f>F25*(1-Valuation!$B$5)</f>
        <v/>
      </c>
      <c r="G29" s="28">
        <f>G25*(1-Valuation!$B$5)</f>
        <v/>
      </c>
      <c r="H29" s="28">
        <f>H25*(1-Valuation!$B$5)</f>
        <v/>
      </c>
      <c r="I29" s="28">
        <f>I25*(1-Valuation!$B$5)</f>
        <v/>
      </c>
      <c r="J29" s="28">
        <f>J25*(1-Valuation!$B$5)</f>
        <v/>
      </c>
      <c r="K29" s="28">
        <f>K25*(1-Valuation!$B$5)</f>
        <v/>
      </c>
      <c r="L29" s="28">
        <f>L25*(1-Valuation!$B$5)</f>
        <v/>
      </c>
      <c r="M29" s="28">
        <f>M25*(1-Valuation!$B$5)</f>
        <v/>
      </c>
      <c r="N29" s="28">
        <f>N25*(1-Valuation!$B$5)</f>
        <v/>
      </c>
      <c r="O29" s="28">
        <f>O25*(1-Valuation!$B$5)</f>
        <v/>
      </c>
      <c r="P29" s="28">
        <f>P25*(1-Valuation!$B$5)</f>
        <v/>
      </c>
    </row>
    <row r="30">
      <c r="A30" s="4" t="inlineStr">
        <is>
          <t>+ D&amp;A</t>
        </is>
      </c>
      <c r="B30" s="28">
        <f>SUM(Financials!I56:L56)</f>
        <v/>
      </c>
      <c r="C30" s="28">
        <f>SUM(Financials!M56:P56)</f>
        <v/>
      </c>
      <c r="D30" s="28">
        <f>SUM(Financials!Q56:T56)</f>
        <v/>
      </c>
      <c r="E30" s="28">
        <f>SUM(Financials!U56:X56)</f>
        <v/>
      </c>
      <c r="F30" s="28">
        <f>SUM(Financials!Y56:AB56)</f>
        <v/>
      </c>
      <c r="G30" s="32">
        <f>G12*0.0306</f>
        <v/>
      </c>
      <c r="H30" s="32">
        <f>H12*0.0306</f>
        <v/>
      </c>
      <c r="I30" s="32">
        <f>I12*0.0306</f>
        <v/>
      </c>
      <c r="J30" s="32">
        <f>J12*0.0306</f>
        <v/>
      </c>
      <c r="K30" s="32">
        <f>K12*0.0306</f>
        <v/>
      </c>
      <c r="L30" s="32">
        <f>L12*0.0306</f>
        <v/>
      </c>
      <c r="M30" s="32">
        <f>M12*0.0306</f>
        <v/>
      </c>
      <c r="N30" s="32">
        <f>N12*0.0306</f>
        <v/>
      </c>
      <c r="O30" s="32">
        <f>O12*0.0306</f>
        <v/>
      </c>
      <c r="P30" s="32">
        <f>P12*0.0306</f>
        <v/>
      </c>
    </row>
    <row r="31">
      <c r="A31" s="4" t="inlineStr">
        <is>
          <t>+ SBC (non-cash)</t>
        </is>
      </c>
      <c r="B31" s="28">
        <f>SUM(Financials!I57:L57)</f>
        <v/>
      </c>
      <c r="C31" s="28">
        <f>SUM(Financials!M57:P57)</f>
        <v/>
      </c>
      <c r="D31" s="28">
        <f>SUM(Financials!Q57:T57)</f>
        <v/>
      </c>
      <c r="E31" s="28">
        <f>SUM(Financials!U57:X57)</f>
        <v/>
      </c>
      <c r="F31" s="28">
        <f>SUM(Financials!Y57:AB57)</f>
        <v/>
      </c>
      <c r="G31" s="32">
        <f>G12*0.0096</f>
        <v/>
      </c>
      <c r="H31" s="32">
        <f>H12*0.0092</f>
        <v/>
      </c>
      <c r="I31" s="32">
        <f>I12*0.0088</f>
        <v/>
      </c>
      <c r="J31" s="32">
        <f>J12*0.0083</f>
        <v/>
      </c>
      <c r="K31" s="32">
        <f>K12*0.0079</f>
        <v/>
      </c>
      <c r="L31" s="32">
        <f>L12*0.0075</f>
        <v/>
      </c>
      <c r="M31" s="32">
        <f>M12*0.0070</f>
        <v/>
      </c>
      <c r="N31" s="32">
        <f>N12*0.0066</f>
        <v/>
      </c>
      <c r="O31" s="32">
        <f>O12*0.0062</f>
        <v/>
      </c>
      <c r="P31" s="32">
        <f>P12*0.0058</f>
        <v/>
      </c>
    </row>
    <row r="32">
      <c r="A32" s="4" t="inlineStr">
        <is>
          <t>- dNWC</t>
        </is>
      </c>
      <c r="G32" s="32">
        <f>(G12-F12)*0.0050</f>
        <v/>
      </c>
      <c r="H32" s="32">
        <f>(H12-G12)*0.0050</f>
        <v/>
      </c>
      <c r="I32" s="32">
        <f>(I12-H12)*0.0050</f>
        <v/>
      </c>
      <c r="J32" s="32">
        <f>(J12-I12)*0.0050</f>
        <v/>
      </c>
      <c r="K32" s="32">
        <f>(K12-J12)*0.0050</f>
        <v/>
      </c>
      <c r="L32" s="32">
        <f>(L12-K12)*0.0050</f>
        <v/>
      </c>
      <c r="M32" s="32">
        <f>(M12-L12)*0.0050</f>
        <v/>
      </c>
      <c r="N32" s="32">
        <f>(N12-M12)*0.0050</f>
        <v/>
      </c>
      <c r="O32" s="32">
        <f>(O12-N12)*0.0050</f>
        <v/>
      </c>
      <c r="P32" s="32">
        <f>(P12-O12)*0.0050</f>
        <v/>
      </c>
    </row>
    <row r="33">
      <c r="A33" s="4" t="inlineStr">
        <is>
          <t>- Capex</t>
        </is>
      </c>
      <c r="B33" s="28">
        <f>-SUM(Financials!I60:L60)</f>
        <v/>
      </c>
      <c r="C33" s="28">
        <f>-SUM(Financials!M60:P60)</f>
        <v/>
      </c>
      <c r="D33" s="28">
        <f>-SUM(Financials!Q60:T60)</f>
        <v/>
      </c>
      <c r="E33" s="28">
        <f>-SUM(Financials!U60:X60)</f>
        <v/>
      </c>
      <c r="F33" s="28">
        <f>-SUM(Financials!Y60:AB60)</f>
        <v/>
      </c>
      <c r="G33" s="32">
        <f>G30*G34</f>
        <v/>
      </c>
      <c r="H33" s="32">
        <f>H30*H34</f>
        <v/>
      </c>
      <c r="I33" s="32">
        <f>I30*I34</f>
        <v/>
      </c>
      <c r="J33" s="32">
        <f>J30*J34</f>
        <v/>
      </c>
      <c r="K33" s="32">
        <f>K30*K34</f>
        <v/>
      </c>
      <c r="L33" s="32">
        <f>L30*L34</f>
        <v/>
      </c>
      <c r="M33" s="32">
        <f>M30*M34</f>
        <v/>
      </c>
      <c r="N33" s="32">
        <f>N30*N34</f>
        <v/>
      </c>
      <c r="O33" s="32">
        <f>O30*O34</f>
        <v/>
      </c>
      <c r="P33" s="32">
        <f>P30*P34</f>
        <v/>
      </c>
    </row>
    <row r="34">
      <c r="A34" s="4" t="inlineStr">
        <is>
          <t xml:space="preserve">    Capex / D&amp;A  (from Dashboard: $cap'26 -&gt; terminal)</t>
        </is>
      </c>
      <c r="B34" s="34">
        <f>IFERROR(B33/B30,"")</f>
        <v/>
      </c>
      <c r="C34" s="34">
        <f>IFERROR(C33/C30,"")</f>
        <v/>
      </c>
      <c r="D34" s="34">
        <f>IFERROR(D33/D30,"")</f>
        <v/>
      </c>
      <c r="E34" s="34">
        <f>IFERROR(E33/E30,"")</f>
        <v/>
      </c>
      <c r="F34" s="34">
        <f>IFERROR(F33/F30,"")</f>
        <v/>
      </c>
      <c r="G34" s="13">
        <f>(Dashboard!$B$34/G30)+(Dashboard!$B$35-(Dashboard!$B$34/G30))*0/9</f>
        <v/>
      </c>
      <c r="H34" s="13">
        <f>(Dashboard!$B$34/G30)+(Dashboard!$B$35-(Dashboard!$B$34/G30))*1/9</f>
        <v/>
      </c>
      <c r="I34" s="13">
        <f>(Dashboard!$B$34/G30)+(Dashboard!$B$35-(Dashboard!$B$34/G30))*2/9</f>
        <v/>
      </c>
      <c r="J34" s="13">
        <f>(Dashboard!$B$34/G30)+(Dashboard!$B$35-(Dashboard!$B$34/G30))*3/9</f>
        <v/>
      </c>
      <c r="K34" s="13">
        <f>(Dashboard!$B$34/G30)+(Dashboard!$B$35-(Dashboard!$B$34/G30))*4/9</f>
        <v/>
      </c>
      <c r="L34" s="13">
        <f>(Dashboard!$B$34/G30)+(Dashboard!$B$35-(Dashboard!$B$34/G30))*5/9</f>
        <v/>
      </c>
      <c r="M34" s="13">
        <f>(Dashboard!$B$34/G30)+(Dashboard!$B$35-(Dashboard!$B$34/G30))*6/9</f>
        <v/>
      </c>
      <c r="N34" s="13">
        <f>(Dashboard!$B$34/G30)+(Dashboard!$B$35-(Dashboard!$B$34/G30))*7/9</f>
        <v/>
      </c>
      <c r="O34" s="13">
        <f>(Dashboard!$B$34/G30)+(Dashboard!$B$35-(Dashboard!$B$34/G30))*8/9</f>
        <v/>
      </c>
      <c r="P34" s="13">
        <f>(Dashboard!$B$34/G30)+(Dashboard!$B$35-(Dashboard!$B$34/G30))*9/9</f>
        <v/>
      </c>
    </row>
    <row r="36">
      <c r="A36" s="3" t="inlineStr">
        <is>
          <t>FCFF (firm)</t>
        </is>
      </c>
      <c r="B36" s="33">
        <f>B29+B30+B31-B32-B33</f>
        <v/>
      </c>
      <c r="C36" s="33">
        <f>C29+C30+C31-C32-C33</f>
        <v/>
      </c>
      <c r="D36" s="33">
        <f>D29+D30+D31-D32-D33</f>
        <v/>
      </c>
      <c r="E36" s="33">
        <f>E29+E30+E31-E32-E33</f>
        <v/>
      </c>
      <c r="F36" s="33">
        <f>F29+F30+F31-F32-F33</f>
        <v/>
      </c>
      <c r="G36" s="33">
        <f>G29+G30+G31-G32-G33</f>
        <v/>
      </c>
      <c r="H36" s="33">
        <f>H29+H30+H31-H32-H33</f>
        <v/>
      </c>
      <c r="I36" s="33">
        <f>I29+I30+I31-I32-I33</f>
        <v/>
      </c>
      <c r="J36" s="33">
        <f>J29+J30+J31-J32-J33</f>
        <v/>
      </c>
      <c r="K36" s="33">
        <f>K29+K30+K31-K32-K33</f>
        <v/>
      </c>
      <c r="L36" s="33">
        <f>L29+L30+L31-L32-L33</f>
        <v/>
      </c>
      <c r="M36" s="33">
        <f>M29+M30+M31-M32-M33</f>
        <v/>
      </c>
      <c r="N36" s="33">
        <f>N29+N30+N31-N32-N33</f>
        <v/>
      </c>
      <c r="O36" s="33">
        <f>O29+O30+O31-O32-O33</f>
        <v/>
      </c>
      <c r="P36" s="33">
        <f>P29+P30+P31-P32-P33</f>
        <v/>
      </c>
    </row>
    <row r="37">
      <c r="A37" s="3" t="inlineStr">
        <is>
          <t>Valuation FCF (FCFF - SBC)</t>
        </is>
      </c>
      <c r="B37" s="33">
        <f>B36-B31</f>
        <v/>
      </c>
      <c r="C37" s="33">
        <f>C36-C31</f>
        <v/>
      </c>
      <c r="D37" s="33">
        <f>D36-D31</f>
        <v/>
      </c>
      <c r="E37" s="33">
        <f>E36-E31</f>
        <v/>
      </c>
      <c r="F37" s="33">
        <f>F36-F31</f>
        <v/>
      </c>
      <c r="G37" s="33">
        <f>G36-G31</f>
        <v/>
      </c>
      <c r="H37" s="33">
        <f>H36-H31</f>
        <v/>
      </c>
      <c r="I37" s="33">
        <f>I36-I31</f>
        <v/>
      </c>
      <c r="J37" s="33">
        <f>J36-J31</f>
        <v/>
      </c>
      <c r="K37" s="33">
        <f>K36-K31</f>
        <v/>
      </c>
      <c r="L37" s="33">
        <f>L36-L31</f>
        <v/>
      </c>
      <c r="M37" s="33">
        <f>M36-M31</f>
        <v/>
      </c>
      <c r="N37" s="33">
        <f>N36-N31</f>
        <v/>
      </c>
      <c r="O37" s="33">
        <f>O36-O31</f>
        <v/>
      </c>
      <c r="P37" s="33">
        <f>P36-P31</f>
        <v/>
      </c>
    </row>
    <row r="39">
      <c r="A39" s="5" t="inlineStr">
        <is>
          <t xml:space="preserve">  RETURNS ON CAPITAL &amp; EFFICIENCY  (is new revenue/capital earning its keep?)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4" t="inlineStr">
        <is>
          <t>Invested capital (debt + equity - cash)</t>
        </is>
      </c>
      <c r="B40" s="28">
        <f>Financials!L54+Financials!L53-Financials!L48</f>
        <v/>
      </c>
      <c r="C40" s="28">
        <f>Financials!P54+Financials!P53-Financials!P48</f>
        <v/>
      </c>
      <c r="D40" s="28">
        <f>Financials!T54+Financials!T53-Financials!T48</f>
        <v/>
      </c>
      <c r="E40" s="28">
        <f>Financials!X54+Financials!X53-Financials!X48</f>
        <v/>
      </c>
      <c r="F40" s="28">
        <f>Financials!AB54+Financials!AB53-Financials!AB48</f>
        <v/>
      </c>
      <c r="G40" s="32">
        <f>F40+G33-G30+G32</f>
        <v/>
      </c>
      <c r="H40" s="32">
        <f>G40+H33-H30+H32</f>
        <v/>
      </c>
      <c r="I40" s="32">
        <f>H40+I33-I30+I32</f>
        <v/>
      </c>
      <c r="J40" s="32">
        <f>I40+J33-J30+J32</f>
        <v/>
      </c>
      <c r="K40" s="32">
        <f>J40+K33-K30+K32</f>
        <v/>
      </c>
      <c r="L40" s="32">
        <f>K40+L33-L30+L32</f>
        <v/>
      </c>
      <c r="M40" s="32">
        <f>L40+M33-M30+M32</f>
        <v/>
      </c>
      <c r="N40" s="32">
        <f>M40+N33-N30+N32</f>
        <v/>
      </c>
      <c r="O40" s="32">
        <f>N40+O33-O30+O32</f>
        <v/>
      </c>
      <c r="P40" s="32">
        <f>O40+P33-P30+P32</f>
        <v/>
      </c>
    </row>
    <row r="41">
      <c r="A41" s="4" t="inlineStr">
        <is>
          <t>Book equity (year-end)</t>
        </is>
      </c>
      <c r="B41" s="28">
        <f>Financials!L54</f>
        <v/>
      </c>
      <c r="C41" s="28">
        <f>Financials!P54</f>
        <v/>
      </c>
      <c r="D41" s="28">
        <f>Financials!T54</f>
        <v/>
      </c>
      <c r="E41" s="28">
        <f>Financials!X54</f>
        <v/>
      </c>
      <c r="F41" s="28">
        <f>Financials!AB54</f>
        <v/>
      </c>
      <c r="G41" s="32">
        <f>F41+G29</f>
        <v/>
      </c>
      <c r="H41" s="32">
        <f>G41+H29</f>
        <v/>
      </c>
      <c r="I41" s="32">
        <f>H41+I29</f>
        <v/>
      </c>
      <c r="J41" s="32">
        <f>I41+J29</f>
        <v/>
      </c>
      <c r="K41" s="32">
        <f>J41+K29</f>
        <v/>
      </c>
      <c r="L41" s="32">
        <f>K41+L29</f>
        <v/>
      </c>
      <c r="M41" s="32">
        <f>L41+M29</f>
        <v/>
      </c>
      <c r="N41" s="32">
        <f>M41+N29</f>
        <v/>
      </c>
      <c r="O41" s="32">
        <f>N41+O29</f>
        <v/>
      </c>
      <c r="P41" s="32">
        <f>O41+P29</f>
        <v/>
      </c>
    </row>
    <row r="42">
      <c r="A42" s="3" t="inlineStr">
        <is>
          <t xml:space="preserve">  ROIC (NOPAT / beg. invested capital)</t>
        </is>
      </c>
      <c r="C42" s="27">
        <f>IFERROR(C29/B40,"")</f>
        <v/>
      </c>
      <c r="D42" s="27">
        <f>IFERROR(D29/C40,"")</f>
        <v/>
      </c>
      <c r="E42" s="27">
        <f>IFERROR(E29/D40,"")</f>
        <v/>
      </c>
      <c r="F42" s="27">
        <f>IFERROR(F29/E40,"")</f>
        <v/>
      </c>
      <c r="G42" s="27">
        <f>IFERROR(G29/F40,"")</f>
        <v/>
      </c>
      <c r="H42" s="27">
        <f>IFERROR(H29/G40,"")</f>
        <v/>
      </c>
      <c r="I42" s="27">
        <f>IFERROR(I29/H40,"")</f>
        <v/>
      </c>
      <c r="J42" s="27">
        <f>IFERROR(J29/I40,"")</f>
        <v/>
      </c>
      <c r="K42" s="27">
        <f>IFERROR(K29/J40,"")</f>
        <v/>
      </c>
      <c r="L42" s="27">
        <f>IFERROR(L29/K40,"")</f>
        <v/>
      </c>
      <c r="M42" s="27">
        <f>IFERROR(M29/L40,"")</f>
        <v/>
      </c>
      <c r="N42" s="27">
        <f>IFERROR(N29/M40,"")</f>
        <v/>
      </c>
      <c r="O42" s="27">
        <f>IFERROR(O29/N40,"")</f>
        <v/>
      </c>
      <c r="P42" s="27">
        <f>IFERROR(P29/O40,"")</f>
        <v/>
      </c>
    </row>
    <row r="43">
      <c r="A43" s="3" t="inlineStr">
        <is>
          <t xml:space="preserve">  ROE (earnings / beg. equity)</t>
        </is>
      </c>
      <c r="C43" s="11">
        <f>IFERROR(SUM(Financials!M15:P15)/B41,"")</f>
        <v/>
      </c>
      <c r="D43" s="11">
        <f>IFERROR(SUM(Financials!Q15:T15)/C41,"")</f>
        <v/>
      </c>
      <c r="E43" s="11">
        <f>IFERROR(SUM(Financials!U15:X15)/D41,"")</f>
        <v/>
      </c>
      <c r="F43" s="11">
        <f>IFERROR(SUM(Financials!Y15:AB15)/E41,"")</f>
        <v/>
      </c>
      <c r="G43" s="27">
        <f>IFERROR(G29/F41,"")</f>
        <v/>
      </c>
      <c r="H43" s="27">
        <f>IFERROR(H29/G41,"")</f>
        <v/>
      </c>
      <c r="I43" s="27">
        <f>IFERROR(I29/H41,"")</f>
        <v/>
      </c>
      <c r="J43" s="27">
        <f>IFERROR(J29/I41,"")</f>
        <v/>
      </c>
      <c r="K43" s="27">
        <f>IFERROR(K29/J41,"")</f>
        <v/>
      </c>
      <c r="L43" s="27">
        <f>IFERROR(L29/K41,"")</f>
        <v/>
      </c>
      <c r="M43" s="27">
        <f>IFERROR(M29/L41,"")</f>
        <v/>
      </c>
      <c r="N43" s="27">
        <f>IFERROR(N29/M41,"")</f>
        <v/>
      </c>
      <c r="O43" s="27">
        <f>IFERROR(O29/N41,"")</f>
        <v/>
      </c>
      <c r="P43" s="27">
        <f>IFERROR(P29/O41,"")</f>
        <v/>
      </c>
    </row>
    <row r="44">
      <c r="A44" s="4" t="inlineStr">
        <is>
          <t xml:space="preserve">  ROIC - WACC spread (value created)</t>
        </is>
      </c>
      <c r="C44" s="11">
        <f>IFERROR(C42-WACC!$B$14,"")</f>
        <v/>
      </c>
      <c r="D44" s="11">
        <f>IFERROR(D42-WACC!$B$14,"")</f>
        <v/>
      </c>
      <c r="E44" s="11">
        <f>IFERROR(E42-WACC!$B$14,"")</f>
        <v/>
      </c>
      <c r="F44" s="11">
        <f>IFERROR(F42-WACC!$B$14,"")</f>
        <v/>
      </c>
      <c r="G44" s="11">
        <f>IFERROR(G42-WACC!$B$14,"")</f>
        <v/>
      </c>
      <c r="H44" s="11">
        <f>IFERROR(H42-WACC!$B$14,"")</f>
        <v/>
      </c>
      <c r="I44" s="11">
        <f>IFERROR(I42-WACC!$B$14,"")</f>
        <v/>
      </c>
      <c r="J44" s="11">
        <f>IFERROR(J42-WACC!$B$14,"")</f>
        <v/>
      </c>
      <c r="K44" s="11">
        <f>IFERROR(K42-WACC!$B$14,"")</f>
        <v/>
      </c>
      <c r="L44" s="11">
        <f>IFERROR(L42-WACC!$B$14,"")</f>
        <v/>
      </c>
      <c r="M44" s="11">
        <f>IFERROR(M42-WACC!$B$14,"")</f>
        <v/>
      </c>
      <c r="N44" s="11">
        <f>IFERROR(N42-WACC!$B$14,"")</f>
        <v/>
      </c>
      <c r="O44" s="11">
        <f>IFERROR(O42-WACC!$B$14,"")</f>
        <v/>
      </c>
      <c r="P44" s="11">
        <f>IFERROR(P42-WACC!$B$14,"")</f>
        <v/>
      </c>
    </row>
    <row r="45">
      <c r="A45" s="4" t="inlineStr">
        <is>
          <t xml:space="preserve">  Incremental op margin (ΔEBIT / ΔRev)</t>
        </is>
      </c>
      <c r="C45" s="27">
        <f>IFERROR((C25-B25)/(C12-B12),"")</f>
        <v/>
      </c>
      <c r="D45" s="27">
        <f>IFERROR((D25-C25)/(D12-C12),"")</f>
        <v/>
      </c>
      <c r="E45" s="27">
        <f>IFERROR((E25-D25)/(E12-D12),"")</f>
        <v/>
      </c>
      <c r="F45" s="27">
        <f>IFERROR((F25-E25)/(F12-E12),"")</f>
        <v/>
      </c>
      <c r="G45" s="27">
        <f>IFERROR((G25-F25)/(G12-F12),"")</f>
        <v/>
      </c>
      <c r="H45" s="27">
        <f>IFERROR((H25-G25)/(H12-G12),"")</f>
        <v/>
      </c>
      <c r="I45" s="27">
        <f>IFERROR((I25-H25)/(I12-H12),"")</f>
        <v/>
      </c>
      <c r="J45" s="27">
        <f>IFERROR((J25-I25)/(J12-I12),"")</f>
        <v/>
      </c>
      <c r="K45" s="27">
        <f>IFERROR((K25-J25)/(K12-J12),"")</f>
        <v/>
      </c>
      <c r="L45" s="27">
        <f>IFERROR((L25-K25)/(L12-K12),"")</f>
        <v/>
      </c>
      <c r="M45" s="27">
        <f>IFERROR((M25-L25)/(M12-L12),"")</f>
        <v/>
      </c>
      <c r="N45" s="27">
        <f>IFERROR((N25-M25)/(N12-M12),"")</f>
        <v/>
      </c>
      <c r="O45" s="27">
        <f>IFERROR((O25-N25)/(O12-N12),"")</f>
        <v/>
      </c>
      <c r="P45" s="27">
        <f>IFERROR((P25-O25)/(P12-O12),"")</f>
        <v/>
      </c>
    </row>
    <row r="46">
      <c r="A46" s="3" t="inlineStr">
        <is>
          <t xml:space="preserve">  ROIIC (ΔNOPAT / ΔInvested capital)</t>
        </is>
      </c>
      <c r="C46" s="27">
        <f>IFERROR((C29-B29)/(C40-B40),"")</f>
        <v/>
      </c>
      <c r="D46" s="27">
        <f>IFERROR((D29-C29)/(D40-C40),"")</f>
        <v/>
      </c>
      <c r="E46" s="27">
        <f>IFERROR((E29-D29)/(E40-D40),"")</f>
        <v/>
      </c>
      <c r="F46" s="27">
        <f>IFERROR((F29-E29)/(F40-E40),"")</f>
        <v/>
      </c>
      <c r="G46" s="27">
        <f>IFERROR((G29-F29)/(G40-F40),"")</f>
        <v/>
      </c>
      <c r="H46" s="27">
        <f>IFERROR((H29-G29)/(H40-G40),"")</f>
        <v/>
      </c>
      <c r="I46" s="27">
        <f>IFERROR((I29-H29)/(I40-H40),"")</f>
        <v/>
      </c>
      <c r="J46" s="27">
        <f>IFERROR((J29-I29)/(J40-I40),"")</f>
        <v/>
      </c>
      <c r="K46" s="27">
        <f>IFERROR((K29-J29)/(K40-J40),"")</f>
        <v/>
      </c>
      <c r="L46" s="27">
        <f>IFERROR((L29-K29)/(L40-K40),"")</f>
        <v/>
      </c>
      <c r="M46" s="27">
        <f>IFERROR((M29-L29)/(M40-L40),"")</f>
        <v/>
      </c>
      <c r="N46" s="27">
        <f>IFERROR((N29-M29)/(N40-M40),"")</f>
        <v/>
      </c>
      <c r="O46" s="27">
        <f>IFERROR((O29-N29)/(O40-N40),"")</f>
        <v/>
      </c>
      <c r="P46" s="27">
        <f>IFERROR((P29-O29)/(P40-O40),"")</f>
        <v/>
      </c>
    </row>
    <row r="47">
      <c r="A47" s="4" t="inlineStr">
        <is>
          <t xml:space="preserve">  Sales-to-capital (ΔRev / ΔInvested capital)</t>
        </is>
      </c>
      <c r="C47" s="35">
        <f>IFERROR((C12-B12)/(C40-B40),"")</f>
        <v/>
      </c>
      <c r="D47" s="35">
        <f>IFERROR((D12-C12)/(D40-C40),"")</f>
        <v/>
      </c>
      <c r="E47" s="35">
        <f>IFERROR((E12-D12)/(E40-D40),"")</f>
        <v/>
      </c>
      <c r="F47" s="35">
        <f>IFERROR((F12-E12)/(F40-E40),"")</f>
        <v/>
      </c>
      <c r="G47" s="35">
        <f>IFERROR((G12-F12)/(G40-F40),"")</f>
        <v/>
      </c>
      <c r="H47" s="35">
        <f>IFERROR((H12-G12)/(H40-G40),"")</f>
        <v/>
      </c>
      <c r="I47" s="35">
        <f>IFERROR((I12-H12)/(I40-H40),"")</f>
        <v/>
      </c>
      <c r="J47" s="35">
        <f>IFERROR((J12-I12)/(J40-I40),"")</f>
        <v/>
      </c>
      <c r="K47" s="35">
        <f>IFERROR((K12-J12)/(K40-J40),"")</f>
        <v/>
      </c>
      <c r="L47" s="35">
        <f>IFERROR((L12-K12)/(L40-K40),"")</f>
        <v/>
      </c>
      <c r="M47" s="35">
        <f>IFERROR((M12-L12)/(M40-L40),"")</f>
        <v/>
      </c>
      <c r="N47" s="35">
        <f>IFERROR((N12-M12)/(N40-M40),"")</f>
        <v/>
      </c>
      <c r="O47" s="35">
        <f>IFERROR((O12-N12)/(O40-N40),"")</f>
        <v/>
      </c>
      <c r="P47" s="35">
        <f>IFERROR((P12-O12)/(P40-O40),"")</f>
        <v/>
      </c>
    </row>
    <row r="48">
      <c r="A48" s="4" t="inlineStr">
        <is>
          <t xml:space="preserve">  Reinvestment rate (ΔInvested capital / NOPAT)</t>
        </is>
      </c>
      <c r="C48" s="27">
        <f>IFERROR((C40-B40)/C29,"")</f>
        <v/>
      </c>
      <c r="D48" s="27">
        <f>IFERROR((D40-C40)/D29,"")</f>
        <v/>
      </c>
      <c r="E48" s="27">
        <f>IFERROR((E40-D40)/E29,"")</f>
        <v/>
      </c>
      <c r="F48" s="27">
        <f>IFERROR((F40-E40)/F29,"")</f>
        <v/>
      </c>
      <c r="G48" s="27">
        <f>IFERROR((G40-F40)/G29,"")</f>
        <v/>
      </c>
      <c r="H48" s="27">
        <f>IFERROR((H40-G40)/H29,"")</f>
        <v/>
      </c>
      <c r="I48" s="27">
        <f>IFERROR((I40-H40)/I29,"")</f>
        <v/>
      </c>
      <c r="J48" s="27">
        <f>IFERROR((J40-I40)/J29,"")</f>
        <v/>
      </c>
      <c r="K48" s="27">
        <f>IFERROR((K40-J40)/K29,"")</f>
        <v/>
      </c>
      <c r="L48" s="27">
        <f>IFERROR((L40-K40)/L29,"")</f>
        <v/>
      </c>
      <c r="M48" s="27">
        <f>IFERROR((M40-L40)/M29,"")</f>
        <v/>
      </c>
      <c r="N48" s="27">
        <f>IFERROR((N40-M40)/N29,"")</f>
        <v/>
      </c>
      <c r="O48" s="27">
        <f>IFERROR((O40-N40)/O29,"")</f>
        <v/>
      </c>
      <c r="P48" s="27">
        <f>IFERROR((P40-O40)/P29,"")</f>
        <v/>
      </c>
    </row>
    <row r="50">
      <c r="A50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5636.7</v>
      </c>
      <c r="C3" s="18" t="n">
        <v>5476.6</v>
      </c>
      <c r="D3" s="18" t="n">
        <v>6114</v>
      </c>
      <c r="E3" s="18" t="n">
        <v>5859.8</v>
      </c>
      <c r="F3" s="18" t="n">
        <v>5499.4</v>
      </c>
      <c r="G3" s="18" t="n">
        <v>5740.6</v>
      </c>
      <c r="H3" s="18" t="n">
        <v>7440</v>
      </c>
      <c r="I3" s="18" t="n">
        <v>6805.6</v>
      </c>
      <c r="J3" s="18" t="n">
        <v>6740.1</v>
      </c>
      <c r="K3" s="18" t="n">
        <v>6772.8</v>
      </c>
      <c r="L3" s="18" t="n">
        <v>7999.9</v>
      </c>
      <c r="M3" s="18" t="n">
        <v>7810</v>
      </c>
      <c r="N3" s="18" t="n">
        <v>6488</v>
      </c>
      <c r="O3" s="18" t="n">
        <v>6941.6</v>
      </c>
      <c r="P3" s="18" t="n">
        <v>7301.8</v>
      </c>
      <c r="Q3" s="18" t="n">
        <v>6960</v>
      </c>
      <c r="R3" s="18" t="n">
        <v>8312.1</v>
      </c>
      <c r="S3" s="18" t="n">
        <v>9498.6</v>
      </c>
      <c r="T3" s="18" t="n">
        <v>9353.4</v>
      </c>
      <c r="U3" s="18" t="n">
        <v>8768</v>
      </c>
      <c r="V3" s="18" t="n">
        <v>11302.8</v>
      </c>
      <c r="W3" s="18" t="n">
        <v>11439.1</v>
      </c>
      <c r="X3" s="18" t="n">
        <v>13532.8</v>
      </c>
      <c r="Y3" s="18" t="n">
        <v>12728.5</v>
      </c>
      <c r="Z3" s="18" t="n">
        <v>15557.7</v>
      </c>
      <c r="AA3" s="18" t="n">
        <v>17600.8</v>
      </c>
      <c r="AB3" s="18" t="n">
        <v>19292</v>
      </c>
      <c r="AC3" s="18" t="n">
        <v>19799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1124.9</v>
      </c>
      <c r="C5" s="18" t="n">
        <v>1175</v>
      </c>
      <c r="D5" s="18" t="n">
        <v>1282.6</v>
      </c>
      <c r="E5" s="18" t="n">
        <v>1215.1</v>
      </c>
      <c r="F5" s="18" t="n">
        <v>1222</v>
      </c>
      <c r="G5" s="18" t="n">
        <v>1326.4</v>
      </c>
      <c r="H5" s="18" t="n">
        <v>1719.8</v>
      </c>
      <c r="I5" s="18" t="n">
        <v>1878.6</v>
      </c>
      <c r="J5" s="18" t="n">
        <v>1953.2</v>
      </c>
      <c r="K5" s="18" t="n">
        <v>1430.8</v>
      </c>
      <c r="L5" s="18" t="n">
        <v>2050.2</v>
      </c>
      <c r="M5" s="18" t="n">
        <v>2072.1</v>
      </c>
      <c r="N5" s="18" t="n">
        <v>1430.5</v>
      </c>
      <c r="O5" s="18" t="n">
        <v>1579.1</v>
      </c>
      <c r="P5" s="18" t="n">
        <v>1548.1</v>
      </c>
      <c r="Q5" s="18" t="n">
        <v>1626.7</v>
      </c>
      <c r="R5" s="18" t="n">
        <v>1807.4</v>
      </c>
      <c r="S5" s="18" t="n">
        <v>1860.1</v>
      </c>
      <c r="T5" s="18" t="n">
        <v>1788</v>
      </c>
      <c r="U5" s="18" t="n">
        <v>1673.5</v>
      </c>
      <c r="V5" s="18" t="n">
        <v>2170.2</v>
      </c>
      <c r="W5" s="18" t="n">
        <v>2170.8</v>
      </c>
      <c r="X5" s="18" t="n">
        <v>2403.8</v>
      </c>
      <c r="Y5" s="18" t="n">
        <v>2224.2</v>
      </c>
      <c r="Z5" s="18" t="n">
        <v>2447.8</v>
      </c>
      <c r="AA5" s="18" t="n">
        <v>3008.3</v>
      </c>
      <c r="AB5" s="18" t="n">
        <v>2883.7</v>
      </c>
      <c r="AC5" s="18" t="n">
        <v>3577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1402.2</v>
      </c>
      <c r="C7" s="18" t="n">
        <v>1380.9</v>
      </c>
      <c r="D7" s="18" t="n">
        <v>1581.4</v>
      </c>
      <c r="E7" s="18" t="n">
        <v>1392.1</v>
      </c>
      <c r="F7" s="18" t="n">
        <v>1390.2</v>
      </c>
      <c r="G7" s="18" t="n">
        <v>1465.4</v>
      </c>
      <c r="H7" s="18" t="n">
        <v>1838</v>
      </c>
      <c r="I7" s="18" t="n">
        <v>1672.1</v>
      </c>
      <c r="J7" s="18" t="n">
        <v>1655</v>
      </c>
      <c r="K7" s="18" t="n">
        <v>1705.3</v>
      </c>
      <c r="L7" s="18" t="n">
        <v>1959.4</v>
      </c>
      <c r="M7" s="18" t="n">
        <v>1610.1</v>
      </c>
      <c r="N7" s="18" t="n">
        <v>1781.9</v>
      </c>
      <c r="O7" s="18" t="n">
        <v>1802.9</v>
      </c>
      <c r="P7" s="18" t="n">
        <v>1995.9</v>
      </c>
      <c r="Q7" s="18" t="n">
        <v>1985.1</v>
      </c>
      <c r="R7" s="18" t="n">
        <v>2356.5</v>
      </c>
      <c r="S7" s="18" t="n">
        <v>2409.1</v>
      </c>
      <c r="T7" s="18" t="n">
        <v>2562.7</v>
      </c>
      <c r="U7" s="18" t="n">
        <v>2522.8</v>
      </c>
      <c r="V7" s="18" t="n">
        <v>2711.2</v>
      </c>
      <c r="W7" s="18" t="n">
        <v>2734.1</v>
      </c>
      <c r="X7" s="18" t="n">
        <v>3022.5</v>
      </c>
      <c r="Y7" s="18" t="n">
        <v>2733.7</v>
      </c>
      <c r="Z7" s="18" t="n">
        <v>3336.1</v>
      </c>
      <c r="AA7" s="18" t="n">
        <v>3465.7</v>
      </c>
      <c r="AB7" s="18" t="n">
        <v>3802</v>
      </c>
      <c r="AC7" s="18" t="n">
        <v>3510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1536.5</v>
      </c>
      <c r="C9" s="18" t="n">
        <v>1360.1</v>
      </c>
      <c r="D9" s="18" t="n">
        <v>1646.1</v>
      </c>
      <c r="E9" s="18" t="n">
        <v>1505</v>
      </c>
      <c r="F9" s="18" t="n">
        <v>1412.7</v>
      </c>
      <c r="G9" s="18" t="n">
        <v>1455.1</v>
      </c>
      <c r="H9" s="18" t="n">
        <v>1496.6</v>
      </c>
      <c r="I9" s="18" t="n">
        <v>1502.6</v>
      </c>
      <c r="J9" s="18" t="n">
        <v>1614.6</v>
      </c>
      <c r="K9" s="18" t="n">
        <v>1505.3</v>
      </c>
      <c r="L9" s="18" t="n">
        <v>1519.4</v>
      </c>
      <c r="M9" s="18" t="n">
        <v>1464.6</v>
      </c>
      <c r="N9" s="18" t="n">
        <v>1530.8</v>
      </c>
      <c r="O9" s="18" t="n">
        <v>1521.8</v>
      </c>
      <c r="P9" s="18" t="n">
        <v>1550.3</v>
      </c>
      <c r="Q9" s="18" t="n">
        <v>1633.4</v>
      </c>
      <c r="R9" s="18" t="n">
        <v>1809.8</v>
      </c>
      <c r="S9" s="18" t="n">
        <v>1688.4</v>
      </c>
      <c r="T9" s="18" t="n">
        <v>1809.6</v>
      </c>
      <c r="U9" s="18" t="n">
        <v>1836.1</v>
      </c>
      <c r="V9" s="18" t="n">
        <v>2002.9</v>
      </c>
      <c r="W9" s="18" t="n">
        <v>1984.4</v>
      </c>
      <c r="X9" s="18" t="n">
        <v>2308.7</v>
      </c>
      <c r="Y9" s="18" t="n">
        <v>2362.2</v>
      </c>
      <c r="Z9" s="18" t="n">
        <v>2647.6</v>
      </c>
      <c r="AA9" s="18" t="n">
        <v>2740.7</v>
      </c>
      <c r="AB9" s="18" t="n">
        <v>3343.5</v>
      </c>
      <c r="AC9" s="18" t="n">
        <v>2934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4511.8</v>
      </c>
      <c r="C11" s="18" t="n">
        <v>4301.6</v>
      </c>
      <c r="D11" s="18" t="n">
        <v>4831.4</v>
      </c>
      <c r="E11" s="18" t="n">
        <v>4644.7</v>
      </c>
      <c r="F11" s="18" t="n">
        <v>4277.4</v>
      </c>
      <c r="G11" s="18" t="n">
        <v>4414.2</v>
      </c>
      <c r="H11" s="18" t="n">
        <v>5720.2</v>
      </c>
      <c r="I11" s="18" t="n">
        <v>4927</v>
      </c>
      <c r="J11" s="18" t="n">
        <v>4786.9</v>
      </c>
      <c r="K11" s="18" t="n">
        <v>5342</v>
      </c>
      <c r="L11" s="18" t="n">
        <v>5949.7</v>
      </c>
      <c r="M11" s="18" t="n">
        <v>5737.9</v>
      </c>
      <c r="N11" s="18" t="n">
        <v>5057.5</v>
      </c>
      <c r="O11" s="18" t="n">
        <v>5362.5</v>
      </c>
      <c r="P11" s="18" t="n">
        <v>5753.7</v>
      </c>
      <c r="Q11" s="18" t="n">
        <v>5333.3</v>
      </c>
      <c r="R11" s="18" t="n">
        <v>6504.7</v>
      </c>
      <c r="S11" s="18" t="n">
        <v>7638.5</v>
      </c>
      <c r="T11" s="18" t="n">
        <v>7565.4</v>
      </c>
      <c r="U11" s="18" t="n">
        <v>7094.5</v>
      </c>
      <c r="V11" s="18" t="n">
        <v>9132.6</v>
      </c>
      <c r="W11" s="18" t="n">
        <v>9268.299999999999</v>
      </c>
      <c r="X11" s="18" t="n">
        <v>11129</v>
      </c>
      <c r="Y11" s="18" t="n">
        <v>10504.3</v>
      </c>
      <c r="Z11" s="18" t="n">
        <v>13109.9</v>
      </c>
      <c r="AA11" s="18" t="n">
        <v>14592.5</v>
      </c>
      <c r="AB11" s="18" t="n">
        <v>16408.3</v>
      </c>
      <c r="AC11" s="18" t="n">
        <v>16222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1573.1</v>
      </c>
      <c r="C13" s="18" t="n">
        <v>1560.6</v>
      </c>
      <c r="D13" s="18" t="n">
        <v>1603.9</v>
      </c>
      <c r="E13" s="18" t="n">
        <v>1747.6</v>
      </c>
      <c r="F13" s="18" t="n">
        <v>1474.5</v>
      </c>
      <c r="G13" s="18" t="n">
        <v>1493.7</v>
      </c>
      <c r="H13" s="18" t="n">
        <v>2385.6</v>
      </c>
      <c r="I13" s="18" t="n">
        <v>1752.3</v>
      </c>
      <c r="J13" s="18" t="n">
        <v>1517.3</v>
      </c>
      <c r="K13" s="18" t="n">
        <v>2131.4</v>
      </c>
      <c r="L13" s="18" t="n">
        <v>2470.9</v>
      </c>
      <c r="M13" s="18" t="n">
        <v>2663.2</v>
      </c>
      <c r="N13" s="18" t="n">
        <v>1744.8</v>
      </c>
      <c r="O13" s="18" t="n">
        <v>2037.8</v>
      </c>
      <c r="P13" s="18" t="n">
        <v>2207.5</v>
      </c>
      <c r="Q13" s="18" t="n">
        <v>1714.8</v>
      </c>
      <c r="R13" s="18" t="n">
        <v>2338.4</v>
      </c>
      <c r="S13" s="18" t="n">
        <v>3541</v>
      </c>
      <c r="T13" s="18" t="n">
        <v>3193.1</v>
      </c>
      <c r="U13" s="18" t="n">
        <v>2735.6</v>
      </c>
      <c r="V13" s="18" t="n">
        <v>4418.5</v>
      </c>
      <c r="W13" s="18" t="n">
        <v>4549.8</v>
      </c>
      <c r="X13" s="18" t="n">
        <v>5797.8</v>
      </c>
      <c r="Y13" s="18" t="n">
        <v>5408.4</v>
      </c>
      <c r="Z13" s="18" t="n">
        <v>7126.2</v>
      </c>
      <c r="AA13" s="18" t="n">
        <v>8386.1</v>
      </c>
      <c r="AB13" s="18" t="n">
        <v>8775.299999999999</v>
      </c>
      <c r="AC13" s="18" t="n">
        <v>8850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1327.2</v>
      </c>
      <c r="C15" s="18" t="n">
        <v>1253.9</v>
      </c>
      <c r="D15" s="18" t="n">
        <v>1495.7</v>
      </c>
      <c r="E15" s="18" t="n">
        <v>1456.5</v>
      </c>
      <c r="F15" s="18" t="n">
        <v>1412</v>
      </c>
      <c r="G15" s="18" t="n">
        <v>1208.4</v>
      </c>
      <c r="H15" s="18" t="n">
        <v>2116.8</v>
      </c>
      <c r="I15" s="18" t="n">
        <v>1355.3</v>
      </c>
      <c r="J15" s="18" t="n">
        <v>1390.2</v>
      </c>
      <c r="K15" s="18" t="n">
        <v>1110.1</v>
      </c>
      <c r="L15" s="18" t="n">
        <v>1726.1</v>
      </c>
      <c r="M15" s="18" t="n">
        <v>1902.9</v>
      </c>
      <c r="N15" s="18" t="n">
        <v>952.5</v>
      </c>
      <c r="O15" s="18" t="n">
        <v>1451.7</v>
      </c>
      <c r="P15" s="18" t="n">
        <v>1937.7</v>
      </c>
      <c r="Q15" s="18" t="n">
        <v>1344.9</v>
      </c>
      <c r="R15" s="18" t="n">
        <v>1763.2</v>
      </c>
      <c r="S15" s="18" t="n">
        <v>-57.4</v>
      </c>
      <c r="T15" s="18" t="n">
        <v>2189.7</v>
      </c>
      <c r="U15" s="18" t="n">
        <v>2242.9</v>
      </c>
      <c r="V15" s="18" t="n">
        <v>2967</v>
      </c>
      <c r="W15" s="18" t="n">
        <v>970.3</v>
      </c>
      <c r="X15" s="18" t="n">
        <v>4409.8</v>
      </c>
      <c r="Y15" s="18" t="n">
        <v>2759.3</v>
      </c>
      <c r="Z15" s="18" t="n">
        <v>5660.5</v>
      </c>
      <c r="AA15" s="18" t="n">
        <v>5582.5</v>
      </c>
      <c r="AB15" s="18" t="n">
        <v>6636</v>
      </c>
      <c r="AC15" s="18" t="n">
        <v>7396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965.957</v>
      </c>
      <c r="C17" s="18" t="n">
        <v>960.046</v>
      </c>
      <c r="D17" s="18" t="n">
        <v>957.526</v>
      </c>
      <c r="E17" s="18" t="n">
        <v>956.929</v>
      </c>
      <c r="F17" s="18" t="n">
        <v>956.466</v>
      </c>
      <c r="G17" s="18" t="n">
        <v>956.491</v>
      </c>
      <c r="H17" s="18" t="n">
        <v>956.59</v>
      </c>
      <c r="I17" s="18" t="n">
        <v>959.482</v>
      </c>
      <c r="J17" s="18" t="n">
        <v>910.4</v>
      </c>
      <c r="K17" s="18" t="n">
        <v>956.5890000000001</v>
      </c>
      <c r="L17" s="18" t="n">
        <v>953.653</v>
      </c>
      <c r="M17" s="18" t="n">
        <v>950.605</v>
      </c>
      <c r="N17" s="18" t="n">
        <v>902.9</v>
      </c>
      <c r="O17" s="18" t="n">
        <v>903.8</v>
      </c>
      <c r="P17" s="18" t="n">
        <v>950.182</v>
      </c>
      <c r="Q17" s="18" t="n">
        <v>949.2670000000001</v>
      </c>
      <c r="R17" s="18" t="n">
        <v>949.2859999999999</v>
      </c>
      <c r="S17" s="18" t="n">
        <v>949.303</v>
      </c>
      <c r="T17" s="18" t="n">
        <v>903.98</v>
      </c>
      <c r="U17" s="18" t="n">
        <v>903.8</v>
      </c>
      <c r="V17" s="18" t="n">
        <v>904.2</v>
      </c>
      <c r="W17" s="18" t="n">
        <v>905</v>
      </c>
      <c r="X17" s="18" t="n">
        <v>903.158</v>
      </c>
      <c r="Y17" s="18" t="n">
        <v>900.604</v>
      </c>
      <c r="Z17" s="18" t="n">
        <v>899.793</v>
      </c>
      <c r="AA17" s="18" t="n">
        <v>898.8</v>
      </c>
      <c r="AB17" s="18" t="n">
        <v>898.002</v>
      </c>
      <c r="AC17" s="18" t="n">
        <v>895.9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Cardiometabolic Health</t>
        </is>
      </c>
      <c r="V19" s="18" t="n">
        <v>7514.6</v>
      </c>
      <c r="W19" s="18" t="n">
        <v>7407</v>
      </c>
      <c r="Y19" s="18" t="n">
        <v>9208.1</v>
      </c>
      <c r="Z19" s="18" t="n">
        <v>11342.9</v>
      </c>
      <c r="AA19" s="18" t="n">
        <v>13177.9</v>
      </c>
      <c r="AC19" s="18" t="n">
        <v>15760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Oncology</t>
        </is>
      </c>
      <c r="B22" s="18" t="n">
        <v>1197.2</v>
      </c>
      <c r="C22" s="18" t="n">
        <v>1147.4</v>
      </c>
      <c r="E22" s="18" t="n">
        <v>1201.5</v>
      </c>
      <c r="F22" s="18" t="n">
        <v>1268.6</v>
      </c>
      <c r="G22" s="18" t="n">
        <v>1333.4</v>
      </c>
      <c r="I22" s="18" t="n">
        <v>1443.8</v>
      </c>
      <c r="J22" s="18" t="n">
        <v>1635.4</v>
      </c>
      <c r="K22" s="18" t="n">
        <v>1506.4</v>
      </c>
      <c r="M22" s="18" t="n">
        <v>1454.2</v>
      </c>
      <c r="N22" s="18" t="n">
        <v>1475.5</v>
      </c>
      <c r="O22" s="18" t="n">
        <v>1395.7</v>
      </c>
      <c r="Q22" s="18" t="n">
        <v>1356</v>
      </c>
      <c r="R22" s="18" t="n">
        <v>1671</v>
      </c>
      <c r="S22" s="18" t="n">
        <v>1747.1</v>
      </c>
      <c r="U22" s="18" t="n">
        <v>2078.5</v>
      </c>
      <c r="V22" s="18" t="n">
        <v>2457.8</v>
      </c>
      <c r="W22" s="18" t="n">
        <v>2556.1</v>
      </c>
      <c r="Y22" s="18" t="n">
        <v>1947.5</v>
      </c>
      <c r="Z22" s="18" t="n">
        <v>2413.6</v>
      </c>
      <c r="AA22" s="18" t="n">
        <v>2407.6</v>
      </c>
      <c r="AC22" s="18" t="n">
        <v>2268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4" t="inlineStr">
        <is>
          <t>Immunology</t>
        </is>
      </c>
      <c r="B25" s="18" t="n">
        <v>456.1</v>
      </c>
      <c r="C25" s="18" t="n">
        <v>454.6</v>
      </c>
      <c r="E25" s="18" t="n">
        <v>585.8</v>
      </c>
      <c r="F25" s="18" t="n">
        <v>548.3</v>
      </c>
      <c r="G25" s="18" t="n">
        <v>627.1</v>
      </c>
      <c r="I25" s="18" t="n">
        <v>613.9</v>
      </c>
      <c r="J25" s="18" t="n">
        <v>785.4</v>
      </c>
      <c r="K25" s="18" t="n">
        <v>1004.9</v>
      </c>
      <c r="M25" s="18" t="n">
        <v>748.1</v>
      </c>
      <c r="N25" s="18" t="n">
        <v>796.5</v>
      </c>
      <c r="O25" s="18" t="n">
        <v>866.4</v>
      </c>
      <c r="Q25" s="18" t="n">
        <v>777.8</v>
      </c>
      <c r="R25" s="18" t="n">
        <v>928.5</v>
      </c>
      <c r="S25" s="18" t="n">
        <v>986.9</v>
      </c>
      <c r="U25" s="18" t="n">
        <v>834</v>
      </c>
      <c r="V25" s="18" t="n">
        <v>1082.4</v>
      </c>
      <c r="W25" s="18" t="n">
        <v>1185.7</v>
      </c>
      <c r="Y25" s="18" t="n">
        <v>1088</v>
      </c>
      <c r="Z25" s="18" t="n">
        <v>1255.6</v>
      </c>
      <c r="AA25" s="18" t="n">
        <v>1362.4</v>
      </c>
      <c r="AC25" s="18" t="n">
        <v>1203</v>
      </c>
    </row>
    <row r="26">
      <c r="A26" s="4" t="inlineStr">
        <is>
          <t xml:space="preserve">    % YoY</t>
        </is>
      </c>
      <c r="F26" s="27">
        <f>IFERROR(F25/B25-1,"")</f>
        <v/>
      </c>
      <c r="G26" s="27">
        <f>IFERROR(G25/C25-1,"")</f>
        <v/>
      </c>
      <c r="H26" s="27">
        <f>IFERROR(H25/D25-1,"")</f>
        <v/>
      </c>
      <c r="I26" s="27">
        <f>IFERROR(I25/E25-1,"")</f>
        <v/>
      </c>
      <c r="J26" s="27">
        <f>IFERROR(J25/F25-1,"")</f>
        <v/>
      </c>
      <c r="K26" s="27">
        <f>IFERROR(K25/G25-1,"")</f>
        <v/>
      </c>
      <c r="L26" s="27">
        <f>IFERROR(L25/H25-1,"")</f>
        <v/>
      </c>
      <c r="M26" s="27">
        <f>IFERROR(M25/I25-1,"")</f>
        <v/>
      </c>
      <c r="N26" s="27">
        <f>IFERROR(N25/J25-1,"")</f>
        <v/>
      </c>
      <c r="O26" s="27">
        <f>IFERROR(O25/K25-1,"")</f>
        <v/>
      </c>
      <c r="P26" s="27">
        <f>IFERROR(P25/L25-1,"")</f>
        <v/>
      </c>
      <c r="Q26" s="27">
        <f>IFERROR(Q25/M25-1,"")</f>
        <v/>
      </c>
      <c r="R26" s="27">
        <f>IFERROR(R25/N25-1,"")</f>
        <v/>
      </c>
      <c r="S26" s="27">
        <f>IFERROR(S25/O25-1,"")</f>
        <v/>
      </c>
      <c r="T26" s="27">
        <f>IFERROR(T25/P25-1,"")</f>
        <v/>
      </c>
      <c r="U26" s="27">
        <f>IFERROR(U25/Q25-1,"")</f>
        <v/>
      </c>
      <c r="V26" s="27">
        <f>IFERROR(V25/R25-1,"")</f>
        <v/>
      </c>
      <c r="W26" s="27">
        <f>IFERROR(W25/S25-1,"")</f>
        <v/>
      </c>
      <c r="X26" s="27">
        <f>IFERROR(X25/T25-1,"")</f>
        <v/>
      </c>
      <c r="Y26" s="27">
        <f>IFERROR(Y25/U25-1,"")</f>
        <v/>
      </c>
      <c r="Z26" s="27">
        <f>IFERROR(Z25/V25-1,"")</f>
        <v/>
      </c>
      <c r="AA26" s="27">
        <f>IFERROR(AA25/W25-1,"")</f>
        <v/>
      </c>
      <c r="AB26" s="27">
        <f>IFERROR(AB25/X25-1,"")</f>
        <v/>
      </c>
      <c r="AC26" s="27">
        <f>IFERROR(AC25/Y25-1,"")</f>
        <v/>
      </c>
    </row>
    <row r="27">
      <c r="A27" s="4" t="inlineStr">
        <is>
          <t xml:space="preserve">    % of revenue</t>
        </is>
      </c>
      <c r="B27" s="27">
        <f>IFERROR(B25/B3,"")</f>
        <v/>
      </c>
      <c r="C27" s="27">
        <f>IFERROR(C25/C3,"")</f>
        <v/>
      </c>
      <c r="D27" s="27">
        <f>IFERROR(D25/D3,"")</f>
        <v/>
      </c>
      <c r="E27" s="27">
        <f>IFERROR(E25/E3,"")</f>
        <v/>
      </c>
      <c r="F27" s="27">
        <f>IFERROR(F25/F3,"")</f>
        <v/>
      </c>
      <c r="G27" s="27">
        <f>IFERROR(G25/G3,"")</f>
        <v/>
      </c>
      <c r="H27" s="27">
        <f>IFERROR(H25/H3,"")</f>
        <v/>
      </c>
      <c r="I27" s="27">
        <f>IFERROR(I25/I3,"")</f>
        <v/>
      </c>
      <c r="J27" s="27">
        <f>IFERROR(J25/J3,"")</f>
        <v/>
      </c>
      <c r="K27" s="27">
        <f>IFERROR(K25/K3,"")</f>
        <v/>
      </c>
      <c r="L27" s="27">
        <f>IFERROR(L25/L3,"")</f>
        <v/>
      </c>
      <c r="M27" s="27">
        <f>IFERROR(M25/M3,"")</f>
        <v/>
      </c>
      <c r="N27" s="27">
        <f>IFERROR(N25/N3,"")</f>
        <v/>
      </c>
      <c r="O27" s="27">
        <f>IFERROR(O25/O3,"")</f>
        <v/>
      </c>
      <c r="P27" s="27">
        <f>IFERROR(P25/P3,"")</f>
        <v/>
      </c>
      <c r="Q27" s="27">
        <f>IFERROR(Q25/Q3,"")</f>
        <v/>
      </c>
      <c r="R27" s="27">
        <f>IFERROR(R25/R3,"")</f>
        <v/>
      </c>
      <c r="S27" s="27">
        <f>IFERROR(S25/S3,"")</f>
        <v/>
      </c>
      <c r="T27" s="27">
        <f>IFERROR(T25/T3,"")</f>
        <v/>
      </c>
      <c r="U27" s="27">
        <f>IFERROR(U25/U3,"")</f>
        <v/>
      </c>
      <c r="V27" s="27">
        <f>IFERROR(V25/V3,"")</f>
        <v/>
      </c>
      <c r="W27" s="27">
        <f>IFERROR(W25/W3,"")</f>
        <v/>
      </c>
      <c r="X27" s="27">
        <f>IFERROR(X25/X3,"")</f>
        <v/>
      </c>
      <c r="Y27" s="27">
        <f>IFERROR(Y25/Y3,"")</f>
        <v/>
      </c>
      <c r="Z27" s="27">
        <f>IFERROR(Z25/Z3,"")</f>
        <v/>
      </c>
      <c r="AA27" s="27">
        <f>IFERROR(AA25/AA3,"")</f>
        <v/>
      </c>
      <c r="AB27" s="27">
        <f>IFERROR(AB25/AB3,"")</f>
        <v/>
      </c>
      <c r="AC27" s="27">
        <f>IFERROR(AC25/AC3,"")</f>
        <v/>
      </c>
    </row>
    <row r="28">
      <c r="A28" s="4" t="inlineStr">
        <is>
          <t>Neuroscience</t>
        </is>
      </c>
      <c r="B28" s="18" t="n">
        <v>452.7</v>
      </c>
      <c r="C28" s="18" t="n">
        <v>426.7</v>
      </c>
      <c r="E28" s="18" t="n">
        <v>463.5</v>
      </c>
      <c r="F28" s="18" t="n">
        <v>422.5</v>
      </c>
      <c r="G28" s="18" t="n">
        <v>470.7</v>
      </c>
      <c r="I28" s="18" t="n">
        <v>538.9</v>
      </c>
      <c r="J28" s="18" t="n">
        <v>597.1</v>
      </c>
      <c r="K28" s="18" t="n">
        <v>526.7</v>
      </c>
      <c r="M28" s="18" t="n">
        <v>471.9</v>
      </c>
      <c r="N28" s="18" t="n">
        <v>459.5</v>
      </c>
      <c r="O28" s="18" t="n">
        <v>433.8</v>
      </c>
      <c r="Q28" s="18" t="n">
        <v>360.5</v>
      </c>
      <c r="R28" s="18" t="n">
        <v>387.2</v>
      </c>
      <c r="S28" s="18" t="n">
        <v>1768.1</v>
      </c>
      <c r="U28" s="18" t="n">
        <v>552.5</v>
      </c>
      <c r="V28" s="18" t="n">
        <v>487</v>
      </c>
      <c r="W28" s="18" t="n">
        <v>469</v>
      </c>
      <c r="Y28" s="18" t="n">
        <v>272.1</v>
      </c>
      <c r="Z28" s="18" t="n">
        <v>344</v>
      </c>
      <c r="AA28" s="18" t="n">
        <v>315.7</v>
      </c>
      <c r="AC28" s="18" t="n">
        <v>382</v>
      </c>
    </row>
    <row r="29">
      <c r="A29" s="4" t="inlineStr">
        <is>
          <t xml:space="preserve">    % YoY</t>
        </is>
      </c>
      <c r="F29" s="27">
        <f>IFERROR(F28/B28-1,"")</f>
        <v/>
      </c>
      <c r="G29" s="27">
        <f>IFERROR(G28/C28-1,"")</f>
        <v/>
      </c>
      <c r="H29" s="27">
        <f>IFERROR(H28/D28-1,"")</f>
        <v/>
      </c>
      <c r="I29" s="27">
        <f>IFERROR(I28/E28-1,"")</f>
        <v/>
      </c>
      <c r="J29" s="27">
        <f>IFERROR(J28/F28-1,"")</f>
        <v/>
      </c>
      <c r="K29" s="27">
        <f>IFERROR(K28/G28-1,"")</f>
        <v/>
      </c>
      <c r="L29" s="27">
        <f>IFERROR(L28/H28-1,"")</f>
        <v/>
      </c>
      <c r="M29" s="27">
        <f>IFERROR(M28/I28-1,"")</f>
        <v/>
      </c>
      <c r="N29" s="27">
        <f>IFERROR(N28/J28-1,"")</f>
        <v/>
      </c>
      <c r="O29" s="27">
        <f>IFERROR(O28/K28-1,"")</f>
        <v/>
      </c>
      <c r="P29" s="27">
        <f>IFERROR(P28/L28-1,"")</f>
        <v/>
      </c>
      <c r="Q29" s="27">
        <f>IFERROR(Q28/M28-1,"")</f>
        <v/>
      </c>
      <c r="R29" s="27">
        <f>IFERROR(R28/N28-1,"")</f>
        <v/>
      </c>
      <c r="S29" s="27">
        <f>IFERROR(S28/O28-1,"")</f>
        <v/>
      </c>
      <c r="T29" s="27">
        <f>IFERROR(T28/P28-1,"")</f>
        <v/>
      </c>
      <c r="U29" s="27">
        <f>IFERROR(U28/Q28-1,"")</f>
        <v/>
      </c>
      <c r="V29" s="27">
        <f>IFERROR(V28/R28-1,"")</f>
        <v/>
      </c>
      <c r="W29" s="27">
        <f>IFERROR(W28/S28-1,"")</f>
        <v/>
      </c>
      <c r="X29" s="27">
        <f>IFERROR(X28/T28-1,"")</f>
        <v/>
      </c>
      <c r="Y29" s="27">
        <f>IFERROR(Y28/U28-1,"")</f>
        <v/>
      </c>
      <c r="Z29" s="27">
        <f>IFERROR(Z28/V28-1,"")</f>
        <v/>
      </c>
      <c r="AA29" s="27">
        <f>IFERROR(AA28/W28-1,"")</f>
        <v/>
      </c>
      <c r="AB29" s="27">
        <f>IFERROR(AB28/X28-1,"")</f>
        <v/>
      </c>
      <c r="AC29" s="27">
        <f>IFERROR(AC28/Y28-1,"")</f>
        <v/>
      </c>
    </row>
    <row r="30">
      <c r="A30" s="4" t="inlineStr">
        <is>
          <t xml:space="preserve">    % of revenue</t>
        </is>
      </c>
      <c r="B30" s="27">
        <f>IFERROR(B28/B3,"")</f>
        <v/>
      </c>
      <c r="C30" s="27">
        <f>IFERROR(C28/C3,"")</f>
        <v/>
      </c>
      <c r="D30" s="27">
        <f>IFERROR(D28/D3,"")</f>
        <v/>
      </c>
      <c r="E30" s="27">
        <f>IFERROR(E28/E3,"")</f>
        <v/>
      </c>
      <c r="F30" s="27">
        <f>IFERROR(F28/F3,"")</f>
        <v/>
      </c>
      <c r="G30" s="27">
        <f>IFERROR(G28/G3,"")</f>
        <v/>
      </c>
      <c r="H30" s="27">
        <f>IFERROR(H28/H3,"")</f>
        <v/>
      </c>
      <c r="I30" s="27">
        <f>IFERROR(I28/I3,"")</f>
        <v/>
      </c>
      <c r="J30" s="27">
        <f>IFERROR(J28/J3,"")</f>
        <v/>
      </c>
      <c r="K30" s="27">
        <f>IFERROR(K28/K3,"")</f>
        <v/>
      </c>
      <c r="L30" s="27">
        <f>IFERROR(L28/L3,"")</f>
        <v/>
      </c>
      <c r="M30" s="27">
        <f>IFERROR(M28/M3,"")</f>
        <v/>
      </c>
      <c r="N30" s="27">
        <f>IFERROR(N28/N3,"")</f>
        <v/>
      </c>
      <c r="O30" s="27">
        <f>IFERROR(O28/O3,"")</f>
        <v/>
      </c>
      <c r="P30" s="27">
        <f>IFERROR(P28/P3,"")</f>
        <v/>
      </c>
      <c r="Q30" s="27">
        <f>IFERROR(Q28/Q3,"")</f>
        <v/>
      </c>
      <c r="R30" s="27">
        <f>IFERROR(R28/R3,"")</f>
        <v/>
      </c>
      <c r="S30" s="27">
        <f>IFERROR(S28/S3,"")</f>
        <v/>
      </c>
      <c r="T30" s="27">
        <f>IFERROR(T28/T3,"")</f>
        <v/>
      </c>
      <c r="U30" s="27">
        <f>IFERROR(U28/U3,"")</f>
        <v/>
      </c>
      <c r="V30" s="27">
        <f>IFERROR(V28/V3,"")</f>
        <v/>
      </c>
      <c r="W30" s="27">
        <f>IFERROR(W28/W3,"")</f>
        <v/>
      </c>
      <c r="X30" s="27">
        <f>IFERROR(X28/X3,"")</f>
        <v/>
      </c>
      <c r="Y30" s="27">
        <f>IFERROR(Y28/Y3,"")</f>
        <v/>
      </c>
      <c r="Z30" s="27">
        <f>IFERROR(Z28/Z3,"")</f>
        <v/>
      </c>
      <c r="AA30" s="27">
        <f>IFERROR(AA28/AA3,"")</f>
        <v/>
      </c>
      <c r="AB30" s="27">
        <f>IFERROR(AB28/AB3,"")</f>
        <v/>
      </c>
      <c r="AC30" s="27">
        <f>IFERROR(AC28/AC3,"")</f>
        <v/>
      </c>
    </row>
    <row r="31">
      <c r="A31" s="5" t="inlineStr">
        <is>
          <t xml:space="preserve">  REVENUE BY SEGMENT — GEOGRAPHY (% YoY, % of revenue)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4" t="inlineStr">
        <is>
          <t>UNITED STATES</t>
        </is>
      </c>
      <c r="B32" s="18" t="n">
        <v>3252.5</v>
      </c>
      <c r="C32" s="18" t="n">
        <v>3060.2</v>
      </c>
      <c r="D32" s="18" t="n">
        <v>3519.1</v>
      </c>
      <c r="E32" s="18" t="n">
        <v>3328.8</v>
      </c>
      <c r="F32" s="18" t="n">
        <v>3144.8</v>
      </c>
      <c r="G32" s="18" t="n">
        <v>3161.4</v>
      </c>
      <c r="H32" s="18" t="n">
        <v>4594.3</v>
      </c>
      <c r="I32" s="18" t="n">
        <v>3941.3</v>
      </c>
      <c r="J32" s="18" t="n">
        <v>3704.2</v>
      </c>
      <c r="K32" s="18" t="n">
        <v>3989.6</v>
      </c>
      <c r="L32" s="18" t="n">
        <v>5175.9</v>
      </c>
      <c r="M32" s="18" t="n">
        <v>5174.6</v>
      </c>
      <c r="N32" s="18" t="n">
        <v>3934.8</v>
      </c>
      <c r="O32" s="18" t="n">
        <v>4422.1</v>
      </c>
      <c r="P32" s="18" t="n">
        <v>4658.5</v>
      </c>
      <c r="Q32" s="18" t="n">
        <v>4436.2</v>
      </c>
      <c r="R32" s="18" t="n">
        <v>5531.4</v>
      </c>
      <c r="S32" s="18" t="n">
        <v>5368.1</v>
      </c>
      <c r="T32" s="18" t="n">
        <v>6455.3</v>
      </c>
      <c r="U32" s="18" t="n">
        <v>5694.4</v>
      </c>
      <c r="V32" s="18" t="n">
        <v>7835.2</v>
      </c>
      <c r="W32" s="18" t="n">
        <v>7813.6</v>
      </c>
      <c r="X32" s="18" t="n">
        <v>9032</v>
      </c>
      <c r="Y32" s="18" t="n">
        <v>8489.4</v>
      </c>
      <c r="Z32" s="18" t="n">
        <v>10814.2</v>
      </c>
      <c r="AA32" s="18" t="n">
        <v>11300</v>
      </c>
      <c r="AB32" s="18" t="n">
        <v>12877.4</v>
      </c>
      <c r="AC32" s="18" t="n">
        <v>12119</v>
      </c>
    </row>
    <row r="33">
      <c r="A33" s="4" t="inlineStr">
        <is>
          <t xml:space="preserve">    % YoY</t>
        </is>
      </c>
      <c r="F33" s="27">
        <f>IFERROR(F32/B32-1,"")</f>
        <v/>
      </c>
      <c r="G33" s="27">
        <f>IFERROR(G32/C32-1,"")</f>
        <v/>
      </c>
      <c r="H33" s="27">
        <f>IFERROR(H32/D32-1,"")</f>
        <v/>
      </c>
      <c r="I33" s="27">
        <f>IFERROR(I32/E32-1,"")</f>
        <v/>
      </c>
      <c r="J33" s="27">
        <f>IFERROR(J32/F32-1,"")</f>
        <v/>
      </c>
      <c r="K33" s="27">
        <f>IFERROR(K32/G32-1,"")</f>
        <v/>
      </c>
      <c r="L33" s="27">
        <f>IFERROR(L32/H32-1,"")</f>
        <v/>
      </c>
      <c r="M33" s="27">
        <f>IFERROR(M32/I32-1,"")</f>
        <v/>
      </c>
      <c r="N33" s="27">
        <f>IFERROR(N32/J32-1,"")</f>
        <v/>
      </c>
      <c r="O33" s="27">
        <f>IFERROR(O32/K32-1,"")</f>
        <v/>
      </c>
      <c r="P33" s="27">
        <f>IFERROR(P32/L32-1,"")</f>
        <v/>
      </c>
      <c r="Q33" s="27">
        <f>IFERROR(Q32/M32-1,"")</f>
        <v/>
      </c>
      <c r="R33" s="27">
        <f>IFERROR(R32/N32-1,"")</f>
        <v/>
      </c>
      <c r="S33" s="27">
        <f>IFERROR(S32/O32-1,"")</f>
        <v/>
      </c>
      <c r="T33" s="27">
        <f>IFERROR(T32/P32-1,"")</f>
        <v/>
      </c>
      <c r="U33" s="27">
        <f>IFERROR(U32/Q32-1,"")</f>
        <v/>
      </c>
      <c r="V33" s="27">
        <f>IFERROR(V32/R32-1,"")</f>
        <v/>
      </c>
      <c r="W33" s="27">
        <f>IFERROR(W32/S32-1,"")</f>
        <v/>
      </c>
      <c r="X33" s="27">
        <f>IFERROR(X32/T32-1,"")</f>
        <v/>
      </c>
      <c r="Y33" s="27">
        <f>IFERROR(Y32/U32-1,"")</f>
        <v/>
      </c>
      <c r="Z33" s="27">
        <f>IFERROR(Z32/V32-1,"")</f>
        <v/>
      </c>
      <c r="AA33" s="27">
        <f>IFERROR(AA32/W32-1,"")</f>
        <v/>
      </c>
      <c r="AB33" s="27">
        <f>IFERROR(AB32/X32-1,"")</f>
        <v/>
      </c>
      <c r="AC33" s="27">
        <f>IFERROR(AC32/Y32-1,"")</f>
        <v/>
      </c>
    </row>
    <row r="34">
      <c r="A34" s="4" t="inlineStr">
        <is>
          <t xml:space="preserve">    % of revenue</t>
        </is>
      </c>
      <c r="B34" s="27">
        <f>IFERROR(B32/B3,"")</f>
        <v/>
      </c>
      <c r="C34" s="27">
        <f>IFERROR(C32/C3,"")</f>
        <v/>
      </c>
      <c r="D34" s="27">
        <f>IFERROR(D32/D3,"")</f>
        <v/>
      </c>
      <c r="E34" s="27">
        <f>IFERROR(E32/E3,"")</f>
        <v/>
      </c>
      <c r="F34" s="27">
        <f>IFERROR(F32/F3,"")</f>
        <v/>
      </c>
      <c r="G34" s="27">
        <f>IFERROR(G32/G3,"")</f>
        <v/>
      </c>
      <c r="H34" s="27">
        <f>IFERROR(H32/H3,"")</f>
        <v/>
      </c>
      <c r="I34" s="27">
        <f>IFERROR(I32/I3,"")</f>
        <v/>
      </c>
      <c r="J34" s="27">
        <f>IFERROR(J32/J3,"")</f>
        <v/>
      </c>
      <c r="K34" s="27">
        <f>IFERROR(K32/K3,"")</f>
        <v/>
      </c>
      <c r="L34" s="27">
        <f>IFERROR(L32/L3,"")</f>
        <v/>
      </c>
      <c r="M34" s="27">
        <f>IFERROR(M32/M3,"")</f>
        <v/>
      </c>
      <c r="N34" s="27">
        <f>IFERROR(N32/N3,"")</f>
        <v/>
      </c>
      <c r="O34" s="27">
        <f>IFERROR(O32/O3,"")</f>
        <v/>
      </c>
      <c r="P34" s="27">
        <f>IFERROR(P32/P3,"")</f>
        <v/>
      </c>
      <c r="Q34" s="27">
        <f>IFERROR(Q32/Q3,"")</f>
        <v/>
      </c>
      <c r="R34" s="27">
        <f>IFERROR(R32/R3,"")</f>
        <v/>
      </c>
      <c r="S34" s="27">
        <f>IFERROR(S32/S3,"")</f>
        <v/>
      </c>
      <c r="T34" s="27">
        <f>IFERROR(T32/T3,"")</f>
        <v/>
      </c>
      <c r="U34" s="27">
        <f>IFERROR(U32/U3,"")</f>
        <v/>
      </c>
      <c r="V34" s="27">
        <f>IFERROR(V32/V3,"")</f>
        <v/>
      </c>
      <c r="W34" s="27">
        <f>IFERROR(W32/W3,"")</f>
        <v/>
      </c>
      <c r="X34" s="27">
        <f>IFERROR(X32/X3,"")</f>
        <v/>
      </c>
      <c r="Y34" s="27">
        <f>IFERROR(Y32/Y3,"")</f>
        <v/>
      </c>
      <c r="Z34" s="27">
        <f>IFERROR(Z32/Z3,"")</f>
        <v/>
      </c>
      <c r="AA34" s="27">
        <f>IFERROR(AA32/AA3,"")</f>
        <v/>
      </c>
      <c r="AB34" s="27">
        <f>IFERROR(AB32/AB3,"")</f>
        <v/>
      </c>
      <c r="AC34" s="27">
        <f>IFERROR(AC32/AC3,"")</f>
        <v/>
      </c>
    </row>
    <row r="35">
      <c r="A35" s="4" t="inlineStr">
        <is>
          <t>Non-US</t>
        </is>
      </c>
      <c r="I35" s="18" t="n">
        <v>609.1</v>
      </c>
      <c r="J35" s="18" t="n">
        <v>638.1</v>
      </c>
      <c r="K35" s="18" t="n">
        <v>689.4</v>
      </c>
      <c r="L35" s="18" t="n">
        <v>765.6</v>
      </c>
      <c r="M35" s="18" t="n">
        <v>751.5</v>
      </c>
      <c r="N35" s="18" t="n">
        <v>645.7</v>
      </c>
      <c r="O35" s="18" t="n">
        <v>632</v>
      </c>
      <c r="P35" s="18" t="n">
        <v>822.8</v>
      </c>
      <c r="Q35" s="18" t="n">
        <v>673.1</v>
      </c>
      <c r="R35" s="18" t="n">
        <v>748.5</v>
      </c>
      <c r="S35" s="18" t="n">
        <v>780.3</v>
      </c>
      <c r="T35" s="18" t="n">
        <v>744.3</v>
      </c>
      <c r="U35" s="18" t="n">
        <v>892.9</v>
      </c>
      <c r="V35" s="18" t="n">
        <v>1206.1</v>
      </c>
      <c r="W35" s="18" t="n">
        <v>1108.2</v>
      </c>
      <c r="X35" s="18" t="n">
        <v>1064.2</v>
      </c>
      <c r="Y35" s="18" t="n">
        <v>997.4</v>
      </c>
      <c r="Z35" s="18" t="n">
        <v>1182.1</v>
      </c>
      <c r="AA35" s="18" t="n">
        <v>1687.7</v>
      </c>
      <c r="AB35" s="18" t="n">
        <v>2189.8</v>
      </c>
      <c r="AC35" s="18" t="n">
        <v>10451</v>
      </c>
    </row>
    <row r="36">
      <c r="A36" s="4" t="inlineStr">
        <is>
          <t xml:space="preserve">    % YoY</t>
        </is>
      </c>
      <c r="F36" s="27">
        <f>IFERROR(F35/B35-1,"")</f>
        <v/>
      </c>
      <c r="G36" s="27">
        <f>IFERROR(G35/C35-1,"")</f>
        <v/>
      </c>
      <c r="H36" s="27">
        <f>IFERROR(H35/D35-1,"")</f>
        <v/>
      </c>
      <c r="I36" s="27">
        <f>IFERROR(I35/E35-1,"")</f>
        <v/>
      </c>
      <c r="J36" s="27">
        <f>IFERROR(J35/F35-1,"")</f>
        <v/>
      </c>
      <c r="K36" s="27">
        <f>IFERROR(K35/G35-1,"")</f>
        <v/>
      </c>
      <c r="L36" s="27">
        <f>IFERROR(L35/H35-1,"")</f>
        <v/>
      </c>
      <c r="M36" s="27">
        <f>IFERROR(M35/I35-1,"")</f>
        <v/>
      </c>
      <c r="N36" s="27">
        <f>IFERROR(N35/J35-1,"")</f>
        <v/>
      </c>
      <c r="O36" s="27">
        <f>IFERROR(O35/K35-1,"")</f>
        <v/>
      </c>
      <c r="P36" s="27">
        <f>IFERROR(P35/L35-1,"")</f>
        <v/>
      </c>
      <c r="Q36" s="27">
        <f>IFERROR(Q35/M35-1,"")</f>
        <v/>
      </c>
      <c r="R36" s="27">
        <f>IFERROR(R35/N35-1,"")</f>
        <v/>
      </c>
      <c r="S36" s="27">
        <f>IFERROR(S35/O35-1,"")</f>
        <v/>
      </c>
      <c r="T36" s="27">
        <f>IFERROR(T35/P35-1,"")</f>
        <v/>
      </c>
      <c r="U36" s="27">
        <f>IFERROR(U35/Q35-1,"")</f>
        <v/>
      </c>
      <c r="V36" s="27">
        <f>IFERROR(V35/R35-1,"")</f>
        <v/>
      </c>
      <c r="W36" s="27">
        <f>IFERROR(W35/S35-1,"")</f>
        <v/>
      </c>
      <c r="X36" s="27">
        <f>IFERROR(X35/T35-1,"")</f>
        <v/>
      </c>
      <c r="Y36" s="27">
        <f>IFERROR(Y35/U35-1,"")</f>
        <v/>
      </c>
      <c r="Z36" s="27">
        <f>IFERROR(Z35/V35-1,"")</f>
        <v/>
      </c>
      <c r="AA36" s="27">
        <f>IFERROR(AA35/W35-1,"")</f>
        <v/>
      </c>
      <c r="AB36" s="27">
        <f>IFERROR(AB35/X35-1,"")</f>
        <v/>
      </c>
      <c r="AC36" s="27">
        <f>IFERROR(AC35/Y35-1,"")</f>
        <v/>
      </c>
    </row>
    <row r="37">
      <c r="A37" s="4" t="inlineStr">
        <is>
          <t xml:space="preserve">    % of revenue</t>
        </is>
      </c>
      <c r="B37" s="27">
        <f>IFERROR(B35/B3,"")</f>
        <v/>
      </c>
      <c r="C37" s="27">
        <f>IFERROR(C35/C3,"")</f>
        <v/>
      </c>
      <c r="D37" s="27">
        <f>IFERROR(D35/D3,"")</f>
        <v/>
      </c>
      <c r="E37" s="27">
        <f>IFERROR(E35/E3,"")</f>
        <v/>
      </c>
      <c r="F37" s="27">
        <f>IFERROR(F35/F3,"")</f>
        <v/>
      </c>
      <c r="G37" s="27">
        <f>IFERROR(G35/G3,"")</f>
        <v/>
      </c>
      <c r="H37" s="27">
        <f>IFERROR(H35/H3,"")</f>
        <v/>
      </c>
      <c r="I37" s="27">
        <f>IFERROR(I35/I3,"")</f>
        <v/>
      </c>
      <c r="J37" s="27">
        <f>IFERROR(J35/J3,"")</f>
        <v/>
      </c>
      <c r="K37" s="27">
        <f>IFERROR(K35/K3,"")</f>
        <v/>
      </c>
      <c r="L37" s="27">
        <f>IFERROR(L35/L3,"")</f>
        <v/>
      </c>
      <c r="M37" s="27">
        <f>IFERROR(M35/M3,"")</f>
        <v/>
      </c>
      <c r="N37" s="27">
        <f>IFERROR(N35/N3,"")</f>
        <v/>
      </c>
      <c r="O37" s="27">
        <f>IFERROR(O35/O3,"")</f>
        <v/>
      </c>
      <c r="P37" s="27">
        <f>IFERROR(P35/P3,"")</f>
        <v/>
      </c>
      <c r="Q37" s="27">
        <f>IFERROR(Q35/Q3,"")</f>
        <v/>
      </c>
      <c r="R37" s="27">
        <f>IFERROR(R35/R3,"")</f>
        <v/>
      </c>
      <c r="S37" s="27">
        <f>IFERROR(S35/S3,"")</f>
        <v/>
      </c>
      <c r="T37" s="27">
        <f>IFERROR(T35/T3,"")</f>
        <v/>
      </c>
      <c r="U37" s="27">
        <f>IFERROR(U35/U3,"")</f>
        <v/>
      </c>
      <c r="V37" s="27">
        <f>IFERROR(V35/V3,"")</f>
        <v/>
      </c>
      <c r="W37" s="27">
        <f>IFERROR(W35/W3,"")</f>
        <v/>
      </c>
      <c r="X37" s="27">
        <f>IFERROR(X35/X3,"")</f>
        <v/>
      </c>
      <c r="Y37" s="27">
        <f>IFERROR(Y35/Y3,"")</f>
        <v/>
      </c>
      <c r="Z37" s="27">
        <f>IFERROR(Z35/Z3,"")</f>
        <v/>
      </c>
      <c r="AA37" s="27">
        <f>IFERROR(AA35/AA3,"")</f>
        <v/>
      </c>
      <c r="AB37" s="27">
        <f>IFERROR(AB35/AB3,"")</f>
        <v/>
      </c>
      <c r="AC37" s="27">
        <f>IFERROR(AC35/AC3,"")</f>
        <v/>
      </c>
    </row>
    <row r="38">
      <c r="A38" s="4" t="inlineStr">
        <is>
          <t>Europe</t>
        </is>
      </c>
      <c r="B38" s="18" t="n">
        <v>928.2</v>
      </c>
      <c r="C38" s="18" t="n">
        <v>923.4</v>
      </c>
      <c r="D38" s="18" t="n">
        <v>1013.1</v>
      </c>
      <c r="E38" s="18" t="n">
        <v>1061</v>
      </c>
      <c r="F38" s="18" t="n">
        <v>873</v>
      </c>
      <c r="G38" s="18" t="n">
        <v>1046.7</v>
      </c>
      <c r="H38" s="18" t="n">
        <v>1207</v>
      </c>
      <c r="I38" s="18" t="n">
        <v>1321.2</v>
      </c>
      <c r="J38" s="18" t="n">
        <v>1209.8</v>
      </c>
      <c r="K38" s="18" t="n">
        <v>1098.6</v>
      </c>
      <c r="L38" s="18" t="n">
        <v>1147.2</v>
      </c>
      <c r="M38" s="18" t="n">
        <v>1067.3</v>
      </c>
      <c r="N38" s="18" t="n">
        <v>1101.1</v>
      </c>
      <c r="O38" s="18" t="n">
        <v>1056.4</v>
      </c>
      <c r="P38" s="18" t="n">
        <v>1074.4</v>
      </c>
      <c r="Q38" s="18" t="n">
        <v>1090.9</v>
      </c>
      <c r="R38" s="18" t="n">
        <v>1177.6</v>
      </c>
      <c r="S38" s="18" t="n">
        <v>2568.6</v>
      </c>
      <c r="T38" s="18" t="n">
        <v>1337.6</v>
      </c>
      <c r="U38" s="18" t="n">
        <v>1440.7</v>
      </c>
      <c r="V38" s="18" t="n">
        <v>1403.7</v>
      </c>
      <c r="W38" s="18" t="n">
        <v>1628.3</v>
      </c>
      <c r="X38" s="18" t="n">
        <v>2448</v>
      </c>
      <c r="Y38" s="18" t="n">
        <v>2388.7</v>
      </c>
      <c r="Z38" s="18" t="n">
        <v>2574.4</v>
      </c>
      <c r="AA38" s="18" t="n">
        <v>3498.1</v>
      </c>
      <c r="AB38" s="18" t="n">
        <v>3096.8</v>
      </c>
      <c r="AC38" s="18" t="n">
        <v>3646</v>
      </c>
    </row>
    <row r="39">
      <c r="A39" s="4" t="inlineStr">
        <is>
          <t xml:space="preserve">    % YoY</t>
        </is>
      </c>
      <c r="F39" s="27">
        <f>IFERROR(F38/B38-1,"")</f>
        <v/>
      </c>
      <c r="G39" s="27">
        <f>IFERROR(G38/C38-1,"")</f>
        <v/>
      </c>
      <c r="H39" s="27">
        <f>IFERROR(H38/D38-1,"")</f>
        <v/>
      </c>
      <c r="I39" s="27">
        <f>IFERROR(I38/E38-1,"")</f>
        <v/>
      </c>
      <c r="J39" s="27">
        <f>IFERROR(J38/F38-1,"")</f>
        <v/>
      </c>
      <c r="K39" s="27">
        <f>IFERROR(K38/G38-1,"")</f>
        <v/>
      </c>
      <c r="L39" s="27">
        <f>IFERROR(L38/H38-1,"")</f>
        <v/>
      </c>
      <c r="M39" s="27">
        <f>IFERROR(M38/I38-1,"")</f>
        <v/>
      </c>
      <c r="N39" s="27">
        <f>IFERROR(N38/J38-1,"")</f>
        <v/>
      </c>
      <c r="O39" s="27">
        <f>IFERROR(O38/K38-1,"")</f>
        <v/>
      </c>
      <c r="P39" s="27">
        <f>IFERROR(P38/L38-1,"")</f>
        <v/>
      </c>
      <c r="Q39" s="27">
        <f>IFERROR(Q38/M38-1,"")</f>
        <v/>
      </c>
      <c r="R39" s="27">
        <f>IFERROR(R38/N38-1,"")</f>
        <v/>
      </c>
      <c r="S39" s="27">
        <f>IFERROR(S38/O38-1,"")</f>
        <v/>
      </c>
      <c r="T39" s="27">
        <f>IFERROR(T38/P38-1,"")</f>
        <v/>
      </c>
      <c r="U39" s="27">
        <f>IFERROR(U38/Q38-1,"")</f>
        <v/>
      </c>
      <c r="V39" s="27">
        <f>IFERROR(V38/R38-1,"")</f>
        <v/>
      </c>
      <c r="W39" s="27">
        <f>IFERROR(W38/S38-1,"")</f>
        <v/>
      </c>
      <c r="X39" s="27">
        <f>IFERROR(X38/T38-1,"")</f>
        <v/>
      </c>
      <c r="Y39" s="27">
        <f>IFERROR(Y38/U38-1,"")</f>
        <v/>
      </c>
      <c r="Z39" s="27">
        <f>IFERROR(Z38/V38-1,"")</f>
        <v/>
      </c>
      <c r="AA39" s="27">
        <f>IFERROR(AA38/W38-1,"")</f>
        <v/>
      </c>
      <c r="AB39" s="27">
        <f>IFERROR(AB38/X38-1,"")</f>
        <v/>
      </c>
      <c r="AC39" s="27">
        <f>IFERROR(AC38/Y38-1,"")</f>
        <v/>
      </c>
    </row>
    <row r="40">
      <c r="A40" s="4" t="inlineStr">
        <is>
          <t xml:space="preserve">    % of revenue</t>
        </is>
      </c>
      <c r="B40" s="27">
        <f>IFERROR(B38/B3,"")</f>
        <v/>
      </c>
      <c r="C40" s="27">
        <f>IFERROR(C38/C3,"")</f>
        <v/>
      </c>
      <c r="D40" s="27">
        <f>IFERROR(D38/D3,"")</f>
        <v/>
      </c>
      <c r="E40" s="27">
        <f>IFERROR(E38/E3,"")</f>
        <v/>
      </c>
      <c r="F40" s="27">
        <f>IFERROR(F38/F3,"")</f>
        <v/>
      </c>
      <c r="G40" s="27">
        <f>IFERROR(G38/G3,"")</f>
        <v/>
      </c>
      <c r="H40" s="27">
        <f>IFERROR(H38/H3,"")</f>
        <v/>
      </c>
      <c r="I40" s="27">
        <f>IFERROR(I38/I3,"")</f>
        <v/>
      </c>
      <c r="J40" s="27">
        <f>IFERROR(J38/J3,"")</f>
        <v/>
      </c>
      <c r="K40" s="27">
        <f>IFERROR(K38/K3,"")</f>
        <v/>
      </c>
      <c r="L40" s="27">
        <f>IFERROR(L38/L3,"")</f>
        <v/>
      </c>
      <c r="M40" s="27">
        <f>IFERROR(M38/M3,"")</f>
        <v/>
      </c>
      <c r="N40" s="27">
        <f>IFERROR(N38/N3,"")</f>
        <v/>
      </c>
      <c r="O40" s="27">
        <f>IFERROR(O38/O3,"")</f>
        <v/>
      </c>
      <c r="P40" s="27">
        <f>IFERROR(P38/P3,"")</f>
        <v/>
      </c>
      <c r="Q40" s="27">
        <f>IFERROR(Q38/Q3,"")</f>
        <v/>
      </c>
      <c r="R40" s="27">
        <f>IFERROR(R38/R3,"")</f>
        <v/>
      </c>
      <c r="S40" s="27">
        <f>IFERROR(S38/S3,"")</f>
        <v/>
      </c>
      <c r="T40" s="27">
        <f>IFERROR(T38/T3,"")</f>
        <v/>
      </c>
      <c r="U40" s="27">
        <f>IFERROR(U38/U3,"")</f>
        <v/>
      </c>
      <c r="V40" s="27">
        <f>IFERROR(V38/V3,"")</f>
        <v/>
      </c>
      <c r="W40" s="27">
        <f>IFERROR(W38/W3,"")</f>
        <v/>
      </c>
      <c r="X40" s="27">
        <f>IFERROR(X38/X3,"")</f>
        <v/>
      </c>
      <c r="Y40" s="27">
        <f>IFERROR(Y38/Y3,"")</f>
        <v/>
      </c>
      <c r="Z40" s="27">
        <f>IFERROR(Z38/Z3,"")</f>
        <v/>
      </c>
      <c r="AA40" s="27">
        <f>IFERROR(AA38/AA3,"")</f>
        <v/>
      </c>
      <c r="AB40" s="27">
        <f>IFERROR(AB38/AB3,"")</f>
        <v/>
      </c>
      <c r="AC40" s="27">
        <f>IFERROR(AC38/AC3,"")</f>
        <v/>
      </c>
    </row>
    <row r="41">
      <c r="A41" s="4" t="inlineStr">
        <is>
          <t>CHINA</t>
        </is>
      </c>
      <c r="E41" s="18" t="n">
        <v>267.3</v>
      </c>
      <c r="F41" s="18" t="n">
        <v>239.8</v>
      </c>
      <c r="G41" s="18" t="n">
        <v>289.1</v>
      </c>
      <c r="H41" s="18" t="n">
        <v>320.7</v>
      </c>
      <c r="I41" s="18" t="n">
        <v>362.2</v>
      </c>
      <c r="J41" s="18" t="n">
        <v>522.5</v>
      </c>
      <c r="K41" s="18" t="n">
        <v>400.3</v>
      </c>
      <c r="L41" s="18" t="n">
        <v>376.4</v>
      </c>
      <c r="M41" s="18" t="n">
        <v>406.5</v>
      </c>
      <c r="N41" s="18" t="n">
        <v>352.1</v>
      </c>
      <c r="O41" s="18" t="n">
        <v>343.4</v>
      </c>
      <c r="P41" s="18" t="n">
        <v>350.8</v>
      </c>
      <c r="Q41" s="18" t="n">
        <v>372.7</v>
      </c>
      <c r="R41" s="18" t="n">
        <v>399</v>
      </c>
      <c r="S41" s="18" t="n">
        <v>390.8</v>
      </c>
      <c r="T41" s="18" t="n">
        <v>377.2</v>
      </c>
      <c r="U41" s="18" t="n">
        <v>376.2</v>
      </c>
      <c r="V41" s="18" t="n">
        <v>395.1</v>
      </c>
      <c r="W41" s="18" t="n">
        <v>459.9</v>
      </c>
      <c r="X41" s="18" t="n">
        <v>429.2</v>
      </c>
      <c r="Y41" s="18" t="n">
        <v>450.8</v>
      </c>
      <c r="Z41" s="18" t="n">
        <v>465.9</v>
      </c>
      <c r="AA41" s="18" t="n">
        <v>560.4</v>
      </c>
      <c r="AB41" s="18" t="n">
        <v>473.9</v>
      </c>
      <c r="AC41" s="18" t="n">
        <v>693</v>
      </c>
    </row>
    <row r="42">
      <c r="A42" s="4" t="inlineStr">
        <is>
          <t xml:space="preserve">    % YoY</t>
        </is>
      </c>
      <c r="F42" s="27">
        <f>IFERROR(F41/B41-1,"")</f>
        <v/>
      </c>
      <c r="G42" s="27">
        <f>IFERROR(G41/C41-1,"")</f>
        <v/>
      </c>
      <c r="H42" s="27">
        <f>IFERROR(H41/D41-1,"")</f>
        <v/>
      </c>
      <c r="I42" s="27">
        <f>IFERROR(I41/E41-1,"")</f>
        <v/>
      </c>
      <c r="J42" s="27">
        <f>IFERROR(J41/F41-1,"")</f>
        <v/>
      </c>
      <c r="K42" s="27">
        <f>IFERROR(K41/G41-1,"")</f>
        <v/>
      </c>
      <c r="L42" s="27">
        <f>IFERROR(L41/H41-1,"")</f>
        <v/>
      </c>
      <c r="M42" s="27">
        <f>IFERROR(M41/I41-1,"")</f>
        <v/>
      </c>
      <c r="N42" s="27">
        <f>IFERROR(N41/J41-1,"")</f>
        <v/>
      </c>
      <c r="O42" s="27">
        <f>IFERROR(O41/K41-1,"")</f>
        <v/>
      </c>
      <c r="P42" s="27">
        <f>IFERROR(P41/L41-1,"")</f>
        <v/>
      </c>
      <c r="Q42" s="27">
        <f>IFERROR(Q41/M41-1,"")</f>
        <v/>
      </c>
      <c r="R42" s="27">
        <f>IFERROR(R41/N41-1,"")</f>
        <v/>
      </c>
      <c r="S42" s="27">
        <f>IFERROR(S41/O41-1,"")</f>
        <v/>
      </c>
      <c r="T42" s="27">
        <f>IFERROR(T41/P41-1,"")</f>
        <v/>
      </c>
      <c r="U42" s="27">
        <f>IFERROR(U41/Q41-1,"")</f>
        <v/>
      </c>
      <c r="V42" s="27">
        <f>IFERROR(V41/R41-1,"")</f>
        <v/>
      </c>
      <c r="W42" s="27">
        <f>IFERROR(W41/S41-1,"")</f>
        <v/>
      </c>
      <c r="X42" s="27">
        <f>IFERROR(X41/T41-1,"")</f>
        <v/>
      </c>
      <c r="Y42" s="27">
        <f>IFERROR(Y41/U41-1,"")</f>
        <v/>
      </c>
      <c r="Z42" s="27">
        <f>IFERROR(Z41/V41-1,"")</f>
        <v/>
      </c>
      <c r="AA42" s="27">
        <f>IFERROR(AA41/W41-1,"")</f>
        <v/>
      </c>
      <c r="AB42" s="27">
        <f>IFERROR(AB41/X41-1,"")</f>
        <v/>
      </c>
      <c r="AC42" s="27">
        <f>IFERROR(AC41/Y41-1,"")</f>
        <v/>
      </c>
    </row>
    <row r="43">
      <c r="A43" s="4" t="inlineStr">
        <is>
          <t xml:space="preserve">    % of revenue</t>
        </is>
      </c>
      <c r="B43" s="27">
        <f>IFERROR(B41/B3,"")</f>
        <v/>
      </c>
      <c r="C43" s="27">
        <f>IFERROR(C41/C3,"")</f>
        <v/>
      </c>
      <c r="D43" s="27">
        <f>IFERROR(D41/D3,"")</f>
        <v/>
      </c>
      <c r="E43" s="27">
        <f>IFERROR(E41/E3,"")</f>
        <v/>
      </c>
      <c r="F43" s="27">
        <f>IFERROR(F41/F3,"")</f>
        <v/>
      </c>
      <c r="G43" s="27">
        <f>IFERROR(G41/G3,"")</f>
        <v/>
      </c>
      <c r="H43" s="27">
        <f>IFERROR(H41/H3,"")</f>
        <v/>
      </c>
      <c r="I43" s="27">
        <f>IFERROR(I41/I3,"")</f>
        <v/>
      </c>
      <c r="J43" s="27">
        <f>IFERROR(J41/J3,"")</f>
        <v/>
      </c>
      <c r="K43" s="27">
        <f>IFERROR(K41/K3,"")</f>
        <v/>
      </c>
      <c r="L43" s="27">
        <f>IFERROR(L41/L3,"")</f>
        <v/>
      </c>
      <c r="M43" s="27">
        <f>IFERROR(M41/M3,"")</f>
        <v/>
      </c>
      <c r="N43" s="27">
        <f>IFERROR(N41/N3,"")</f>
        <v/>
      </c>
      <c r="O43" s="27">
        <f>IFERROR(O41/O3,"")</f>
        <v/>
      </c>
      <c r="P43" s="27">
        <f>IFERROR(P41/P3,"")</f>
        <v/>
      </c>
      <c r="Q43" s="27">
        <f>IFERROR(Q41/Q3,"")</f>
        <v/>
      </c>
      <c r="R43" s="27">
        <f>IFERROR(R41/R3,"")</f>
        <v/>
      </c>
      <c r="S43" s="27">
        <f>IFERROR(S41/S3,"")</f>
        <v/>
      </c>
      <c r="T43" s="27">
        <f>IFERROR(T41/T3,"")</f>
        <v/>
      </c>
      <c r="U43" s="27">
        <f>IFERROR(U41/U3,"")</f>
        <v/>
      </c>
      <c r="V43" s="27">
        <f>IFERROR(V41/V3,"")</f>
        <v/>
      </c>
      <c r="W43" s="27">
        <f>IFERROR(W41/W3,"")</f>
        <v/>
      </c>
      <c r="X43" s="27">
        <f>IFERROR(X41/X3,"")</f>
        <v/>
      </c>
      <c r="Y43" s="27">
        <f>IFERROR(Y41/Y3,"")</f>
        <v/>
      </c>
      <c r="Z43" s="27">
        <f>IFERROR(Z41/Z3,"")</f>
        <v/>
      </c>
      <c r="AA43" s="27">
        <f>IFERROR(AA41/AA3,"")</f>
        <v/>
      </c>
      <c r="AB43" s="27">
        <f>IFERROR(AB41/AB3,"")</f>
        <v/>
      </c>
      <c r="AC43" s="27">
        <f>IFERROR(AC41/AC3,"")</f>
        <v/>
      </c>
    </row>
    <row r="44">
      <c r="A44" s="4" t="inlineStr">
        <is>
          <t>JAPAN</t>
        </is>
      </c>
      <c r="B44" s="18" t="n">
        <v>653.2</v>
      </c>
      <c r="C44" s="18" t="n">
        <v>641.5</v>
      </c>
      <c r="D44" s="18" t="n">
        <v>709.2</v>
      </c>
      <c r="E44" s="18" t="n">
        <v>592.3</v>
      </c>
      <c r="F44" s="18" t="n">
        <v>666.7</v>
      </c>
      <c r="G44" s="18" t="n">
        <v>660.1</v>
      </c>
      <c r="H44" s="18" t="n">
        <v>664</v>
      </c>
      <c r="I44" s="18" t="n">
        <v>571.8</v>
      </c>
      <c r="J44" s="18" t="n">
        <v>665.4</v>
      </c>
      <c r="K44" s="18" t="n">
        <v>595</v>
      </c>
      <c r="L44" s="18" t="n">
        <v>534.8</v>
      </c>
      <c r="M44" s="18" t="n">
        <v>410.2</v>
      </c>
      <c r="N44" s="18" t="n">
        <v>454.4</v>
      </c>
      <c r="O44" s="18" t="n">
        <v>487.7</v>
      </c>
      <c r="P44" s="18" t="n">
        <v>395</v>
      </c>
      <c r="Q44" s="18" t="n">
        <v>387.2</v>
      </c>
      <c r="R44" s="18" t="n">
        <v>455.6</v>
      </c>
      <c r="S44" s="18" t="n">
        <v>390.8</v>
      </c>
      <c r="T44" s="18" t="n">
        <v>439</v>
      </c>
      <c r="U44" s="18" t="n">
        <v>363.9</v>
      </c>
      <c r="V44" s="18" t="n">
        <v>462.7</v>
      </c>
      <c r="W44" s="18" t="n">
        <v>429.1</v>
      </c>
      <c r="X44" s="18" t="n">
        <v>559.2</v>
      </c>
      <c r="Y44" s="18" t="n">
        <v>402.2</v>
      </c>
      <c r="Z44" s="18" t="n">
        <v>521</v>
      </c>
      <c r="AA44" s="18" t="n">
        <v>554.7</v>
      </c>
      <c r="AB44" s="18" t="n">
        <v>654.1</v>
      </c>
      <c r="AC44" s="18" t="n">
        <v>571</v>
      </c>
    </row>
    <row r="45">
      <c r="A45" s="4" t="inlineStr">
        <is>
          <t xml:space="preserve">    % YoY</t>
        </is>
      </c>
      <c r="F45" s="27">
        <f>IFERROR(F44/B44-1,"")</f>
        <v/>
      </c>
      <c r="G45" s="27">
        <f>IFERROR(G44/C44-1,"")</f>
        <v/>
      </c>
      <c r="H45" s="27">
        <f>IFERROR(H44/D44-1,"")</f>
        <v/>
      </c>
      <c r="I45" s="27">
        <f>IFERROR(I44/E44-1,"")</f>
        <v/>
      </c>
      <c r="J45" s="27">
        <f>IFERROR(J44/F44-1,"")</f>
        <v/>
      </c>
      <c r="K45" s="27">
        <f>IFERROR(K44/G44-1,"")</f>
        <v/>
      </c>
      <c r="L45" s="27">
        <f>IFERROR(L44/H44-1,"")</f>
        <v/>
      </c>
      <c r="M45" s="27">
        <f>IFERROR(M44/I44-1,"")</f>
        <v/>
      </c>
      <c r="N45" s="27">
        <f>IFERROR(N44/J44-1,"")</f>
        <v/>
      </c>
      <c r="O45" s="27">
        <f>IFERROR(O44/K44-1,"")</f>
        <v/>
      </c>
      <c r="P45" s="27">
        <f>IFERROR(P44/L44-1,"")</f>
        <v/>
      </c>
      <c r="Q45" s="27">
        <f>IFERROR(Q44/M44-1,"")</f>
        <v/>
      </c>
      <c r="R45" s="27">
        <f>IFERROR(R44/N44-1,"")</f>
        <v/>
      </c>
      <c r="S45" s="27">
        <f>IFERROR(S44/O44-1,"")</f>
        <v/>
      </c>
      <c r="T45" s="27">
        <f>IFERROR(T44/P44-1,"")</f>
        <v/>
      </c>
      <c r="U45" s="27">
        <f>IFERROR(U44/Q44-1,"")</f>
        <v/>
      </c>
      <c r="V45" s="27">
        <f>IFERROR(V44/R44-1,"")</f>
        <v/>
      </c>
      <c r="W45" s="27">
        <f>IFERROR(W44/S44-1,"")</f>
        <v/>
      </c>
      <c r="X45" s="27">
        <f>IFERROR(X44/T44-1,"")</f>
        <v/>
      </c>
      <c r="Y45" s="27">
        <f>IFERROR(Y44/U44-1,"")</f>
        <v/>
      </c>
      <c r="Z45" s="27">
        <f>IFERROR(Z44/V44-1,"")</f>
        <v/>
      </c>
      <c r="AA45" s="27">
        <f>IFERROR(AA44/W44-1,"")</f>
        <v/>
      </c>
      <c r="AB45" s="27">
        <f>IFERROR(AB44/X44-1,"")</f>
        <v/>
      </c>
      <c r="AC45" s="27">
        <f>IFERROR(AC44/Y44-1,"")</f>
        <v/>
      </c>
    </row>
    <row r="46">
      <c r="A46" s="4" t="inlineStr">
        <is>
          <t xml:space="preserve">    % of revenue</t>
        </is>
      </c>
      <c r="B46" s="27">
        <f>IFERROR(B44/B3,"")</f>
        <v/>
      </c>
      <c r="C46" s="27">
        <f>IFERROR(C44/C3,"")</f>
        <v/>
      </c>
      <c r="D46" s="27">
        <f>IFERROR(D44/D3,"")</f>
        <v/>
      </c>
      <c r="E46" s="27">
        <f>IFERROR(E44/E3,"")</f>
        <v/>
      </c>
      <c r="F46" s="27">
        <f>IFERROR(F44/F3,"")</f>
        <v/>
      </c>
      <c r="G46" s="27">
        <f>IFERROR(G44/G3,"")</f>
        <v/>
      </c>
      <c r="H46" s="27">
        <f>IFERROR(H44/H3,"")</f>
        <v/>
      </c>
      <c r="I46" s="27">
        <f>IFERROR(I44/I3,"")</f>
        <v/>
      </c>
      <c r="J46" s="27">
        <f>IFERROR(J44/J3,"")</f>
        <v/>
      </c>
      <c r="K46" s="27">
        <f>IFERROR(K44/K3,"")</f>
        <v/>
      </c>
      <c r="L46" s="27">
        <f>IFERROR(L44/L3,"")</f>
        <v/>
      </c>
      <c r="M46" s="27">
        <f>IFERROR(M44/M3,"")</f>
        <v/>
      </c>
      <c r="N46" s="27">
        <f>IFERROR(N44/N3,"")</f>
        <v/>
      </c>
      <c r="O46" s="27">
        <f>IFERROR(O44/O3,"")</f>
        <v/>
      </c>
      <c r="P46" s="27">
        <f>IFERROR(P44/P3,"")</f>
        <v/>
      </c>
      <c r="Q46" s="27">
        <f>IFERROR(Q44/Q3,"")</f>
        <v/>
      </c>
      <c r="R46" s="27">
        <f>IFERROR(R44/R3,"")</f>
        <v/>
      </c>
      <c r="S46" s="27">
        <f>IFERROR(S44/S3,"")</f>
        <v/>
      </c>
      <c r="T46" s="27">
        <f>IFERROR(T44/T3,"")</f>
        <v/>
      </c>
      <c r="U46" s="27">
        <f>IFERROR(U44/U3,"")</f>
        <v/>
      </c>
      <c r="V46" s="27">
        <f>IFERROR(V44/V3,"")</f>
        <v/>
      </c>
      <c r="W46" s="27">
        <f>IFERROR(W44/W3,"")</f>
        <v/>
      </c>
      <c r="X46" s="27">
        <f>IFERROR(X44/X3,"")</f>
        <v/>
      </c>
      <c r="Y46" s="27">
        <f>IFERROR(Y44/Y3,"")</f>
        <v/>
      </c>
      <c r="Z46" s="27">
        <f>IFERROR(Z44/Z3,"")</f>
        <v/>
      </c>
      <c r="AA46" s="27">
        <f>IFERROR(AA44/AA3,"")</f>
        <v/>
      </c>
      <c r="AB46" s="27">
        <f>IFERROR(AB44/AB3,"")</f>
        <v/>
      </c>
      <c r="AC46" s="27">
        <f>IFERROR(AC44/AC3,"")</f>
        <v/>
      </c>
    </row>
    <row r="47">
      <c r="A47" s="5" t="inlineStr">
        <is>
          <t xml:space="preserve">  BALANCE SHEET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</row>
    <row r="48">
      <c r="A48" s="4" t="inlineStr">
        <is>
          <t>Cash &amp; ST Investments</t>
        </is>
      </c>
      <c r="B48" s="18" t="n">
        <v>2367.9</v>
      </c>
      <c r="C48" s="18" t="n">
        <v>1653</v>
      </c>
      <c r="D48" s="18" t="n">
        <v>2438.5</v>
      </c>
      <c r="E48" s="18" t="n">
        <v>1777.4</v>
      </c>
      <c r="F48" s="18" t="n">
        <v>2387.9</v>
      </c>
      <c r="G48" s="18" t="n">
        <v>3630.3</v>
      </c>
      <c r="H48" s="18" t="n">
        <v>3681.3</v>
      </c>
      <c r="I48" s="18" t="n">
        <v>3051.4</v>
      </c>
      <c r="J48" s="18" t="n">
        <v>3271.2</v>
      </c>
      <c r="K48" s="18" t="n">
        <v>3825.3</v>
      </c>
      <c r="L48" s="18" t="n">
        <v>3908.6</v>
      </c>
      <c r="M48" s="18" t="n">
        <v>2568.3</v>
      </c>
      <c r="N48" s="18" t="n">
        <v>2736.7</v>
      </c>
      <c r="O48" s="18" t="n">
        <v>2742.1</v>
      </c>
      <c r="P48" s="18" t="n">
        <v>2211.8</v>
      </c>
      <c r="Q48" s="18" t="n">
        <v>3669.3</v>
      </c>
      <c r="R48" s="18" t="n">
        <v>2829.1</v>
      </c>
      <c r="S48" s="18" t="n">
        <v>2493.9</v>
      </c>
      <c r="T48" s="18" t="n">
        <v>2927.7</v>
      </c>
      <c r="U48" s="18" t="n">
        <v>2586.3</v>
      </c>
      <c r="V48" s="18" t="n">
        <v>3364</v>
      </c>
      <c r="W48" s="18" t="n">
        <v>3518.4</v>
      </c>
      <c r="X48" s="18" t="n">
        <v>3423.2</v>
      </c>
      <c r="Y48" s="18" t="n">
        <v>3220.7</v>
      </c>
      <c r="Z48" s="18" t="n">
        <v>3546</v>
      </c>
      <c r="AA48" s="18" t="n">
        <v>9913.5</v>
      </c>
      <c r="AB48" s="18" t="n">
        <v>7268</v>
      </c>
      <c r="AC48" s="18" t="n">
        <v>5282</v>
      </c>
    </row>
    <row r="49">
      <c r="A49" s="4" t="inlineStr">
        <is>
          <t>Total Current Assets</t>
        </is>
      </c>
      <c r="B49" s="18" t="n">
        <v>13454.5</v>
      </c>
      <c r="C49" s="18" t="n">
        <v>12661.8</v>
      </c>
      <c r="D49" s="18" t="n">
        <v>13709.6</v>
      </c>
      <c r="E49" s="18" t="n">
        <v>13994.2</v>
      </c>
      <c r="F49" s="18" t="n">
        <v>14581.9</v>
      </c>
      <c r="G49" s="18" t="n">
        <v>16239.9</v>
      </c>
      <c r="H49" s="18" t="n">
        <v>17462.1</v>
      </c>
      <c r="I49" s="18" t="n">
        <v>16604.5</v>
      </c>
      <c r="J49" s="18" t="n">
        <v>17295.5</v>
      </c>
      <c r="K49" s="18" t="n">
        <v>17808.3</v>
      </c>
      <c r="L49" s="18" t="n">
        <v>18452.4</v>
      </c>
      <c r="M49" s="18" t="n">
        <v>16964.7</v>
      </c>
      <c r="N49" s="18" t="n">
        <v>17115.2</v>
      </c>
      <c r="O49" s="18" t="n">
        <v>17639.9</v>
      </c>
      <c r="P49" s="18" t="n">
        <v>18034.5</v>
      </c>
      <c r="Q49" s="18" t="n">
        <v>20811.4</v>
      </c>
      <c r="R49" s="18" t="n">
        <v>21331.6</v>
      </c>
      <c r="S49" s="18" t="n">
        <v>23007</v>
      </c>
      <c r="T49" s="18" t="n">
        <v>25727</v>
      </c>
      <c r="U49" s="18" t="n">
        <v>25188.8</v>
      </c>
      <c r="V49" s="18" t="n">
        <v>30204.3</v>
      </c>
      <c r="W49" s="18" t="n">
        <v>31415.1</v>
      </c>
      <c r="X49" s="18" t="n">
        <v>32739.7</v>
      </c>
      <c r="Y49" s="18" t="n">
        <v>41261.2</v>
      </c>
      <c r="Z49" s="18" t="n">
        <v>49854</v>
      </c>
      <c r="AA49" s="18" t="n">
        <v>62071.3</v>
      </c>
      <c r="AB49" s="18" t="n">
        <v>55629</v>
      </c>
      <c r="AC49" s="18" t="n">
        <v>54835</v>
      </c>
    </row>
    <row r="50">
      <c r="A50" s="4" t="inlineStr">
        <is>
          <t>PP&amp;E (net)</t>
        </is>
      </c>
      <c r="B50" s="18" t="n">
        <v>8393</v>
      </c>
      <c r="C50" s="18" t="n">
        <v>8337.200000000001</v>
      </c>
      <c r="D50" s="18" t="n">
        <v>8405</v>
      </c>
      <c r="E50" s="18" t="n">
        <v>7897.9</v>
      </c>
      <c r="F50" s="18" t="n">
        <v>7981.1</v>
      </c>
      <c r="G50" s="18" t="n">
        <v>8281.1</v>
      </c>
      <c r="H50" s="18" t="n">
        <v>8681.9</v>
      </c>
      <c r="I50" s="18" t="n">
        <v>8630.1</v>
      </c>
      <c r="J50" s="18" t="n">
        <v>8855.5</v>
      </c>
      <c r="K50" s="18" t="n">
        <v>8920.4</v>
      </c>
      <c r="L50" s="18" t="n">
        <v>8985.1</v>
      </c>
      <c r="M50" s="18" t="n">
        <v>9102.700000000001</v>
      </c>
      <c r="N50" s="18" t="n">
        <v>9128.200000000001</v>
      </c>
      <c r="O50" s="18" t="n">
        <v>9311.299999999999</v>
      </c>
      <c r="P50" s="18" t="n">
        <v>10144</v>
      </c>
      <c r="Q50" s="18" t="n">
        <v>10546.2</v>
      </c>
      <c r="R50" s="18" t="n">
        <v>11277.4</v>
      </c>
      <c r="S50" s="18" t="n">
        <v>11863.2</v>
      </c>
      <c r="T50" s="18" t="n">
        <v>12913.6</v>
      </c>
      <c r="U50" s="18" t="n">
        <v>13624</v>
      </c>
      <c r="V50" s="18" t="n">
        <v>14829.4</v>
      </c>
      <c r="W50" s="18" t="n">
        <v>16171.8</v>
      </c>
      <c r="X50" s="18" t="n">
        <v>17102.4</v>
      </c>
      <c r="Y50" s="18" t="n">
        <v>18474.1</v>
      </c>
      <c r="Z50" s="18" t="n">
        <v>20529.7</v>
      </c>
      <c r="AA50" s="18" t="n">
        <v>22316</v>
      </c>
      <c r="AB50" s="18" t="n">
        <v>24674</v>
      </c>
      <c r="AC50" s="18" t="n">
        <v>26540</v>
      </c>
    </row>
    <row r="51">
      <c r="A51" s="4" t="inlineStr">
        <is>
          <t>Total Assets</t>
        </is>
      </c>
      <c r="B51" s="18" t="n">
        <v>38666.4</v>
      </c>
      <c r="C51" s="18" t="n">
        <v>37893.1</v>
      </c>
      <c r="D51" s="18" t="n">
        <v>39286.1</v>
      </c>
      <c r="E51" s="18" t="n">
        <v>41102.8</v>
      </c>
      <c r="F51" s="18" t="n">
        <v>41967</v>
      </c>
      <c r="G51" s="18" t="n">
        <v>43946</v>
      </c>
      <c r="H51" s="18" t="n">
        <v>46633.1</v>
      </c>
      <c r="I51" s="18" t="n">
        <v>46838.3</v>
      </c>
      <c r="J51" s="18" t="n">
        <v>47809</v>
      </c>
      <c r="K51" s="18" t="n">
        <v>48187</v>
      </c>
      <c r="L51" s="18" t="n">
        <v>48806</v>
      </c>
      <c r="M51" s="18" t="n">
        <v>46919.3</v>
      </c>
      <c r="N51" s="18" t="n">
        <v>47063.6</v>
      </c>
      <c r="O51" s="18" t="n">
        <v>47461.5</v>
      </c>
      <c r="P51" s="18" t="n">
        <v>49489.8</v>
      </c>
      <c r="Q51" s="18" t="n">
        <v>53163</v>
      </c>
      <c r="R51" s="18" t="n">
        <v>54814</v>
      </c>
      <c r="S51" s="18" t="n">
        <v>57915.5</v>
      </c>
      <c r="T51" s="18" t="n">
        <v>64006.3</v>
      </c>
      <c r="U51" s="18" t="n">
        <v>63943.5</v>
      </c>
      <c r="V51" s="18" t="n">
        <v>71874.8</v>
      </c>
      <c r="W51" s="18" t="n">
        <v>75606.89999999999</v>
      </c>
      <c r="X51" s="18" t="n">
        <v>78714.89999999999</v>
      </c>
      <c r="Y51" s="18" t="n">
        <v>89388.8</v>
      </c>
      <c r="Z51" s="18" t="n">
        <v>100922.6</v>
      </c>
      <c r="AA51" s="18" t="n">
        <v>114935.4</v>
      </c>
      <c r="AB51" s="18" t="n">
        <v>112476</v>
      </c>
      <c r="AC51" s="18" t="n">
        <v>116576</v>
      </c>
    </row>
    <row r="52">
      <c r="A52" s="4" t="inlineStr">
        <is>
          <t>Total Current Liabilities</t>
        </is>
      </c>
      <c r="B52" s="18" t="n">
        <v>11855.4</v>
      </c>
      <c r="C52" s="18" t="n">
        <v>10828.6</v>
      </c>
      <c r="D52" s="18" t="n">
        <v>11775.2</v>
      </c>
      <c r="E52" s="18" t="n">
        <v>12610.2</v>
      </c>
      <c r="F52" s="18" t="n">
        <v>11988.5</v>
      </c>
      <c r="G52" s="18" t="n">
        <v>11976.9</v>
      </c>
      <c r="H52" s="18" t="n">
        <v>12481.6</v>
      </c>
      <c r="I52" s="18" t="n">
        <v>11714.2</v>
      </c>
      <c r="J52" s="18" t="n">
        <v>15093.2</v>
      </c>
      <c r="K52" s="18" t="n">
        <v>13682</v>
      </c>
      <c r="L52" s="18" t="n">
        <v>15052.7</v>
      </c>
      <c r="M52" s="18" t="n">
        <v>13386</v>
      </c>
      <c r="N52" s="18" t="n">
        <v>15620.6</v>
      </c>
      <c r="O52" s="18" t="n">
        <v>15652.8</v>
      </c>
      <c r="P52" s="18" t="n">
        <v>17138.2</v>
      </c>
      <c r="Q52" s="18" t="n">
        <v>16010</v>
      </c>
      <c r="R52" s="18" t="n">
        <v>18915</v>
      </c>
      <c r="S52" s="18" t="n">
        <v>21998.2</v>
      </c>
      <c r="T52" s="18" t="n">
        <v>27293.2</v>
      </c>
      <c r="U52" s="18" t="n">
        <v>18598.1</v>
      </c>
      <c r="V52" s="18" t="n">
        <v>27121.2</v>
      </c>
      <c r="W52" s="18" t="n">
        <v>24674.1</v>
      </c>
      <c r="X52" s="18" t="n">
        <v>28376.6</v>
      </c>
      <c r="Y52" s="18" t="n">
        <v>30068.1</v>
      </c>
      <c r="Z52" s="18" t="n">
        <v>39019.9</v>
      </c>
      <c r="AA52" s="18" t="n">
        <v>40140.9</v>
      </c>
      <c r="AB52" s="18" t="n">
        <v>35228</v>
      </c>
      <c r="AC52" s="18" t="n">
        <v>36634</v>
      </c>
    </row>
    <row r="53">
      <c r="A53" s="4" t="inlineStr">
        <is>
          <t>Long-term Debt</t>
        </is>
      </c>
      <c r="B53" s="18" t="n">
        <v>13717.6</v>
      </c>
      <c r="C53" s="18" t="n">
        <v>13662.2</v>
      </c>
      <c r="D53" s="18" t="n">
        <v>13817.9</v>
      </c>
      <c r="E53" s="18" t="n">
        <v>13982.3</v>
      </c>
      <c r="F53" s="18" t="n">
        <v>15064.4</v>
      </c>
      <c r="G53" s="18" t="n">
        <v>16334.6</v>
      </c>
      <c r="H53" s="18" t="n">
        <v>16586.6</v>
      </c>
      <c r="I53" s="18" t="n">
        <v>16199.6</v>
      </c>
      <c r="J53" s="18" t="n">
        <v>14736.6</v>
      </c>
      <c r="K53" s="18" t="n">
        <v>15522.4</v>
      </c>
      <c r="L53" s="18" t="n">
        <v>15346.4</v>
      </c>
      <c r="M53" s="18" t="n">
        <v>15152.9</v>
      </c>
      <c r="N53" s="18" t="n">
        <v>14692</v>
      </c>
      <c r="O53" s="18" t="n">
        <v>14143.8</v>
      </c>
      <c r="P53" s="18" t="n">
        <v>14737.5</v>
      </c>
      <c r="Q53" s="18" t="n">
        <v>18880.5</v>
      </c>
      <c r="R53" s="18" t="n">
        <v>18158.4</v>
      </c>
      <c r="S53" s="18" t="n">
        <v>17923.6</v>
      </c>
      <c r="T53" s="18" t="n">
        <v>18320.8</v>
      </c>
      <c r="U53" s="18" t="n">
        <v>24559.9</v>
      </c>
      <c r="V53" s="18" t="n">
        <v>23730.4</v>
      </c>
      <c r="W53" s="18" t="n">
        <v>29045.4</v>
      </c>
      <c r="X53" s="18" t="n">
        <v>28527.1</v>
      </c>
      <c r="Y53" s="18" t="n">
        <v>34499.5</v>
      </c>
      <c r="Z53" s="18" t="n">
        <v>34180.1</v>
      </c>
      <c r="AA53" s="18" t="n">
        <v>40873.6</v>
      </c>
      <c r="AB53" s="18" t="n">
        <v>40868</v>
      </c>
      <c r="AC53" s="18" t="n">
        <v>39370</v>
      </c>
    </row>
    <row r="54">
      <c r="A54" s="4" t="inlineStr">
        <is>
          <t>Total Equity</t>
        </is>
      </c>
      <c r="B54" s="18" t="n">
        <v>2780.5</v>
      </c>
      <c r="C54" s="18" t="n">
        <v>3382.5</v>
      </c>
      <c r="D54" s="18" t="n">
        <v>2606.9</v>
      </c>
      <c r="E54" s="18" t="n">
        <v>3078.8</v>
      </c>
      <c r="F54" s="18" t="n">
        <v>4092.9</v>
      </c>
      <c r="G54" s="18" t="n">
        <v>4826.9</v>
      </c>
      <c r="H54" s="18" t="n">
        <v>5641.6</v>
      </c>
      <c r="I54" s="18" t="n">
        <v>6898.7</v>
      </c>
      <c r="J54" s="18" t="n">
        <v>6444.4</v>
      </c>
      <c r="K54" s="18" t="n">
        <v>7757</v>
      </c>
      <c r="L54" s="18" t="n">
        <v>8979.200000000001</v>
      </c>
      <c r="M54" s="18" t="n">
        <v>9330.799999999999</v>
      </c>
      <c r="N54" s="18" t="n">
        <v>8544.700000000001</v>
      </c>
      <c r="O54" s="18" t="n">
        <v>10070.1</v>
      </c>
      <c r="P54" s="18" t="n">
        <v>10649.8</v>
      </c>
      <c r="Q54" s="18" t="n">
        <v>11190.4</v>
      </c>
      <c r="R54" s="18" t="n">
        <v>11063.8</v>
      </c>
      <c r="S54" s="18" t="n">
        <v>11220.4</v>
      </c>
      <c r="T54" s="18" t="n">
        <v>10771.9</v>
      </c>
      <c r="U54" s="18" t="n">
        <v>12812.2</v>
      </c>
      <c r="V54" s="18" t="n">
        <v>13562</v>
      </c>
      <c r="W54" s="18" t="n">
        <v>14240</v>
      </c>
      <c r="X54" s="18" t="n">
        <v>14192.1</v>
      </c>
      <c r="Y54" s="18" t="n">
        <v>15764.8</v>
      </c>
      <c r="Z54" s="18" t="n">
        <v>18272.9</v>
      </c>
      <c r="AA54" s="18" t="n">
        <v>23793.3</v>
      </c>
      <c r="AB54" s="18" t="n">
        <v>26535</v>
      </c>
      <c r="AC54" s="18" t="n">
        <v>31198</v>
      </c>
    </row>
    <row r="55">
      <c r="A55" s="5" t="inlineStr">
        <is>
          <t xml:space="preserve">  CASH FLOW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</row>
    <row r="56">
      <c r="A56" s="4" t="inlineStr">
        <is>
          <t>D&amp;A</t>
        </is>
      </c>
      <c r="B56" s="18" t="n">
        <v>247.4</v>
      </c>
      <c r="C56" s="18" t="n">
        <v>288</v>
      </c>
      <c r="D56" s="18" t="n">
        <v>340.7</v>
      </c>
      <c r="E56" s="18" t="n">
        <v>273.6</v>
      </c>
      <c r="F56" s="18" t="n">
        <v>324.4</v>
      </c>
      <c r="G56" s="18" t="n">
        <v>358.4</v>
      </c>
      <c r="H56" s="18" t="n">
        <v>367.5</v>
      </c>
      <c r="I56" s="18" t="n">
        <v>350.3</v>
      </c>
      <c r="J56" s="18" t="n">
        <v>369.3</v>
      </c>
      <c r="K56" s="18" t="n">
        <v>382.3</v>
      </c>
      <c r="L56" s="18" t="n">
        <v>445.7</v>
      </c>
      <c r="M56" s="18" t="n">
        <v>435.7</v>
      </c>
      <c r="N56" s="18" t="n">
        <v>348.9</v>
      </c>
      <c r="O56" s="18" t="n">
        <v>362.9</v>
      </c>
      <c r="P56" s="18" t="n">
        <v>375</v>
      </c>
      <c r="Q56" s="18" t="n">
        <v>362.3</v>
      </c>
      <c r="R56" s="18" t="n">
        <v>366.3</v>
      </c>
      <c r="S56" s="18" t="n">
        <v>411</v>
      </c>
      <c r="T56" s="18" t="n">
        <v>387.7</v>
      </c>
      <c r="U56" s="18" t="n">
        <v>400.6</v>
      </c>
      <c r="V56" s="18" t="n">
        <v>414.4</v>
      </c>
      <c r="W56" s="18" t="n">
        <v>466.8</v>
      </c>
      <c r="X56" s="18" t="n">
        <v>484.8</v>
      </c>
      <c r="Y56" s="18" t="n">
        <v>462.8</v>
      </c>
      <c r="Z56" s="18" t="n">
        <v>478.5</v>
      </c>
      <c r="AA56" s="18" t="n">
        <v>470</v>
      </c>
      <c r="AB56" s="18" t="n">
        <v>585.7</v>
      </c>
      <c r="AC56" s="18" t="n">
        <v>509</v>
      </c>
    </row>
    <row r="57">
      <c r="A57" s="4" t="inlineStr">
        <is>
          <t>Stock-based Compensation</t>
        </is>
      </c>
      <c r="B57" s="18" t="n">
        <v>79.5</v>
      </c>
      <c r="C57" s="18" t="n">
        <v>75.5</v>
      </c>
      <c r="D57" s="18" t="n">
        <v>81.59999999999999</v>
      </c>
      <c r="E57" s="18" t="n">
        <v>71.8</v>
      </c>
      <c r="F57" s="18" t="n">
        <v>76.8</v>
      </c>
      <c r="G57" s="18" t="n">
        <v>71.7</v>
      </c>
      <c r="H57" s="18" t="n">
        <v>87.8</v>
      </c>
      <c r="I57" s="18" t="n">
        <v>85.5</v>
      </c>
      <c r="J57" s="18" t="n">
        <v>91.90000000000001</v>
      </c>
      <c r="K57" s="18" t="n">
        <v>90.09999999999999</v>
      </c>
      <c r="L57" s="18" t="n">
        <v>75.3</v>
      </c>
      <c r="M57" s="18" t="n">
        <v>101</v>
      </c>
      <c r="N57" s="18" t="n">
        <v>92.09999999999999</v>
      </c>
      <c r="O57" s="18" t="n">
        <v>85.09999999999999</v>
      </c>
      <c r="P57" s="18" t="n">
        <v>92.90000000000001</v>
      </c>
      <c r="Q57" s="18" t="n">
        <v>131.2</v>
      </c>
      <c r="R57" s="18" t="n">
        <v>161.5</v>
      </c>
      <c r="S57" s="18" t="n">
        <v>215.6</v>
      </c>
      <c r="T57" s="18" t="n">
        <v>120.2</v>
      </c>
      <c r="U57" s="18" t="n">
        <v>159.4</v>
      </c>
      <c r="V57" s="18" t="n">
        <v>211.1</v>
      </c>
      <c r="W57" s="18" t="n">
        <v>133.2</v>
      </c>
      <c r="X57" s="18" t="n">
        <v>141.9</v>
      </c>
      <c r="Y57" s="18" t="n">
        <v>153.7</v>
      </c>
      <c r="Z57" s="18" t="n">
        <v>185.1</v>
      </c>
      <c r="AA57" s="18" t="n">
        <v>151.1</v>
      </c>
      <c r="AB57" s="18" t="n">
        <v>136.1</v>
      </c>
      <c r="AC57" s="18" t="n">
        <v>161</v>
      </c>
    </row>
    <row r="58">
      <c r="A58" s="4" t="inlineStr">
        <is>
          <t>Change in Working Capital</t>
        </is>
      </c>
      <c r="B58" s="18" t="n">
        <v>-802.1</v>
      </c>
      <c r="C58" s="18" t="n">
        <v>-247.3</v>
      </c>
      <c r="D58" s="18" t="n">
        <v>76.5</v>
      </c>
      <c r="E58" s="18" t="n">
        <v>-1408.1</v>
      </c>
      <c r="F58" s="18" t="n">
        <v>926.5</v>
      </c>
      <c r="G58" s="18" t="n">
        <v>249.4</v>
      </c>
      <c r="H58" s="18" t="n">
        <v>-515.2</v>
      </c>
      <c r="I58" s="18" t="n">
        <v>-102.8</v>
      </c>
      <c r="J58" s="18" t="n">
        <v>221.2</v>
      </c>
      <c r="K58" s="18" t="n">
        <v>-666.5</v>
      </c>
      <c r="L58" s="18" t="n">
        <v>-474.5</v>
      </c>
      <c r="M58" s="18" t="n">
        <v>-34.3</v>
      </c>
      <c r="N58" s="18" t="n">
        <v>-69.90000000000001</v>
      </c>
      <c r="O58" s="18" t="n">
        <v>927.6</v>
      </c>
      <c r="P58" s="18" t="n">
        <v>-836</v>
      </c>
      <c r="Q58" s="18" t="n">
        <v>164.1</v>
      </c>
      <c r="R58" s="18" t="n">
        <v>-840.2</v>
      </c>
      <c r="S58" s="18" t="n">
        <v>793.3</v>
      </c>
      <c r="T58" s="18" t="n">
        <v>-3172.2</v>
      </c>
      <c r="U58" s="18" t="n">
        <v>-1751.2</v>
      </c>
      <c r="V58" s="18" t="n">
        <v>-1399.1</v>
      </c>
      <c r="W58" s="18" t="n">
        <v>-9.800000000000001</v>
      </c>
      <c r="X58" s="18" t="n">
        <v>-2224.9</v>
      </c>
      <c r="Y58" s="18" t="n">
        <v>-3364.2</v>
      </c>
      <c r="Z58" s="18" t="n">
        <v>-2262.9</v>
      </c>
      <c r="AA58" s="18" t="n">
        <v>1208.2</v>
      </c>
      <c r="AB58" s="18" t="n">
        <v>-3674.1</v>
      </c>
      <c r="AC58" s="18" t="n">
        <v>-1664</v>
      </c>
    </row>
    <row r="59">
      <c r="A59" s="4" t="inlineStr">
        <is>
          <t>Operating Cash Flow</t>
        </is>
      </c>
      <c r="B59" s="18" t="n">
        <v>1051.5</v>
      </c>
      <c r="C59" s="18" t="n">
        <v>1510.1</v>
      </c>
      <c r="D59" s="18" t="n">
        <v>1963.7</v>
      </c>
      <c r="E59" s="18" t="n">
        <v>382.4</v>
      </c>
      <c r="F59" s="18" t="n">
        <v>2495.4</v>
      </c>
      <c r="G59" s="18" t="n">
        <v>1806.6</v>
      </c>
      <c r="H59" s="18" t="n">
        <v>1815.2</v>
      </c>
      <c r="I59" s="18" t="n">
        <v>1697.4</v>
      </c>
      <c r="J59" s="18" t="n">
        <v>1775.5</v>
      </c>
      <c r="K59" s="18" t="n">
        <v>1631.3</v>
      </c>
      <c r="L59" s="18" t="n">
        <v>2156.5</v>
      </c>
      <c r="M59" s="18" t="n">
        <v>2523</v>
      </c>
      <c r="N59" s="18" t="n">
        <v>1183.3</v>
      </c>
      <c r="O59" s="18" t="n">
        <v>2216.7</v>
      </c>
      <c r="P59" s="18" t="n">
        <v>1579.7</v>
      </c>
      <c r="Q59" s="18" t="n">
        <v>1730.6</v>
      </c>
      <c r="R59" s="18" t="n">
        <v>631.9</v>
      </c>
      <c r="S59" s="18" t="n">
        <v>2189.5</v>
      </c>
      <c r="T59" s="18" t="n">
        <v>-311.9</v>
      </c>
      <c r="U59" s="18" t="n">
        <v>1166</v>
      </c>
      <c r="V59" s="18" t="n">
        <v>1466.2</v>
      </c>
      <c r="W59" s="18" t="n">
        <v>3711.9</v>
      </c>
      <c r="X59" s="18" t="n">
        <v>2473.8</v>
      </c>
      <c r="Y59" s="18" t="n">
        <v>1665.6</v>
      </c>
      <c r="Z59" s="18" t="n">
        <v>3086.9</v>
      </c>
      <c r="AA59" s="18" t="n">
        <v>8835.9</v>
      </c>
      <c r="AB59" s="18" t="n">
        <v>3224.6</v>
      </c>
      <c r="AC59" s="18" t="n">
        <v>5333</v>
      </c>
    </row>
    <row r="60">
      <c r="A60" s="4" t="inlineStr">
        <is>
          <t>Capex</t>
        </is>
      </c>
      <c r="B60" s="18" t="n">
        <v>-285.3</v>
      </c>
      <c r="C60" s="18" t="n">
        <v>-341.1</v>
      </c>
      <c r="D60" s="18" t="n">
        <v>-326.5</v>
      </c>
      <c r="E60" s="18" t="n">
        <v>-258.3</v>
      </c>
      <c r="F60" s="18" t="n">
        <v>-523.2</v>
      </c>
      <c r="G60" s="18" t="n">
        <v>-415.1</v>
      </c>
      <c r="H60" s="18" t="n">
        <v>-819.5</v>
      </c>
      <c r="I60" s="18" t="n">
        <v>-492.1</v>
      </c>
      <c r="J60" s="18" t="n">
        <v>-531.3</v>
      </c>
      <c r="K60" s="18" t="n">
        <v>-455.6</v>
      </c>
      <c r="L60" s="18" t="n">
        <v>-394.2</v>
      </c>
      <c r="M60" s="18" t="n">
        <v>-881</v>
      </c>
      <c r="N60" s="18" t="n">
        <v>-813.6</v>
      </c>
      <c r="O60" s="18" t="n">
        <v>-652.1</v>
      </c>
      <c r="P60" s="18" t="n">
        <v>-555.6</v>
      </c>
      <c r="Q60" s="18" t="n">
        <v>-903.5</v>
      </c>
      <c r="R60" s="18" t="n">
        <v>-836.3</v>
      </c>
      <c r="S60" s="18" t="n">
        <v>-4001.2</v>
      </c>
      <c r="T60" s="18" t="n">
        <v>-1651.1</v>
      </c>
      <c r="U60" s="18" t="n">
        <v>-986.3</v>
      </c>
      <c r="V60" s="18" t="n">
        <v>-1402.8</v>
      </c>
      <c r="W60" s="18" t="n">
        <v>-4170.8</v>
      </c>
      <c r="X60" s="18" t="n">
        <v>-1747.2</v>
      </c>
      <c r="Y60" s="18" t="n">
        <v>-3266.5</v>
      </c>
      <c r="Z60" s="18" t="n">
        <v>-1803.9</v>
      </c>
      <c r="AA60" s="18" t="n">
        <v>-223.9</v>
      </c>
      <c r="AB60" s="18" t="n">
        <v>-2546.7</v>
      </c>
      <c r="AC60" s="18" t="n">
        <v>-2326</v>
      </c>
    </row>
    <row r="61">
      <c r="A61" s="4" t="inlineStr">
        <is>
          <t>Free Cash Flow</t>
        </is>
      </c>
      <c r="B61" s="18" t="n">
        <v>766.2</v>
      </c>
      <c r="C61" s="18" t="n">
        <v>1169</v>
      </c>
      <c r="D61" s="18" t="n">
        <v>1637.2</v>
      </c>
      <c r="E61" s="18" t="n">
        <v>124.099999</v>
      </c>
      <c r="F61" s="18" t="n">
        <v>1972.2</v>
      </c>
      <c r="G61" s="18" t="n">
        <v>1391.5</v>
      </c>
      <c r="H61" s="18" t="n">
        <v>995.7</v>
      </c>
      <c r="I61" s="18" t="n">
        <v>1205.3</v>
      </c>
      <c r="J61" s="18" t="n">
        <v>1244.2</v>
      </c>
      <c r="K61" s="18" t="n">
        <v>1175.7</v>
      </c>
      <c r="L61" s="18" t="n">
        <v>1762.3</v>
      </c>
      <c r="M61" s="18" t="n">
        <v>1642</v>
      </c>
      <c r="N61" s="18" t="n">
        <v>369.7</v>
      </c>
      <c r="O61" s="18" t="n">
        <v>1564.6</v>
      </c>
      <c r="P61" s="18" t="n">
        <v>1024.1</v>
      </c>
      <c r="Q61" s="18" t="n">
        <v>827.1</v>
      </c>
      <c r="R61" s="18" t="n">
        <v>-204.4</v>
      </c>
      <c r="S61" s="18" t="n">
        <v>-1811.7</v>
      </c>
      <c r="T61" s="18" t="n">
        <v>-1963</v>
      </c>
      <c r="U61" s="18" t="n">
        <v>179.7</v>
      </c>
      <c r="V61" s="18" t="n">
        <v>63.4</v>
      </c>
      <c r="W61" s="18" t="n">
        <v>-458.9</v>
      </c>
      <c r="X61" s="18" t="n">
        <v>726.6</v>
      </c>
      <c r="Y61" s="18" t="n">
        <v>-1600.9</v>
      </c>
      <c r="Z61" s="18" t="n">
        <v>1283</v>
      </c>
      <c r="AA61" s="18" t="n">
        <v>8612</v>
      </c>
      <c r="AB61" s="18" t="n">
        <v>677.9</v>
      </c>
      <c r="AC61" s="18" t="n">
        <v>3007</v>
      </c>
    </row>
    <row r="63">
      <c r="A63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84831.718979</v>
      </c>
      <c r="C4" s="18" t="n">
        <v>98186.30996</v>
      </c>
      <c r="D4" s="18" t="n">
        <v>109991.182545</v>
      </c>
      <c r="E4" s="18" t="n">
        <v>120521.404832</v>
      </c>
      <c r="F4" s="18" t="n">
        <v>130459.193012</v>
      </c>
    </row>
    <row r="5">
      <c r="A5" s="4" t="inlineStr">
        <is>
          <t xml:space="preserve">  model</t>
        </is>
      </c>
      <c r="B5" s="28">
        <f>Model!G12</f>
        <v/>
      </c>
      <c r="C5" s="28">
        <f>Model!H12</f>
        <v/>
      </c>
      <c r="D5" s="28">
        <f>Model!I12</f>
        <v/>
      </c>
      <c r="E5" s="28">
        <f>Model!J12</f>
        <v/>
      </c>
      <c r="F5" s="28">
        <f>Model!K12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27234.598072</v>
      </c>
      <c r="C8" s="18" t="n">
        <v>31521.991067</v>
      </c>
      <c r="D8" s="18" t="n">
        <v>35311.858396</v>
      </c>
      <c r="E8" s="18" t="n">
        <v>38692.508641</v>
      </c>
      <c r="F8" s="18" t="n">
        <v>41882.962284</v>
      </c>
    </row>
    <row r="9">
      <c r="A9" s="4" t="inlineStr">
        <is>
          <t xml:space="preserve">  model</t>
        </is>
      </c>
      <c r="B9" s="28">
        <f>Model!G25+Model!G30</f>
        <v/>
      </c>
      <c r="C9" s="28">
        <f>Model!H25+Model!H30</f>
        <v/>
      </c>
      <c r="D9" s="28">
        <f>Model!I25+Model!I30</f>
        <v/>
      </c>
      <c r="E9" s="28">
        <f>Model!J25+Model!J30</f>
        <v/>
      </c>
      <c r="F9" s="28">
        <f>Model!K25+Model!K30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23570.56143</v>
      </c>
      <c r="C12" s="18" t="n">
        <v>27281.145288</v>
      </c>
      <c r="D12" s="18" t="n">
        <v>30561.138642</v>
      </c>
      <c r="E12" s="18" t="n">
        <v>33486.969384</v>
      </c>
      <c r="F12" s="18" t="n">
        <v>36248.191833</v>
      </c>
    </row>
    <row r="13">
      <c r="A13" s="4" t="inlineStr">
        <is>
          <t xml:space="preserve">  model</t>
        </is>
      </c>
      <c r="B13" s="28">
        <f>Model!G25</f>
        <v/>
      </c>
      <c r="C13" s="28">
        <f>Model!H25</f>
        <v/>
      </c>
      <c r="D13" s="28">
        <f>Model!I25</f>
        <v/>
      </c>
      <c r="E13" s="28">
        <f>Model!J25</f>
        <v/>
      </c>
      <c r="F13" s="28">
        <f>Model!K25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16688.670731</v>
      </c>
      <c r="C16" s="18" t="n">
        <v>19315.876384</v>
      </c>
      <c r="D16" s="18" t="n">
        <v>21638.21093</v>
      </c>
      <c r="E16" s="18" t="n">
        <v>23709.787631</v>
      </c>
      <c r="F16" s="18" t="n">
        <v>25664.816678</v>
      </c>
    </row>
    <row r="17">
      <c r="A17" s="4" t="inlineStr">
        <is>
          <t xml:space="preserve">  model</t>
        </is>
      </c>
      <c r="B17" s="28">
        <f>Model!G20</f>
        <v/>
      </c>
      <c r="C17" s="28">
        <f>Model!H20</f>
        <v/>
      </c>
      <c r="D17" s="28">
        <f>Model!I20</f>
        <v/>
      </c>
      <c r="E17" s="28">
        <f>Model!J20</f>
        <v/>
      </c>
      <c r="F17" s="28">
        <f>Model!K20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30986.57177</v>
      </c>
      <c r="C20" s="18" t="n">
        <v>37834.62058</v>
      </c>
      <c r="D20" s="18" t="n">
        <v>44965.6697</v>
      </c>
      <c r="E20" s="18" t="n">
        <v>51647.552385</v>
      </c>
      <c r="F20" s="18" t="n">
        <v>56930.094056</v>
      </c>
    </row>
    <row r="21">
      <c r="A21" s="4" t="inlineStr">
        <is>
          <t xml:space="preserve">  model</t>
        </is>
      </c>
      <c r="B21" s="28">
        <f>Model!G29</f>
        <v/>
      </c>
      <c r="C21" s="28">
        <f>Model!H29</f>
        <v/>
      </c>
      <c r="D21" s="28">
        <f>Model!I29</f>
        <v/>
      </c>
      <c r="E21" s="28">
        <f>Model!J29</f>
        <v/>
      </c>
      <c r="F21" s="28">
        <f>Model!K29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36.50702</v>
      </c>
      <c r="C24" s="38" t="n">
        <v>44.39563</v>
      </c>
      <c r="D24" s="38" t="n">
        <v>51.22708</v>
      </c>
      <c r="E24" s="38" t="n">
        <v>57.51385</v>
      </c>
      <c r="F24" s="38" t="n">
        <v>63.3964</v>
      </c>
    </row>
    <row r="25">
      <c r="A25" s="4" t="inlineStr">
        <is>
          <t xml:space="preserve">  model</t>
        </is>
      </c>
      <c r="B25" s="8">
        <f>Model!G29/Financials!AC17</f>
        <v/>
      </c>
      <c r="C25" s="8">
        <f>Model!H29/Financials!AC17</f>
        <v/>
      </c>
      <c r="D25" s="8">
        <f>Model!I29/Financials!AC17</f>
        <v/>
      </c>
      <c r="E25" s="8">
        <f>Model!J29/Financials!AC17</f>
        <v/>
      </c>
      <c r="F25" s="8">
        <f>Model!K29/Financials!AC17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Eli Lilly and Company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Model!G37</f>
        <v/>
      </c>
      <c r="D12" s="28">
        <f>Model!H37</f>
        <v/>
      </c>
      <c r="E12" s="28">
        <f>Model!I37</f>
        <v/>
      </c>
      <c r="F12" s="28">
        <f>Model!J37</f>
        <v/>
      </c>
      <c r="G12" s="28">
        <f>Model!K37</f>
        <v/>
      </c>
      <c r="H12" s="28">
        <f>Model!L37</f>
        <v/>
      </c>
      <c r="I12" s="28">
        <f>Model!M37</f>
        <v/>
      </c>
      <c r="J12" s="28">
        <f>Model!N37</f>
        <v/>
      </c>
      <c r="K12" s="28">
        <f>Model!O37</f>
        <v/>
      </c>
      <c r="L12" s="28">
        <f>Model!P37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Model!P12</f>
        <v/>
      </c>
    </row>
    <row r="21">
      <c r="A21" s="4" t="inlineStr">
        <is>
          <t>Terminal EBIT</t>
        </is>
      </c>
      <c r="B21" s="28">
        <f>Model!P25</f>
        <v/>
      </c>
    </row>
    <row r="22">
      <c r="A22" s="4" t="inlineStr">
        <is>
          <t>Terminal EBITDA</t>
        </is>
      </c>
      <c r="B22" s="28">
        <f>Model!P25+Model!P30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Financials!AC48</f>
        <v/>
      </c>
    </row>
    <row r="33">
      <c r="A33" s="4" t="inlineStr">
        <is>
          <t>- Long-term debt</t>
        </is>
      </c>
      <c r="B33" s="28">
        <f>-Financials!AC53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Model!F12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Model!F26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0.03063870264962641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3.26384576865298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(Model!P12/Model!F12)^(1/10)-1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0.9540698622766938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Financials!AC48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Financials!AC53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2026-06-08T03:52:33Z</dcterms:created>
  <dcterms:modified xmlns:dcterms="http://purl.org/dc/terms/" xmlns:xsi="http://www.w3.org/2001/XMLSchema-instance" xsi:type="dcterms:W3CDTF">2026-06-08T03:52:33Z</dcterms:modified>
</cp:coreProperties>
</file>