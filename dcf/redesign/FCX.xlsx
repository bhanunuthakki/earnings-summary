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Freeport-McMoRan Inc. (FCX)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FCX is a mid-cycle copper play whose revenue recovers on electrification-driven demand and structural supply tightness, with consensus implying double-digit growth into 2027 before fading toward a mature ~2.5% rate. Margins hold near 25% near-term and normalize to ~22.5% as cost inflation and lower-grade ore offset operating leverage, while heavy expansion capex (Indonesia smelter, brownfield) converges toward maintenance (capex/D&amp;A ~1.1x) by the terminal year. Valued on a mature ~6.5x EV/EBITDA exit consistent with how the market prices large-cap copper miners.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Freeport-McMoRan Inc. (FCX)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Model!G46-WACC!B14</f>
        <v/>
      </c>
      <c r="C15" s="10">
        <f>IF(Model!G46-WACC!B14&lt;0,"!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Copper Cathode</t>
        </is>
      </c>
      <c r="B20" s="15" t="n">
        <v>0.09</v>
      </c>
      <c r="C20" s="15" t="n">
        <v>0.025</v>
      </c>
      <c r="D20" s="16" t="n">
        <v>0.09</v>
      </c>
      <c r="E20" s="2" t="inlineStr"/>
    </row>
    <row r="21">
      <c r="A21" s="4" t="inlineStr">
        <is>
          <t>Refined Copper Products</t>
        </is>
      </c>
      <c r="B21" s="15" t="n">
        <v>0.07000000000000001</v>
      </c>
      <c r="C21" s="15" t="n">
        <v>0.025</v>
      </c>
      <c r="D21" s="16" t="n">
        <v>0.07000000000000001</v>
      </c>
      <c r="E21" s="2" t="inlineStr"/>
    </row>
    <row r="22">
      <c r="A22" s="4" t="inlineStr">
        <is>
          <t>Copper In Concentrates</t>
        </is>
      </c>
      <c r="B22" s="15" t="n">
        <v>0.09</v>
      </c>
      <c r="C22" s="15" t="n">
        <v>0.025</v>
      </c>
      <c r="D22" s="16" t="n">
        <v>0.09</v>
      </c>
      <c r="E22" s="2" t="inlineStr"/>
    </row>
    <row r="23">
      <c r="A23" s="4" t="inlineStr">
        <is>
          <t>Gold</t>
        </is>
      </c>
      <c r="B23" s="15" t="n">
        <v>0.05</v>
      </c>
      <c r="C23" s="15" t="n">
        <v>0.02</v>
      </c>
      <c r="D23" s="16" t="n">
        <v>0.05</v>
      </c>
      <c r="E23" s="2" t="inlineStr"/>
    </row>
    <row r="24">
      <c r="A24" s="4" t="inlineStr">
        <is>
          <t>Molybdenum</t>
        </is>
      </c>
      <c r="B24" s="15" t="n">
        <v>0.04</v>
      </c>
      <c r="C24" s="15" t="n">
        <v>0.02</v>
      </c>
      <c r="D24" s="16" t="n">
        <v>0.04</v>
      </c>
      <c r="E24" s="2" t="inlineStr"/>
    </row>
    <row r="25">
      <c r="A25" s="4" t="inlineStr">
        <is>
          <t>Purchased Copper</t>
        </is>
      </c>
      <c r="B25" s="15" t="n">
        <v>0.02</v>
      </c>
      <c r="C25" s="15" t="n">
        <v>0.01</v>
      </c>
      <c r="D25" s="16" t="n">
        <v>0.02</v>
      </c>
      <c r="E25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0.25</v>
      </c>
      <c r="D29" s="16" t="n">
        <v>0.25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5062.03045542</v>
      </c>
      <c r="D34" s="18" t="n">
        <v>5062.03045542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1.316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6.5</v>
      </c>
    </row>
    <row r="46">
      <c r="A46" s="4" t="inlineStr">
        <is>
          <t>Terminal growth (g)</t>
        </is>
      </c>
      <c r="B46" s="15" t="n">
        <v>0.025</v>
      </c>
    </row>
    <row r="48">
      <c r="A48" s="4" t="inlineStr">
        <is>
          <t>Current price</t>
        </is>
      </c>
      <c r="B48" s="23" t="n">
        <v>60.48</v>
      </c>
    </row>
  </sheetData>
  <conditionalFormatting sqref="B20:B25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Financials!AC43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Copper Cathode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Refined Copper Products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Copper In Concentrates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4" t="inlineStr">
        <is>
          <t>Gold</t>
        </is>
      </c>
      <c r="B10" s="28">
        <f>SUM(Financials!I28:L28)</f>
        <v/>
      </c>
      <c r="C10" s="28">
        <f>SUM(Financials!M28:P28)</f>
        <v/>
      </c>
      <c r="D10" s="28">
        <f>SUM(Financials!Q28:T28)</f>
        <v/>
      </c>
      <c r="E10" s="28">
        <f>SUM(Financials!U28:X28)</f>
        <v/>
      </c>
      <c r="F10" s="28">
        <f>SUM(Financials!Y28:AB28)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11">
        <f>Dashboard!$B$23+(Dashboard!$C$23-Dashboard!$B$23)*MAX(0,0-2)/7</f>
        <v/>
      </c>
      <c r="H11" s="11">
        <f>Dashboard!$B$23+(Dashboard!$C$23-Dashboard!$B$23)*MAX(0,1-2)/7</f>
        <v/>
      </c>
      <c r="I11" s="11">
        <f>Dashboard!$B$23+(Dashboard!$C$23-Dashboard!$B$23)*MAX(0,2-2)/7</f>
        <v/>
      </c>
      <c r="J11" s="11">
        <f>Dashboard!$B$23+(Dashboard!$C$23-Dashboard!$B$23)*MAX(0,3-2)/7</f>
        <v/>
      </c>
      <c r="K11" s="11">
        <f>Dashboard!$B$23+(Dashboard!$C$23-Dashboard!$B$23)*MAX(0,4-2)/7</f>
        <v/>
      </c>
      <c r="L11" s="11">
        <f>Dashboard!$B$23+(Dashboard!$C$23-Dashboard!$B$23)*MAX(0,5-2)/7</f>
        <v/>
      </c>
      <c r="M11" s="11">
        <f>Dashboard!$B$23+(Dashboard!$C$23-Dashboard!$B$23)*MAX(0,6-2)/7</f>
        <v/>
      </c>
      <c r="N11" s="11">
        <f>Dashboard!$B$23+(Dashboard!$C$23-Dashboard!$B$23)*MAX(0,7-2)/7</f>
        <v/>
      </c>
      <c r="O11" s="11">
        <f>Dashboard!$B$23+(Dashboard!$C$23-Dashboard!$B$23)*MAX(0,8-2)/7</f>
        <v/>
      </c>
      <c r="P11" s="11">
        <f>Dashboard!$B$23+(Dashboard!$C$23-Dashboard!$B$23)*MAX(0,9-2)/7</f>
        <v/>
      </c>
    </row>
    <row r="12">
      <c r="A12" s="4" t="inlineStr">
        <is>
          <t>Molybdenum</t>
        </is>
      </c>
      <c r="B12" s="28">
        <f>SUM(Financials!I31:L31)</f>
        <v/>
      </c>
      <c r="C12" s="28">
        <f>SUM(Financials!M31:P31)</f>
        <v/>
      </c>
      <c r="D12" s="28">
        <f>SUM(Financials!Q31:T31)</f>
        <v/>
      </c>
      <c r="E12" s="28">
        <f>SUM(Financials!U31:X31)</f>
        <v/>
      </c>
      <c r="F12" s="28">
        <f>SUM(Financials!Y31:AB31)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27">
        <f>IFERROR(C12/B12-1,"")</f>
        <v/>
      </c>
      <c r="D13" s="27">
        <f>IFERROR(D12/C12-1,"")</f>
        <v/>
      </c>
      <c r="E13" s="27">
        <f>IFERROR(E12/D12-1,"")</f>
        <v/>
      </c>
      <c r="F13" s="27">
        <f>IFERROR(F12/E12-1,"")</f>
        <v/>
      </c>
      <c r="G13" s="11">
        <f>Dashboard!$B$24+(Dashboard!$C$24-Dashboard!$B$24)*MAX(0,0-2)/7</f>
        <v/>
      </c>
      <c r="H13" s="11">
        <f>Dashboard!$B$24+(Dashboard!$C$24-Dashboard!$B$24)*MAX(0,1-2)/7</f>
        <v/>
      </c>
      <c r="I13" s="11">
        <f>Dashboard!$B$24+(Dashboard!$C$24-Dashboard!$B$24)*MAX(0,2-2)/7</f>
        <v/>
      </c>
      <c r="J13" s="11">
        <f>Dashboard!$B$24+(Dashboard!$C$24-Dashboard!$B$24)*MAX(0,3-2)/7</f>
        <v/>
      </c>
      <c r="K13" s="11">
        <f>Dashboard!$B$24+(Dashboard!$C$24-Dashboard!$B$24)*MAX(0,4-2)/7</f>
        <v/>
      </c>
      <c r="L13" s="11">
        <f>Dashboard!$B$24+(Dashboard!$C$24-Dashboard!$B$24)*MAX(0,5-2)/7</f>
        <v/>
      </c>
      <c r="M13" s="11">
        <f>Dashboard!$B$24+(Dashboard!$C$24-Dashboard!$B$24)*MAX(0,6-2)/7</f>
        <v/>
      </c>
      <c r="N13" s="11">
        <f>Dashboard!$B$24+(Dashboard!$C$24-Dashboard!$B$24)*MAX(0,7-2)/7</f>
        <v/>
      </c>
      <c r="O13" s="11">
        <f>Dashboard!$B$24+(Dashboard!$C$24-Dashboard!$B$24)*MAX(0,8-2)/7</f>
        <v/>
      </c>
      <c r="P13" s="11">
        <f>Dashboard!$B$24+(Dashboard!$C$24-Dashboard!$B$24)*MAX(0,9-2)/7</f>
        <v/>
      </c>
    </row>
    <row r="14">
      <c r="A14" s="4" t="inlineStr">
        <is>
          <t>Purchased Copper</t>
        </is>
      </c>
      <c r="B14" s="28">
        <f>SUM(Financials!I34:L34)</f>
        <v/>
      </c>
      <c r="C14" s="28">
        <f>SUM(Financials!M34:P34)</f>
        <v/>
      </c>
      <c r="D14" s="28">
        <f>SUM(Financials!Q34:T34)</f>
        <v/>
      </c>
      <c r="E14" s="28">
        <f>SUM(Financials!U34:X34)</f>
        <v/>
      </c>
      <c r="F14" s="28">
        <f>SUM(Financials!Y34:AB34)</f>
        <v/>
      </c>
      <c r="G14" s="32">
        <f>F14*(1+G15)</f>
        <v/>
      </c>
      <c r="H14" s="32">
        <f>G14*(1+H15)</f>
        <v/>
      </c>
      <c r="I14" s="32">
        <f>H14*(1+I15)</f>
        <v/>
      </c>
      <c r="J14" s="32">
        <f>I14*(1+J15)</f>
        <v/>
      </c>
      <c r="K14" s="32">
        <f>J14*(1+K15)</f>
        <v/>
      </c>
      <c r="L14" s="32">
        <f>K14*(1+L15)</f>
        <v/>
      </c>
      <c r="M14" s="32">
        <f>L14*(1+M15)</f>
        <v/>
      </c>
      <c r="N14" s="32">
        <f>M14*(1+N15)</f>
        <v/>
      </c>
      <c r="O14" s="32">
        <f>N14*(1+O15)</f>
        <v/>
      </c>
      <c r="P14" s="32">
        <f>O14*(1+P15)</f>
        <v/>
      </c>
    </row>
    <row r="15">
      <c r="A15" s="4" t="inlineStr">
        <is>
          <t xml:space="preserve">    growth % (interpolated from Dashboard)</t>
        </is>
      </c>
      <c r="C15" s="27">
        <f>IFERROR(C14/B14-1,"")</f>
        <v/>
      </c>
      <c r="D15" s="27">
        <f>IFERROR(D14/C14-1,"")</f>
        <v/>
      </c>
      <c r="E15" s="27">
        <f>IFERROR(E14/D14-1,"")</f>
        <v/>
      </c>
      <c r="F15" s="27">
        <f>IFERROR(F14/E14-1,"")</f>
        <v/>
      </c>
      <c r="G15" s="11">
        <f>Dashboard!$B$25+(Dashboard!$C$25-Dashboard!$B$25)*MAX(0,0-2)/7</f>
        <v/>
      </c>
      <c r="H15" s="11">
        <f>Dashboard!$B$25+(Dashboard!$C$25-Dashboard!$B$25)*MAX(0,1-2)/7</f>
        <v/>
      </c>
      <c r="I15" s="11">
        <f>Dashboard!$B$25+(Dashboard!$C$25-Dashboard!$B$25)*MAX(0,2-2)/7</f>
        <v/>
      </c>
      <c r="J15" s="11">
        <f>Dashboard!$B$25+(Dashboard!$C$25-Dashboard!$B$25)*MAX(0,3-2)/7</f>
        <v/>
      </c>
      <c r="K15" s="11">
        <f>Dashboard!$B$25+(Dashboard!$C$25-Dashboard!$B$25)*MAX(0,4-2)/7</f>
        <v/>
      </c>
      <c r="L15" s="11">
        <f>Dashboard!$B$25+(Dashboard!$C$25-Dashboard!$B$25)*MAX(0,5-2)/7</f>
        <v/>
      </c>
      <c r="M15" s="11">
        <f>Dashboard!$B$25+(Dashboard!$C$25-Dashboard!$B$25)*MAX(0,6-2)/7</f>
        <v/>
      </c>
      <c r="N15" s="11">
        <f>Dashboard!$B$25+(Dashboard!$C$25-Dashboard!$B$25)*MAX(0,7-2)/7</f>
        <v/>
      </c>
      <c r="O15" s="11">
        <f>Dashboard!$B$25+(Dashboard!$C$25-Dashboard!$B$25)*MAX(0,8-2)/7</f>
        <v/>
      </c>
      <c r="P15" s="11">
        <f>Dashboard!$B$25+(Dashboard!$C$25-Dashboard!$B$25)*MAX(0,9-2)/7</f>
        <v/>
      </c>
    </row>
    <row r="16">
      <c r="A16" s="3" t="inlineStr">
        <is>
          <t>Total revenue</t>
        </is>
      </c>
      <c r="B16" s="33">
        <f>B4+B6+B8+B10+B12+B14</f>
        <v/>
      </c>
      <c r="C16" s="33">
        <f>C4+C6+C8+C10+C12+C14</f>
        <v/>
      </c>
      <c r="D16" s="33">
        <f>D4+D6+D8+D10+D12+D14</f>
        <v/>
      </c>
      <c r="E16" s="33">
        <f>E4+E6+E8+E10+E12+E14</f>
        <v/>
      </c>
      <c r="F16" s="33">
        <f>F4+F6+F8+F10+F12+F14</f>
        <v/>
      </c>
      <c r="G16" s="33">
        <f>G4+G6+G8+G10+G12+G14</f>
        <v/>
      </c>
      <c r="H16" s="33">
        <f>H4+H6+H8+H10+H12+H14</f>
        <v/>
      </c>
      <c r="I16" s="33">
        <f>I4+I6+I8+I10+I12+I14</f>
        <v/>
      </c>
      <c r="J16" s="33">
        <f>J4+J6+J8+J10+J12+J14</f>
        <v/>
      </c>
      <c r="K16" s="33">
        <f>K4+K6+K8+K10+K12+K14</f>
        <v/>
      </c>
      <c r="L16" s="33">
        <f>L4+L6+L8+L10+L12+L14</f>
        <v/>
      </c>
      <c r="M16" s="33">
        <f>M4+M6+M8+M10+M12+M14</f>
        <v/>
      </c>
      <c r="N16" s="33">
        <f>N4+N6+N8+N10+N12+N14</f>
        <v/>
      </c>
      <c r="O16" s="33">
        <f>O4+O6+O8+O10+O12+O14</f>
        <v/>
      </c>
      <c r="P16" s="33">
        <f>P4+P6+P8+P10+P12+P14</f>
        <v/>
      </c>
    </row>
    <row r="17">
      <c r="A17" s="4" t="inlineStr">
        <is>
          <t xml:space="preserve">    growth %</t>
        </is>
      </c>
      <c r="C17" s="27">
        <f>IFERROR(C16/B16-1,"")</f>
        <v/>
      </c>
      <c r="D17" s="27">
        <f>IFERROR(D16/C16-1,"")</f>
        <v/>
      </c>
      <c r="E17" s="27">
        <f>IFERROR(E16/D16-1,"")</f>
        <v/>
      </c>
      <c r="F17" s="27">
        <f>IFERROR(F16/E16-1,"")</f>
        <v/>
      </c>
      <c r="G17" s="27">
        <f>IFERROR(G16/F16-1,"")</f>
        <v/>
      </c>
      <c r="H17" s="27">
        <f>IFERROR(H16/G16-1,"")</f>
        <v/>
      </c>
      <c r="I17" s="27">
        <f>IFERROR(I16/H16-1,"")</f>
        <v/>
      </c>
      <c r="J17" s="27">
        <f>IFERROR(J16/I16-1,"")</f>
        <v/>
      </c>
      <c r="K17" s="27">
        <f>IFERROR(K16/J16-1,"")</f>
        <v/>
      </c>
      <c r="L17" s="27">
        <f>IFERROR(L16/K16-1,"")</f>
        <v/>
      </c>
      <c r="M17" s="27">
        <f>IFERROR(M16/L16-1,"")</f>
        <v/>
      </c>
      <c r="N17" s="27">
        <f>IFERROR(N16/M16-1,"")</f>
        <v/>
      </c>
      <c r="O17" s="27">
        <f>IFERROR(O16/N16-1,"")</f>
        <v/>
      </c>
      <c r="P17" s="27">
        <f>IFERROR(P16/O16-1,"")</f>
        <v/>
      </c>
    </row>
    <row r="19">
      <c r="A19" s="5" t="inlineStr">
        <is>
          <t xml:space="preserve">  COST STRUCTURE (yellow = % of revenue)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4" t="inlineStr">
        <is>
          <t>Cost of revenue</t>
        </is>
      </c>
      <c r="B20" s="28">
        <f>SUM(Financials!I5:L5)</f>
        <v/>
      </c>
      <c r="C20" s="28">
        <f>SUM(Financials!M5:P5)</f>
        <v/>
      </c>
      <c r="D20" s="28">
        <f>SUM(Financials!Q5:T5)</f>
        <v/>
      </c>
      <c r="E20" s="28">
        <f>SUM(Financials!U5:X5)</f>
        <v/>
      </c>
      <c r="F20" s="28">
        <f>SUM(Financials!Y5:AB5)</f>
        <v/>
      </c>
      <c r="G20" s="32">
        <f>G16*G21</f>
        <v/>
      </c>
      <c r="H20" s="32">
        <f>H16*H21</f>
        <v/>
      </c>
      <c r="I20" s="32">
        <f>I16*I21</f>
        <v/>
      </c>
      <c r="J20" s="32">
        <f>J16*J21</f>
        <v/>
      </c>
      <c r="K20" s="32">
        <f>K16*K21</f>
        <v/>
      </c>
      <c r="L20" s="32">
        <f>L16*L21</f>
        <v/>
      </c>
      <c r="M20" s="32">
        <f>M16*M21</f>
        <v/>
      </c>
      <c r="N20" s="32">
        <f>N16*N21</f>
        <v/>
      </c>
      <c r="O20" s="32">
        <f>O16*O21</f>
        <v/>
      </c>
      <c r="P20" s="32">
        <f>P16*P21</f>
        <v/>
      </c>
    </row>
    <row r="21">
      <c r="A21" s="4" t="inlineStr">
        <is>
          <t xml:space="preserve">    % of revenue</t>
        </is>
      </c>
      <c r="B21" s="27">
        <f>IFERROR(B20/B16,"")</f>
        <v/>
      </c>
      <c r="C21" s="27">
        <f>IFERROR(C20/C16,"")</f>
        <v/>
      </c>
      <c r="D21" s="27">
        <f>IFERROR(D20/D16,"")</f>
        <v/>
      </c>
      <c r="E21" s="27">
        <f>IFERROR(E20/E16,"")</f>
        <v/>
      </c>
      <c r="F21" s="27">
        <f>IFERROR(F20/F16,"")</f>
        <v/>
      </c>
      <c r="G21" s="15" t="n">
        <v>0.7301969620449866</v>
      </c>
      <c r="H21" s="15" t="n">
        <v>0.7301969620449866</v>
      </c>
      <c r="I21" s="15" t="n">
        <v>0.7301969620449866</v>
      </c>
      <c r="J21" s="15" t="n">
        <v>0.7301969620449866</v>
      </c>
      <c r="K21" s="15" t="n">
        <v>0.7301969620449866</v>
      </c>
      <c r="L21" s="15" t="n">
        <v>0.7301969620449866</v>
      </c>
      <c r="M21" s="15" t="n">
        <v>0.7301969620449866</v>
      </c>
      <c r="N21" s="15" t="n">
        <v>0.7301969620449866</v>
      </c>
      <c r="O21" s="15" t="n">
        <v>0.7301969620449866</v>
      </c>
      <c r="P21" s="15" t="n">
        <v>0.7301969620449866</v>
      </c>
    </row>
    <row r="22">
      <c r="A22" s="4" t="inlineStr">
        <is>
          <t>R&amp;D / Technology</t>
        </is>
      </c>
      <c r="B22" s="28">
        <f>SUM(Financials!I7:L7)</f>
        <v/>
      </c>
      <c r="C22" s="28">
        <f>SUM(Financials!M7:P7)</f>
        <v/>
      </c>
      <c r="D22" s="28">
        <f>SUM(Financials!Q7:T7)</f>
        <v/>
      </c>
      <c r="E22" s="28">
        <f>SUM(Financials!U7:X7)</f>
        <v/>
      </c>
      <c r="F22" s="28">
        <f>SUM(Financials!Y7:AB7)</f>
        <v/>
      </c>
      <c r="G22" s="32">
        <f>G16*G23</f>
        <v/>
      </c>
      <c r="H22" s="32">
        <f>H16*H23</f>
        <v/>
      </c>
      <c r="I22" s="32">
        <f>I16*I23</f>
        <v/>
      </c>
      <c r="J22" s="32">
        <f>J16*J23</f>
        <v/>
      </c>
      <c r="K22" s="32">
        <f>K16*K23</f>
        <v/>
      </c>
      <c r="L22" s="32">
        <f>L16*L23</f>
        <v/>
      </c>
      <c r="M22" s="32">
        <f>M16*M23</f>
        <v/>
      </c>
      <c r="N22" s="32">
        <f>N16*N23</f>
        <v/>
      </c>
      <c r="O22" s="32">
        <f>O16*O23</f>
        <v/>
      </c>
      <c r="P22" s="32">
        <f>P16*P23</f>
        <v/>
      </c>
    </row>
    <row r="23">
      <c r="A23" s="4" t="inlineStr">
        <is>
          <t xml:space="preserve">    % of revenue</t>
        </is>
      </c>
      <c r="B23" s="27">
        <f>IFERROR(B22/B16,"")</f>
        <v/>
      </c>
      <c r="C23" s="27">
        <f>IFERROR(C22/C16,"")</f>
        <v/>
      </c>
      <c r="D23" s="27">
        <f>IFERROR(D22/D16,"")</f>
        <v/>
      </c>
      <c r="E23" s="27">
        <f>IFERROR(E22/E16,"")</f>
        <v/>
      </c>
      <c r="F23" s="27">
        <f>IFERROR(F22/F16,"")</f>
        <v/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</row>
    <row r="24">
      <c r="A24" s="4" t="inlineStr">
        <is>
          <t>SG&amp;A</t>
        </is>
      </c>
      <c r="B24" s="28">
        <f>SUM(Financials!I9:L9)</f>
        <v/>
      </c>
      <c r="C24" s="28">
        <f>SUM(Financials!M9:P9)</f>
        <v/>
      </c>
      <c r="D24" s="28">
        <f>SUM(Financials!Q9:T9)</f>
        <v/>
      </c>
      <c r="E24" s="28">
        <f>SUM(Financials!U9:X9)</f>
        <v/>
      </c>
      <c r="F24" s="28">
        <f>SUM(Financials!Y9:AB9)</f>
        <v/>
      </c>
      <c r="G24" s="32">
        <f>G16*G25</f>
        <v/>
      </c>
      <c r="H24" s="32">
        <f>H16*H25</f>
        <v/>
      </c>
      <c r="I24" s="32">
        <f>I16*I25</f>
        <v/>
      </c>
      <c r="J24" s="32">
        <f>J16*J25</f>
        <v/>
      </c>
      <c r="K24" s="32">
        <f>K16*K25</f>
        <v/>
      </c>
      <c r="L24" s="32">
        <f>L16*L25</f>
        <v/>
      </c>
      <c r="M24" s="32">
        <f>M16*M25</f>
        <v/>
      </c>
      <c r="N24" s="32">
        <f>N16*N25</f>
        <v/>
      </c>
      <c r="O24" s="32">
        <f>O16*O25</f>
        <v/>
      </c>
      <c r="P24" s="32">
        <f>P16*P25</f>
        <v/>
      </c>
    </row>
    <row r="25">
      <c r="A25" s="4" t="inlineStr">
        <is>
          <t xml:space="preserve">    % of revenue</t>
        </is>
      </c>
      <c r="B25" s="27">
        <f>IFERROR(B24/B16,"")</f>
        <v/>
      </c>
      <c r="C25" s="27">
        <f>IFERROR(C24/C16,"")</f>
        <v/>
      </c>
      <c r="D25" s="27">
        <f>IFERROR(D24/D16,"")</f>
        <v/>
      </c>
      <c r="E25" s="27">
        <f>IFERROR(E24/E16,"")</f>
        <v/>
      </c>
      <c r="F25" s="27">
        <f>IFERROR(F24/F16,"")</f>
        <v/>
      </c>
      <c r="G25" s="15" t="n">
        <v>0.02117244862281963</v>
      </c>
      <c r="H25" s="15" t="n">
        <v>0.02117244862281963</v>
      </c>
      <c r="I25" s="15" t="n">
        <v>0.02117244862281963</v>
      </c>
      <c r="J25" s="15" t="n">
        <v>0.02117244862281963</v>
      </c>
      <c r="K25" s="15" t="n">
        <v>0.02117244862281963</v>
      </c>
      <c r="L25" s="15" t="n">
        <v>0.02117244862281963</v>
      </c>
      <c r="M25" s="15" t="n">
        <v>0.02117244862281963</v>
      </c>
      <c r="N25" s="15" t="n">
        <v>0.02117244862281963</v>
      </c>
      <c r="O25" s="15" t="n">
        <v>0.02117244862281963</v>
      </c>
      <c r="P25" s="15" t="n">
        <v>0.02117244862281963</v>
      </c>
    </row>
    <row r="26">
      <c r="A26" s="4" t="inlineStr">
        <is>
          <t>Other opex (fulfilment, etc.)</t>
        </is>
      </c>
      <c r="B26" s="28">
        <f>B16-(B20+B22+B24)-SUM(Financials!I13:L13)</f>
        <v/>
      </c>
      <c r="C26" s="28">
        <f>C16-(C20+C22+C24)-SUM(Financials!M13:P13)</f>
        <v/>
      </c>
      <c r="D26" s="28">
        <f>D16-(D20+D22+D24)-SUM(Financials!Q13:T13)</f>
        <v/>
      </c>
      <c r="E26" s="28">
        <f>E16-(E20+E22+E24)-SUM(Financials!U13:X13)</f>
        <v/>
      </c>
      <c r="F26" s="28">
        <f>F16-(F20+F22+F24)-SUM(Financials!Y13:AB13)</f>
        <v/>
      </c>
      <c r="G26" s="28">
        <f>G16*(1-(Dashboard!$B$29+(Dashboard!$B$30-Dashboard!$B$29)*MIN(1,0/4)))-(G20+G22+G24)</f>
        <v/>
      </c>
      <c r="H26" s="28">
        <f>H16*(1-(Dashboard!$B$29+(Dashboard!$B$30-Dashboard!$B$29)*MIN(1,1/4)))-(H20+H22+H24)</f>
        <v/>
      </c>
      <c r="I26" s="28">
        <f>I16*(1-(Dashboard!$B$29+(Dashboard!$B$30-Dashboard!$B$29)*MIN(1,2/4)))-(I20+I22+I24)</f>
        <v/>
      </c>
      <c r="J26" s="28">
        <f>J16*(1-(Dashboard!$B$29+(Dashboard!$B$30-Dashboard!$B$29)*MIN(1,3/4)))-(J20+J22+J24)</f>
        <v/>
      </c>
      <c r="K26" s="28">
        <f>K16*(1-(Dashboard!$B$29+(Dashboard!$B$30-Dashboard!$B$29)*MIN(1,4/4)))-(K20+K22+K24)</f>
        <v/>
      </c>
      <c r="L26" s="28">
        <f>L16*(1-(Dashboard!$B$29+(Dashboard!$B$30-Dashboard!$B$29)*MIN(1,5/4)))-(L20+L22+L24)</f>
        <v/>
      </c>
      <c r="M26" s="28">
        <f>M16*(1-(Dashboard!$B$29+(Dashboard!$B$30-Dashboard!$B$29)*MIN(1,6/4)))-(M20+M22+M24)</f>
        <v/>
      </c>
      <c r="N26" s="28">
        <f>N16*(1-(Dashboard!$B$29+(Dashboard!$B$30-Dashboard!$B$29)*MIN(1,7/4)))-(N20+N22+N24)</f>
        <v/>
      </c>
      <c r="O26" s="28">
        <f>O16*(1-(Dashboard!$B$29+(Dashboard!$B$30-Dashboard!$B$29)*MIN(1,8/4)))-(O20+O22+O24)</f>
        <v/>
      </c>
      <c r="P26" s="28">
        <f>P16*(1-(Dashboard!$B$29+(Dashboard!$B$30-Dashboard!$B$29)*MIN(1,9/4)))-(P20+P22+P24)</f>
        <v/>
      </c>
    </row>
    <row r="27">
      <c r="A27" s="4" t="inlineStr">
        <is>
          <t xml:space="preserve">    % of revenue</t>
        </is>
      </c>
      <c r="B27" s="27">
        <f>IFERROR(B26/B16,"")</f>
        <v/>
      </c>
      <c r="C27" s="27">
        <f>IFERROR(C26/C16,"")</f>
        <v/>
      </c>
      <c r="D27" s="27">
        <f>IFERROR(D26/D16,"")</f>
        <v/>
      </c>
      <c r="E27" s="27">
        <f>IFERROR(E26/E16,"")</f>
        <v/>
      </c>
      <c r="F27" s="27">
        <f>IFERROR(F26/F16,"")</f>
        <v/>
      </c>
      <c r="G27" s="27">
        <f>IFERROR(G26/G16,"")</f>
        <v/>
      </c>
      <c r="H27" s="27">
        <f>IFERROR(H26/H16,"")</f>
        <v/>
      </c>
      <c r="I27" s="27">
        <f>IFERROR(I26/I16,"")</f>
        <v/>
      </c>
      <c r="J27" s="27">
        <f>IFERROR(J26/J16,"")</f>
        <v/>
      </c>
      <c r="K27" s="27">
        <f>IFERROR(K26/K16,"")</f>
        <v/>
      </c>
      <c r="L27" s="27">
        <f>IFERROR(L26/L16,"")</f>
        <v/>
      </c>
      <c r="M27" s="27">
        <f>IFERROR(M26/M16,"")</f>
        <v/>
      </c>
      <c r="N27" s="27">
        <f>IFERROR(N26/N16,"")</f>
        <v/>
      </c>
      <c r="O27" s="27">
        <f>IFERROR(O26/O16,"")</f>
        <v/>
      </c>
      <c r="P27" s="27">
        <f>IFERROR(P26/P16,"")</f>
        <v/>
      </c>
    </row>
    <row r="29">
      <c r="A29" s="3" t="inlineStr">
        <is>
          <t>Operating income (EBIT)</t>
        </is>
      </c>
      <c r="B29" s="33">
        <f>B16-(B20+B22+B24)-B26</f>
        <v/>
      </c>
      <c r="C29" s="33">
        <f>C16-(C20+C22+C24)-C26</f>
        <v/>
      </c>
      <c r="D29" s="33">
        <f>D16-(D20+D22+D24)-D26</f>
        <v/>
      </c>
      <c r="E29" s="33">
        <f>E16-(E20+E22+E24)-E26</f>
        <v/>
      </c>
      <c r="F29" s="33">
        <f>F16-(F20+F22+F24)-F26</f>
        <v/>
      </c>
      <c r="G29" s="33">
        <f>G16-(G20+G22+G24)-G26</f>
        <v/>
      </c>
      <c r="H29" s="33">
        <f>H16-(H20+H22+H24)-H26</f>
        <v/>
      </c>
      <c r="I29" s="33">
        <f>I16-(I20+I22+I24)-I26</f>
        <v/>
      </c>
      <c r="J29" s="33">
        <f>J16-(J20+J22+J24)-J26</f>
        <v/>
      </c>
      <c r="K29" s="33">
        <f>K16-(K20+K22+K24)-K26</f>
        <v/>
      </c>
      <c r="L29" s="33">
        <f>L16-(L20+L22+L24)-L26</f>
        <v/>
      </c>
      <c r="M29" s="33">
        <f>M16-(M20+M22+M24)-M26</f>
        <v/>
      </c>
      <c r="N29" s="33">
        <f>N16-(N20+N22+N24)-N26</f>
        <v/>
      </c>
      <c r="O29" s="33">
        <f>O16-(O20+O22+O24)-O26</f>
        <v/>
      </c>
      <c r="P29" s="33">
        <f>P16-(P20+P22+P24)-P26</f>
        <v/>
      </c>
    </row>
    <row r="30">
      <c r="A30" s="4" t="inlineStr">
        <is>
          <t xml:space="preserve">    operating margin</t>
        </is>
      </c>
      <c r="B30" s="27">
        <f>IFERROR(B29/B16,"")</f>
        <v/>
      </c>
      <c r="C30" s="27">
        <f>IFERROR(C29/C16,"")</f>
        <v/>
      </c>
      <c r="D30" s="27">
        <f>IFERROR(D29/D16,"")</f>
        <v/>
      </c>
      <c r="E30" s="27">
        <f>IFERROR(E29/E16,"")</f>
        <v/>
      </c>
      <c r="F30" s="27">
        <f>IFERROR(F29/F16,"")</f>
        <v/>
      </c>
      <c r="G30" s="27">
        <f>IFERROR(G29/G16,"")</f>
        <v/>
      </c>
      <c r="H30" s="27">
        <f>IFERROR(H29/H16,"")</f>
        <v/>
      </c>
      <c r="I30" s="27">
        <f>IFERROR(I29/I16,"")</f>
        <v/>
      </c>
      <c r="J30" s="27">
        <f>IFERROR(J29/J16,"")</f>
        <v/>
      </c>
      <c r="K30" s="27">
        <f>IFERROR(K29/K16,"")</f>
        <v/>
      </c>
      <c r="L30" s="27">
        <f>IFERROR(L29/L16,"")</f>
        <v/>
      </c>
      <c r="M30" s="27">
        <f>IFERROR(M29/M16,"")</f>
        <v/>
      </c>
      <c r="N30" s="27">
        <f>IFERROR(N29/N16,"")</f>
        <v/>
      </c>
      <c r="O30" s="27">
        <f>IFERROR(O29/O16,"")</f>
        <v/>
      </c>
      <c r="P30" s="27">
        <f>IFERROR(P29/P16,"")</f>
        <v/>
      </c>
    </row>
    <row r="32">
      <c r="A32" s="5" t="inlineStr">
        <is>
          <t xml:space="preserve">  FCF BRIDGE (NOPAT + D&amp;A + SBC - dNWC - Capex)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4" t="inlineStr">
        <is>
          <t>NOPAT = EBIT x (1 - tax)</t>
        </is>
      </c>
      <c r="B33" s="28">
        <f>B29*(1-Valuation!$B$5)</f>
        <v/>
      </c>
      <c r="C33" s="28">
        <f>C29*(1-Valuation!$B$5)</f>
        <v/>
      </c>
      <c r="D33" s="28">
        <f>D29*(1-Valuation!$B$5)</f>
        <v/>
      </c>
      <c r="E33" s="28">
        <f>E29*(1-Valuation!$B$5)</f>
        <v/>
      </c>
      <c r="F33" s="28">
        <f>F29*(1-Valuation!$B$5)</f>
        <v/>
      </c>
      <c r="G33" s="28">
        <f>G29*(1-Valuation!$B$5)</f>
        <v/>
      </c>
      <c r="H33" s="28">
        <f>H29*(1-Valuation!$B$5)</f>
        <v/>
      </c>
      <c r="I33" s="28">
        <f>I29*(1-Valuation!$B$5)</f>
        <v/>
      </c>
      <c r="J33" s="28">
        <f>J29*(1-Valuation!$B$5)</f>
        <v/>
      </c>
      <c r="K33" s="28">
        <f>K29*(1-Valuation!$B$5)</f>
        <v/>
      </c>
      <c r="L33" s="28">
        <f>L29*(1-Valuation!$B$5)</f>
        <v/>
      </c>
      <c r="M33" s="28">
        <f>M29*(1-Valuation!$B$5)</f>
        <v/>
      </c>
      <c r="N33" s="28">
        <f>N29*(1-Valuation!$B$5)</f>
        <v/>
      </c>
      <c r="O33" s="28">
        <f>O29*(1-Valuation!$B$5)</f>
        <v/>
      </c>
      <c r="P33" s="28">
        <f>P29*(1-Valuation!$B$5)</f>
        <v/>
      </c>
    </row>
    <row r="34">
      <c r="A34" s="4" t="inlineStr">
        <is>
          <t>+ D&amp;A</t>
        </is>
      </c>
      <c r="B34" s="28">
        <f>SUM(Financials!I46:L46)</f>
        <v/>
      </c>
      <c r="C34" s="28">
        <f>SUM(Financials!M46:P46)</f>
        <v/>
      </c>
      <c r="D34" s="28">
        <f>SUM(Financials!Q46:T46)</f>
        <v/>
      </c>
      <c r="E34" s="28">
        <f>SUM(Financials!U46:X46)</f>
        <v/>
      </c>
      <c r="F34" s="28">
        <f>SUM(Financials!Y46:AB46)</f>
        <v/>
      </c>
      <c r="G34" s="32">
        <f>G16*0.0000</f>
        <v/>
      </c>
      <c r="H34" s="32">
        <f>H16*0.0000</f>
        <v/>
      </c>
      <c r="I34" s="32">
        <f>I16*0.0000</f>
        <v/>
      </c>
      <c r="J34" s="32">
        <f>J16*0.0000</f>
        <v/>
      </c>
      <c r="K34" s="32">
        <f>K16*0.0000</f>
        <v/>
      </c>
      <c r="L34" s="32">
        <f>L16*0.0000</f>
        <v/>
      </c>
      <c r="M34" s="32">
        <f>M16*0.0000</f>
        <v/>
      </c>
      <c r="N34" s="32">
        <f>N16*0.0000</f>
        <v/>
      </c>
      <c r="O34" s="32">
        <f>O16*0.0000</f>
        <v/>
      </c>
      <c r="P34" s="32">
        <f>P16*0.0000</f>
        <v/>
      </c>
    </row>
    <row r="35">
      <c r="A35" s="4" t="inlineStr">
        <is>
          <t>+ SBC (non-cash)</t>
        </is>
      </c>
      <c r="B35" s="28">
        <f>SUM(Financials!I47:L47)</f>
        <v/>
      </c>
      <c r="C35" s="28">
        <f>SUM(Financials!M47:P47)</f>
        <v/>
      </c>
      <c r="D35" s="28">
        <f>SUM(Financials!Q47:T47)</f>
        <v/>
      </c>
      <c r="E35" s="28">
        <f>SUM(Financials!U47:X47)</f>
        <v/>
      </c>
      <c r="F35" s="28">
        <f>SUM(Financials!Y47:AB47)</f>
        <v/>
      </c>
      <c r="G35" s="32">
        <f>G16*0.0047</f>
        <v/>
      </c>
      <c r="H35" s="32">
        <f>H16*0.0045</f>
        <v/>
      </c>
      <c r="I35" s="32">
        <f>I16*0.0043</f>
        <v/>
      </c>
      <c r="J35" s="32">
        <f>J16*0.0041</f>
        <v/>
      </c>
      <c r="K35" s="32">
        <f>K16*0.0039</f>
        <v/>
      </c>
      <c r="L35" s="32">
        <f>L16*0.0037</f>
        <v/>
      </c>
      <c r="M35" s="32">
        <f>M16*0.0034</f>
        <v/>
      </c>
      <c r="N35" s="32">
        <f>N16*0.0032</f>
        <v/>
      </c>
      <c r="O35" s="32">
        <f>O16*0.0030</f>
        <v/>
      </c>
      <c r="P35" s="32">
        <f>P16*0.0028</f>
        <v/>
      </c>
    </row>
    <row r="36">
      <c r="A36" s="4" t="inlineStr">
        <is>
          <t>- dNWC</t>
        </is>
      </c>
      <c r="G36" s="32">
        <f>(G16-F16)*0.0050</f>
        <v/>
      </c>
      <c r="H36" s="32">
        <f>(H16-G16)*0.0050</f>
        <v/>
      </c>
      <c r="I36" s="32">
        <f>(I16-H16)*0.0050</f>
        <v/>
      </c>
      <c r="J36" s="32">
        <f>(J16-I16)*0.0050</f>
        <v/>
      </c>
      <c r="K36" s="32">
        <f>(K16-J16)*0.0050</f>
        <v/>
      </c>
      <c r="L36" s="32">
        <f>(L16-K16)*0.0050</f>
        <v/>
      </c>
      <c r="M36" s="32">
        <f>(M16-L16)*0.0050</f>
        <v/>
      </c>
      <c r="N36" s="32">
        <f>(N16-M16)*0.0050</f>
        <v/>
      </c>
      <c r="O36" s="32">
        <f>(O16-N16)*0.0050</f>
        <v/>
      </c>
      <c r="P36" s="32">
        <f>(P16-O16)*0.0050</f>
        <v/>
      </c>
    </row>
    <row r="37">
      <c r="A37" s="4" t="inlineStr">
        <is>
          <t>- Capex</t>
        </is>
      </c>
      <c r="B37" s="28">
        <f>-SUM(Financials!I50:L50)</f>
        <v/>
      </c>
      <c r="C37" s="28">
        <f>-SUM(Financials!M50:P50)</f>
        <v/>
      </c>
      <c r="D37" s="28">
        <f>-SUM(Financials!Q50:T50)</f>
        <v/>
      </c>
      <c r="E37" s="28">
        <f>-SUM(Financials!U50:X50)</f>
        <v/>
      </c>
      <c r="F37" s="28">
        <f>-SUM(Financials!Y50:AB50)</f>
        <v/>
      </c>
      <c r="G37" s="32">
        <f>G34*G38</f>
        <v/>
      </c>
      <c r="H37" s="32">
        <f>H34*H38</f>
        <v/>
      </c>
      <c r="I37" s="32">
        <f>I34*I38</f>
        <v/>
      </c>
      <c r="J37" s="32">
        <f>J34*J38</f>
        <v/>
      </c>
      <c r="K37" s="32">
        <f>K34*K38</f>
        <v/>
      </c>
      <c r="L37" s="32">
        <f>L34*L38</f>
        <v/>
      </c>
      <c r="M37" s="32">
        <f>M34*M38</f>
        <v/>
      </c>
      <c r="N37" s="32">
        <f>N34*N38</f>
        <v/>
      </c>
      <c r="O37" s="32">
        <f>O34*O38</f>
        <v/>
      </c>
      <c r="P37" s="32">
        <f>P34*P38</f>
        <v/>
      </c>
    </row>
    <row r="38">
      <c r="A38" s="4" t="inlineStr">
        <is>
          <t xml:space="preserve">    Capex / D&amp;A  (from Dashboard: $cap'26 -&gt; terminal)</t>
        </is>
      </c>
      <c r="B38" s="34">
        <f>IFERROR(B37/B34,"")</f>
        <v/>
      </c>
      <c r="C38" s="34">
        <f>IFERROR(C37/C34,"")</f>
        <v/>
      </c>
      <c r="D38" s="34">
        <f>IFERROR(D37/D34,"")</f>
        <v/>
      </c>
      <c r="E38" s="34">
        <f>IFERROR(E37/E34,"")</f>
        <v/>
      </c>
      <c r="F38" s="34">
        <f>IFERROR(F37/F34,"")</f>
        <v/>
      </c>
      <c r="G38" s="13">
        <f>(Dashboard!$B$34/G34)+(Dashboard!$B$35-(Dashboard!$B$34/G34))*0/9</f>
        <v/>
      </c>
      <c r="H38" s="13">
        <f>(Dashboard!$B$34/G34)+(Dashboard!$B$35-(Dashboard!$B$34/G34))*1/9</f>
        <v/>
      </c>
      <c r="I38" s="13">
        <f>(Dashboard!$B$34/G34)+(Dashboard!$B$35-(Dashboard!$B$34/G34))*2/9</f>
        <v/>
      </c>
      <c r="J38" s="13">
        <f>(Dashboard!$B$34/G34)+(Dashboard!$B$35-(Dashboard!$B$34/G34))*3/9</f>
        <v/>
      </c>
      <c r="K38" s="13">
        <f>(Dashboard!$B$34/G34)+(Dashboard!$B$35-(Dashboard!$B$34/G34))*4/9</f>
        <v/>
      </c>
      <c r="L38" s="13">
        <f>(Dashboard!$B$34/G34)+(Dashboard!$B$35-(Dashboard!$B$34/G34))*5/9</f>
        <v/>
      </c>
      <c r="M38" s="13">
        <f>(Dashboard!$B$34/G34)+(Dashboard!$B$35-(Dashboard!$B$34/G34))*6/9</f>
        <v/>
      </c>
      <c r="N38" s="13">
        <f>(Dashboard!$B$34/G34)+(Dashboard!$B$35-(Dashboard!$B$34/G34))*7/9</f>
        <v/>
      </c>
      <c r="O38" s="13">
        <f>(Dashboard!$B$34/G34)+(Dashboard!$B$35-(Dashboard!$B$34/G34))*8/9</f>
        <v/>
      </c>
      <c r="P38" s="13">
        <f>(Dashboard!$B$34/G34)+(Dashboard!$B$35-(Dashboard!$B$34/G34))*9/9</f>
        <v/>
      </c>
    </row>
    <row r="40">
      <c r="A40" s="3" t="inlineStr">
        <is>
          <t>FCFF (firm)</t>
        </is>
      </c>
      <c r="B40" s="33">
        <f>B33+B34+B35-B36-B37</f>
        <v/>
      </c>
      <c r="C40" s="33">
        <f>C33+C34+C35-C36-C37</f>
        <v/>
      </c>
      <c r="D40" s="33">
        <f>D33+D34+D35-D36-D37</f>
        <v/>
      </c>
      <c r="E40" s="33">
        <f>E33+E34+E35-E36-E37</f>
        <v/>
      </c>
      <c r="F40" s="33">
        <f>F33+F34+F35-F36-F37</f>
        <v/>
      </c>
      <c r="G40" s="33">
        <f>G33+G34+G35-G36-G37</f>
        <v/>
      </c>
      <c r="H40" s="33">
        <f>H33+H34+H35-H36-H37</f>
        <v/>
      </c>
      <c r="I40" s="33">
        <f>I33+I34+I35-I36-I37</f>
        <v/>
      </c>
      <c r="J40" s="33">
        <f>J33+J34+J35-J36-J37</f>
        <v/>
      </c>
      <c r="K40" s="33">
        <f>K33+K34+K35-K36-K37</f>
        <v/>
      </c>
      <c r="L40" s="33">
        <f>L33+L34+L35-L36-L37</f>
        <v/>
      </c>
      <c r="M40" s="33">
        <f>M33+M34+M35-M36-M37</f>
        <v/>
      </c>
      <c r="N40" s="33">
        <f>N33+N34+N35-N36-N37</f>
        <v/>
      </c>
      <c r="O40" s="33">
        <f>O33+O34+O35-O36-O37</f>
        <v/>
      </c>
      <c r="P40" s="33">
        <f>P33+P34+P35-P36-P37</f>
        <v/>
      </c>
    </row>
    <row r="41">
      <c r="A41" s="3" t="inlineStr">
        <is>
          <t>Valuation FCF (FCFF - SBC)</t>
        </is>
      </c>
      <c r="B41" s="33">
        <f>B40-B35</f>
        <v/>
      </c>
      <c r="C41" s="33">
        <f>C40-C35</f>
        <v/>
      </c>
      <c r="D41" s="33">
        <f>D40-D35</f>
        <v/>
      </c>
      <c r="E41" s="33">
        <f>E40-E35</f>
        <v/>
      </c>
      <c r="F41" s="33">
        <f>F40-F35</f>
        <v/>
      </c>
      <c r="G41" s="33">
        <f>G40-G35</f>
        <v/>
      </c>
      <c r="H41" s="33">
        <f>H40-H35</f>
        <v/>
      </c>
      <c r="I41" s="33">
        <f>I40-I35</f>
        <v/>
      </c>
      <c r="J41" s="33">
        <f>J40-J35</f>
        <v/>
      </c>
      <c r="K41" s="33">
        <f>K40-K35</f>
        <v/>
      </c>
      <c r="L41" s="33">
        <f>L40-L35</f>
        <v/>
      </c>
      <c r="M41" s="33">
        <f>M40-M35</f>
        <v/>
      </c>
      <c r="N41" s="33">
        <f>N40-N35</f>
        <v/>
      </c>
      <c r="O41" s="33">
        <f>O40-O35</f>
        <v/>
      </c>
      <c r="P41" s="33">
        <f>P40-P35</f>
        <v/>
      </c>
    </row>
    <row r="43">
      <c r="A43" s="5" t="inlineStr">
        <is>
          <t xml:space="preserve">  RETURNS ON CAPITAL &amp; EFFICIENCY  (is new revenue/capital earning its keep?)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4" t="inlineStr">
        <is>
          <t>Invested capital (debt + equity - cash)</t>
        </is>
      </c>
      <c r="B44" s="28">
        <f>Financials!L44+Financials!L43-Financials!L38</f>
        <v/>
      </c>
      <c r="C44" s="28">
        <f>Financials!P44+Financials!P43-Financials!P38</f>
        <v/>
      </c>
      <c r="D44" s="28">
        <f>Financials!T44+Financials!T43-Financials!T38</f>
        <v/>
      </c>
      <c r="E44" s="28">
        <f>Financials!X44+Financials!X43-Financials!X38</f>
        <v/>
      </c>
      <c r="F44" s="28">
        <f>Financials!AB44+Financials!AB43-Financials!AB38</f>
        <v/>
      </c>
      <c r="G44" s="32">
        <f>F44+G37-G34+G36</f>
        <v/>
      </c>
      <c r="H44" s="32">
        <f>G44+H37-H34+H36</f>
        <v/>
      </c>
      <c r="I44" s="32">
        <f>H44+I37-I34+I36</f>
        <v/>
      </c>
      <c r="J44" s="32">
        <f>I44+J37-J34+J36</f>
        <v/>
      </c>
      <c r="K44" s="32">
        <f>J44+K37-K34+K36</f>
        <v/>
      </c>
      <c r="L44" s="32">
        <f>K44+L37-L34+L36</f>
        <v/>
      </c>
      <c r="M44" s="32">
        <f>L44+M37-M34+M36</f>
        <v/>
      </c>
      <c r="N44" s="32">
        <f>M44+N37-N34+N36</f>
        <v/>
      </c>
      <c r="O44" s="32">
        <f>N44+O37-O34+O36</f>
        <v/>
      </c>
      <c r="P44" s="32">
        <f>O44+P37-P34+P36</f>
        <v/>
      </c>
    </row>
    <row r="45">
      <c r="A45" s="4" t="inlineStr">
        <is>
          <t>Book equity (year-end)</t>
        </is>
      </c>
      <c r="B45" s="28">
        <f>Financials!L44</f>
        <v/>
      </c>
      <c r="C45" s="28">
        <f>Financials!P44</f>
        <v/>
      </c>
      <c r="D45" s="28">
        <f>Financials!T44</f>
        <v/>
      </c>
      <c r="E45" s="28">
        <f>Financials!X44</f>
        <v/>
      </c>
      <c r="F45" s="28">
        <f>Financials!AB44</f>
        <v/>
      </c>
      <c r="G45" s="32">
        <f>F45+G33</f>
        <v/>
      </c>
      <c r="H45" s="32">
        <f>G45+H33</f>
        <v/>
      </c>
      <c r="I45" s="32">
        <f>H45+I33</f>
        <v/>
      </c>
      <c r="J45" s="32">
        <f>I45+J33</f>
        <v/>
      </c>
      <c r="K45" s="32">
        <f>J45+K33</f>
        <v/>
      </c>
      <c r="L45" s="32">
        <f>K45+L33</f>
        <v/>
      </c>
      <c r="M45" s="32">
        <f>L45+M33</f>
        <v/>
      </c>
      <c r="N45" s="32">
        <f>M45+N33</f>
        <v/>
      </c>
      <c r="O45" s="32">
        <f>N45+O33</f>
        <v/>
      </c>
      <c r="P45" s="32">
        <f>O45+P33</f>
        <v/>
      </c>
    </row>
    <row r="46">
      <c r="A46" s="3" t="inlineStr">
        <is>
          <t xml:space="preserve">  ROIC (NOPAT / beg. invested capital)</t>
        </is>
      </c>
      <c r="C46" s="27">
        <f>IFERROR(C33/B44,"")</f>
        <v/>
      </c>
      <c r="D46" s="27">
        <f>IFERROR(D33/C44,"")</f>
        <v/>
      </c>
      <c r="E46" s="27">
        <f>IFERROR(E33/D44,"")</f>
        <v/>
      </c>
      <c r="F46" s="27">
        <f>IFERROR(F33/E44,"")</f>
        <v/>
      </c>
      <c r="G46" s="27">
        <f>IFERROR(G33/F44,"")</f>
        <v/>
      </c>
      <c r="H46" s="27">
        <f>IFERROR(H33/G44,"")</f>
        <v/>
      </c>
      <c r="I46" s="27">
        <f>IFERROR(I33/H44,"")</f>
        <v/>
      </c>
      <c r="J46" s="27">
        <f>IFERROR(J33/I44,"")</f>
        <v/>
      </c>
      <c r="K46" s="27">
        <f>IFERROR(K33/J44,"")</f>
        <v/>
      </c>
      <c r="L46" s="27">
        <f>IFERROR(L33/K44,"")</f>
        <v/>
      </c>
      <c r="M46" s="27">
        <f>IFERROR(M33/L44,"")</f>
        <v/>
      </c>
      <c r="N46" s="27">
        <f>IFERROR(N33/M44,"")</f>
        <v/>
      </c>
      <c r="O46" s="27">
        <f>IFERROR(O33/N44,"")</f>
        <v/>
      </c>
      <c r="P46" s="27">
        <f>IFERROR(P33/O44,"")</f>
        <v/>
      </c>
    </row>
    <row r="47">
      <c r="A47" s="3" t="inlineStr">
        <is>
          <t xml:space="preserve">  ROE (earnings / beg. equity)</t>
        </is>
      </c>
      <c r="C47" s="11">
        <f>IFERROR(SUM(Financials!M15:P15)/B45,"")</f>
        <v/>
      </c>
      <c r="D47" s="11">
        <f>IFERROR(SUM(Financials!Q15:T15)/C45,"")</f>
        <v/>
      </c>
      <c r="E47" s="11">
        <f>IFERROR(SUM(Financials!U15:X15)/D45,"")</f>
        <v/>
      </c>
      <c r="F47" s="11">
        <f>IFERROR(SUM(Financials!Y15:AB15)/E45,"")</f>
        <v/>
      </c>
      <c r="G47" s="27">
        <f>IFERROR(G33/F45,"")</f>
        <v/>
      </c>
      <c r="H47" s="27">
        <f>IFERROR(H33/G45,"")</f>
        <v/>
      </c>
      <c r="I47" s="27">
        <f>IFERROR(I33/H45,"")</f>
        <v/>
      </c>
      <c r="J47" s="27">
        <f>IFERROR(J33/I45,"")</f>
        <v/>
      </c>
      <c r="K47" s="27">
        <f>IFERROR(K33/J45,"")</f>
        <v/>
      </c>
      <c r="L47" s="27">
        <f>IFERROR(L33/K45,"")</f>
        <v/>
      </c>
      <c r="M47" s="27">
        <f>IFERROR(M33/L45,"")</f>
        <v/>
      </c>
      <c r="N47" s="27">
        <f>IFERROR(N33/M45,"")</f>
        <v/>
      </c>
      <c r="O47" s="27">
        <f>IFERROR(O33/N45,"")</f>
        <v/>
      </c>
      <c r="P47" s="27">
        <f>IFERROR(P33/O45,"")</f>
        <v/>
      </c>
    </row>
    <row r="48">
      <c r="A48" s="4" t="inlineStr">
        <is>
          <t xml:space="preserve">  ROIC - WACC spread (value created)</t>
        </is>
      </c>
      <c r="C48" s="11">
        <f>IFERROR(C46-WACC!$B$14,"")</f>
        <v/>
      </c>
      <c r="D48" s="11">
        <f>IFERROR(D46-WACC!$B$14,"")</f>
        <v/>
      </c>
      <c r="E48" s="11">
        <f>IFERROR(E46-WACC!$B$14,"")</f>
        <v/>
      </c>
      <c r="F48" s="11">
        <f>IFERROR(F46-WACC!$B$14,"")</f>
        <v/>
      </c>
      <c r="G48" s="11">
        <f>IFERROR(G46-WACC!$B$14,"")</f>
        <v/>
      </c>
      <c r="H48" s="11">
        <f>IFERROR(H46-WACC!$B$14,"")</f>
        <v/>
      </c>
      <c r="I48" s="11">
        <f>IFERROR(I46-WACC!$B$14,"")</f>
        <v/>
      </c>
      <c r="J48" s="11">
        <f>IFERROR(J46-WACC!$B$14,"")</f>
        <v/>
      </c>
      <c r="K48" s="11">
        <f>IFERROR(K46-WACC!$B$14,"")</f>
        <v/>
      </c>
      <c r="L48" s="11">
        <f>IFERROR(L46-WACC!$B$14,"")</f>
        <v/>
      </c>
      <c r="M48" s="11">
        <f>IFERROR(M46-WACC!$B$14,"")</f>
        <v/>
      </c>
      <c r="N48" s="11">
        <f>IFERROR(N46-WACC!$B$14,"")</f>
        <v/>
      </c>
      <c r="O48" s="11">
        <f>IFERROR(O46-WACC!$B$14,"")</f>
        <v/>
      </c>
      <c r="P48" s="11">
        <f>IFERROR(P46-WACC!$B$14,"")</f>
        <v/>
      </c>
    </row>
    <row r="49">
      <c r="A49" s="4" t="inlineStr">
        <is>
          <t xml:space="preserve">  Incremental op margin (ΔEBIT / ΔRev)</t>
        </is>
      </c>
      <c r="C49" s="27">
        <f>IFERROR((C29-B29)/(C16-B16),"")</f>
        <v/>
      </c>
      <c r="D49" s="27">
        <f>IFERROR((D29-C29)/(D16-C16),"")</f>
        <v/>
      </c>
      <c r="E49" s="27">
        <f>IFERROR((E29-D29)/(E16-D16),"")</f>
        <v/>
      </c>
      <c r="F49" s="27">
        <f>IFERROR((F29-E29)/(F16-E16),"")</f>
        <v/>
      </c>
      <c r="G49" s="27">
        <f>IFERROR((G29-F29)/(G16-F16),"")</f>
        <v/>
      </c>
      <c r="H49" s="27">
        <f>IFERROR((H29-G29)/(H16-G16),"")</f>
        <v/>
      </c>
      <c r="I49" s="27">
        <f>IFERROR((I29-H29)/(I16-H16),"")</f>
        <v/>
      </c>
      <c r="J49" s="27">
        <f>IFERROR((J29-I29)/(J16-I16),"")</f>
        <v/>
      </c>
      <c r="K49" s="27">
        <f>IFERROR((K29-J29)/(K16-J16),"")</f>
        <v/>
      </c>
      <c r="L49" s="27">
        <f>IFERROR((L29-K29)/(L16-K16),"")</f>
        <v/>
      </c>
      <c r="M49" s="27">
        <f>IFERROR((M29-L29)/(M16-L16),"")</f>
        <v/>
      </c>
      <c r="N49" s="27">
        <f>IFERROR((N29-M29)/(N16-M16),"")</f>
        <v/>
      </c>
      <c r="O49" s="27">
        <f>IFERROR((O29-N29)/(O16-N16),"")</f>
        <v/>
      </c>
      <c r="P49" s="27">
        <f>IFERROR((P29-O29)/(P16-O16),"")</f>
        <v/>
      </c>
    </row>
    <row r="50">
      <c r="A50" s="3" t="inlineStr">
        <is>
          <t xml:space="preserve">  ROIIC (ΔNOPAT / ΔInvested capital)</t>
        </is>
      </c>
      <c r="C50" s="27">
        <f>IFERROR((C33-B33)/(C44-B44),"")</f>
        <v/>
      </c>
      <c r="D50" s="27">
        <f>IFERROR((D33-C33)/(D44-C44),"")</f>
        <v/>
      </c>
      <c r="E50" s="27">
        <f>IFERROR((E33-D33)/(E44-D44),"")</f>
        <v/>
      </c>
      <c r="F50" s="27">
        <f>IFERROR((F33-E33)/(F44-E44),"")</f>
        <v/>
      </c>
      <c r="G50" s="27">
        <f>IFERROR((G33-F33)/(G44-F44),"")</f>
        <v/>
      </c>
      <c r="H50" s="27">
        <f>IFERROR((H33-G33)/(H44-G44),"")</f>
        <v/>
      </c>
      <c r="I50" s="27">
        <f>IFERROR((I33-H33)/(I44-H44),"")</f>
        <v/>
      </c>
      <c r="J50" s="27">
        <f>IFERROR((J33-I33)/(J44-I44),"")</f>
        <v/>
      </c>
      <c r="K50" s="27">
        <f>IFERROR((K33-J33)/(K44-J44),"")</f>
        <v/>
      </c>
      <c r="L50" s="27">
        <f>IFERROR((L33-K33)/(L44-K44),"")</f>
        <v/>
      </c>
      <c r="M50" s="27">
        <f>IFERROR((M33-L33)/(M44-L44),"")</f>
        <v/>
      </c>
      <c r="N50" s="27">
        <f>IFERROR((N33-M33)/(N44-M44),"")</f>
        <v/>
      </c>
      <c r="O50" s="27">
        <f>IFERROR((O33-N33)/(O44-N44),"")</f>
        <v/>
      </c>
      <c r="P50" s="27">
        <f>IFERROR((P33-O33)/(P44-O44),"")</f>
        <v/>
      </c>
    </row>
    <row r="51">
      <c r="A51" s="4" t="inlineStr">
        <is>
          <t xml:space="preserve">  Sales-to-capital (ΔRev / ΔInvested capital)</t>
        </is>
      </c>
      <c r="C51" s="35">
        <f>IFERROR((C16-B16)/(C44-B44),"")</f>
        <v/>
      </c>
      <c r="D51" s="35">
        <f>IFERROR((D16-C16)/(D44-C44),"")</f>
        <v/>
      </c>
      <c r="E51" s="35">
        <f>IFERROR((E16-D16)/(E44-D44),"")</f>
        <v/>
      </c>
      <c r="F51" s="35">
        <f>IFERROR((F16-E16)/(F44-E44),"")</f>
        <v/>
      </c>
      <c r="G51" s="35">
        <f>IFERROR((G16-F16)/(G44-F44),"")</f>
        <v/>
      </c>
      <c r="H51" s="35">
        <f>IFERROR((H16-G16)/(H44-G44),"")</f>
        <v/>
      </c>
      <c r="I51" s="35">
        <f>IFERROR((I16-H16)/(I44-H44),"")</f>
        <v/>
      </c>
      <c r="J51" s="35">
        <f>IFERROR((J16-I16)/(J44-I44),"")</f>
        <v/>
      </c>
      <c r="K51" s="35">
        <f>IFERROR((K16-J16)/(K44-J44),"")</f>
        <v/>
      </c>
      <c r="L51" s="35">
        <f>IFERROR((L16-K16)/(L44-K44),"")</f>
        <v/>
      </c>
      <c r="M51" s="35">
        <f>IFERROR((M16-L16)/(M44-L44),"")</f>
        <v/>
      </c>
      <c r="N51" s="35">
        <f>IFERROR((N16-M16)/(N44-M44),"")</f>
        <v/>
      </c>
      <c r="O51" s="35">
        <f>IFERROR((O16-N16)/(O44-N44),"")</f>
        <v/>
      </c>
      <c r="P51" s="35">
        <f>IFERROR((P16-O16)/(P44-O44),"")</f>
        <v/>
      </c>
    </row>
    <row r="52">
      <c r="A52" s="4" t="inlineStr">
        <is>
          <t xml:space="preserve">  Reinvestment rate (ΔInvested capital / NOPAT)</t>
        </is>
      </c>
      <c r="C52" s="27">
        <f>IFERROR((C44-B44)/C33,"")</f>
        <v/>
      </c>
      <c r="D52" s="27">
        <f>IFERROR((D44-C44)/D33,"")</f>
        <v/>
      </c>
      <c r="E52" s="27">
        <f>IFERROR((E44-D44)/E33,"")</f>
        <v/>
      </c>
      <c r="F52" s="27">
        <f>IFERROR((F44-E44)/F33,"")</f>
        <v/>
      </c>
      <c r="G52" s="27">
        <f>IFERROR((G44-F44)/G33,"")</f>
        <v/>
      </c>
      <c r="H52" s="27">
        <f>IFERROR((H44-G44)/H33,"")</f>
        <v/>
      </c>
      <c r="I52" s="27">
        <f>IFERROR((I44-H44)/I33,"")</f>
        <v/>
      </c>
      <c r="J52" s="27">
        <f>IFERROR((J44-I44)/J33,"")</f>
        <v/>
      </c>
      <c r="K52" s="27">
        <f>IFERROR((K44-J44)/K33,"")</f>
        <v/>
      </c>
      <c r="L52" s="27">
        <f>IFERROR((L44-K44)/L33,"")</f>
        <v/>
      </c>
      <c r="M52" s="27">
        <f>IFERROR((M44-L44)/M33,"")</f>
        <v/>
      </c>
      <c r="N52" s="27">
        <f>IFERROR((N44-M44)/N33,"")</f>
        <v/>
      </c>
      <c r="O52" s="27">
        <f>IFERROR((O44-N44)/O33,"")</f>
        <v/>
      </c>
      <c r="P52" s="27">
        <f>IFERROR((P44-O44)/P33,"")</f>
        <v/>
      </c>
    </row>
    <row r="54">
      <c r="A5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3658</v>
      </c>
      <c r="C3" s="18" t="n">
        <v>3212</v>
      </c>
      <c r="D3" s="18" t="n">
        <v>3816</v>
      </c>
      <c r="E3" s="18" t="n">
        <v>3038</v>
      </c>
      <c r="F3" s="18" t="n">
        <v>2883</v>
      </c>
      <c r="G3" s="18" t="n">
        <v>3727</v>
      </c>
      <c r="H3" s="18" t="n">
        <v>4225</v>
      </c>
      <c r="I3" s="18" t="n">
        <v>4647</v>
      </c>
      <c r="J3" s="18" t="n">
        <v>5587</v>
      </c>
      <c r="K3" s="18" t="n">
        <v>6189</v>
      </c>
      <c r="L3" s="18" t="n">
        <v>5934</v>
      </c>
      <c r="M3" s="18" t="n">
        <v>6367</v>
      </c>
      <c r="N3" s="18" t="n">
        <v>6181</v>
      </c>
      <c r="O3" s="18" t="n">
        <v>5359</v>
      </c>
      <c r="P3" s="18" t="n">
        <v>5445</v>
      </c>
      <c r="Q3" s="18" t="n">
        <v>5108</v>
      </c>
      <c r="R3" s="18" t="n">
        <v>5932</v>
      </c>
      <c r="S3" s="18" t="n">
        <v>5868</v>
      </c>
      <c r="T3" s="18" t="n">
        <v>5799</v>
      </c>
      <c r="U3" s="18" t="n">
        <v>6210</v>
      </c>
      <c r="V3" s="18" t="n">
        <v>6370</v>
      </c>
      <c r="W3" s="18" t="n">
        <v>6680</v>
      </c>
      <c r="X3" s="18" t="n">
        <v>5880</v>
      </c>
      <c r="Y3" s="18" t="n">
        <v>5554</v>
      </c>
      <c r="Z3" s="18" t="n">
        <v>7582</v>
      </c>
      <c r="AA3" s="18" t="n">
        <v>6972</v>
      </c>
      <c r="AB3" s="18" t="n">
        <v>5633</v>
      </c>
      <c r="AC3" s="18" t="n">
        <v>6234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3381</v>
      </c>
      <c r="C5" s="18" t="n">
        <v>3053</v>
      </c>
      <c r="D5" s="18" t="n">
        <v>3417</v>
      </c>
      <c r="E5" s="18" t="n">
        <v>3115</v>
      </c>
      <c r="F5" s="18" t="n">
        <v>2446</v>
      </c>
      <c r="G5" s="18" t="n">
        <v>2836</v>
      </c>
      <c r="H5" s="18" t="n">
        <v>3065</v>
      </c>
      <c r="I5" s="18" t="n">
        <v>3192</v>
      </c>
      <c r="J5" s="18" t="n">
        <v>3542</v>
      </c>
      <c r="K5" s="18" t="n">
        <v>3567</v>
      </c>
      <c r="L5" s="18" t="n">
        <v>3739</v>
      </c>
      <c r="M5" s="18" t="n">
        <v>3624</v>
      </c>
      <c r="N5" s="18" t="n">
        <v>3575</v>
      </c>
      <c r="O5" s="18" t="n">
        <v>3942</v>
      </c>
      <c r="P5" s="18" t="n">
        <v>4057</v>
      </c>
      <c r="Q5" s="18" t="n">
        <v>3593</v>
      </c>
      <c r="R5" s="18" t="n">
        <v>4139</v>
      </c>
      <c r="S5" s="18" t="n">
        <v>4115</v>
      </c>
      <c r="T5" s="18" t="n">
        <v>3980</v>
      </c>
      <c r="U5" s="18" t="n">
        <v>4467</v>
      </c>
      <c r="V5" s="18" t="n">
        <v>4407</v>
      </c>
      <c r="W5" s="18" t="n">
        <v>4696</v>
      </c>
      <c r="X5" s="18" t="n">
        <v>4382</v>
      </c>
      <c r="Y5" s="18" t="n">
        <v>4299</v>
      </c>
      <c r="Z5" s="18" t="n">
        <v>4996</v>
      </c>
      <c r="AA5" s="18" t="n">
        <v>4885</v>
      </c>
      <c r="AB5" s="18" t="n">
        <v>4616</v>
      </c>
      <c r="AC5" s="18" t="n">
        <v>4579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38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97</v>
      </c>
      <c r="C9" s="18" t="n">
        <v>106</v>
      </c>
      <c r="D9" s="18" t="n">
        <v>99</v>
      </c>
      <c r="E9" s="18" t="n">
        <v>110</v>
      </c>
      <c r="F9" s="18" t="n">
        <v>76</v>
      </c>
      <c r="G9" s="18" t="n">
        <v>72</v>
      </c>
      <c r="H9" s="18" t="n">
        <v>97</v>
      </c>
      <c r="I9" s="18" t="n">
        <v>100</v>
      </c>
      <c r="J9" s="18" t="n">
        <v>87</v>
      </c>
      <c r="K9" s="18" t="n">
        <v>102</v>
      </c>
      <c r="L9" s="18" t="n">
        <v>94</v>
      </c>
      <c r="M9" s="18" t="n">
        <v>115</v>
      </c>
      <c r="N9" s="18" t="n">
        <v>100</v>
      </c>
      <c r="O9" s="18" t="n">
        <v>98</v>
      </c>
      <c r="P9" s="18" t="n">
        <v>107</v>
      </c>
      <c r="Q9" s="18" t="n">
        <v>126</v>
      </c>
      <c r="R9" s="18" t="n">
        <v>115</v>
      </c>
      <c r="S9" s="18" t="n">
        <v>118</v>
      </c>
      <c r="T9" s="18" t="n">
        <v>120</v>
      </c>
      <c r="U9" s="18" t="n">
        <v>144</v>
      </c>
      <c r="V9" s="18" t="n">
        <v>123</v>
      </c>
      <c r="W9" s="18" t="n">
        <v>117</v>
      </c>
      <c r="X9" s="18" t="n">
        <v>129</v>
      </c>
      <c r="Y9" s="18" t="n">
        <v>154</v>
      </c>
      <c r="Z9" s="18" t="n">
        <v>127</v>
      </c>
      <c r="AA9" s="18" t="n">
        <v>131</v>
      </c>
      <c r="AB9" s="18" t="n">
        <v>133</v>
      </c>
      <c r="AC9" s="18" t="n">
        <v>162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277</v>
      </c>
      <c r="C11" s="18" t="n">
        <v>159</v>
      </c>
      <c r="D11" s="18" t="n">
        <v>399</v>
      </c>
      <c r="E11" s="18" t="n">
        <v>-77</v>
      </c>
      <c r="F11" s="18" t="n">
        <v>437</v>
      </c>
      <c r="G11" s="18" t="n">
        <v>891</v>
      </c>
      <c r="H11" s="18" t="n">
        <v>1160</v>
      </c>
      <c r="I11" s="18" t="n">
        <v>1455</v>
      </c>
      <c r="J11" s="18" t="n">
        <v>2045</v>
      </c>
      <c r="K11" s="18" t="n">
        <v>2622</v>
      </c>
      <c r="L11" s="18" t="n">
        <v>2195</v>
      </c>
      <c r="M11" s="18" t="n">
        <v>2743</v>
      </c>
      <c r="N11" s="18" t="n">
        <v>2606</v>
      </c>
      <c r="O11" s="18" t="n">
        <v>1417</v>
      </c>
      <c r="P11" s="18" t="n">
        <v>1388</v>
      </c>
      <c r="Q11" s="18" t="n">
        <v>1515</v>
      </c>
      <c r="R11" s="18" t="n">
        <v>1793</v>
      </c>
      <c r="S11" s="18" t="n">
        <v>1753</v>
      </c>
      <c r="T11" s="18" t="n">
        <v>1819</v>
      </c>
      <c r="U11" s="18" t="n">
        <v>1743</v>
      </c>
      <c r="V11" s="18" t="n">
        <v>1963</v>
      </c>
      <c r="W11" s="18" t="n">
        <v>1984</v>
      </c>
      <c r="X11" s="18" t="n">
        <v>1498</v>
      </c>
      <c r="Y11" s="18" t="n">
        <v>1255</v>
      </c>
      <c r="Z11" s="18" t="n">
        <v>2586</v>
      </c>
      <c r="AA11" s="18" t="n">
        <v>2087</v>
      </c>
      <c r="AB11" s="18" t="n">
        <v>1017</v>
      </c>
      <c r="AC11" s="18" t="n">
        <v>1655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157</v>
      </c>
      <c r="C13" s="18" t="n">
        <v>33</v>
      </c>
      <c r="D13" s="18" t="n">
        <v>280</v>
      </c>
      <c r="E13" s="18" t="n">
        <v>-213</v>
      </c>
      <c r="F13" s="18" t="n">
        <v>350</v>
      </c>
      <c r="G13" s="18" t="n">
        <v>798</v>
      </c>
      <c r="H13" s="18" t="n">
        <v>962</v>
      </c>
      <c r="I13" s="18" t="n">
        <v>1350</v>
      </c>
      <c r="J13" s="18" t="n">
        <v>1925</v>
      </c>
      <c r="K13" s="18" t="n">
        <v>2507</v>
      </c>
      <c r="L13" s="18" t="n">
        <v>2061</v>
      </c>
      <c r="M13" s="18" t="n">
        <v>2612</v>
      </c>
      <c r="N13" s="18" t="n">
        <v>2477</v>
      </c>
      <c r="O13" s="18" t="n">
        <v>1313</v>
      </c>
      <c r="P13" s="18" t="n">
        <v>1211</v>
      </c>
      <c r="Q13" s="18" t="n">
        <v>1322</v>
      </c>
      <c r="R13" s="18" t="n">
        <v>1604</v>
      </c>
      <c r="S13" s="18" t="n">
        <v>1537</v>
      </c>
      <c r="T13" s="18" t="n">
        <v>1619</v>
      </c>
      <c r="U13" s="18" t="n">
        <v>1532</v>
      </c>
      <c r="V13" s="18" t="n">
        <v>1812</v>
      </c>
      <c r="W13" s="18" t="n">
        <v>1847</v>
      </c>
      <c r="X13" s="18" t="n">
        <v>1357</v>
      </c>
      <c r="Y13" s="18" t="n">
        <v>1091</v>
      </c>
      <c r="Z13" s="18" t="n">
        <v>2432</v>
      </c>
      <c r="AA13" s="18" t="n">
        <v>1956</v>
      </c>
      <c r="AB13" s="18" t="n">
        <v>811</v>
      </c>
      <c r="AC13" s="18" t="n">
        <v>2137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-75</v>
      </c>
      <c r="C15" s="18" t="n">
        <v>-211</v>
      </c>
      <c r="D15" s="18" t="n">
        <v>8</v>
      </c>
      <c r="E15" s="18" t="n">
        <v>-494</v>
      </c>
      <c r="F15" s="18" t="n">
        <v>50</v>
      </c>
      <c r="G15" s="18" t="n">
        <v>326</v>
      </c>
      <c r="H15" s="18" t="n">
        <v>708</v>
      </c>
      <c r="I15" s="18" t="n">
        <v>714</v>
      </c>
      <c r="J15" s="18" t="n">
        <v>1079</v>
      </c>
      <c r="K15" s="18" t="n">
        <v>1395</v>
      </c>
      <c r="L15" s="18" t="n">
        <v>1105</v>
      </c>
      <c r="M15" s="18" t="n">
        <v>1522</v>
      </c>
      <c r="N15" s="18" t="n">
        <v>836</v>
      </c>
      <c r="O15" s="18" t="n">
        <v>399</v>
      </c>
      <c r="P15" s="18" t="n">
        <v>696</v>
      </c>
      <c r="Q15" s="18" t="n">
        <v>658</v>
      </c>
      <c r="R15" s="18" t="n">
        <v>338</v>
      </c>
      <c r="S15" s="18" t="n">
        <v>449</v>
      </c>
      <c r="T15" s="18" t="n">
        <v>387</v>
      </c>
      <c r="U15" s="18" t="n">
        <v>468</v>
      </c>
      <c r="V15" s="18" t="n">
        <v>610</v>
      </c>
      <c r="W15" s="18" t="n">
        <v>520</v>
      </c>
      <c r="X15" s="18" t="n">
        <v>274</v>
      </c>
      <c r="Y15" s="18" t="n">
        <v>346</v>
      </c>
      <c r="Z15" s="18" t="n">
        <v>772</v>
      </c>
      <c r="AA15" s="18" t="n">
        <v>674</v>
      </c>
      <c r="AB15" s="18" t="n">
        <v>406</v>
      </c>
      <c r="AC15" s="18" t="n">
        <v>881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1451</v>
      </c>
      <c r="C17" s="18" t="n">
        <v>1452</v>
      </c>
      <c r="D17" s="18" t="n">
        <v>1457</v>
      </c>
      <c r="E17" s="18" t="n">
        <v>1452</v>
      </c>
      <c r="F17" s="18" t="n">
        <v>1458</v>
      </c>
      <c r="G17" s="18" t="n">
        <v>1461</v>
      </c>
      <c r="H17" s="18" t="n">
        <v>1469</v>
      </c>
      <c r="I17" s="18" t="n">
        <v>1477</v>
      </c>
      <c r="J17" s="18" t="n">
        <v>1483</v>
      </c>
      <c r="K17" s="18" t="n">
        <v>1484</v>
      </c>
      <c r="L17" s="18" t="n">
        <v>1482</v>
      </c>
      <c r="M17" s="18" t="n">
        <v>1469</v>
      </c>
      <c r="N17" s="18" t="n">
        <v>1457</v>
      </c>
      <c r="O17" s="18" t="n">
        <v>1439</v>
      </c>
      <c r="P17" s="18" t="n">
        <v>1440</v>
      </c>
      <c r="Q17" s="18" t="n">
        <v>1443</v>
      </c>
      <c r="R17" s="18" t="n">
        <v>1442</v>
      </c>
      <c r="S17" s="18" t="n">
        <v>1443</v>
      </c>
      <c r="T17" s="18" t="n">
        <v>1444</v>
      </c>
      <c r="U17" s="18" t="n">
        <v>1444</v>
      </c>
      <c r="V17" s="18" t="n">
        <v>1445</v>
      </c>
      <c r="W17" s="18" t="n">
        <v>1444</v>
      </c>
      <c r="X17" s="18" t="n">
        <v>1445</v>
      </c>
      <c r="Y17" s="18" t="n">
        <v>1444</v>
      </c>
      <c r="Z17" s="18" t="n">
        <v>1444</v>
      </c>
      <c r="AA17" s="18" t="n">
        <v>1443</v>
      </c>
      <c r="AB17" s="18" t="n">
        <v>1443</v>
      </c>
      <c r="AC17" s="18" t="n">
        <v>1444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Copper Cathode</t>
        </is>
      </c>
      <c r="B19" s="18" t="n">
        <v>959</v>
      </c>
      <c r="C19" s="18" t="n">
        <v>878</v>
      </c>
      <c r="E19" s="18" t="n">
        <v>837</v>
      </c>
      <c r="H19" s="18" t="n">
        <v>3367</v>
      </c>
      <c r="V19" s="18" t="n">
        <v>2237</v>
      </c>
      <c r="W19" s="18" t="n">
        <v>2070</v>
      </c>
      <c r="X19" s="18" t="n">
        <v>6246</v>
      </c>
      <c r="Y19" s="18" t="n">
        <v>2025</v>
      </c>
      <c r="Z19" s="18" t="n">
        <v>2173</v>
      </c>
      <c r="AA19" s="18" t="n">
        <v>1817</v>
      </c>
      <c r="AB19" s="18" t="n">
        <v>2132</v>
      </c>
      <c r="AC19" s="18" t="n">
        <v>2050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Refined Copper Products</t>
        </is>
      </c>
      <c r="B22" s="18" t="n">
        <v>516</v>
      </c>
      <c r="C22" s="18" t="n">
        <v>537</v>
      </c>
      <c r="E22" s="18" t="n">
        <v>542</v>
      </c>
      <c r="H22" s="18" t="n">
        <v>1510</v>
      </c>
      <c r="V22" s="18" t="n">
        <v>974</v>
      </c>
      <c r="W22" s="18" t="n">
        <v>1012</v>
      </c>
      <c r="X22" s="18" t="n">
        <v>2839</v>
      </c>
      <c r="Y22" s="18" t="n">
        <v>960</v>
      </c>
      <c r="Z22" s="18" t="n">
        <v>969</v>
      </c>
      <c r="AA22" s="18" t="n">
        <v>1330</v>
      </c>
      <c r="AB22" s="18" t="n">
        <v>1160</v>
      </c>
      <c r="AC22" s="18" t="n">
        <v>1504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Copper In Concentrates</t>
        </is>
      </c>
      <c r="B25" s="18" t="n">
        <v>1134</v>
      </c>
      <c r="C25" s="18" t="n">
        <v>952</v>
      </c>
      <c r="E25" s="18" t="n">
        <v>849</v>
      </c>
      <c r="H25" s="18" t="n">
        <v>3445</v>
      </c>
      <c r="V25" s="18" t="n">
        <v>1595</v>
      </c>
      <c r="W25" s="18" t="n">
        <v>1786</v>
      </c>
      <c r="X25" s="18" t="n">
        <v>4940</v>
      </c>
      <c r="Y25" s="18" t="n">
        <v>1386</v>
      </c>
      <c r="Z25" s="18" t="n">
        <v>2023</v>
      </c>
      <c r="AA25" s="18" t="n">
        <v>1967</v>
      </c>
      <c r="AB25" s="18" t="n">
        <v>934</v>
      </c>
      <c r="AC25" s="18" t="n">
        <v>1083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4" t="inlineStr">
        <is>
          <t>Gold</t>
        </is>
      </c>
      <c r="B28" s="18" t="n">
        <v>305</v>
      </c>
      <c r="C28" s="18" t="n">
        <v>415</v>
      </c>
      <c r="E28" s="18" t="n">
        <v>270</v>
      </c>
      <c r="H28" s="18" t="n">
        <v>1432</v>
      </c>
      <c r="V28" s="18" t="n">
        <v>935</v>
      </c>
      <c r="W28" s="18" t="n">
        <v>1394</v>
      </c>
      <c r="X28" s="18" t="n">
        <v>3052</v>
      </c>
      <c r="Y28" s="18" t="n">
        <v>475</v>
      </c>
      <c r="Z28" s="18" t="n">
        <v>1833</v>
      </c>
      <c r="AA28" s="18" t="n">
        <v>1204</v>
      </c>
      <c r="AB28" s="18" t="n">
        <v>388</v>
      </c>
      <c r="AC28" s="18" t="n">
        <v>692</v>
      </c>
    </row>
    <row r="29">
      <c r="A29" s="4" t="inlineStr">
        <is>
          <t xml:space="preserve">    % YoY</t>
        </is>
      </c>
      <c r="F29" s="27">
        <f>IFERROR(F28/B28-1,"")</f>
        <v/>
      </c>
      <c r="G29" s="27">
        <f>IFERROR(G28/C28-1,"")</f>
        <v/>
      </c>
      <c r="H29" s="27">
        <f>IFERROR(H28/D28-1,"")</f>
        <v/>
      </c>
      <c r="I29" s="27">
        <f>IFERROR(I28/E28-1,"")</f>
        <v/>
      </c>
      <c r="J29" s="27">
        <f>IFERROR(J28/F28-1,"")</f>
        <v/>
      </c>
      <c r="K29" s="27">
        <f>IFERROR(K28/G28-1,"")</f>
        <v/>
      </c>
      <c r="L29" s="27">
        <f>IFERROR(L28/H28-1,"")</f>
        <v/>
      </c>
      <c r="M29" s="27">
        <f>IFERROR(M28/I28-1,"")</f>
        <v/>
      </c>
      <c r="N29" s="27">
        <f>IFERROR(N28/J28-1,"")</f>
        <v/>
      </c>
      <c r="O29" s="27">
        <f>IFERROR(O28/K28-1,"")</f>
        <v/>
      </c>
      <c r="P29" s="27">
        <f>IFERROR(P28/L28-1,"")</f>
        <v/>
      </c>
      <c r="Q29" s="27">
        <f>IFERROR(Q28/M28-1,"")</f>
        <v/>
      </c>
      <c r="R29" s="27">
        <f>IFERROR(R28/N28-1,"")</f>
        <v/>
      </c>
      <c r="S29" s="27">
        <f>IFERROR(S28/O28-1,"")</f>
        <v/>
      </c>
      <c r="T29" s="27">
        <f>IFERROR(T28/P28-1,"")</f>
        <v/>
      </c>
      <c r="U29" s="27">
        <f>IFERROR(U28/Q28-1,"")</f>
        <v/>
      </c>
      <c r="V29" s="27">
        <f>IFERROR(V28/R28-1,"")</f>
        <v/>
      </c>
      <c r="W29" s="27">
        <f>IFERROR(W28/S28-1,"")</f>
        <v/>
      </c>
      <c r="X29" s="27">
        <f>IFERROR(X28/T28-1,"")</f>
        <v/>
      </c>
      <c r="Y29" s="27">
        <f>IFERROR(Y28/U28-1,"")</f>
        <v/>
      </c>
      <c r="Z29" s="27">
        <f>IFERROR(Z28/V28-1,"")</f>
        <v/>
      </c>
      <c r="AA29" s="27">
        <f>IFERROR(AA28/W28-1,"")</f>
        <v/>
      </c>
      <c r="AB29" s="27">
        <f>IFERROR(AB28/X28-1,"")</f>
        <v/>
      </c>
      <c r="AC29" s="27">
        <f>IFERROR(AC28/Y28-1,"")</f>
        <v/>
      </c>
    </row>
    <row r="30">
      <c r="A30" s="4" t="inlineStr">
        <is>
          <t xml:space="preserve">    % of revenue</t>
        </is>
      </c>
      <c r="B30" s="27">
        <f>IFERROR(B28/B3,"")</f>
        <v/>
      </c>
      <c r="C30" s="27">
        <f>IFERROR(C28/C3,"")</f>
        <v/>
      </c>
      <c r="D30" s="27">
        <f>IFERROR(D28/D3,"")</f>
        <v/>
      </c>
      <c r="E30" s="27">
        <f>IFERROR(E28/E3,"")</f>
        <v/>
      </c>
      <c r="F30" s="27">
        <f>IFERROR(F28/F3,"")</f>
        <v/>
      </c>
      <c r="G30" s="27">
        <f>IFERROR(G28/G3,"")</f>
        <v/>
      </c>
      <c r="H30" s="27">
        <f>IFERROR(H28/H3,"")</f>
        <v/>
      </c>
      <c r="I30" s="27">
        <f>IFERROR(I28/I3,"")</f>
        <v/>
      </c>
      <c r="J30" s="27">
        <f>IFERROR(J28/J3,"")</f>
        <v/>
      </c>
      <c r="K30" s="27">
        <f>IFERROR(K28/K3,"")</f>
        <v/>
      </c>
      <c r="L30" s="27">
        <f>IFERROR(L28/L3,"")</f>
        <v/>
      </c>
      <c r="M30" s="27">
        <f>IFERROR(M28/M3,"")</f>
        <v/>
      </c>
      <c r="N30" s="27">
        <f>IFERROR(N28/N3,"")</f>
        <v/>
      </c>
      <c r="O30" s="27">
        <f>IFERROR(O28/O3,"")</f>
        <v/>
      </c>
      <c r="P30" s="27">
        <f>IFERROR(P28/P3,"")</f>
        <v/>
      </c>
      <c r="Q30" s="27">
        <f>IFERROR(Q28/Q3,"")</f>
        <v/>
      </c>
      <c r="R30" s="27">
        <f>IFERROR(R28/R3,"")</f>
        <v/>
      </c>
      <c r="S30" s="27">
        <f>IFERROR(S28/S3,"")</f>
        <v/>
      </c>
      <c r="T30" s="27">
        <f>IFERROR(T28/T3,"")</f>
        <v/>
      </c>
      <c r="U30" s="27">
        <f>IFERROR(U28/U3,"")</f>
        <v/>
      </c>
      <c r="V30" s="27">
        <f>IFERROR(V28/V3,"")</f>
        <v/>
      </c>
      <c r="W30" s="27">
        <f>IFERROR(W28/W3,"")</f>
        <v/>
      </c>
      <c r="X30" s="27">
        <f>IFERROR(X28/X3,"")</f>
        <v/>
      </c>
      <c r="Y30" s="27">
        <f>IFERROR(Y28/Y3,"")</f>
        <v/>
      </c>
      <c r="Z30" s="27">
        <f>IFERROR(Z28/Z3,"")</f>
        <v/>
      </c>
      <c r="AA30" s="27">
        <f>IFERROR(AA28/AA3,"")</f>
        <v/>
      </c>
      <c r="AB30" s="27">
        <f>IFERROR(AB28/AB3,"")</f>
        <v/>
      </c>
      <c r="AC30" s="27">
        <f>IFERROR(AC28/AC3,"")</f>
        <v/>
      </c>
    </row>
    <row r="31">
      <c r="A31" s="4" t="inlineStr">
        <is>
          <t>Molybdenum</t>
        </is>
      </c>
      <c r="B31" s="18" t="n">
        <v>327</v>
      </c>
      <c r="C31" s="18" t="n">
        <v>295</v>
      </c>
      <c r="D31" s="18" t="n">
        <v>0</v>
      </c>
      <c r="E31" s="18" t="n">
        <v>243</v>
      </c>
      <c r="F31" s="18" t="n">
        <v>58</v>
      </c>
      <c r="G31" s="18" t="n">
        <v>42</v>
      </c>
      <c r="H31" s="18" t="n">
        <v>505</v>
      </c>
      <c r="I31" s="18" t="n">
        <v>70</v>
      </c>
      <c r="J31" s="18" t="n">
        <v>89</v>
      </c>
      <c r="K31" s="18" t="n">
        <v>151</v>
      </c>
      <c r="L31" s="18" t="n">
        <v>973</v>
      </c>
      <c r="M31" s="18" t="n">
        <v>128</v>
      </c>
      <c r="N31" s="18" t="n">
        <v>144</v>
      </c>
      <c r="O31" s="18" t="n">
        <v>127</v>
      </c>
      <c r="P31" s="18" t="n">
        <v>1017</v>
      </c>
      <c r="Q31" s="18" t="n">
        <v>223</v>
      </c>
      <c r="R31" s="18" t="n">
        <v>150</v>
      </c>
      <c r="S31" s="18" t="n">
        <v>147</v>
      </c>
      <c r="T31" s="18" t="n">
        <v>1486</v>
      </c>
      <c r="U31" s="18" t="n">
        <v>145</v>
      </c>
      <c r="V31" s="18" t="n">
        <v>476</v>
      </c>
      <c r="W31" s="18" t="n">
        <v>454</v>
      </c>
      <c r="X31" s="18" t="n">
        <v>1202</v>
      </c>
      <c r="Y31" s="18" t="n">
        <v>442</v>
      </c>
      <c r="Z31" s="18" t="n">
        <v>479</v>
      </c>
      <c r="AA31" s="18" t="n">
        <v>504</v>
      </c>
      <c r="AB31" s="18" t="n">
        <v>541</v>
      </c>
      <c r="AC31" s="18" t="n">
        <v>613</v>
      </c>
    </row>
    <row r="32">
      <c r="A32" s="4" t="inlineStr">
        <is>
          <t xml:space="preserve">    % YoY</t>
        </is>
      </c>
      <c r="F32" s="27">
        <f>IFERROR(F31/B31-1,"")</f>
        <v/>
      </c>
      <c r="G32" s="27">
        <f>IFERROR(G31/C31-1,"")</f>
        <v/>
      </c>
      <c r="H32" s="27">
        <f>IFERROR(H31/D31-1,"")</f>
        <v/>
      </c>
      <c r="I32" s="27">
        <f>IFERROR(I31/E31-1,"")</f>
        <v/>
      </c>
      <c r="J32" s="27">
        <f>IFERROR(J31/F31-1,"")</f>
        <v/>
      </c>
      <c r="K32" s="27">
        <f>IFERROR(K31/G31-1,"")</f>
        <v/>
      </c>
      <c r="L32" s="27">
        <f>IFERROR(L31/H31-1,"")</f>
        <v/>
      </c>
      <c r="M32" s="27">
        <f>IFERROR(M31/I31-1,"")</f>
        <v/>
      </c>
      <c r="N32" s="27">
        <f>IFERROR(N31/J31-1,"")</f>
        <v/>
      </c>
      <c r="O32" s="27">
        <f>IFERROR(O31/K31-1,"")</f>
        <v/>
      </c>
      <c r="P32" s="27">
        <f>IFERROR(P31/L31-1,"")</f>
        <v/>
      </c>
      <c r="Q32" s="27">
        <f>IFERROR(Q31/M31-1,"")</f>
        <v/>
      </c>
      <c r="R32" s="27">
        <f>IFERROR(R31/N31-1,"")</f>
        <v/>
      </c>
      <c r="S32" s="27">
        <f>IFERROR(S31/O31-1,"")</f>
        <v/>
      </c>
      <c r="T32" s="27">
        <f>IFERROR(T31/P31-1,"")</f>
        <v/>
      </c>
      <c r="U32" s="27">
        <f>IFERROR(U31/Q31-1,"")</f>
        <v/>
      </c>
      <c r="V32" s="27">
        <f>IFERROR(V31/R31-1,"")</f>
        <v/>
      </c>
      <c r="W32" s="27">
        <f>IFERROR(W31/S31-1,"")</f>
        <v/>
      </c>
      <c r="X32" s="27">
        <f>IFERROR(X31/T31-1,"")</f>
        <v/>
      </c>
      <c r="Y32" s="27">
        <f>IFERROR(Y31/U31-1,"")</f>
        <v/>
      </c>
      <c r="Z32" s="27">
        <f>IFERROR(Z31/V31-1,"")</f>
        <v/>
      </c>
      <c r="AA32" s="27">
        <f>IFERROR(AA31/W31-1,"")</f>
        <v/>
      </c>
      <c r="AB32" s="27">
        <f>IFERROR(AB31/X31-1,"")</f>
        <v/>
      </c>
      <c r="AC32" s="27">
        <f>IFERROR(AC31/Y31-1,"")</f>
        <v/>
      </c>
    </row>
    <row r="33">
      <c r="A33" s="4" t="inlineStr">
        <is>
          <t xml:space="preserve">    % of revenue</t>
        </is>
      </c>
      <c r="B33" s="27">
        <f>IFERROR(B31/B3,"")</f>
        <v/>
      </c>
      <c r="C33" s="27">
        <f>IFERROR(C31/C3,"")</f>
        <v/>
      </c>
      <c r="D33" s="27">
        <f>IFERROR(D31/D3,"")</f>
        <v/>
      </c>
      <c r="E33" s="27">
        <f>IFERROR(E31/E3,"")</f>
        <v/>
      </c>
      <c r="F33" s="27">
        <f>IFERROR(F31/F3,"")</f>
        <v/>
      </c>
      <c r="G33" s="27">
        <f>IFERROR(G31/G3,"")</f>
        <v/>
      </c>
      <c r="H33" s="27">
        <f>IFERROR(H31/H3,"")</f>
        <v/>
      </c>
      <c r="I33" s="27">
        <f>IFERROR(I31/I3,"")</f>
        <v/>
      </c>
      <c r="J33" s="27">
        <f>IFERROR(J31/J3,"")</f>
        <v/>
      </c>
      <c r="K33" s="27">
        <f>IFERROR(K31/K3,"")</f>
        <v/>
      </c>
      <c r="L33" s="27">
        <f>IFERROR(L31/L3,"")</f>
        <v/>
      </c>
      <c r="M33" s="27">
        <f>IFERROR(M31/M3,"")</f>
        <v/>
      </c>
      <c r="N33" s="27">
        <f>IFERROR(N31/N3,"")</f>
        <v/>
      </c>
      <c r="O33" s="27">
        <f>IFERROR(O31/O3,"")</f>
        <v/>
      </c>
      <c r="P33" s="27">
        <f>IFERROR(P31/P3,"")</f>
        <v/>
      </c>
      <c r="Q33" s="27">
        <f>IFERROR(Q31/Q3,"")</f>
        <v/>
      </c>
      <c r="R33" s="27">
        <f>IFERROR(R31/R3,"")</f>
        <v/>
      </c>
      <c r="S33" s="27">
        <f>IFERROR(S31/S3,"")</f>
        <v/>
      </c>
      <c r="T33" s="27">
        <f>IFERROR(T31/T3,"")</f>
        <v/>
      </c>
      <c r="U33" s="27">
        <f>IFERROR(U31/U3,"")</f>
        <v/>
      </c>
      <c r="V33" s="27">
        <f>IFERROR(V31/V3,"")</f>
        <v/>
      </c>
      <c r="W33" s="27">
        <f>IFERROR(W31/W3,"")</f>
        <v/>
      </c>
      <c r="X33" s="27">
        <f>IFERROR(X31/X3,"")</f>
        <v/>
      </c>
      <c r="Y33" s="27">
        <f>IFERROR(Y31/Y3,"")</f>
        <v/>
      </c>
      <c r="Z33" s="27">
        <f>IFERROR(Z31/Z3,"")</f>
        <v/>
      </c>
      <c r="AA33" s="27">
        <f>IFERROR(AA31/AA3,"")</f>
        <v/>
      </c>
      <c r="AB33" s="27">
        <f>IFERROR(AB31/AB3,"")</f>
        <v/>
      </c>
      <c r="AC33" s="27">
        <f>IFERROR(AC31/AC3,"")</f>
        <v/>
      </c>
    </row>
    <row r="34">
      <c r="A34" s="4" t="inlineStr">
        <is>
          <t>Purchased Copper</t>
        </is>
      </c>
      <c r="B34" s="18" t="n">
        <v>325</v>
      </c>
      <c r="C34" s="18" t="n">
        <v>210</v>
      </c>
      <c r="E34" s="18" t="n">
        <v>235</v>
      </c>
      <c r="H34" s="18" t="n">
        <v>586</v>
      </c>
      <c r="V34" s="18" t="n">
        <v>300</v>
      </c>
      <c r="W34" s="18" t="n">
        <v>154</v>
      </c>
      <c r="X34" s="18" t="n">
        <v>539</v>
      </c>
      <c r="Y34" s="18" t="n">
        <v>298</v>
      </c>
      <c r="Z34" s="18" t="n">
        <v>173</v>
      </c>
      <c r="AA34" s="18" t="n">
        <v>18</v>
      </c>
      <c r="AB34" s="18" t="n">
        <v>0</v>
      </c>
      <c r="AC34" s="18" t="n">
        <v>89</v>
      </c>
    </row>
    <row r="35">
      <c r="A35" s="4" t="inlineStr">
        <is>
          <t xml:space="preserve">    % YoY</t>
        </is>
      </c>
      <c r="F35" s="27">
        <f>IFERROR(F34/B34-1,"")</f>
        <v/>
      </c>
      <c r="G35" s="27">
        <f>IFERROR(G34/C34-1,"")</f>
        <v/>
      </c>
      <c r="H35" s="27">
        <f>IFERROR(H34/D34-1,"")</f>
        <v/>
      </c>
      <c r="I35" s="27">
        <f>IFERROR(I34/E34-1,"")</f>
        <v/>
      </c>
      <c r="J35" s="27">
        <f>IFERROR(J34/F34-1,"")</f>
        <v/>
      </c>
      <c r="K35" s="27">
        <f>IFERROR(K34/G34-1,"")</f>
        <v/>
      </c>
      <c r="L35" s="27">
        <f>IFERROR(L34/H34-1,"")</f>
        <v/>
      </c>
      <c r="M35" s="27">
        <f>IFERROR(M34/I34-1,"")</f>
        <v/>
      </c>
      <c r="N35" s="27">
        <f>IFERROR(N34/J34-1,"")</f>
        <v/>
      </c>
      <c r="O35" s="27">
        <f>IFERROR(O34/K34-1,"")</f>
        <v/>
      </c>
      <c r="P35" s="27">
        <f>IFERROR(P34/L34-1,"")</f>
        <v/>
      </c>
      <c r="Q35" s="27">
        <f>IFERROR(Q34/M34-1,"")</f>
        <v/>
      </c>
      <c r="R35" s="27">
        <f>IFERROR(R34/N34-1,"")</f>
        <v/>
      </c>
      <c r="S35" s="27">
        <f>IFERROR(S34/O34-1,"")</f>
        <v/>
      </c>
      <c r="T35" s="27">
        <f>IFERROR(T34/P34-1,"")</f>
        <v/>
      </c>
      <c r="U35" s="27">
        <f>IFERROR(U34/Q34-1,"")</f>
        <v/>
      </c>
      <c r="V35" s="27">
        <f>IFERROR(V34/R34-1,"")</f>
        <v/>
      </c>
      <c r="W35" s="27">
        <f>IFERROR(W34/S34-1,"")</f>
        <v/>
      </c>
      <c r="X35" s="27">
        <f>IFERROR(X34/T34-1,"")</f>
        <v/>
      </c>
      <c r="Y35" s="27">
        <f>IFERROR(Y34/U34-1,"")</f>
        <v/>
      </c>
      <c r="Z35" s="27">
        <f>IFERROR(Z34/V34-1,"")</f>
        <v/>
      </c>
      <c r="AA35" s="27">
        <f>IFERROR(AA34/W34-1,"")</f>
        <v/>
      </c>
      <c r="AB35" s="27">
        <f>IFERROR(AB34/X34-1,"")</f>
        <v/>
      </c>
      <c r="AC35" s="27">
        <f>IFERROR(AC34/Y34-1,"")</f>
        <v/>
      </c>
    </row>
    <row r="36">
      <c r="A36" s="4" t="inlineStr">
        <is>
          <t xml:space="preserve">    % of revenue</t>
        </is>
      </c>
      <c r="B36" s="27">
        <f>IFERROR(B34/B3,"")</f>
        <v/>
      </c>
      <c r="C36" s="27">
        <f>IFERROR(C34/C3,"")</f>
        <v/>
      </c>
      <c r="D36" s="27">
        <f>IFERROR(D34/D3,"")</f>
        <v/>
      </c>
      <c r="E36" s="27">
        <f>IFERROR(E34/E3,"")</f>
        <v/>
      </c>
      <c r="F36" s="27">
        <f>IFERROR(F34/F3,"")</f>
        <v/>
      </c>
      <c r="G36" s="27">
        <f>IFERROR(G34/G3,"")</f>
        <v/>
      </c>
      <c r="H36" s="27">
        <f>IFERROR(H34/H3,"")</f>
        <v/>
      </c>
      <c r="I36" s="27">
        <f>IFERROR(I34/I3,"")</f>
        <v/>
      </c>
      <c r="J36" s="27">
        <f>IFERROR(J34/J3,"")</f>
        <v/>
      </c>
      <c r="K36" s="27">
        <f>IFERROR(K34/K3,"")</f>
        <v/>
      </c>
      <c r="L36" s="27">
        <f>IFERROR(L34/L3,"")</f>
        <v/>
      </c>
      <c r="M36" s="27">
        <f>IFERROR(M34/M3,"")</f>
        <v/>
      </c>
      <c r="N36" s="27">
        <f>IFERROR(N34/N3,"")</f>
        <v/>
      </c>
      <c r="O36" s="27">
        <f>IFERROR(O34/O3,"")</f>
        <v/>
      </c>
      <c r="P36" s="27">
        <f>IFERROR(P34/P3,"")</f>
        <v/>
      </c>
      <c r="Q36" s="27">
        <f>IFERROR(Q34/Q3,"")</f>
        <v/>
      </c>
      <c r="R36" s="27">
        <f>IFERROR(R34/R3,"")</f>
        <v/>
      </c>
      <c r="S36" s="27">
        <f>IFERROR(S34/S3,"")</f>
        <v/>
      </c>
      <c r="T36" s="27">
        <f>IFERROR(T34/T3,"")</f>
        <v/>
      </c>
      <c r="U36" s="27">
        <f>IFERROR(U34/U3,"")</f>
        <v/>
      </c>
      <c r="V36" s="27">
        <f>IFERROR(V34/V3,"")</f>
        <v/>
      </c>
      <c r="W36" s="27">
        <f>IFERROR(W34/W3,"")</f>
        <v/>
      </c>
      <c r="X36" s="27">
        <f>IFERROR(X34/X3,"")</f>
        <v/>
      </c>
      <c r="Y36" s="27">
        <f>IFERROR(Y34/Y3,"")</f>
        <v/>
      </c>
      <c r="Z36" s="27">
        <f>IFERROR(Z34/Z3,"")</f>
        <v/>
      </c>
      <c r="AA36" s="27">
        <f>IFERROR(AA34/AA3,"")</f>
        <v/>
      </c>
      <c r="AB36" s="27">
        <f>IFERROR(AB34/AB3,"")</f>
        <v/>
      </c>
      <c r="AC36" s="27">
        <f>IFERROR(AC34/AC3,"")</f>
        <v/>
      </c>
    </row>
    <row r="37">
      <c r="A37" s="5" t="inlineStr">
        <is>
          <t xml:space="preserve">  BALANCE SHEET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4" t="inlineStr">
        <is>
          <t>Cash &amp; ST Investments</t>
        </is>
      </c>
      <c r="B38" s="18" t="n">
        <v>2623</v>
      </c>
      <c r="C38" s="18" t="n">
        <v>2247</v>
      </c>
      <c r="D38" s="18" t="n">
        <v>2020</v>
      </c>
      <c r="E38" s="18" t="n">
        <v>1602</v>
      </c>
      <c r="F38" s="18" t="n">
        <v>1465</v>
      </c>
      <c r="G38" s="18" t="n">
        <v>2403</v>
      </c>
      <c r="H38" s="18" t="n">
        <v>3657</v>
      </c>
      <c r="I38" s="18" t="n">
        <v>4580</v>
      </c>
      <c r="J38" s="18" t="n">
        <v>6313</v>
      </c>
      <c r="K38" s="18" t="n">
        <v>7672</v>
      </c>
      <c r="L38" s="18" t="n">
        <v>8068</v>
      </c>
      <c r="M38" s="18" t="n">
        <v>8338</v>
      </c>
      <c r="N38" s="18" t="n">
        <v>9492</v>
      </c>
      <c r="O38" s="18" t="n">
        <v>8578</v>
      </c>
      <c r="P38" s="18" t="n">
        <v>8146</v>
      </c>
      <c r="Q38" s="18" t="n">
        <v>6852</v>
      </c>
      <c r="R38" s="18" t="n">
        <v>6683</v>
      </c>
      <c r="S38" s="18" t="n">
        <v>5745</v>
      </c>
      <c r="T38" s="18" t="n">
        <v>4758</v>
      </c>
      <c r="U38" s="18" t="n">
        <v>6242</v>
      </c>
      <c r="V38" s="18" t="n">
        <v>6303</v>
      </c>
      <c r="W38" s="18" t="n">
        <v>6117</v>
      </c>
      <c r="X38" s="18" t="n">
        <v>3923</v>
      </c>
      <c r="Y38" s="18" t="n">
        <v>4845</v>
      </c>
      <c r="Z38" s="18" t="n">
        <v>4720</v>
      </c>
      <c r="AA38" s="18" t="n">
        <v>4548</v>
      </c>
      <c r="AB38" s="18" t="n">
        <v>4054</v>
      </c>
      <c r="AC38" s="18" t="n">
        <v>4017</v>
      </c>
    </row>
    <row r="39">
      <c r="A39" s="4" t="inlineStr">
        <is>
          <t>Total Current Assets</t>
        </is>
      </c>
      <c r="B39" s="18" t="n">
        <v>8730</v>
      </c>
      <c r="C39" s="18" t="n">
        <v>8350</v>
      </c>
      <c r="D39" s="18" t="n">
        <v>7800</v>
      </c>
      <c r="E39" s="18" t="n">
        <v>7357</v>
      </c>
      <c r="F39" s="18" t="n">
        <v>7155</v>
      </c>
      <c r="G39" s="18" t="n">
        <v>8071</v>
      </c>
      <c r="H39" s="18" t="n">
        <v>9303</v>
      </c>
      <c r="I39" s="18" t="n">
        <v>10856</v>
      </c>
      <c r="J39" s="18" t="n">
        <v>12599</v>
      </c>
      <c r="K39" s="18" t="n">
        <v>13791</v>
      </c>
      <c r="L39" s="18" t="n">
        <v>14830</v>
      </c>
      <c r="M39" s="18" t="n">
        <v>15302</v>
      </c>
      <c r="N39" s="18" t="n">
        <v>16182</v>
      </c>
      <c r="O39" s="18" t="n">
        <v>15373</v>
      </c>
      <c r="P39" s="18" t="n">
        <v>15613</v>
      </c>
      <c r="Q39" s="18" t="n">
        <v>14746</v>
      </c>
      <c r="R39" s="18" t="n">
        <v>14057</v>
      </c>
      <c r="S39" s="18" t="n">
        <v>14077</v>
      </c>
      <c r="T39" s="18" t="n">
        <v>14065</v>
      </c>
      <c r="U39" s="18" t="n">
        <v>14842</v>
      </c>
      <c r="V39" s="18" t="n">
        <v>14722</v>
      </c>
      <c r="W39" s="18" t="n">
        <v>14545</v>
      </c>
      <c r="X39" s="18" t="n">
        <v>13296</v>
      </c>
      <c r="Y39" s="18" t="n">
        <v>13802</v>
      </c>
      <c r="Z39" s="18" t="n">
        <v>13636</v>
      </c>
      <c r="AA39" s="18" t="n">
        <v>13564</v>
      </c>
      <c r="AB39" s="18" t="n">
        <v>13790</v>
      </c>
      <c r="AC39" s="18" t="n">
        <v>14092</v>
      </c>
    </row>
    <row r="40">
      <c r="A40" s="4" t="inlineStr">
        <is>
          <t>PP&amp;E (net)</t>
        </is>
      </c>
      <c r="B40" s="18" t="n">
        <v>28841</v>
      </c>
      <c r="C40" s="18" t="n">
        <v>29330</v>
      </c>
      <c r="D40" s="18" t="n">
        <v>29584</v>
      </c>
      <c r="E40" s="18" t="n">
        <v>29899</v>
      </c>
      <c r="F40" s="18" t="n">
        <v>29936</v>
      </c>
      <c r="G40" s="18" t="n">
        <v>29911</v>
      </c>
      <c r="H40" s="18" t="n">
        <v>29818</v>
      </c>
      <c r="I40" s="18" t="n">
        <v>29775</v>
      </c>
      <c r="J40" s="18" t="n">
        <v>29836</v>
      </c>
      <c r="K40" s="18" t="n">
        <v>30102</v>
      </c>
      <c r="L40" s="18" t="n">
        <v>30345</v>
      </c>
      <c r="M40" s="18" t="n">
        <v>30708</v>
      </c>
      <c r="N40" s="18" t="n">
        <v>31200</v>
      </c>
      <c r="O40" s="18" t="n">
        <v>31814</v>
      </c>
      <c r="P40" s="18" t="n">
        <v>32627</v>
      </c>
      <c r="Q40" s="18" t="n">
        <v>33159</v>
      </c>
      <c r="R40" s="18" t="n">
        <v>33845</v>
      </c>
      <c r="S40" s="18" t="n">
        <v>34535</v>
      </c>
      <c r="T40" s="18" t="n">
        <v>35295</v>
      </c>
      <c r="U40" s="18" t="n">
        <v>36197</v>
      </c>
      <c r="V40" s="18" t="n">
        <v>36784</v>
      </c>
      <c r="W40" s="18" t="n">
        <v>37750</v>
      </c>
      <c r="X40" s="18" t="n">
        <v>38514</v>
      </c>
      <c r="Y40" s="18" t="n">
        <v>39200</v>
      </c>
      <c r="Z40" s="18" t="n">
        <v>39835</v>
      </c>
      <c r="AA40" s="18" t="n">
        <v>40257</v>
      </c>
      <c r="AB40" s="18" t="n">
        <v>40736</v>
      </c>
      <c r="AC40" s="18" t="n">
        <v>41101</v>
      </c>
    </row>
    <row r="41">
      <c r="A41" s="4" t="inlineStr">
        <is>
          <t>Total Assets</t>
        </is>
      </c>
      <c r="B41" s="18" t="n">
        <v>41086</v>
      </c>
      <c r="C41" s="18" t="n">
        <v>41065</v>
      </c>
      <c r="D41" s="18" t="n">
        <v>40809</v>
      </c>
      <c r="E41" s="18" t="n">
        <v>40219</v>
      </c>
      <c r="F41" s="18" t="n">
        <v>40230</v>
      </c>
      <c r="G41" s="18" t="n">
        <v>41099</v>
      </c>
      <c r="H41" s="18" t="n">
        <v>42144</v>
      </c>
      <c r="I41" s="18" t="n">
        <v>43643</v>
      </c>
      <c r="J41" s="18" t="n">
        <v>45436</v>
      </c>
      <c r="K41" s="18" t="n">
        <v>46917</v>
      </c>
      <c r="L41" s="18" t="n">
        <v>48022</v>
      </c>
      <c r="M41" s="18" t="n">
        <v>48832</v>
      </c>
      <c r="N41" s="18" t="n">
        <v>50113</v>
      </c>
      <c r="O41" s="18" t="n">
        <v>49927</v>
      </c>
      <c r="P41" s="18" t="n">
        <v>51093</v>
      </c>
      <c r="Q41" s="18" t="n">
        <v>50909</v>
      </c>
      <c r="R41" s="18" t="n">
        <v>50907</v>
      </c>
      <c r="S41" s="18" t="n">
        <v>51648</v>
      </c>
      <c r="T41" s="18" t="n">
        <v>52506</v>
      </c>
      <c r="U41" s="18" t="n">
        <v>54198</v>
      </c>
      <c r="V41" s="18" t="n">
        <v>54635</v>
      </c>
      <c r="W41" s="18" t="n">
        <v>55400</v>
      </c>
      <c r="X41" s="18" t="n">
        <v>54848</v>
      </c>
      <c r="Y41" s="18" t="n">
        <v>56022</v>
      </c>
      <c r="Z41" s="18" t="n">
        <v>56492</v>
      </c>
      <c r="AA41" s="18" t="n">
        <v>56828</v>
      </c>
      <c r="AB41" s="18" t="n">
        <v>58167</v>
      </c>
      <c r="AC41" s="18" t="n">
        <v>58840</v>
      </c>
    </row>
    <row r="42">
      <c r="A42" s="4" t="inlineStr">
        <is>
          <t>Total Current Liabilities</t>
        </is>
      </c>
      <c r="B42" s="18" t="n">
        <v>3286</v>
      </c>
      <c r="C42" s="18" t="n">
        <v>3381</v>
      </c>
      <c r="D42" s="18" t="n">
        <v>3209</v>
      </c>
      <c r="E42" s="18" t="n">
        <v>3143</v>
      </c>
      <c r="F42" s="18" t="n">
        <v>2906</v>
      </c>
      <c r="G42" s="18" t="n">
        <v>3096</v>
      </c>
      <c r="H42" s="18" t="n">
        <v>3417</v>
      </c>
      <c r="I42" s="18" t="n">
        <v>4611</v>
      </c>
      <c r="J42" s="18" t="n">
        <v>5527</v>
      </c>
      <c r="K42" s="18" t="n">
        <v>5523</v>
      </c>
      <c r="L42" s="18" t="n">
        <v>5892</v>
      </c>
      <c r="M42" s="18" t="n">
        <v>6454</v>
      </c>
      <c r="N42" s="18" t="n">
        <v>5932</v>
      </c>
      <c r="O42" s="18" t="n">
        <v>5999</v>
      </c>
      <c r="P42" s="18" t="n">
        <v>6345</v>
      </c>
      <c r="Q42" s="18" t="n">
        <v>5281</v>
      </c>
      <c r="R42" s="18" t="n">
        <v>4788</v>
      </c>
      <c r="S42" s="18" t="n">
        <v>4860</v>
      </c>
      <c r="T42" s="18" t="n">
        <v>5815</v>
      </c>
      <c r="U42" s="18" t="n">
        <v>6305</v>
      </c>
      <c r="V42" s="18" t="n">
        <v>6136</v>
      </c>
      <c r="W42" s="18" t="n">
        <v>6247</v>
      </c>
      <c r="X42" s="18" t="n">
        <v>5496</v>
      </c>
      <c r="Y42" s="18" t="n">
        <v>5943</v>
      </c>
      <c r="Z42" s="18" t="n">
        <v>5531</v>
      </c>
      <c r="AA42" s="18" t="n">
        <v>5526</v>
      </c>
      <c r="AB42" s="18" t="n">
        <v>6019</v>
      </c>
      <c r="AC42" s="18" t="n">
        <v>5907</v>
      </c>
    </row>
    <row r="43">
      <c r="A43" s="4" t="inlineStr">
        <is>
          <t>Long-term Debt</t>
        </is>
      </c>
      <c r="B43" s="18" t="n">
        <v>9912</v>
      </c>
      <c r="C43" s="18" t="n">
        <v>9915</v>
      </c>
      <c r="D43" s="18" t="n">
        <v>9821</v>
      </c>
      <c r="E43" s="18" t="n">
        <v>9829</v>
      </c>
      <c r="F43" s="18" t="n">
        <v>9824</v>
      </c>
      <c r="G43" s="18" t="n">
        <v>9983</v>
      </c>
      <c r="H43" s="18" t="n">
        <v>9677</v>
      </c>
      <c r="I43" s="18" t="n">
        <v>9153</v>
      </c>
      <c r="J43" s="18" t="n">
        <v>8638</v>
      </c>
      <c r="K43" s="18" t="n">
        <v>8768</v>
      </c>
      <c r="L43" s="18" t="n">
        <v>9078</v>
      </c>
      <c r="M43" s="18" t="n">
        <v>8256</v>
      </c>
      <c r="N43" s="18" t="n">
        <v>10054</v>
      </c>
      <c r="O43" s="18" t="n">
        <v>9658</v>
      </c>
      <c r="P43" s="18" t="n">
        <v>9583</v>
      </c>
      <c r="Q43" s="18" t="n">
        <v>9586</v>
      </c>
      <c r="R43" s="18" t="n">
        <v>9458</v>
      </c>
      <c r="S43" s="18" t="n">
        <v>9370</v>
      </c>
      <c r="T43" s="18" t="n">
        <v>8656</v>
      </c>
      <c r="U43" s="18" t="n">
        <v>8656</v>
      </c>
      <c r="V43" s="18" t="n">
        <v>8658</v>
      </c>
      <c r="W43" s="18" t="n">
        <v>8910</v>
      </c>
      <c r="X43" s="18" t="n">
        <v>8907</v>
      </c>
      <c r="Y43" s="18" t="n">
        <v>8909</v>
      </c>
      <c r="Z43" s="18" t="n">
        <v>8913</v>
      </c>
      <c r="AA43" s="18" t="n">
        <v>8915</v>
      </c>
      <c r="AB43" s="18" t="n">
        <v>9923</v>
      </c>
      <c r="AC43" s="18" t="n">
        <v>8914</v>
      </c>
    </row>
    <row r="44">
      <c r="A44" s="4" t="inlineStr">
        <is>
          <t>Total Equity</t>
        </is>
      </c>
      <c r="B44" s="18" t="n">
        <v>9709</v>
      </c>
      <c r="C44" s="18" t="n">
        <v>9520</v>
      </c>
      <c r="D44" s="18" t="n">
        <v>9298</v>
      </c>
      <c r="E44" s="18" t="n">
        <v>8855</v>
      </c>
      <c r="F44" s="18" t="n">
        <v>8954</v>
      </c>
      <c r="G44" s="18" t="n">
        <v>9151</v>
      </c>
      <c r="H44" s="18" t="n">
        <v>10174</v>
      </c>
      <c r="I44" s="18" t="n">
        <v>10920</v>
      </c>
      <c r="J44" s="18" t="n">
        <v>12011</v>
      </c>
      <c r="K44" s="18" t="n">
        <v>13353</v>
      </c>
      <c r="L44" s="18" t="n">
        <v>13980</v>
      </c>
      <c r="M44" s="18" t="n">
        <v>14866</v>
      </c>
      <c r="N44" s="18" t="n">
        <v>14889</v>
      </c>
      <c r="O44" s="18" t="n">
        <v>14954</v>
      </c>
      <c r="P44" s="18" t="n">
        <v>15555</v>
      </c>
      <c r="Q44" s="18" t="n">
        <v>16057</v>
      </c>
      <c r="R44" s="18" t="n">
        <v>16202</v>
      </c>
      <c r="S44" s="18" t="n">
        <v>16459</v>
      </c>
      <c r="T44" s="18" t="n">
        <v>16693</v>
      </c>
      <c r="U44" s="18" t="n">
        <v>16973</v>
      </c>
      <c r="V44" s="18" t="n">
        <v>17404</v>
      </c>
      <c r="W44" s="18" t="n">
        <v>17548</v>
      </c>
      <c r="X44" s="18" t="n">
        <v>17581</v>
      </c>
      <c r="Y44" s="18" t="n">
        <v>17688</v>
      </c>
      <c r="Z44" s="18" t="n">
        <v>18208</v>
      </c>
      <c r="AA44" s="18" t="n">
        <v>18685</v>
      </c>
      <c r="AB44" s="18" t="n">
        <v>18899</v>
      </c>
      <c r="AC44" s="18" t="n">
        <v>19505</v>
      </c>
    </row>
    <row r="45">
      <c r="A45" s="5" t="inlineStr">
        <is>
          <t xml:space="preserve">  CASH FLOW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4" t="inlineStr">
        <is>
          <t>D&amp;A</t>
        </is>
      </c>
      <c r="B46" s="18" t="n">
        <v>387</v>
      </c>
      <c r="C46" s="18" t="n">
        <v>414</v>
      </c>
      <c r="D46" s="18" t="n">
        <v>1412</v>
      </c>
      <c r="E46" s="18" t="n">
        <v>341</v>
      </c>
      <c r="F46" s="18" t="n">
        <v>394</v>
      </c>
      <c r="G46" s="18" t="n">
        <v>472</v>
      </c>
      <c r="H46" s="18" t="n">
        <v>1528</v>
      </c>
      <c r="I46" s="18" t="n">
        <v>419</v>
      </c>
      <c r="J46" s="18" t="n">
        <v>481</v>
      </c>
      <c r="K46" s="18" t="n">
        <v>470</v>
      </c>
      <c r="L46" s="18" t="n">
        <v>1998</v>
      </c>
      <c r="M46" s="18" t="n">
        <v>489</v>
      </c>
      <c r="N46" s="18" t="n">
        <v>996</v>
      </c>
      <c r="O46" s="18" t="n">
        <v>508</v>
      </c>
      <c r="P46" s="18" t="n">
        <v>1023</v>
      </c>
      <c r="Q46" s="18" t="n">
        <v>399</v>
      </c>
      <c r="R46" s="18" t="n">
        <v>557</v>
      </c>
      <c r="S46" s="18" t="n">
        <v>531</v>
      </c>
      <c r="T46" s="18" t="n">
        <v>589</v>
      </c>
      <c r="U46" s="18" t="n">
        <v>595</v>
      </c>
      <c r="V46" s="18" t="n">
        <v>509</v>
      </c>
      <c r="W46" s="18" t="n">
        <v>600</v>
      </c>
      <c r="X46" s="18" t="n">
        <v>537</v>
      </c>
      <c r="Y46" s="18" t="n">
        <v>466</v>
      </c>
      <c r="Z46" s="18" t="n">
        <v>668</v>
      </c>
      <c r="AA46" s="18" t="n">
        <v>625</v>
      </c>
      <c r="AB46" s="18" t="n">
        <v>-1759</v>
      </c>
      <c r="AC46" s="18" t="n">
        <v>514</v>
      </c>
    </row>
    <row r="47">
      <c r="A47" s="4" t="inlineStr">
        <is>
          <t>Stock-based Compensation</t>
        </is>
      </c>
      <c r="B47" s="18" t="n">
        <v>11</v>
      </c>
      <c r="C47" s="18" t="n">
        <v>12</v>
      </c>
      <c r="D47" s="18" t="n">
        <v>11</v>
      </c>
      <c r="E47" s="18" t="n">
        <v>27</v>
      </c>
      <c r="F47" s="18" t="n">
        <v>16</v>
      </c>
      <c r="G47" s="18" t="n">
        <v>17</v>
      </c>
      <c r="H47" s="18" t="n">
        <v>39</v>
      </c>
      <c r="I47" s="18" t="n">
        <v>41</v>
      </c>
      <c r="J47" s="18" t="n">
        <v>15</v>
      </c>
      <c r="K47" s="18" t="n">
        <v>23</v>
      </c>
      <c r="L47" s="18" t="n">
        <v>19</v>
      </c>
      <c r="M47" s="18" t="n">
        <v>49</v>
      </c>
      <c r="N47" s="18" t="n">
        <v>13</v>
      </c>
      <c r="O47" s="18" t="n">
        <v>13</v>
      </c>
      <c r="P47" s="18" t="n">
        <v>20</v>
      </c>
      <c r="Q47" s="18" t="n">
        <v>53</v>
      </c>
      <c r="R47" s="18" t="n">
        <v>19</v>
      </c>
      <c r="S47" s="18" t="n">
        <v>17</v>
      </c>
      <c r="T47" s="18" t="n">
        <v>20</v>
      </c>
      <c r="U47" s="18" t="n">
        <v>53</v>
      </c>
      <c r="V47" s="18" t="n">
        <v>24</v>
      </c>
      <c r="W47" s="18" t="n">
        <v>17</v>
      </c>
      <c r="X47" s="18" t="n">
        <v>15</v>
      </c>
      <c r="Y47" s="18" t="n">
        <v>0</v>
      </c>
      <c r="Z47" s="18" t="n">
        <v>74</v>
      </c>
      <c r="AA47" s="18" t="n">
        <v>0</v>
      </c>
      <c r="AB47" s="18" t="n">
        <v>47</v>
      </c>
      <c r="AC47" s="18" t="n">
        <v>68</v>
      </c>
    </row>
    <row r="48">
      <c r="A48" s="4" t="inlineStr">
        <is>
          <t>Change in Working Capital</t>
        </is>
      </c>
      <c r="B48" s="18" t="n">
        <v>304</v>
      </c>
      <c r="C48" s="18" t="n">
        <v>-118</v>
      </c>
      <c r="D48" s="18" t="n">
        <v>219</v>
      </c>
      <c r="E48" s="18" t="n">
        <v>119</v>
      </c>
      <c r="F48" s="18" t="n">
        <v>22</v>
      </c>
      <c r="G48" s="18" t="n">
        <v>178</v>
      </c>
      <c r="H48" s="18" t="n">
        <v>346</v>
      </c>
      <c r="I48" s="18" t="n">
        <v>-336</v>
      </c>
      <c r="J48" s="18" t="n">
        <v>523</v>
      </c>
      <c r="K48" s="18" t="n">
        <v>180</v>
      </c>
      <c r="L48" s="18" t="n">
        <v>388</v>
      </c>
      <c r="M48" s="18" t="n">
        <v>-811</v>
      </c>
      <c r="N48" s="18" t="n">
        <v>100</v>
      </c>
      <c r="O48" s="18" t="n">
        <v>-269</v>
      </c>
      <c r="P48" s="18" t="n">
        <v>-548</v>
      </c>
      <c r="Q48" s="18" t="n">
        <v>-467</v>
      </c>
      <c r="R48" s="18" t="n">
        <v>237</v>
      </c>
      <c r="S48" s="18" t="n">
        <v>-483</v>
      </c>
      <c r="T48" s="18" t="n">
        <v>-167</v>
      </c>
      <c r="U48" s="18" t="n">
        <v>-97</v>
      </c>
      <c r="V48" s="18" t="n">
        <v>73</v>
      </c>
      <c r="W48" s="18" t="n">
        <v>-5</v>
      </c>
      <c r="X48" s="18" t="n">
        <v>0</v>
      </c>
      <c r="Y48" s="18" t="n">
        <v>-297</v>
      </c>
      <c r="Z48" s="18" t="n">
        <v>-45</v>
      </c>
      <c r="AA48" s="18" t="n">
        <v>-168</v>
      </c>
      <c r="AB48" s="18" t="n">
        <v>510</v>
      </c>
      <c r="AC48" s="18" t="n">
        <v>-145</v>
      </c>
    </row>
    <row r="49">
      <c r="A49" s="4" t="inlineStr">
        <is>
          <t>Operating Cash Flow</t>
        </is>
      </c>
      <c r="B49" s="18" t="n">
        <v>554</v>
      </c>
      <c r="C49" s="18" t="n">
        <v>224</v>
      </c>
      <c r="D49" s="18" t="n">
        <v>170</v>
      </c>
      <c r="E49" s="18" t="n">
        <v>-38</v>
      </c>
      <c r="F49" s="18" t="n">
        <v>491</v>
      </c>
      <c r="G49" s="18" t="n">
        <v>1237</v>
      </c>
      <c r="H49" s="18" t="n">
        <v>1327</v>
      </c>
      <c r="I49" s="18" t="n">
        <v>1075</v>
      </c>
      <c r="J49" s="18" t="n">
        <v>2395</v>
      </c>
      <c r="K49" s="18" t="n">
        <v>1965</v>
      </c>
      <c r="L49" s="18" t="n">
        <v>2280</v>
      </c>
      <c r="M49" s="18" t="n">
        <v>1691</v>
      </c>
      <c r="N49" s="18" t="n">
        <v>1621</v>
      </c>
      <c r="O49" s="18" t="n">
        <v>758</v>
      </c>
      <c r="P49" s="18" t="n">
        <v>1069</v>
      </c>
      <c r="Q49" s="18" t="n">
        <v>1050</v>
      </c>
      <c r="R49" s="18" t="n">
        <v>1673</v>
      </c>
      <c r="S49" s="18" t="n">
        <v>1236</v>
      </c>
      <c r="T49" s="18" t="n">
        <v>1320</v>
      </c>
      <c r="U49" s="18" t="n">
        <v>1896</v>
      </c>
      <c r="V49" s="18" t="n">
        <v>1956</v>
      </c>
      <c r="W49" s="18" t="n">
        <v>1872</v>
      </c>
      <c r="X49" s="18" t="n">
        <v>1436</v>
      </c>
      <c r="Y49" s="18" t="n">
        <v>1058</v>
      </c>
      <c r="Z49" s="18" t="n">
        <v>2195</v>
      </c>
      <c r="AA49" s="18" t="n">
        <v>1664</v>
      </c>
      <c r="AB49" s="18" t="n">
        <v>693</v>
      </c>
      <c r="AC49" s="18" t="n">
        <v>1495</v>
      </c>
    </row>
    <row r="50">
      <c r="A50" s="4" t="inlineStr">
        <is>
          <t>Capex</t>
        </is>
      </c>
      <c r="B50" s="18" t="n">
        <v>-628</v>
      </c>
      <c r="C50" s="18" t="n">
        <v>-669</v>
      </c>
      <c r="D50" s="18" t="n">
        <v>-725</v>
      </c>
      <c r="E50" s="18" t="n">
        <v>-610</v>
      </c>
      <c r="F50" s="18" t="n">
        <v>-527</v>
      </c>
      <c r="G50" s="18" t="n">
        <v>-436</v>
      </c>
      <c r="H50" s="18" t="n">
        <v>-388</v>
      </c>
      <c r="I50" s="18" t="n">
        <v>-370</v>
      </c>
      <c r="J50" s="18" t="n">
        <v>-433</v>
      </c>
      <c r="K50" s="18" t="n">
        <v>-541</v>
      </c>
      <c r="L50" s="18" t="n">
        <v>-771</v>
      </c>
      <c r="M50" s="18" t="n">
        <v>-723</v>
      </c>
      <c r="N50" s="18" t="n">
        <v>-863</v>
      </c>
      <c r="O50" s="18" t="n">
        <v>-836</v>
      </c>
      <c r="P50" s="18" t="n">
        <v>-1047</v>
      </c>
      <c r="Q50" s="18" t="n">
        <v>-1121</v>
      </c>
      <c r="R50" s="18" t="n">
        <v>-1163</v>
      </c>
      <c r="S50" s="18" t="n">
        <v>-1178</v>
      </c>
      <c r="T50" s="18" t="n">
        <v>-1362</v>
      </c>
      <c r="U50" s="18" t="n">
        <v>-1254</v>
      </c>
      <c r="V50" s="18" t="n">
        <v>-1116</v>
      </c>
      <c r="W50" s="18" t="n">
        <v>-1199</v>
      </c>
      <c r="X50" s="18" t="n">
        <v>-1239</v>
      </c>
      <c r="Y50" s="18" t="n">
        <v>-1172</v>
      </c>
      <c r="Z50" s="18" t="n">
        <v>1172</v>
      </c>
      <c r="AA50" s="18" t="n">
        <v>-1056</v>
      </c>
      <c r="AB50" s="18" t="n">
        <v>1056</v>
      </c>
      <c r="AC50" s="18" t="n">
        <v>-973</v>
      </c>
    </row>
    <row r="51">
      <c r="A51" s="4" t="inlineStr">
        <is>
          <t>Free Cash Flow</t>
        </is>
      </c>
      <c r="B51" s="18" t="n">
        <v>-74</v>
      </c>
      <c r="C51" s="18" t="n">
        <v>-445</v>
      </c>
      <c r="D51" s="18" t="n">
        <v>-555</v>
      </c>
      <c r="E51" s="18" t="n">
        <v>-648</v>
      </c>
      <c r="F51" s="18" t="n">
        <v>-36</v>
      </c>
      <c r="G51" s="18" t="n">
        <v>801</v>
      </c>
      <c r="H51" s="18" t="n">
        <v>939</v>
      </c>
      <c r="I51" s="18" t="n">
        <v>705</v>
      </c>
      <c r="J51" s="18" t="n">
        <v>1962</v>
      </c>
      <c r="K51" s="18" t="n">
        <v>1424</v>
      </c>
      <c r="L51" s="18" t="n">
        <v>1509</v>
      </c>
      <c r="M51" s="18" t="n">
        <v>968</v>
      </c>
      <c r="N51" s="18" t="n">
        <v>758</v>
      </c>
      <c r="O51" s="18" t="n">
        <v>-78</v>
      </c>
      <c r="P51" s="18" t="n">
        <v>22</v>
      </c>
      <c r="Q51" s="18" t="n">
        <v>-71</v>
      </c>
      <c r="R51" s="18" t="n">
        <v>510</v>
      </c>
      <c r="S51" s="18" t="n">
        <v>58</v>
      </c>
      <c r="T51" s="18" t="n">
        <v>-42</v>
      </c>
      <c r="U51" s="18" t="n">
        <v>642</v>
      </c>
      <c r="V51" s="18" t="n">
        <v>840</v>
      </c>
      <c r="W51" s="18" t="n">
        <v>673</v>
      </c>
      <c r="X51" s="18" t="n">
        <v>197</v>
      </c>
      <c r="Y51" s="18" t="n">
        <v>-114</v>
      </c>
      <c r="Z51" s="18" t="n">
        <v>3367</v>
      </c>
      <c r="AA51" s="18" t="n">
        <v>608</v>
      </c>
      <c r="AB51" s="18" t="n">
        <v>1749</v>
      </c>
      <c r="AC51" s="18" t="n">
        <v>522</v>
      </c>
    </row>
    <row r="53">
      <c r="A5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28122.391419</v>
      </c>
      <c r="C4" s="18" t="n">
        <v>33802.010954</v>
      </c>
      <c r="D4" s="18" t="n">
        <v>35461.565329</v>
      </c>
      <c r="E4" s="18" t="n">
        <v>37608.333333</v>
      </c>
      <c r="F4" s="18" t="n">
        <v>34954.666667</v>
      </c>
    </row>
    <row r="5">
      <c r="A5" s="4" t="inlineStr">
        <is>
          <t xml:space="preserve">  model</t>
        </is>
      </c>
      <c r="B5" s="28">
        <f>Model!G16</f>
        <v/>
      </c>
      <c r="C5" s="28">
        <f>Model!H16</f>
        <v/>
      </c>
      <c r="D5" s="28">
        <f>Model!I16</f>
        <v/>
      </c>
      <c r="E5" s="28">
        <f>Model!J16</f>
        <v/>
      </c>
      <c r="F5" s="28">
        <f>Model!K16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10953.874156</v>
      </c>
      <c r="C8" s="18" t="n">
        <v>13166.126903</v>
      </c>
      <c r="D8" s="18" t="n">
        <v>13812.535293</v>
      </c>
      <c r="E8" s="18" t="n">
        <v>14648.716904</v>
      </c>
      <c r="F8" s="18" t="n">
        <v>13615.094611</v>
      </c>
    </row>
    <row r="9">
      <c r="A9" s="4" t="inlineStr">
        <is>
          <t xml:space="preserve">  model</t>
        </is>
      </c>
      <c r="B9" s="28">
        <f>Model!G29+Model!G34</f>
        <v/>
      </c>
      <c r="C9" s="28">
        <f>Model!H29+Model!H34</f>
        <v/>
      </c>
      <c r="D9" s="28">
        <f>Model!I29+Model!I34</f>
        <v/>
      </c>
      <c r="E9" s="28">
        <f>Model!J29+Model!J34</f>
        <v/>
      </c>
      <c r="F9" s="28">
        <f>Model!K29+Model!K34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8466.835972000001</v>
      </c>
      <c r="C12" s="18" t="n">
        <v>10176.804597</v>
      </c>
      <c r="D12" s="18" t="n">
        <v>10676.448261</v>
      </c>
      <c r="E12" s="18" t="n">
        <v>11322.77781</v>
      </c>
      <c r="F12" s="18" t="n">
        <v>10523.835784</v>
      </c>
    </row>
    <row r="13">
      <c r="A13" s="4" t="inlineStr">
        <is>
          <t xml:space="preserve">  model</t>
        </is>
      </c>
      <c r="B13" s="28">
        <f>Model!G29</f>
        <v/>
      </c>
      <c r="C13" s="28">
        <f>Model!H29</f>
        <v/>
      </c>
      <c r="D13" s="28">
        <f>Model!I29</f>
        <v/>
      </c>
      <c r="E13" s="28">
        <f>Model!J29</f>
        <v/>
      </c>
      <c r="F13" s="28">
        <f>Model!K29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548.673831</v>
      </c>
      <c r="C16" s="18" t="n">
        <v>659.484415</v>
      </c>
      <c r="D16" s="18" t="n">
        <v>691.862674</v>
      </c>
      <c r="E16" s="18" t="n">
        <v>733.746574</v>
      </c>
      <c r="F16" s="18" t="n">
        <v>681.972973</v>
      </c>
    </row>
    <row r="17">
      <c r="A17" s="4" t="inlineStr">
        <is>
          <t xml:space="preserve">  model</t>
        </is>
      </c>
      <c r="B17" s="28">
        <f>Model!G24</f>
        <v/>
      </c>
      <c r="C17" s="28">
        <f>Model!H24</f>
        <v/>
      </c>
      <c r="D17" s="28">
        <f>Model!I24</f>
        <v/>
      </c>
      <c r="E17" s="28">
        <f>Model!J24</f>
        <v/>
      </c>
      <c r="F17" s="28">
        <f>Model!K24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3295.6379</v>
      </c>
      <c r="C20" s="18" t="n">
        <v>5267.60101</v>
      </c>
      <c r="D20" s="18" t="n">
        <v>5715.64002</v>
      </c>
      <c r="E20" s="18" t="n">
        <v>5954.149894</v>
      </c>
      <c r="F20" s="18" t="n">
        <v>4531.020003</v>
      </c>
    </row>
    <row r="21">
      <c r="A21" s="4" t="inlineStr">
        <is>
          <t xml:space="preserve">  model</t>
        </is>
      </c>
      <c r="B21" s="28">
        <f>Model!G33</f>
        <v/>
      </c>
      <c r="C21" s="28">
        <f>Model!H33</f>
        <v/>
      </c>
      <c r="D21" s="28">
        <f>Model!I33</f>
        <v/>
      </c>
      <c r="E21" s="28">
        <f>Model!J33</f>
        <v/>
      </c>
      <c r="F21" s="28">
        <f>Model!K33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2.55875</v>
      </c>
      <c r="C24" s="38" t="n">
        <v>3.71997</v>
      </c>
      <c r="D24" s="38" t="n">
        <v>4.1839</v>
      </c>
      <c r="E24" s="38" t="n">
        <v>4.12623</v>
      </c>
      <c r="F24" s="38" t="n">
        <v>3.14</v>
      </c>
    </row>
    <row r="25">
      <c r="A25" s="4" t="inlineStr">
        <is>
          <t xml:space="preserve">  model</t>
        </is>
      </c>
      <c r="B25" s="8">
        <f>Model!G33/Financials!AC17</f>
        <v/>
      </c>
      <c r="C25" s="8">
        <f>Model!H33/Financials!AC17</f>
        <v/>
      </c>
      <c r="D25" s="8">
        <f>Model!I33/Financials!AC17</f>
        <v/>
      </c>
      <c r="E25" s="8">
        <f>Model!J33/Financials!AC17</f>
        <v/>
      </c>
      <c r="F25" s="8">
        <f>Model!K33/Financials!AC17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Freeport-McMoRan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Model!G41</f>
        <v/>
      </c>
      <c r="D12" s="28">
        <f>Model!H41</f>
        <v/>
      </c>
      <c r="E12" s="28">
        <f>Model!I41</f>
        <v/>
      </c>
      <c r="F12" s="28">
        <f>Model!J41</f>
        <v/>
      </c>
      <c r="G12" s="28">
        <f>Model!K41</f>
        <v/>
      </c>
      <c r="H12" s="28">
        <f>Model!L41</f>
        <v/>
      </c>
      <c r="I12" s="28">
        <f>Model!M41</f>
        <v/>
      </c>
      <c r="J12" s="28">
        <f>Model!N41</f>
        <v/>
      </c>
      <c r="K12" s="28">
        <f>Model!O41</f>
        <v/>
      </c>
      <c r="L12" s="28">
        <f>Model!P41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Model!P16</f>
        <v/>
      </c>
    </row>
    <row r="21">
      <c r="A21" s="4" t="inlineStr">
        <is>
          <t>Terminal EBIT</t>
        </is>
      </c>
      <c r="B21" s="28">
        <f>Model!P29</f>
        <v/>
      </c>
    </row>
    <row r="22">
      <c r="A22" s="4" t="inlineStr">
        <is>
          <t>Terminal EBITDA</t>
        </is>
      </c>
      <c r="B22" s="28">
        <f>Model!P29+Model!P34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Financials!AC38</f>
        <v/>
      </c>
    </row>
    <row r="33">
      <c r="A33" s="4" t="inlineStr">
        <is>
          <t>- Long-term debt</t>
        </is>
      </c>
      <c r="B33" s="28">
        <f>-Financials!AC43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Model!F30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5062.03045542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(Model!P16/Model!F16)^(1/10)-1</f>
        <v/>
      </c>
      <c r="D6" s="15" t="n">
        <v>0.02414060352926008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1.018848537479442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Financials!AC38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Financials!AC43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2026-06-08T03:50:56Z</dcterms:created>
  <dcterms:modified xmlns:dcterms="http://purl.org/dc/terms/" xmlns:xsi="http://www.w3.org/2001/XMLSchema-instance" xsi:type="dcterms:W3CDTF">2026-06-08T03:50:56Z</dcterms:modified>
</cp:coreProperties>
</file>