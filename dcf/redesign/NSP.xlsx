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Insperity, Inc. (NSP)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Insperity is an asset-light PEO that reports gross (payroll pass-through) revenue, so operating margins are structurally thin (3-4% at best) and have compressed to breakeven in FY2025 on benefit-cost and pricing pressure. The thesis is a cyclical margin recovery as worksite-employee growth resumes and gross profit per WSE normalizes, taking op margin back toward the mid-3% range while revenue compounds at a low-mid single-digit rate. With minimal capex (~0.5% of revenue) and modest working-capital needs, normalized FCFF conversion is healthy despite the low headline margin.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Insperity, Inc. (NSP)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Model!G36-WACC!B14</f>
        <v/>
      </c>
      <c r="C15" s="10">
        <f>IF(Model!G36-WACC!B14&lt;0,"!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0.045</v>
      </c>
      <c r="C20" s="15" t="n">
        <v>0.03</v>
      </c>
      <c r="D20" s="16" t="n">
        <v>0.045</v>
      </c>
      <c r="E20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0.028</v>
      </c>
      <c r="D29" s="16" t="n">
        <v>0.028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0.038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0.25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34.443543</v>
      </c>
      <c r="D34" s="18" t="n">
        <v>34.443543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0.622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9</v>
      </c>
    </row>
    <row r="46">
      <c r="A46" s="4" t="inlineStr">
        <is>
          <t>Terminal growth (g)</t>
        </is>
      </c>
      <c r="B46" s="15" t="n">
        <v>0.03</v>
      </c>
    </row>
    <row r="48">
      <c r="A48" s="4" t="inlineStr">
        <is>
          <t>Current price</t>
        </is>
      </c>
      <c r="B48" s="23" t="n">
        <v>35.11000061035156</v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Financials!AC24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28">
        <f>SUM(Financials!I3:L3)</f>
        <v/>
      </c>
      <c r="C4" s="28">
        <f>SUM(Financials!M3:P3)</f>
        <v/>
      </c>
      <c r="D4" s="28">
        <f>SUM(Financials!Q3:T3)</f>
        <v/>
      </c>
      <c r="E4" s="28">
        <f>SUM(Financials!U3:X3)</f>
        <v/>
      </c>
      <c r="F4" s="28">
        <f>SUM(Financials!Y3:AB3)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3" t="inlineStr">
        <is>
          <t>Total revenue</t>
        </is>
      </c>
      <c r="B6" s="33">
        <f>B4</f>
        <v/>
      </c>
      <c r="C6" s="33">
        <f>C4</f>
        <v/>
      </c>
      <c r="D6" s="33">
        <f>D4</f>
        <v/>
      </c>
      <c r="E6" s="33">
        <f>E4</f>
        <v/>
      </c>
      <c r="F6" s="33">
        <f>F4</f>
        <v/>
      </c>
      <c r="G6" s="33">
        <f>G4</f>
        <v/>
      </c>
      <c r="H6" s="33">
        <f>H4</f>
        <v/>
      </c>
      <c r="I6" s="33">
        <f>I4</f>
        <v/>
      </c>
      <c r="J6" s="33">
        <f>J4</f>
        <v/>
      </c>
      <c r="K6" s="33">
        <f>K4</f>
        <v/>
      </c>
      <c r="L6" s="33">
        <f>L4</f>
        <v/>
      </c>
      <c r="M6" s="33">
        <f>M4</f>
        <v/>
      </c>
      <c r="N6" s="33">
        <f>N4</f>
        <v/>
      </c>
      <c r="O6" s="33">
        <f>O4</f>
        <v/>
      </c>
      <c r="P6" s="33">
        <f>P4</f>
        <v/>
      </c>
    </row>
    <row r="7">
      <c r="A7" s="4" t="inlineStr">
        <is>
          <t xml:space="preserve">    growth %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27">
        <f>IFERROR(G6/F6-1,"")</f>
        <v/>
      </c>
      <c r="H7" s="27">
        <f>IFERROR(H6/G6-1,"")</f>
        <v/>
      </c>
      <c r="I7" s="27">
        <f>IFERROR(I6/H6-1,"")</f>
        <v/>
      </c>
      <c r="J7" s="27">
        <f>IFERROR(J6/I6-1,"")</f>
        <v/>
      </c>
      <c r="K7" s="27">
        <f>IFERROR(K6/J6-1,"")</f>
        <v/>
      </c>
      <c r="L7" s="27">
        <f>IFERROR(L6/K6-1,"")</f>
        <v/>
      </c>
      <c r="M7" s="27">
        <f>IFERROR(M6/L6-1,"")</f>
        <v/>
      </c>
      <c r="N7" s="27">
        <f>IFERROR(N6/M6-1,"")</f>
        <v/>
      </c>
      <c r="O7" s="27">
        <f>IFERROR(O6/N6-1,"")</f>
        <v/>
      </c>
      <c r="P7" s="27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28">
        <f>SUM(Financials!I5:L5)</f>
        <v/>
      </c>
      <c r="C10" s="28">
        <f>SUM(Financials!M5:P5)</f>
        <v/>
      </c>
      <c r="D10" s="28">
        <f>SUM(Financials!Q5:T5)</f>
        <v/>
      </c>
      <c r="E10" s="28">
        <f>SUM(Financials!U5:X5)</f>
        <v/>
      </c>
      <c r="F10" s="28">
        <f>SUM(Financials!Y5:AB5)</f>
        <v/>
      </c>
      <c r="G10" s="32">
        <f>G6*G11</f>
        <v/>
      </c>
      <c r="H10" s="32">
        <f>H6*H11</f>
        <v/>
      </c>
      <c r="I10" s="32">
        <f>I6*I11</f>
        <v/>
      </c>
      <c r="J10" s="32">
        <f>J6*J11</f>
        <v/>
      </c>
      <c r="K10" s="32">
        <f>K6*K11</f>
        <v/>
      </c>
      <c r="L10" s="32">
        <f>L6*L11</f>
        <v/>
      </c>
      <c r="M10" s="32">
        <f>M6*M11</f>
        <v/>
      </c>
      <c r="N10" s="32">
        <f>N6*N11</f>
        <v/>
      </c>
      <c r="O10" s="32">
        <f>O6*O11</f>
        <v/>
      </c>
      <c r="P10" s="32">
        <f>P6*P11</f>
        <v/>
      </c>
    </row>
    <row r="11">
      <c r="A11" s="4" t="inlineStr">
        <is>
          <t xml:space="preserve">    % of revenue</t>
        </is>
      </c>
      <c r="B11" s="27">
        <f>IFERROR(B10/B6,"")</f>
        <v/>
      </c>
      <c r="C11" s="27">
        <f>IFERROR(C10/C6,"")</f>
        <v/>
      </c>
      <c r="D11" s="27">
        <f>IFERROR(D10/D6,"")</f>
        <v/>
      </c>
      <c r="E11" s="27">
        <f>IFERROR(E10/E6,"")</f>
        <v/>
      </c>
      <c r="F11" s="27">
        <f>IFERROR(F10/F6,"")</f>
        <v/>
      </c>
      <c r="G11" s="15" t="n">
        <v>0.8678802113916618</v>
      </c>
      <c r="H11" s="15" t="n">
        <v>0.8678802113916618</v>
      </c>
      <c r="I11" s="15" t="n">
        <v>0.8678802113916618</v>
      </c>
      <c r="J11" s="15" t="n">
        <v>0.8678802113916618</v>
      </c>
      <c r="K11" s="15" t="n">
        <v>0.8678802113916618</v>
      </c>
      <c r="L11" s="15" t="n">
        <v>0.8678802113916618</v>
      </c>
      <c r="M11" s="15" t="n">
        <v>0.8678802113916618</v>
      </c>
      <c r="N11" s="15" t="n">
        <v>0.8678802113916618</v>
      </c>
      <c r="O11" s="15" t="n">
        <v>0.8678802113916618</v>
      </c>
      <c r="P11" s="15" t="n">
        <v>0.8678802113916618</v>
      </c>
    </row>
    <row r="12">
      <c r="A12" s="4" t="inlineStr">
        <is>
          <t>R&amp;D / Technology</t>
        </is>
      </c>
      <c r="B12" s="28">
        <f>SUM(Financials!I7:L7)</f>
        <v/>
      </c>
      <c r="C12" s="28">
        <f>SUM(Financials!M7:P7)</f>
        <v/>
      </c>
      <c r="D12" s="28">
        <f>SUM(Financials!Q7:T7)</f>
        <v/>
      </c>
      <c r="E12" s="28">
        <f>SUM(Financials!U7:X7)</f>
        <v/>
      </c>
      <c r="F12" s="28">
        <f>SUM(Financials!Y7:AB7)</f>
        <v/>
      </c>
      <c r="G12" s="32">
        <f>G6*G13</f>
        <v/>
      </c>
      <c r="H12" s="32">
        <f>H6*H13</f>
        <v/>
      </c>
      <c r="I12" s="32">
        <f>I6*I13</f>
        <v/>
      </c>
      <c r="J12" s="32">
        <f>J6*J13</f>
        <v/>
      </c>
      <c r="K12" s="32">
        <f>K6*K13</f>
        <v/>
      </c>
      <c r="L12" s="32">
        <f>L6*L13</f>
        <v/>
      </c>
      <c r="M12" s="32">
        <f>M6*M13</f>
        <v/>
      </c>
      <c r="N12" s="32">
        <f>N6*N13</f>
        <v/>
      </c>
      <c r="O12" s="32">
        <f>O6*O13</f>
        <v/>
      </c>
      <c r="P12" s="32">
        <f>P6*P13</f>
        <v/>
      </c>
    </row>
    <row r="13">
      <c r="A13" s="4" t="inlineStr">
        <is>
          <t xml:space="preserve">    % of revenue</t>
        </is>
      </c>
      <c r="B13" s="27">
        <f>IFERROR(B12/B6,"")</f>
        <v/>
      </c>
      <c r="C13" s="27">
        <f>IFERROR(C12/C6,"")</f>
        <v/>
      </c>
      <c r="D13" s="27">
        <f>IFERROR(D12/D6,"")</f>
        <v/>
      </c>
      <c r="E13" s="27">
        <f>IFERROR(E12/E6,"")</f>
        <v/>
      </c>
      <c r="F13" s="27">
        <f>IFERROR(F12/F6,"")</f>
        <v/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</row>
    <row r="14">
      <c r="A14" s="4" t="inlineStr">
        <is>
          <t>SG&amp;A</t>
        </is>
      </c>
      <c r="B14" s="28">
        <f>SUM(Financials!I9:L9)</f>
        <v/>
      </c>
      <c r="C14" s="28">
        <f>SUM(Financials!M9:P9)</f>
        <v/>
      </c>
      <c r="D14" s="28">
        <f>SUM(Financials!Q9:T9)</f>
        <v/>
      </c>
      <c r="E14" s="28">
        <f>SUM(Financials!U9:X9)</f>
        <v/>
      </c>
      <c r="F14" s="28">
        <f>SUM(Financials!Y9:AB9)</f>
        <v/>
      </c>
      <c r="G14" s="32">
        <f>G6*G15</f>
        <v/>
      </c>
      <c r="H14" s="32">
        <f>H6*H15</f>
        <v/>
      </c>
      <c r="I14" s="32">
        <f>I6*I15</f>
        <v/>
      </c>
      <c r="J14" s="32">
        <f>J6*J15</f>
        <v/>
      </c>
      <c r="K14" s="32">
        <f>K6*K15</f>
        <v/>
      </c>
      <c r="L14" s="32">
        <f>L6*L15</f>
        <v/>
      </c>
      <c r="M14" s="32">
        <f>M6*M15</f>
        <v/>
      </c>
      <c r="N14" s="32">
        <f>N6*N15</f>
        <v/>
      </c>
      <c r="O14" s="32">
        <f>O6*O15</f>
        <v/>
      </c>
      <c r="P14" s="32">
        <f>P6*P15</f>
        <v/>
      </c>
    </row>
    <row r="15">
      <c r="A15" s="4" t="inlineStr">
        <is>
          <t xml:space="preserve">    % of revenue</t>
        </is>
      </c>
      <c r="B15" s="27">
        <f>IFERROR(B14/B6,"")</f>
        <v/>
      </c>
      <c r="C15" s="27">
        <f>IFERROR(C14/C6,"")</f>
        <v/>
      </c>
      <c r="D15" s="27">
        <f>IFERROR(D14/D6,"")</f>
        <v/>
      </c>
      <c r="E15" s="27">
        <f>IFERROR(E14/E6,"")</f>
        <v/>
      </c>
      <c r="F15" s="27">
        <f>IFERROR(F14/F6,"")</f>
        <v/>
      </c>
      <c r="G15" s="15" t="n">
        <v>0.1020258367586612</v>
      </c>
      <c r="H15" s="15" t="n">
        <v>0.1020258367586612</v>
      </c>
      <c r="I15" s="15" t="n">
        <v>0.1020258367586612</v>
      </c>
      <c r="J15" s="15" t="n">
        <v>0.1020258367586612</v>
      </c>
      <c r="K15" s="15" t="n">
        <v>0.1020258367586612</v>
      </c>
      <c r="L15" s="15" t="n">
        <v>0.1020258367586612</v>
      </c>
      <c r="M15" s="15" t="n">
        <v>0.1020258367586612</v>
      </c>
      <c r="N15" s="15" t="n">
        <v>0.1020258367586612</v>
      </c>
      <c r="O15" s="15" t="n">
        <v>0.1020258367586612</v>
      </c>
      <c r="P15" s="15" t="n">
        <v>0.1020258367586612</v>
      </c>
    </row>
    <row r="16">
      <c r="A16" s="4" t="inlineStr">
        <is>
          <t>Other opex (fulfilment, etc.)</t>
        </is>
      </c>
      <c r="B16" s="28">
        <f>B6-(B10+B12+B14)-SUM(Financials!I13:L13)</f>
        <v/>
      </c>
      <c r="C16" s="28">
        <f>C6-(C10+C12+C14)-SUM(Financials!M13:P13)</f>
        <v/>
      </c>
      <c r="D16" s="28">
        <f>D6-(D10+D12+D14)-SUM(Financials!Q13:T13)</f>
        <v/>
      </c>
      <c r="E16" s="28">
        <f>E6-(E10+E12+E14)-SUM(Financials!U13:X13)</f>
        <v/>
      </c>
      <c r="F16" s="28">
        <f>F6-(F10+F12+F14)-SUM(Financials!Y13:AB13)</f>
        <v/>
      </c>
      <c r="G16" s="28">
        <f>G6*(1-(Dashboard!$B$29+(Dashboard!$B$30-Dashboard!$B$29)*MIN(1,0/2)))-(G10+G12+G14)</f>
        <v/>
      </c>
      <c r="H16" s="28">
        <f>H6*(1-(Dashboard!$B$29+(Dashboard!$B$30-Dashboard!$B$29)*MIN(1,1/2)))-(H10+H12+H14)</f>
        <v/>
      </c>
      <c r="I16" s="28">
        <f>I6*(1-(Dashboard!$B$29+(Dashboard!$B$30-Dashboard!$B$29)*MIN(1,2/2)))-(I10+I12+I14)</f>
        <v/>
      </c>
      <c r="J16" s="28">
        <f>J6*(1-(Dashboard!$B$29+(Dashboard!$B$30-Dashboard!$B$29)*MIN(1,3/2)))-(J10+J12+J14)</f>
        <v/>
      </c>
      <c r="K16" s="28">
        <f>K6*(1-(Dashboard!$B$29+(Dashboard!$B$30-Dashboard!$B$29)*MIN(1,4/2)))-(K10+K12+K14)</f>
        <v/>
      </c>
      <c r="L16" s="28">
        <f>L6*(1-(Dashboard!$B$29+(Dashboard!$B$30-Dashboard!$B$29)*MIN(1,5/2)))-(L10+L12+L14)</f>
        <v/>
      </c>
      <c r="M16" s="28">
        <f>M6*(1-(Dashboard!$B$29+(Dashboard!$B$30-Dashboard!$B$29)*MIN(1,6/2)))-(M10+M12+M14)</f>
        <v/>
      </c>
      <c r="N16" s="28">
        <f>N6*(1-(Dashboard!$B$29+(Dashboard!$B$30-Dashboard!$B$29)*MIN(1,7/2)))-(N10+N12+N14)</f>
        <v/>
      </c>
      <c r="O16" s="28">
        <f>O6*(1-(Dashboard!$B$29+(Dashboard!$B$30-Dashboard!$B$29)*MIN(1,8/2)))-(O10+O12+O14)</f>
        <v/>
      </c>
      <c r="P16" s="28">
        <f>P6*(1-(Dashboard!$B$29+(Dashboard!$B$30-Dashboard!$B$29)*MIN(1,9/2)))-(P10+P12+P14)</f>
        <v/>
      </c>
    </row>
    <row r="17">
      <c r="A17" s="4" t="inlineStr">
        <is>
          <t xml:space="preserve">    % of revenue</t>
        </is>
      </c>
      <c r="B17" s="27">
        <f>IFERROR(B16/B6,"")</f>
        <v/>
      </c>
      <c r="C17" s="27">
        <f>IFERROR(C16/C6,"")</f>
        <v/>
      </c>
      <c r="D17" s="27">
        <f>IFERROR(D16/D6,"")</f>
        <v/>
      </c>
      <c r="E17" s="27">
        <f>IFERROR(E16/E6,"")</f>
        <v/>
      </c>
      <c r="F17" s="27">
        <f>IFERROR(F16/F6,"")</f>
        <v/>
      </c>
      <c r="G17" s="27">
        <f>IFERROR(G16/G6,"")</f>
        <v/>
      </c>
      <c r="H17" s="27">
        <f>IFERROR(H16/H6,"")</f>
        <v/>
      </c>
      <c r="I17" s="27">
        <f>IFERROR(I16/I6,"")</f>
        <v/>
      </c>
      <c r="J17" s="27">
        <f>IFERROR(J16/J6,"")</f>
        <v/>
      </c>
      <c r="K17" s="27">
        <f>IFERROR(K16/K6,"")</f>
        <v/>
      </c>
      <c r="L17" s="27">
        <f>IFERROR(L16/L6,"")</f>
        <v/>
      </c>
      <c r="M17" s="27">
        <f>IFERROR(M16/M6,"")</f>
        <v/>
      </c>
      <c r="N17" s="27">
        <f>IFERROR(N16/N6,"")</f>
        <v/>
      </c>
      <c r="O17" s="27">
        <f>IFERROR(O16/O6,"")</f>
        <v/>
      </c>
      <c r="P17" s="27">
        <f>IFERROR(P16/P6,"")</f>
        <v/>
      </c>
    </row>
    <row r="19">
      <c r="A19" s="3" t="inlineStr">
        <is>
          <t>Operating income (EBIT)</t>
        </is>
      </c>
      <c r="B19" s="33">
        <f>B6-(B10+B12+B14)-B16</f>
        <v/>
      </c>
      <c r="C19" s="33">
        <f>C6-(C10+C12+C14)-C16</f>
        <v/>
      </c>
      <c r="D19" s="33">
        <f>D6-(D10+D12+D14)-D16</f>
        <v/>
      </c>
      <c r="E19" s="33">
        <f>E6-(E10+E12+E14)-E16</f>
        <v/>
      </c>
      <c r="F19" s="33">
        <f>F6-(F10+F12+F14)-F16</f>
        <v/>
      </c>
      <c r="G19" s="33">
        <f>G6-(G10+G12+G14)-G16</f>
        <v/>
      </c>
      <c r="H19" s="33">
        <f>H6-(H10+H12+H14)-H16</f>
        <v/>
      </c>
      <c r="I19" s="33">
        <f>I6-(I10+I12+I14)-I16</f>
        <v/>
      </c>
      <c r="J19" s="33">
        <f>J6-(J10+J12+J14)-J16</f>
        <v/>
      </c>
      <c r="K19" s="33">
        <f>K6-(K10+K12+K14)-K16</f>
        <v/>
      </c>
      <c r="L19" s="33">
        <f>L6-(L10+L12+L14)-L16</f>
        <v/>
      </c>
      <c r="M19" s="33">
        <f>M6-(M10+M12+M14)-M16</f>
        <v/>
      </c>
      <c r="N19" s="33">
        <f>N6-(N10+N12+N14)-N16</f>
        <v/>
      </c>
      <c r="O19" s="33">
        <f>O6-(O10+O12+O14)-O16</f>
        <v/>
      </c>
      <c r="P19" s="33">
        <f>P6-(P10+P12+P14)-P16</f>
        <v/>
      </c>
    </row>
    <row r="20">
      <c r="A20" s="4" t="inlineStr">
        <is>
          <t xml:space="preserve">    operating margin</t>
        </is>
      </c>
      <c r="B20" s="27">
        <f>IFERROR(B19/B6,"")</f>
        <v/>
      </c>
      <c r="C20" s="27">
        <f>IFERROR(C19/C6,"")</f>
        <v/>
      </c>
      <c r="D20" s="27">
        <f>IFERROR(D19/D6,"")</f>
        <v/>
      </c>
      <c r="E20" s="27">
        <f>IFERROR(E19/E6,"")</f>
        <v/>
      </c>
      <c r="F20" s="27">
        <f>IFERROR(F19/F6,"")</f>
        <v/>
      </c>
      <c r="G20" s="27">
        <f>IFERROR(G19/G6,"")</f>
        <v/>
      </c>
      <c r="H20" s="27">
        <f>IFERROR(H19/H6,"")</f>
        <v/>
      </c>
      <c r="I20" s="27">
        <f>IFERROR(I19/I6,"")</f>
        <v/>
      </c>
      <c r="J20" s="27">
        <f>IFERROR(J19/J6,"")</f>
        <v/>
      </c>
      <c r="K20" s="27">
        <f>IFERROR(K19/K6,"")</f>
        <v/>
      </c>
      <c r="L20" s="27">
        <f>IFERROR(L19/L6,"")</f>
        <v/>
      </c>
      <c r="M20" s="27">
        <f>IFERROR(M19/M6,"")</f>
        <v/>
      </c>
      <c r="N20" s="27">
        <f>IFERROR(N19/N6,"")</f>
        <v/>
      </c>
      <c r="O20" s="27">
        <f>IFERROR(O19/O6,"")</f>
        <v/>
      </c>
      <c r="P20" s="27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28">
        <f>B19*(1-Valuation!$B$5)</f>
        <v/>
      </c>
      <c r="C23" s="28">
        <f>C19*(1-Valuation!$B$5)</f>
        <v/>
      </c>
      <c r="D23" s="28">
        <f>D19*(1-Valuation!$B$5)</f>
        <v/>
      </c>
      <c r="E23" s="28">
        <f>E19*(1-Valuation!$B$5)</f>
        <v/>
      </c>
      <c r="F23" s="28">
        <f>F19*(1-Valuation!$B$5)</f>
        <v/>
      </c>
      <c r="G23" s="28">
        <f>G19*(1-Valuation!$B$5)</f>
        <v/>
      </c>
      <c r="H23" s="28">
        <f>H19*(1-Valuation!$B$5)</f>
        <v/>
      </c>
      <c r="I23" s="28">
        <f>I19*(1-Valuation!$B$5)</f>
        <v/>
      </c>
      <c r="J23" s="28">
        <f>J19*(1-Valuation!$B$5)</f>
        <v/>
      </c>
      <c r="K23" s="28">
        <f>K19*(1-Valuation!$B$5)</f>
        <v/>
      </c>
      <c r="L23" s="28">
        <f>L19*(1-Valuation!$B$5)</f>
        <v/>
      </c>
      <c r="M23" s="28">
        <f>M19*(1-Valuation!$B$5)</f>
        <v/>
      </c>
      <c r="N23" s="28">
        <f>N19*(1-Valuation!$B$5)</f>
        <v/>
      </c>
      <c r="O23" s="28">
        <f>O19*(1-Valuation!$B$5)</f>
        <v/>
      </c>
      <c r="P23" s="28">
        <f>P19*(1-Valuation!$B$5)</f>
        <v/>
      </c>
    </row>
    <row r="24">
      <c r="A24" s="4" t="inlineStr">
        <is>
          <t>+ D&amp;A</t>
        </is>
      </c>
      <c r="B24" s="28">
        <f>SUM(Financials!I27:L27)</f>
        <v/>
      </c>
      <c r="C24" s="28">
        <f>SUM(Financials!M27:P27)</f>
        <v/>
      </c>
      <c r="D24" s="28">
        <f>SUM(Financials!Q27:T27)</f>
        <v/>
      </c>
      <c r="E24" s="28">
        <f>SUM(Financials!U27:X27)</f>
        <v/>
      </c>
      <c r="F24" s="28">
        <f>SUM(Financials!Y27:AB27)</f>
        <v/>
      </c>
      <c r="G24" s="32">
        <f>G6*0.0066</f>
        <v/>
      </c>
      <c r="H24" s="32">
        <f>H6*0.0066</f>
        <v/>
      </c>
      <c r="I24" s="32">
        <f>I6*0.0066</f>
        <v/>
      </c>
      <c r="J24" s="32">
        <f>J6*0.0066</f>
        <v/>
      </c>
      <c r="K24" s="32">
        <f>K6*0.0066</f>
        <v/>
      </c>
      <c r="L24" s="32">
        <f>L6*0.0066</f>
        <v/>
      </c>
      <c r="M24" s="32">
        <f>M6*0.0066</f>
        <v/>
      </c>
      <c r="N24" s="32">
        <f>N6*0.0066</f>
        <v/>
      </c>
      <c r="O24" s="32">
        <f>O6*0.0066</f>
        <v/>
      </c>
      <c r="P24" s="32">
        <f>P6*0.0066</f>
        <v/>
      </c>
    </row>
    <row r="25">
      <c r="A25" s="4" t="inlineStr">
        <is>
          <t>+ SBC (non-cash)</t>
        </is>
      </c>
      <c r="B25" s="28">
        <f>SUM(Financials!I28:L28)</f>
        <v/>
      </c>
      <c r="C25" s="28">
        <f>SUM(Financials!M28:P28)</f>
        <v/>
      </c>
      <c r="D25" s="28">
        <f>SUM(Financials!Q28:T28)</f>
        <v/>
      </c>
      <c r="E25" s="28">
        <f>SUM(Financials!U28:X28)</f>
        <v/>
      </c>
      <c r="F25" s="28">
        <f>SUM(Financials!Y28:AB28)</f>
        <v/>
      </c>
      <c r="G25" s="32">
        <f>G6*0.0090</f>
        <v/>
      </c>
      <c r="H25" s="32">
        <f>H6*0.0086</f>
        <v/>
      </c>
      <c r="I25" s="32">
        <f>I6*0.0082</f>
        <v/>
      </c>
      <c r="J25" s="32">
        <f>J6*0.0078</f>
        <v/>
      </c>
      <c r="K25" s="32">
        <f>K6*0.0074</f>
        <v/>
      </c>
      <c r="L25" s="32">
        <f>L6*0.0070</f>
        <v/>
      </c>
      <c r="M25" s="32">
        <f>M6*0.0066</f>
        <v/>
      </c>
      <c r="N25" s="32">
        <f>N6*0.0062</f>
        <v/>
      </c>
      <c r="O25" s="32">
        <f>O6*0.0058</f>
        <v/>
      </c>
      <c r="P25" s="32">
        <f>P6*0.0054</f>
        <v/>
      </c>
    </row>
    <row r="26">
      <c r="A26" s="4" t="inlineStr">
        <is>
          <t>- dNWC</t>
        </is>
      </c>
      <c r="G26" s="32">
        <f>(G6-F6)*0.0050</f>
        <v/>
      </c>
      <c r="H26" s="32">
        <f>(H6-G6)*0.0050</f>
        <v/>
      </c>
      <c r="I26" s="32">
        <f>(I6-H6)*0.0050</f>
        <v/>
      </c>
      <c r="J26" s="32">
        <f>(J6-I6)*0.0050</f>
        <v/>
      </c>
      <c r="K26" s="32">
        <f>(K6-J6)*0.0050</f>
        <v/>
      </c>
      <c r="L26" s="32">
        <f>(L6-K6)*0.0050</f>
        <v/>
      </c>
      <c r="M26" s="32">
        <f>(M6-L6)*0.0050</f>
        <v/>
      </c>
      <c r="N26" s="32">
        <f>(N6-M6)*0.0050</f>
        <v/>
      </c>
      <c r="O26" s="32">
        <f>(O6-N6)*0.0050</f>
        <v/>
      </c>
      <c r="P26" s="32">
        <f>(P6-O6)*0.0050</f>
        <v/>
      </c>
    </row>
    <row r="27">
      <c r="A27" s="4" t="inlineStr">
        <is>
          <t>- Capex</t>
        </is>
      </c>
      <c r="B27" s="28">
        <f>-SUM(Financials!I31:L31)</f>
        <v/>
      </c>
      <c r="C27" s="28">
        <f>-SUM(Financials!M31:P31)</f>
        <v/>
      </c>
      <c r="D27" s="28">
        <f>-SUM(Financials!Q31:T31)</f>
        <v/>
      </c>
      <c r="E27" s="28">
        <f>-SUM(Financials!U31:X31)</f>
        <v/>
      </c>
      <c r="F27" s="28">
        <f>-SUM(Financials!Y31:AB31)</f>
        <v/>
      </c>
      <c r="G27" s="32">
        <f>G24*G28</f>
        <v/>
      </c>
      <c r="H27" s="32">
        <f>H24*H28</f>
        <v/>
      </c>
      <c r="I27" s="32">
        <f>I24*I28</f>
        <v/>
      </c>
      <c r="J27" s="32">
        <f>J24*J28</f>
        <v/>
      </c>
      <c r="K27" s="32">
        <f>K24*K28</f>
        <v/>
      </c>
      <c r="L27" s="32">
        <f>L24*L28</f>
        <v/>
      </c>
      <c r="M27" s="32">
        <f>M24*M28</f>
        <v/>
      </c>
      <c r="N27" s="32">
        <f>N24*N28</f>
        <v/>
      </c>
      <c r="O27" s="32">
        <f>O24*O28</f>
        <v/>
      </c>
      <c r="P27" s="32">
        <f>P24*P28</f>
        <v/>
      </c>
    </row>
    <row r="28">
      <c r="A28" s="4" t="inlineStr">
        <is>
          <t xml:space="preserve">    Capex / D&amp;A  (from Dashboard: $cap'26 -&gt; terminal)</t>
        </is>
      </c>
      <c r="B28" s="34">
        <f>IFERROR(B27/B24,"")</f>
        <v/>
      </c>
      <c r="C28" s="34">
        <f>IFERROR(C27/C24,"")</f>
        <v/>
      </c>
      <c r="D28" s="34">
        <f>IFERROR(D27/D24,"")</f>
        <v/>
      </c>
      <c r="E28" s="34">
        <f>IFERROR(E27/E24,"")</f>
        <v/>
      </c>
      <c r="F28" s="34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33">
        <f>B23+B24+B25-B26-B27</f>
        <v/>
      </c>
      <c r="C30" s="33">
        <f>C23+C24+C25-C26-C27</f>
        <v/>
      </c>
      <c r="D30" s="33">
        <f>D23+D24+D25-D26-D27</f>
        <v/>
      </c>
      <c r="E30" s="33">
        <f>E23+E24+E25-E26-E27</f>
        <v/>
      </c>
      <c r="F30" s="33">
        <f>F23+F24+F25-F26-F27</f>
        <v/>
      </c>
      <c r="G30" s="33">
        <f>G23+G24+G25-G26-G27</f>
        <v/>
      </c>
      <c r="H30" s="33">
        <f>H23+H24+H25-H26-H27</f>
        <v/>
      </c>
      <c r="I30" s="33">
        <f>I23+I24+I25-I26-I27</f>
        <v/>
      </c>
      <c r="J30" s="33">
        <f>J23+J24+J25-J26-J27</f>
        <v/>
      </c>
      <c r="K30" s="33">
        <f>K23+K24+K25-K26-K27</f>
        <v/>
      </c>
      <c r="L30" s="33">
        <f>L23+L24+L25-L26-L27</f>
        <v/>
      </c>
      <c r="M30" s="33">
        <f>M23+M24+M25-M26-M27</f>
        <v/>
      </c>
      <c r="N30" s="33">
        <f>N23+N24+N25-N26-N27</f>
        <v/>
      </c>
      <c r="O30" s="33">
        <f>O23+O24+O25-O26-O27</f>
        <v/>
      </c>
      <c r="P30" s="33">
        <f>P23+P24+P25-P26-P27</f>
        <v/>
      </c>
    </row>
    <row r="31">
      <c r="A31" s="3" t="inlineStr">
        <is>
          <t>Valuation FCF (FCFF - SBC)</t>
        </is>
      </c>
      <c r="B31" s="33">
        <f>B30-B25</f>
        <v/>
      </c>
      <c r="C31" s="33">
        <f>C30-C25</f>
        <v/>
      </c>
      <c r="D31" s="33">
        <f>D30-D25</f>
        <v/>
      </c>
      <c r="E31" s="33">
        <f>E30-E25</f>
        <v/>
      </c>
      <c r="F31" s="33">
        <f>F30-F25</f>
        <v/>
      </c>
      <c r="G31" s="33">
        <f>G30-G25</f>
        <v/>
      </c>
      <c r="H31" s="33">
        <f>H30-H25</f>
        <v/>
      </c>
      <c r="I31" s="33">
        <f>I30-I25</f>
        <v/>
      </c>
      <c r="J31" s="33">
        <f>J30-J25</f>
        <v/>
      </c>
      <c r="K31" s="33">
        <f>K30-K25</f>
        <v/>
      </c>
      <c r="L31" s="33">
        <f>L30-L25</f>
        <v/>
      </c>
      <c r="M31" s="33">
        <f>M30-M25</f>
        <v/>
      </c>
      <c r="N31" s="33">
        <f>N30-N25</f>
        <v/>
      </c>
      <c r="O31" s="33">
        <f>O30-O25</f>
        <v/>
      </c>
      <c r="P31" s="33">
        <f>P30-P25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28">
        <f>Financials!L25+Financials!L24-Financials!L19</f>
        <v/>
      </c>
      <c r="C34" s="28">
        <f>Financials!P25+Financials!P24-Financials!P19</f>
        <v/>
      </c>
      <c r="D34" s="28">
        <f>Financials!T25+Financials!T24-Financials!T19</f>
        <v/>
      </c>
      <c r="E34" s="28">
        <f>Financials!X25+Financials!X24-Financials!X19</f>
        <v/>
      </c>
      <c r="F34" s="28">
        <f>Financials!AB25+Financials!AB24-Financials!AB19</f>
        <v/>
      </c>
      <c r="G34" s="32">
        <f>F34+G27-G24+G26</f>
        <v/>
      </c>
      <c r="H34" s="32">
        <f>G34+H27-H24+H26</f>
        <v/>
      </c>
      <c r="I34" s="32">
        <f>H34+I27-I24+I26</f>
        <v/>
      </c>
      <c r="J34" s="32">
        <f>I34+J27-J24+J26</f>
        <v/>
      </c>
      <c r="K34" s="32">
        <f>J34+K27-K24+K26</f>
        <v/>
      </c>
      <c r="L34" s="32">
        <f>K34+L27-L24+L26</f>
        <v/>
      </c>
      <c r="M34" s="32">
        <f>L34+M27-M24+M26</f>
        <v/>
      </c>
      <c r="N34" s="32">
        <f>M34+N27-N24+N26</f>
        <v/>
      </c>
      <c r="O34" s="32">
        <f>N34+O27-O24+O26</f>
        <v/>
      </c>
      <c r="P34" s="32">
        <f>O34+P27-P24+P26</f>
        <v/>
      </c>
    </row>
    <row r="35">
      <c r="A35" s="4" t="inlineStr">
        <is>
          <t>Book equity (year-end)</t>
        </is>
      </c>
      <c r="B35" s="28">
        <f>Financials!L25</f>
        <v/>
      </c>
      <c r="C35" s="28">
        <f>Financials!P25</f>
        <v/>
      </c>
      <c r="D35" s="28">
        <f>Financials!T25</f>
        <v/>
      </c>
      <c r="E35" s="28">
        <f>Financials!X25</f>
        <v/>
      </c>
      <c r="F35" s="28">
        <f>Financials!AB25</f>
        <v/>
      </c>
      <c r="G35" s="32">
        <f>F35+G23</f>
        <v/>
      </c>
      <c r="H35" s="32">
        <f>G35+H23</f>
        <v/>
      </c>
      <c r="I35" s="32">
        <f>H35+I23</f>
        <v/>
      </c>
      <c r="J35" s="32">
        <f>I35+J23</f>
        <v/>
      </c>
      <c r="K35" s="32">
        <f>J35+K23</f>
        <v/>
      </c>
      <c r="L35" s="32">
        <f>K35+L23</f>
        <v/>
      </c>
      <c r="M35" s="32">
        <f>L35+M23</f>
        <v/>
      </c>
      <c r="N35" s="32">
        <f>M35+N23</f>
        <v/>
      </c>
      <c r="O35" s="32">
        <f>N35+O23</f>
        <v/>
      </c>
      <c r="P35" s="32">
        <f>O35+P23</f>
        <v/>
      </c>
    </row>
    <row r="36">
      <c r="A36" s="3" t="inlineStr">
        <is>
          <t xml:space="preserve">  ROIC (NOPAT / beg. invested capital)</t>
        </is>
      </c>
      <c r="C36" s="27">
        <f>IFERROR(C23/B34,"")</f>
        <v/>
      </c>
      <c r="D36" s="27">
        <f>IFERROR(D23/C34,"")</f>
        <v/>
      </c>
      <c r="E36" s="27">
        <f>IFERROR(E23/D34,"")</f>
        <v/>
      </c>
      <c r="F36" s="27">
        <f>IFERROR(F23/E34,"")</f>
        <v/>
      </c>
      <c r="G36" s="27">
        <f>IFERROR(G23/F34,"")</f>
        <v/>
      </c>
      <c r="H36" s="27">
        <f>IFERROR(H23/G34,"")</f>
        <v/>
      </c>
      <c r="I36" s="27">
        <f>IFERROR(I23/H34,"")</f>
        <v/>
      </c>
      <c r="J36" s="27">
        <f>IFERROR(J23/I34,"")</f>
        <v/>
      </c>
      <c r="K36" s="27">
        <f>IFERROR(K23/J34,"")</f>
        <v/>
      </c>
      <c r="L36" s="27">
        <f>IFERROR(L23/K34,"")</f>
        <v/>
      </c>
      <c r="M36" s="27">
        <f>IFERROR(M23/L34,"")</f>
        <v/>
      </c>
      <c r="N36" s="27">
        <f>IFERROR(N23/M34,"")</f>
        <v/>
      </c>
      <c r="O36" s="27">
        <f>IFERROR(O23/N34,"")</f>
        <v/>
      </c>
      <c r="P36" s="27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7">
        <f>IFERROR(G23/F35,"")</f>
        <v/>
      </c>
      <c r="H37" s="27">
        <f>IFERROR(H23/G35,"")</f>
        <v/>
      </c>
      <c r="I37" s="27">
        <f>IFERROR(I23/H35,"")</f>
        <v/>
      </c>
      <c r="J37" s="27">
        <f>IFERROR(J23/I35,"")</f>
        <v/>
      </c>
      <c r="K37" s="27">
        <f>IFERROR(K23/J35,"")</f>
        <v/>
      </c>
      <c r="L37" s="27">
        <f>IFERROR(L23/K35,"")</f>
        <v/>
      </c>
      <c r="M37" s="27">
        <f>IFERROR(M23/L35,"")</f>
        <v/>
      </c>
      <c r="N37" s="27">
        <f>IFERROR(N23/M35,"")</f>
        <v/>
      </c>
      <c r="O37" s="27">
        <f>IFERROR(O23/N35,"")</f>
        <v/>
      </c>
      <c r="P37" s="27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IFERROR(C36-WACC!$B$14,"")</f>
        <v/>
      </c>
      <c r="D38" s="11">
        <f>IFERROR(D36-WACC!$B$14,"")</f>
        <v/>
      </c>
      <c r="E38" s="11">
        <f>IFERROR(E36-WACC!$B$14,"")</f>
        <v/>
      </c>
      <c r="F38" s="11">
        <f>IFERROR(F36-WACC!$B$14,"")</f>
        <v/>
      </c>
      <c r="G38" s="11">
        <f>IFERROR(G36-WACC!$B$14,"")</f>
        <v/>
      </c>
      <c r="H38" s="11">
        <f>IFERROR(H36-WACC!$B$14,"")</f>
        <v/>
      </c>
      <c r="I38" s="11">
        <f>IFERROR(I36-WACC!$B$14,"")</f>
        <v/>
      </c>
      <c r="J38" s="11">
        <f>IFERROR(J36-WACC!$B$14,"")</f>
        <v/>
      </c>
      <c r="K38" s="11">
        <f>IFERROR(K36-WACC!$B$14,"")</f>
        <v/>
      </c>
      <c r="L38" s="11">
        <f>IFERROR(L36-WACC!$B$14,"")</f>
        <v/>
      </c>
      <c r="M38" s="11">
        <f>IFERROR(M36-WACC!$B$14,"")</f>
        <v/>
      </c>
      <c r="N38" s="11">
        <f>IFERROR(N36-WACC!$B$14,"")</f>
        <v/>
      </c>
      <c r="O38" s="11">
        <f>IFERROR(O36-WACC!$B$14,"")</f>
        <v/>
      </c>
      <c r="P38" s="11">
        <f>IFERROR(P36-WACC!$B$14,"")</f>
        <v/>
      </c>
    </row>
    <row r="39">
      <c r="A39" s="4" t="inlineStr">
        <is>
          <t xml:space="preserve">  Incremental op margin (ΔEBIT / ΔRev)</t>
        </is>
      </c>
      <c r="C39" s="27">
        <f>IFERROR((C19-B19)/(C6-B6),"")</f>
        <v/>
      </c>
      <c r="D39" s="27">
        <f>IFERROR((D19-C19)/(D6-C6),"")</f>
        <v/>
      </c>
      <c r="E39" s="27">
        <f>IFERROR((E19-D19)/(E6-D6),"")</f>
        <v/>
      </c>
      <c r="F39" s="27">
        <f>IFERROR((F19-E19)/(F6-E6),"")</f>
        <v/>
      </c>
      <c r="G39" s="27">
        <f>IFERROR((G19-F19)/(G6-F6),"")</f>
        <v/>
      </c>
      <c r="H39" s="27">
        <f>IFERROR((H19-G19)/(H6-G6),"")</f>
        <v/>
      </c>
      <c r="I39" s="27">
        <f>IFERROR((I19-H19)/(I6-H6),"")</f>
        <v/>
      </c>
      <c r="J39" s="27">
        <f>IFERROR((J19-I19)/(J6-I6),"")</f>
        <v/>
      </c>
      <c r="K39" s="27">
        <f>IFERROR((K19-J19)/(K6-J6),"")</f>
        <v/>
      </c>
      <c r="L39" s="27">
        <f>IFERROR((L19-K19)/(L6-K6),"")</f>
        <v/>
      </c>
      <c r="M39" s="27">
        <f>IFERROR((M19-L19)/(M6-L6),"")</f>
        <v/>
      </c>
      <c r="N39" s="27">
        <f>IFERROR((N19-M19)/(N6-M6),"")</f>
        <v/>
      </c>
      <c r="O39" s="27">
        <f>IFERROR((O19-N19)/(O6-N6),"")</f>
        <v/>
      </c>
      <c r="P39" s="27">
        <f>IFERROR((P19-O19)/(P6-O6),"")</f>
        <v/>
      </c>
    </row>
    <row r="40">
      <c r="A40" s="3" t="inlineStr">
        <is>
          <t xml:space="preserve">  ROIIC (ΔNOPAT / ΔInvested capital)</t>
        </is>
      </c>
      <c r="C40" s="27">
        <f>IFERROR((C23-B23)/(C34-B34),"")</f>
        <v/>
      </c>
      <c r="D40" s="27">
        <f>IFERROR((D23-C23)/(D34-C34),"")</f>
        <v/>
      </c>
      <c r="E40" s="27">
        <f>IFERROR((E23-D23)/(E34-D34),"")</f>
        <v/>
      </c>
      <c r="F40" s="27">
        <f>IFERROR((F23-E23)/(F34-E34),"")</f>
        <v/>
      </c>
      <c r="G40" s="27">
        <f>IFERROR((G23-F23)/(G34-F34),"")</f>
        <v/>
      </c>
      <c r="H40" s="27">
        <f>IFERROR((H23-G23)/(H34-G34),"")</f>
        <v/>
      </c>
      <c r="I40" s="27">
        <f>IFERROR((I23-H23)/(I34-H34),"")</f>
        <v/>
      </c>
      <c r="J40" s="27">
        <f>IFERROR((J23-I23)/(J34-I34),"")</f>
        <v/>
      </c>
      <c r="K40" s="27">
        <f>IFERROR((K23-J23)/(K34-J34),"")</f>
        <v/>
      </c>
      <c r="L40" s="27">
        <f>IFERROR((L23-K23)/(L34-K34),"")</f>
        <v/>
      </c>
      <c r="M40" s="27">
        <f>IFERROR((M23-L23)/(M34-L34),"")</f>
        <v/>
      </c>
      <c r="N40" s="27">
        <f>IFERROR((N23-M23)/(N34-M34),"")</f>
        <v/>
      </c>
      <c r="O40" s="27">
        <f>IFERROR((O23-N23)/(O34-N34),"")</f>
        <v/>
      </c>
      <c r="P40" s="27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35">
        <f>IFERROR((C6-B6)/(C34-B34),"")</f>
        <v/>
      </c>
      <c r="D41" s="35">
        <f>IFERROR((D6-C6)/(D34-C34),"")</f>
        <v/>
      </c>
      <c r="E41" s="35">
        <f>IFERROR((E6-D6)/(E34-D34),"")</f>
        <v/>
      </c>
      <c r="F41" s="35">
        <f>IFERROR((F6-E6)/(F34-E34),"")</f>
        <v/>
      </c>
      <c r="G41" s="35">
        <f>IFERROR((G6-F6)/(G34-F34),"")</f>
        <v/>
      </c>
      <c r="H41" s="35">
        <f>IFERROR((H6-G6)/(H34-G34),"")</f>
        <v/>
      </c>
      <c r="I41" s="35">
        <f>IFERROR((I6-H6)/(I34-H34),"")</f>
        <v/>
      </c>
      <c r="J41" s="35">
        <f>IFERROR((J6-I6)/(J34-I34),"")</f>
        <v/>
      </c>
      <c r="K41" s="35">
        <f>IFERROR((K6-J6)/(K34-J34),"")</f>
        <v/>
      </c>
      <c r="L41" s="35">
        <f>IFERROR((L6-K6)/(L34-K34),"")</f>
        <v/>
      </c>
      <c r="M41" s="35">
        <f>IFERROR((M6-L6)/(M34-L34),"")</f>
        <v/>
      </c>
      <c r="N41" s="35">
        <f>IFERROR((N6-M6)/(N34-M34),"")</f>
        <v/>
      </c>
      <c r="O41" s="35">
        <f>IFERROR((O6-N6)/(O34-N34),"")</f>
        <v/>
      </c>
      <c r="P41" s="35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7">
        <f>IFERROR((C34-B34)/C23,"")</f>
        <v/>
      </c>
      <c r="D42" s="27">
        <f>IFERROR((D34-C34)/D23,"")</f>
        <v/>
      </c>
      <c r="E42" s="27">
        <f>IFERROR((E34-D34)/E23,"")</f>
        <v/>
      </c>
      <c r="F42" s="27">
        <f>IFERROR((F34-E34)/F23,"")</f>
        <v/>
      </c>
      <c r="G42" s="27">
        <f>IFERROR((G34-F34)/G23,"")</f>
        <v/>
      </c>
      <c r="H42" s="27">
        <f>IFERROR((H34-G34)/H23,"")</f>
        <v/>
      </c>
      <c r="I42" s="27">
        <f>IFERROR((I34-H34)/I23,"")</f>
        <v/>
      </c>
      <c r="J42" s="27">
        <f>IFERROR((J34-I34)/J23,"")</f>
        <v/>
      </c>
      <c r="K42" s="27">
        <f>IFERROR((K34-J34)/K23,"")</f>
        <v/>
      </c>
      <c r="L42" s="27">
        <f>IFERROR((L34-K34)/L23,"")</f>
        <v/>
      </c>
      <c r="M42" s="27">
        <f>IFERROR((M34-L34)/M23,"")</f>
        <v/>
      </c>
      <c r="N42" s="27">
        <f>IFERROR((N34-M34)/N23,"")</f>
        <v/>
      </c>
      <c r="O42" s="27">
        <f>IFERROR((O34-N34)/O23,"")</f>
        <v/>
      </c>
      <c r="P42" s="27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1043.316</v>
      </c>
      <c r="C3" s="18" t="n">
        <v>1043.388</v>
      </c>
      <c r="D3" s="18" t="n">
        <v>1075.09</v>
      </c>
      <c r="E3" s="18" t="n">
        <v>1229.483</v>
      </c>
      <c r="F3" s="18" t="n">
        <v>993.366</v>
      </c>
      <c r="G3" s="18" t="n">
        <v>1007.82</v>
      </c>
      <c r="H3" s="18" t="n">
        <v>1056.335</v>
      </c>
      <c r="I3" s="18" t="n">
        <v>1286.835</v>
      </c>
      <c r="J3" s="18" t="n">
        <v>1185.371</v>
      </c>
      <c r="K3" s="18" t="n">
        <v>1209.628</v>
      </c>
      <c r="L3" s="18" t="n">
        <v>1291.236</v>
      </c>
      <c r="M3" s="18" t="n">
        <v>1577.837</v>
      </c>
      <c r="N3" s="18" t="n">
        <v>1432.107</v>
      </c>
      <c r="O3" s="18" t="n">
        <v>1439.16</v>
      </c>
      <c r="P3" s="18" t="n">
        <v>1489.714</v>
      </c>
      <c r="Q3" s="18" t="n">
        <v>1770</v>
      </c>
      <c r="R3" s="18" t="n">
        <v>1585</v>
      </c>
      <c r="S3" s="18" t="n">
        <v>1551</v>
      </c>
      <c r="T3" s="18" t="n">
        <v>1580.203</v>
      </c>
      <c r="U3" s="18" t="n">
        <v>1802</v>
      </c>
      <c r="V3" s="18" t="n">
        <v>1605</v>
      </c>
      <c r="W3" s="18" t="n">
        <v>1561</v>
      </c>
      <c r="X3" s="18" t="n">
        <v>1613</v>
      </c>
      <c r="Y3" s="18" t="n">
        <v>1863</v>
      </c>
      <c r="Z3" s="18" t="n">
        <v>1658</v>
      </c>
      <c r="AA3" s="18" t="n">
        <v>1623</v>
      </c>
      <c r="AB3" s="18" t="n">
        <v>1668</v>
      </c>
      <c r="AC3" s="18" t="n">
        <v>1895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  <c r="X4" s="27">
        <f>IFERROR(X3/T3-1,"")</f>
        <v/>
      </c>
      <c r="Y4" s="27">
        <f>IFERROR(Y3/U3-1,"")</f>
        <v/>
      </c>
      <c r="Z4" s="27">
        <f>IFERROR(Z3/V3-1,"")</f>
        <v/>
      </c>
      <c r="AA4" s="27">
        <f>IFERROR(AA3/W3-1,"")</f>
        <v/>
      </c>
      <c r="AB4" s="27">
        <f>IFERROR(AB3/X3-1,"")</f>
        <v/>
      </c>
      <c r="AC4" s="27">
        <f>IFERROR(AC3/Y3-1,"")</f>
        <v/>
      </c>
    </row>
    <row r="5">
      <c r="A5" s="4" t="inlineStr">
        <is>
          <t>Cost of Revenue</t>
        </is>
      </c>
      <c r="B5" s="18" t="n">
        <v>869.581</v>
      </c>
      <c r="C5" s="18" t="n">
        <v>872.842</v>
      </c>
      <c r="D5" s="18" t="n">
        <v>913.154</v>
      </c>
      <c r="E5" s="18" t="n">
        <v>995.461</v>
      </c>
      <c r="F5" s="18" t="n">
        <v>773.117</v>
      </c>
      <c r="G5" s="18" t="n">
        <v>822.787</v>
      </c>
      <c r="H5" s="18" t="n">
        <v>888.785</v>
      </c>
      <c r="I5" s="18" t="n">
        <v>1035.39</v>
      </c>
      <c r="J5" s="18" t="n">
        <v>985.817</v>
      </c>
      <c r="K5" s="18" t="n">
        <v>1011.149</v>
      </c>
      <c r="L5" s="18" t="n">
        <v>1120.612</v>
      </c>
      <c r="M5" s="18" t="n">
        <v>1292.063</v>
      </c>
      <c r="N5" s="18" t="n">
        <v>1192.239</v>
      </c>
      <c r="O5" s="18" t="n">
        <v>1194.607</v>
      </c>
      <c r="P5" s="18" t="n">
        <v>1248.676</v>
      </c>
      <c r="Q5" s="18" t="n">
        <v>1438</v>
      </c>
      <c r="R5" s="18" t="n">
        <v>1360</v>
      </c>
      <c r="S5" s="18" t="n">
        <v>1293</v>
      </c>
      <c r="T5" s="18" t="n">
        <v>1358.116</v>
      </c>
      <c r="U5" s="18" t="n">
        <v>1457</v>
      </c>
      <c r="V5" s="18" t="n">
        <v>1345</v>
      </c>
      <c r="W5" s="18" t="n">
        <v>1332</v>
      </c>
      <c r="X5" s="18" t="n">
        <v>1395</v>
      </c>
      <c r="Y5" s="18" t="n">
        <v>1553</v>
      </c>
      <c r="Z5" s="18" t="n">
        <v>1435</v>
      </c>
      <c r="AA5" s="18" t="n">
        <v>1428</v>
      </c>
      <c r="AB5" s="18" t="n">
        <v>1496</v>
      </c>
      <c r="AC5" s="18" t="n">
        <v>1604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  <c r="Y6" s="27">
        <f>IFERROR(Y5/Y3,"")</f>
        <v/>
      </c>
      <c r="Z6" s="27">
        <f>IFERROR(Z5/Z3,"")</f>
        <v/>
      </c>
      <c r="AA6" s="27">
        <f>IFERROR(AA5/AA3,"")</f>
        <v/>
      </c>
      <c r="AB6" s="27">
        <f>IFERROR(AB5/AB3,"")</f>
        <v/>
      </c>
      <c r="AC6" s="27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13.8</v>
      </c>
      <c r="U7" s="18" t="n">
        <v>0</v>
      </c>
      <c r="V7" s="18" t="n">
        <v>0</v>
      </c>
      <c r="W7" s="18" t="n">
        <v>0</v>
      </c>
      <c r="X7" s="18" t="n">
        <v>13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  <c r="Y8" s="27">
        <f>IFERROR(Y7/Y3,"")</f>
        <v/>
      </c>
      <c r="Z8" s="27">
        <f>IFERROR(Z7/Z3,"")</f>
        <v/>
      </c>
      <c r="AA8" s="27">
        <f>IFERROR(AA7/AA3,"")</f>
        <v/>
      </c>
      <c r="AB8" s="27">
        <f>IFERROR(AB7/AB3,"")</f>
        <v/>
      </c>
      <c r="AC8" s="27">
        <f>IFERROR(AC7/AC3,"")</f>
        <v/>
      </c>
    </row>
    <row r="9">
      <c r="A9" s="4" t="inlineStr">
        <is>
          <t>SG&amp;A Expense</t>
        </is>
      </c>
      <c r="B9" s="18" t="n">
        <v>128.107</v>
      </c>
      <c r="C9" s="18" t="n">
        <v>128.483</v>
      </c>
      <c r="D9" s="18" t="n">
        <v>126.423</v>
      </c>
      <c r="E9" s="18" t="n">
        <v>141.199</v>
      </c>
      <c r="F9" s="18" t="n">
        <v>139.354</v>
      </c>
      <c r="G9" s="18" t="n">
        <v>148.442</v>
      </c>
      <c r="H9" s="18" t="n">
        <v>151.981</v>
      </c>
      <c r="I9" s="18" t="n">
        <v>159.574</v>
      </c>
      <c r="J9" s="18" t="n">
        <v>154.58</v>
      </c>
      <c r="K9" s="18" t="n">
        <v>148.959</v>
      </c>
      <c r="L9" s="18" t="n">
        <v>145.113</v>
      </c>
      <c r="M9" s="18" t="n">
        <v>177.195</v>
      </c>
      <c r="N9" s="18" t="n">
        <v>181.418</v>
      </c>
      <c r="O9" s="18" t="n">
        <v>181.839</v>
      </c>
      <c r="P9" s="18" t="n">
        <v>179.882</v>
      </c>
      <c r="Q9" s="18" t="n">
        <v>201</v>
      </c>
      <c r="R9" s="18" t="n">
        <v>186</v>
      </c>
      <c r="S9" s="18" t="n">
        <v>177</v>
      </c>
      <c r="T9" s="18" t="n">
        <v>189.011</v>
      </c>
      <c r="U9" s="18" t="n">
        <v>226</v>
      </c>
      <c r="V9" s="18" t="n">
        <v>215</v>
      </c>
      <c r="W9" s="18" t="n">
        <v>217</v>
      </c>
      <c r="X9" s="18" t="n">
        <v>222</v>
      </c>
      <c r="Y9" s="18" t="n">
        <v>231</v>
      </c>
      <c r="Z9" s="18" t="n">
        <v>209</v>
      </c>
      <c r="AA9" s="18" t="n">
        <v>196</v>
      </c>
      <c r="AB9" s="18" t="n">
        <v>59</v>
      </c>
      <c r="AC9" s="18" t="n">
        <v>66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  <c r="Y10" s="27">
        <f>IFERROR(Y9/Y3,"")</f>
        <v/>
      </c>
      <c r="Z10" s="27">
        <f>IFERROR(Z9/Z3,"")</f>
        <v/>
      </c>
      <c r="AA10" s="27">
        <f>IFERROR(AA9/AA3,"")</f>
        <v/>
      </c>
      <c r="AB10" s="27">
        <f>IFERROR(AB9/AB3,"")</f>
        <v/>
      </c>
      <c r="AC10" s="27">
        <f>IFERROR(AC9/AC3,"")</f>
        <v/>
      </c>
    </row>
    <row r="11">
      <c r="A11" s="4" t="inlineStr">
        <is>
          <t>Gross Profit</t>
        </is>
      </c>
      <c r="B11" s="18" t="n">
        <v>173.735</v>
      </c>
      <c r="C11" s="18" t="n">
        <v>170.546</v>
      </c>
      <c r="D11" s="18" t="n">
        <v>161.936</v>
      </c>
      <c r="E11" s="18" t="n">
        <v>234.022</v>
      </c>
      <c r="F11" s="18" t="n">
        <v>220.249</v>
      </c>
      <c r="G11" s="18" t="n">
        <v>185.033</v>
      </c>
      <c r="H11" s="18" t="n">
        <v>167.55</v>
      </c>
      <c r="I11" s="18" t="n">
        <v>251.445</v>
      </c>
      <c r="J11" s="18" t="n">
        <v>199.554</v>
      </c>
      <c r="K11" s="18" t="n">
        <v>198.479</v>
      </c>
      <c r="L11" s="18" t="n">
        <v>170.624</v>
      </c>
      <c r="M11" s="18" t="n">
        <v>285.774</v>
      </c>
      <c r="N11" s="18" t="n">
        <v>239.868</v>
      </c>
      <c r="O11" s="18" t="n">
        <v>244.553</v>
      </c>
      <c r="P11" s="18" t="n">
        <v>241.038</v>
      </c>
      <c r="Q11" s="18" t="n">
        <v>332</v>
      </c>
      <c r="R11" s="18" t="n">
        <v>225</v>
      </c>
      <c r="S11" s="18" t="n">
        <v>258</v>
      </c>
      <c r="T11" s="18" t="n">
        <v>222.087</v>
      </c>
      <c r="U11" s="18" t="n">
        <v>345</v>
      </c>
      <c r="V11" s="18" t="n">
        <v>260</v>
      </c>
      <c r="W11" s="18" t="n">
        <v>229</v>
      </c>
      <c r="X11" s="18" t="n">
        <v>218</v>
      </c>
      <c r="Y11" s="18" t="n">
        <v>310</v>
      </c>
      <c r="Z11" s="18" t="n">
        <v>223</v>
      </c>
      <c r="AA11" s="18" t="n">
        <v>195</v>
      </c>
      <c r="AB11" s="18" t="n">
        <v>172</v>
      </c>
      <c r="AC11" s="18" t="n">
        <v>291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  <c r="Y12" s="27">
        <f>IFERROR(Y11/Y3,"")</f>
        <v/>
      </c>
      <c r="Z12" s="27">
        <f>IFERROR(Z11/Z3,"")</f>
        <v/>
      </c>
      <c r="AA12" s="27">
        <f>IFERROR(AA11/AA3,"")</f>
        <v/>
      </c>
      <c r="AB12" s="27">
        <f>IFERROR(AB11/AB3,"")</f>
        <v/>
      </c>
      <c r="AC12" s="27">
        <f>IFERROR(AC11/AC3,"")</f>
        <v/>
      </c>
    </row>
    <row r="13">
      <c r="A13" s="4" t="inlineStr">
        <is>
          <t>Operating Income</t>
        </is>
      </c>
      <c r="B13" s="18" t="n">
        <v>38.72</v>
      </c>
      <c r="C13" s="18" t="n">
        <v>34.733</v>
      </c>
      <c r="D13" s="18" t="n">
        <v>27.719</v>
      </c>
      <c r="E13" s="18" t="n">
        <v>85.221</v>
      </c>
      <c r="F13" s="18" t="n">
        <v>72.98699999999999</v>
      </c>
      <c r="G13" s="18" t="n">
        <v>28.772</v>
      </c>
      <c r="H13" s="18" t="n">
        <v>7.709</v>
      </c>
      <c r="I13" s="18" t="n">
        <v>83.824</v>
      </c>
      <c r="J13" s="18" t="n">
        <v>35.223</v>
      </c>
      <c r="K13" s="18" t="n">
        <v>39.603</v>
      </c>
      <c r="L13" s="18" t="n">
        <v>14.679</v>
      </c>
      <c r="M13" s="18" t="n">
        <v>98.395</v>
      </c>
      <c r="N13" s="18" t="n">
        <v>48.35</v>
      </c>
      <c r="O13" s="18" t="n">
        <v>52.631</v>
      </c>
      <c r="P13" s="18" t="n">
        <v>50.863</v>
      </c>
      <c r="Q13" s="18" t="n">
        <v>121</v>
      </c>
      <c r="R13" s="18" t="n">
        <v>16</v>
      </c>
      <c r="S13" s="18" t="n">
        <v>59</v>
      </c>
      <c r="T13" s="18" t="n">
        <v>22.271</v>
      </c>
      <c r="U13" s="18" t="n">
        <v>108</v>
      </c>
      <c r="V13" s="18" t="n">
        <v>23</v>
      </c>
      <c r="W13" s="18" t="n">
        <v>1</v>
      </c>
      <c r="X13" s="18" t="n">
        <v>-15</v>
      </c>
      <c r="Y13" s="18" t="n">
        <v>68</v>
      </c>
      <c r="Z13" s="18" t="n">
        <v>-7</v>
      </c>
      <c r="AA13" s="18" t="n">
        <v>-25</v>
      </c>
      <c r="AB13" s="18" t="n">
        <v>-46</v>
      </c>
      <c r="AC13" s="18" t="n">
        <v>62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  <c r="Y14" s="27">
        <f>IFERROR(Y13/Y3,"")</f>
        <v/>
      </c>
      <c r="Z14" s="27">
        <f>IFERROR(Z13/Z3,"")</f>
        <v/>
      </c>
      <c r="AA14" s="27">
        <f>IFERROR(AA13/AA3,"")</f>
        <v/>
      </c>
      <c r="AB14" s="27">
        <f>IFERROR(AB13/AB3,"")</f>
        <v/>
      </c>
      <c r="AC14" s="27">
        <f>IFERROR(AC13/AC3,"")</f>
        <v/>
      </c>
    </row>
    <row r="15">
      <c r="A15" s="4" t="inlineStr">
        <is>
          <t>Net Income</t>
        </is>
      </c>
      <c r="B15" s="18" t="n">
        <v>28.556</v>
      </c>
      <c r="C15" s="18" t="n">
        <v>25.859</v>
      </c>
      <c r="D15" s="18" t="n">
        <v>20.395</v>
      </c>
      <c r="E15" s="18" t="n">
        <v>62.092</v>
      </c>
      <c r="F15" s="18" t="n">
        <v>51.851</v>
      </c>
      <c r="G15" s="18" t="n">
        <v>20.009</v>
      </c>
      <c r="H15" s="18" t="n">
        <v>4.285</v>
      </c>
      <c r="I15" s="18" t="n">
        <v>61.922</v>
      </c>
      <c r="J15" s="18" t="n">
        <v>25.154</v>
      </c>
      <c r="K15" s="18" t="n">
        <v>27.296</v>
      </c>
      <c r="L15" s="18" t="n">
        <v>9.708</v>
      </c>
      <c r="M15" s="18" t="n">
        <v>69.884</v>
      </c>
      <c r="N15" s="18" t="n">
        <v>33.599</v>
      </c>
      <c r="O15" s="18" t="n">
        <v>37.669</v>
      </c>
      <c r="P15" s="18" t="n">
        <v>38.198</v>
      </c>
      <c r="Q15" s="18" t="n">
        <v>95</v>
      </c>
      <c r="R15" s="18" t="n">
        <v>12</v>
      </c>
      <c r="S15" s="18" t="n">
        <v>45</v>
      </c>
      <c r="T15" s="18" t="n">
        <v>19.561</v>
      </c>
      <c r="U15" s="18" t="n">
        <v>79</v>
      </c>
      <c r="V15" s="18" t="n">
        <v>18</v>
      </c>
      <c r="W15" s="18" t="n">
        <v>3</v>
      </c>
      <c r="X15" s="18" t="n">
        <v>-9</v>
      </c>
      <c r="Y15" s="18" t="n">
        <v>51</v>
      </c>
      <c r="Z15" s="18" t="n">
        <v>-5</v>
      </c>
      <c r="AA15" s="18" t="n">
        <v>-20</v>
      </c>
      <c r="AB15" s="18" t="n">
        <v>-33</v>
      </c>
      <c r="AC15" s="18" t="n">
        <v>33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  <c r="Y16" s="27">
        <f>IFERROR(Y15/Y3,"")</f>
        <v/>
      </c>
      <c r="Z16" s="27">
        <f>IFERROR(Z15/Z3,"")</f>
        <v/>
      </c>
      <c r="AA16" s="27">
        <f>IFERROR(AA15/AA3,"")</f>
        <v/>
      </c>
      <c r="AB16" s="27">
        <f>IFERROR(AB15/AB3,"")</f>
        <v/>
      </c>
      <c r="AC16" s="27">
        <f>IFERROR(AC15/AC3,"")</f>
        <v/>
      </c>
    </row>
    <row r="17">
      <c r="A17" s="4" t="inlineStr">
        <is>
          <t>Diluted Shares (M)</t>
        </is>
      </c>
      <c r="B17" s="18" t="n">
        <v>40.916</v>
      </c>
      <c r="C17" s="18" t="n">
        <v>40.317</v>
      </c>
      <c r="D17" s="18" t="n">
        <v>39.55098</v>
      </c>
      <c r="E17" s="18" t="n">
        <v>39.068</v>
      </c>
      <c r="F17" s="18" t="n">
        <v>38.646</v>
      </c>
      <c r="G17" s="18" t="n">
        <v>38.741</v>
      </c>
      <c r="H17" s="18" t="n">
        <v>38.245455</v>
      </c>
      <c r="I17" s="18" t="n">
        <v>38.839</v>
      </c>
      <c r="J17" s="18" t="n">
        <v>38.823</v>
      </c>
      <c r="K17" s="18" t="n">
        <v>38.881</v>
      </c>
      <c r="L17" s="18" t="n">
        <v>38.316</v>
      </c>
      <c r="M17" s="18" t="n">
        <v>38.693</v>
      </c>
      <c r="N17" s="18" t="n">
        <v>38.588</v>
      </c>
      <c r="O17" s="18" t="n">
        <v>38.546</v>
      </c>
      <c r="P17" s="18" t="n">
        <v>38.583838</v>
      </c>
      <c r="Q17" s="18" t="n">
        <v>39</v>
      </c>
      <c r="R17" s="18" t="n">
        <v>39</v>
      </c>
      <c r="S17" s="18" t="n">
        <v>38.217241</v>
      </c>
      <c r="T17" s="18" t="n">
        <v>37.617307</v>
      </c>
      <c r="U17" s="18" t="n">
        <v>38</v>
      </c>
      <c r="V17" s="18" t="n">
        <v>37.5</v>
      </c>
      <c r="W17" s="18" t="n">
        <v>38</v>
      </c>
      <c r="X17" s="18" t="n">
        <v>40.909</v>
      </c>
      <c r="Y17" s="18" t="n">
        <v>38</v>
      </c>
      <c r="Z17" s="18" t="n">
        <v>35.714286</v>
      </c>
      <c r="AA17" s="18" t="n">
        <v>38</v>
      </c>
      <c r="AB17" s="18" t="n">
        <v>37.7</v>
      </c>
      <c r="AC17" s="18" t="n">
        <v>37.7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386.055</v>
      </c>
      <c r="C19" s="18" t="n">
        <v>304.319</v>
      </c>
      <c r="D19" s="18" t="n">
        <v>402.07</v>
      </c>
      <c r="E19" s="18" t="n">
        <v>424.236</v>
      </c>
      <c r="F19" s="18" t="n">
        <v>491.351</v>
      </c>
      <c r="G19" s="18" t="n">
        <v>406.35</v>
      </c>
      <c r="H19" s="18" t="n">
        <v>589.375</v>
      </c>
      <c r="I19" s="18" t="n">
        <v>529.069</v>
      </c>
      <c r="J19" s="18" t="n">
        <v>489.984</v>
      </c>
      <c r="K19" s="18" t="n">
        <v>500.618</v>
      </c>
      <c r="L19" s="18" t="n">
        <v>607.603</v>
      </c>
      <c r="M19" s="18" t="n">
        <v>609.264</v>
      </c>
      <c r="N19" s="18" t="n">
        <v>541.65</v>
      </c>
      <c r="O19" s="18" t="n">
        <v>596.636</v>
      </c>
      <c r="P19" s="18" t="n">
        <v>765.896</v>
      </c>
      <c r="Q19" s="18" t="n">
        <v>732.123</v>
      </c>
      <c r="R19" s="18" t="n">
        <v>616.091</v>
      </c>
      <c r="S19" s="18" t="n">
        <v>692.425</v>
      </c>
      <c r="T19" s="18" t="n">
        <v>709</v>
      </c>
      <c r="U19" s="18" t="n">
        <v>683</v>
      </c>
      <c r="V19" s="18" t="n">
        <v>692</v>
      </c>
      <c r="W19" s="18" t="n">
        <v>486</v>
      </c>
      <c r="X19" s="18" t="n">
        <v>1055</v>
      </c>
      <c r="Y19" s="18" t="n">
        <v>568</v>
      </c>
      <c r="Z19" s="18" t="n">
        <v>456</v>
      </c>
      <c r="AA19" s="18" t="n">
        <v>519</v>
      </c>
      <c r="AB19" s="18" t="n">
        <v>660</v>
      </c>
      <c r="AC19" s="18" t="n">
        <v>555</v>
      </c>
    </row>
    <row r="20">
      <c r="A20" s="4" t="inlineStr">
        <is>
          <t>Total Current Assets</t>
        </is>
      </c>
      <c r="B20" s="18" t="n">
        <v>919.177</v>
      </c>
      <c r="C20" s="18" t="n">
        <v>893.7430000000001</v>
      </c>
      <c r="D20" s="18" t="n">
        <v>974.746</v>
      </c>
      <c r="E20" s="18" t="n">
        <v>1079.28</v>
      </c>
      <c r="F20" s="18" t="n">
        <v>1068.647</v>
      </c>
      <c r="G20" s="18" t="n">
        <v>1048.858</v>
      </c>
      <c r="H20" s="18" t="n">
        <v>1077.268</v>
      </c>
      <c r="I20" s="18" t="n">
        <v>1251.505</v>
      </c>
      <c r="J20" s="18" t="n">
        <v>1201.289</v>
      </c>
      <c r="K20" s="18" t="n">
        <v>1206.468</v>
      </c>
      <c r="L20" s="18" t="n">
        <v>1244.848</v>
      </c>
      <c r="M20" s="18" t="n">
        <v>1431.914</v>
      </c>
      <c r="N20" s="18" t="n">
        <v>1410.645</v>
      </c>
      <c r="O20" s="18" t="n">
        <v>1289.006</v>
      </c>
      <c r="P20" s="18" t="n">
        <v>1511.873</v>
      </c>
      <c r="Q20" s="18" t="n">
        <v>1518.074</v>
      </c>
      <c r="R20" s="18" t="n">
        <v>1363.637</v>
      </c>
      <c r="S20" s="18" t="n">
        <v>1477.68</v>
      </c>
      <c r="T20" s="18" t="n">
        <v>1595</v>
      </c>
      <c r="U20" s="18" t="n">
        <v>1619</v>
      </c>
      <c r="V20" s="18" t="n">
        <v>1621</v>
      </c>
      <c r="W20" s="18" t="n">
        <v>1433</v>
      </c>
      <c r="X20" s="18" t="n">
        <v>2085</v>
      </c>
      <c r="Y20" s="18" t="n">
        <v>1654</v>
      </c>
      <c r="Z20" s="18" t="n">
        <v>1517</v>
      </c>
      <c r="AA20" s="18" t="n">
        <v>1554</v>
      </c>
      <c r="AB20" s="18" t="n">
        <v>1722</v>
      </c>
      <c r="AC20" s="18" t="n">
        <v>1730</v>
      </c>
    </row>
    <row r="21">
      <c r="A21" s="4" t="inlineStr">
        <is>
          <t>PP&amp;E (net)</t>
        </is>
      </c>
      <c r="B21" s="18" t="n">
        <v>175.017</v>
      </c>
      <c r="C21" s="18" t="n">
        <v>193.141</v>
      </c>
      <c r="D21" s="18" t="n">
        <v>204.592</v>
      </c>
      <c r="E21" s="18" t="n">
        <v>218.758</v>
      </c>
      <c r="F21" s="18" t="n">
        <v>235.183</v>
      </c>
      <c r="G21" s="18" t="n">
        <v>256.892</v>
      </c>
      <c r="H21" s="18" t="n">
        <v>276.919</v>
      </c>
      <c r="I21" s="18" t="n">
        <v>287.95</v>
      </c>
      <c r="J21" s="18" t="n">
        <v>286.074</v>
      </c>
      <c r="K21" s="18" t="n">
        <v>275.995</v>
      </c>
      <c r="L21" s="18" t="n">
        <v>273.553</v>
      </c>
      <c r="M21" s="18" t="n">
        <v>266.693</v>
      </c>
      <c r="N21" s="18" t="n">
        <v>258.471</v>
      </c>
      <c r="O21" s="18" t="n">
        <v>253.227</v>
      </c>
      <c r="P21" s="18" t="n">
        <v>256.524</v>
      </c>
      <c r="Q21" s="18" t="n">
        <v>249.685</v>
      </c>
      <c r="R21" s="18" t="n">
        <v>244.994</v>
      </c>
      <c r="S21" s="18" t="n">
        <v>244.621</v>
      </c>
      <c r="T21" s="18" t="n">
        <v>254</v>
      </c>
      <c r="U21" s="18" t="n">
        <v>247</v>
      </c>
      <c r="V21" s="18" t="n">
        <v>241</v>
      </c>
      <c r="W21" s="18" t="n">
        <v>256</v>
      </c>
      <c r="X21" s="18" t="n">
        <v>257</v>
      </c>
      <c r="Y21" s="18" t="n">
        <v>253</v>
      </c>
      <c r="Z21" s="18" t="n">
        <v>248</v>
      </c>
      <c r="AA21" s="18" t="n">
        <v>245</v>
      </c>
      <c r="AB21" s="18" t="n">
        <v>240</v>
      </c>
      <c r="AC21" s="18" t="n">
        <v>232</v>
      </c>
    </row>
    <row r="22">
      <c r="A22" s="4" t="inlineStr">
        <is>
          <t>Total Assets</t>
        </is>
      </c>
      <c r="B22" s="18" t="n">
        <v>1316.995</v>
      </c>
      <c r="C22" s="18" t="n">
        <v>1292.122</v>
      </c>
      <c r="D22" s="18" t="n">
        <v>1394.996</v>
      </c>
      <c r="E22" s="18" t="n">
        <v>1522.408</v>
      </c>
      <c r="F22" s="18" t="n">
        <v>1517.733</v>
      </c>
      <c r="G22" s="18" t="n">
        <v>1523.282</v>
      </c>
      <c r="H22" s="18" t="n">
        <v>1584.276</v>
      </c>
      <c r="I22" s="18" t="n">
        <v>1769.084</v>
      </c>
      <c r="J22" s="18" t="n">
        <v>1728.084</v>
      </c>
      <c r="K22" s="18" t="n">
        <v>1734.052</v>
      </c>
      <c r="L22" s="18" t="n">
        <v>1753.085</v>
      </c>
      <c r="M22" s="18" t="n">
        <v>1940.077</v>
      </c>
      <c r="N22" s="18" t="n">
        <v>1892.906</v>
      </c>
      <c r="O22" s="18" t="n">
        <v>1781.506</v>
      </c>
      <c r="P22" s="18" t="n">
        <v>2039.261</v>
      </c>
      <c r="Q22" s="18" t="n">
        <v>2039.973</v>
      </c>
      <c r="R22" s="18" t="n">
        <v>1865.267</v>
      </c>
      <c r="S22" s="18" t="n">
        <v>1996.47</v>
      </c>
      <c r="T22" s="18" t="n">
        <v>2120</v>
      </c>
      <c r="U22" s="18" t="n">
        <v>2126</v>
      </c>
      <c r="V22" s="18" t="n">
        <v>2095</v>
      </c>
      <c r="W22" s="18" t="n">
        <v>1933</v>
      </c>
      <c r="X22" s="18" t="n">
        <v>2597</v>
      </c>
      <c r="Y22" s="18" t="n">
        <v>2143</v>
      </c>
      <c r="Z22" s="18" t="n">
        <v>2018</v>
      </c>
      <c r="AA22" s="18" t="n">
        <v>2012</v>
      </c>
      <c r="AB22" s="18" t="n">
        <v>2203</v>
      </c>
      <c r="AC22" s="18" t="n">
        <v>2196</v>
      </c>
    </row>
    <row r="23">
      <c r="A23" s="4" t="inlineStr">
        <is>
          <t>Total Current Liabilities</t>
        </is>
      </c>
      <c r="B23" s="18" t="n">
        <v>769.848</v>
      </c>
      <c r="C23" s="18" t="n">
        <v>761.212</v>
      </c>
      <c r="D23" s="18" t="n">
        <v>869.045</v>
      </c>
      <c r="E23" s="18" t="n">
        <v>888.458</v>
      </c>
      <c r="F23" s="18" t="n">
        <v>840.563</v>
      </c>
      <c r="G23" s="18" t="n">
        <v>841.0700000000001</v>
      </c>
      <c r="H23" s="18" t="n">
        <v>904.924</v>
      </c>
      <c r="I23" s="18" t="n">
        <v>1044.351</v>
      </c>
      <c r="J23" s="18" t="n">
        <v>1002.689</v>
      </c>
      <c r="K23" s="18" t="n">
        <v>1004.181</v>
      </c>
      <c r="L23" s="18" t="n">
        <v>1128.573</v>
      </c>
      <c r="M23" s="18" t="n">
        <v>1286.595</v>
      </c>
      <c r="N23" s="18" t="n">
        <v>1246.6</v>
      </c>
      <c r="O23" s="18" t="n">
        <v>1121.248</v>
      </c>
      <c r="P23" s="18" t="n">
        <v>1353.37</v>
      </c>
      <c r="Q23" s="18" t="n">
        <v>1302.959</v>
      </c>
      <c r="R23" s="18" t="n">
        <v>1135.684</v>
      </c>
      <c r="S23" s="18" t="n">
        <v>1321.357</v>
      </c>
      <c r="T23" s="18" t="n">
        <v>1436</v>
      </c>
      <c r="U23" s="18" t="n">
        <v>1406</v>
      </c>
      <c r="V23" s="18" t="n">
        <v>1383</v>
      </c>
      <c r="W23" s="18" t="n">
        <v>1233</v>
      </c>
      <c r="X23" s="18" t="n">
        <v>1930</v>
      </c>
      <c r="Y23" s="18" t="n">
        <v>1466</v>
      </c>
      <c r="Z23" s="18" t="n">
        <v>1357</v>
      </c>
      <c r="AA23" s="18" t="n">
        <v>1382</v>
      </c>
      <c r="AB23" s="18" t="n">
        <v>1620</v>
      </c>
      <c r="AC23" s="18" t="n">
        <v>1588</v>
      </c>
    </row>
    <row r="24">
      <c r="A24" s="4" t="inlineStr">
        <is>
          <t>Long-term Debt</t>
        </is>
      </c>
      <c r="B24" s="18" t="n">
        <v>169.4</v>
      </c>
      <c r="C24" s="18" t="n">
        <v>239.4</v>
      </c>
      <c r="D24" s="18" t="n">
        <v>269.4</v>
      </c>
      <c r="E24" s="18" t="n">
        <v>369.4</v>
      </c>
      <c r="F24" s="18" t="n">
        <v>369.4</v>
      </c>
      <c r="G24" s="18" t="n">
        <v>369.4</v>
      </c>
      <c r="H24" s="18" t="n">
        <v>369.4</v>
      </c>
      <c r="I24" s="18" t="n">
        <v>369.4</v>
      </c>
      <c r="J24" s="18" t="n">
        <v>369.4</v>
      </c>
      <c r="K24" s="18" t="n">
        <v>369.4</v>
      </c>
      <c r="L24" s="18" t="n">
        <v>369.4</v>
      </c>
      <c r="M24" s="18" t="n">
        <v>369.4</v>
      </c>
      <c r="N24" s="18" t="n">
        <v>369.4</v>
      </c>
      <c r="O24" s="18" t="n">
        <v>369.4</v>
      </c>
      <c r="P24" s="18" t="n">
        <v>369.4</v>
      </c>
      <c r="Q24" s="18" t="n">
        <v>369.4</v>
      </c>
      <c r="R24" s="18" t="n">
        <v>369.4</v>
      </c>
      <c r="S24" s="18" t="n">
        <v>369.4</v>
      </c>
      <c r="T24" s="18" t="n">
        <v>369</v>
      </c>
      <c r="U24" s="18" t="n">
        <v>369</v>
      </c>
      <c r="V24" s="18" t="n">
        <v>369</v>
      </c>
      <c r="W24" s="18" t="n">
        <v>369</v>
      </c>
      <c r="X24" s="18" t="n">
        <v>369</v>
      </c>
      <c r="Y24" s="18" t="n">
        <v>369</v>
      </c>
      <c r="Z24" s="18" t="n">
        <v>369</v>
      </c>
      <c r="AA24" s="18" t="n">
        <v>369</v>
      </c>
      <c r="AB24" s="18" t="n">
        <v>369</v>
      </c>
      <c r="AC24" s="18" t="n">
        <v>369</v>
      </c>
    </row>
    <row r="25">
      <c r="A25" s="4" t="inlineStr">
        <is>
          <t>Total Equity</t>
        </is>
      </c>
      <c r="B25" s="18" t="n">
        <v>134.889</v>
      </c>
      <c r="C25" s="18" t="n">
        <v>40.988</v>
      </c>
      <c r="D25" s="18" t="n">
        <v>4.079</v>
      </c>
      <c r="E25" s="18" t="n">
        <v>-3.31</v>
      </c>
      <c r="F25" s="18" t="n">
        <v>44.638</v>
      </c>
      <c r="G25" s="18" t="n">
        <v>40.639</v>
      </c>
      <c r="H25" s="18" t="n">
        <v>44.132</v>
      </c>
      <c r="I25" s="18" t="n">
        <v>73.64400000000001</v>
      </c>
      <c r="J25" s="18" t="n">
        <v>87.262</v>
      </c>
      <c r="K25" s="18" t="n">
        <v>97.006</v>
      </c>
      <c r="L25" s="18" t="n">
        <v>-1.774</v>
      </c>
      <c r="M25" s="18" t="n">
        <v>33.961</v>
      </c>
      <c r="N25" s="18" t="n">
        <v>35.132</v>
      </c>
      <c r="O25" s="18" t="n">
        <v>60.503</v>
      </c>
      <c r="P25" s="18" t="n">
        <v>81.27500000000001</v>
      </c>
      <c r="Q25" s="18" t="n">
        <v>133.432</v>
      </c>
      <c r="R25" s="18" t="n">
        <v>130.519</v>
      </c>
      <c r="S25" s="18" t="n">
        <v>83.119</v>
      </c>
      <c r="T25" s="18" t="n">
        <v>94</v>
      </c>
      <c r="U25" s="18" t="n">
        <v>140</v>
      </c>
      <c r="V25" s="18" t="n">
        <v>142</v>
      </c>
      <c r="W25" s="18" t="n">
        <v>125</v>
      </c>
      <c r="X25" s="18" t="n">
        <v>97</v>
      </c>
      <c r="Y25" s="18" t="n">
        <v>119</v>
      </c>
      <c r="Z25" s="18" t="n">
        <v>112</v>
      </c>
      <c r="AA25" s="18" t="n">
        <v>87</v>
      </c>
      <c r="AB25" s="18" t="n">
        <v>46</v>
      </c>
      <c r="AC25" s="18" t="n">
        <v>67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6.908</v>
      </c>
      <c r="C27" s="18" t="n">
        <v>7.33</v>
      </c>
      <c r="D27" s="18" t="n">
        <v>7.794</v>
      </c>
      <c r="E27" s="18" t="n">
        <v>7.602</v>
      </c>
      <c r="F27" s="18" t="n">
        <v>7.908</v>
      </c>
      <c r="G27" s="18" t="n">
        <v>7.819</v>
      </c>
      <c r="H27" s="18" t="n">
        <v>7.86</v>
      </c>
      <c r="I27" s="18" t="n">
        <v>8.047000000000001</v>
      </c>
      <c r="J27" s="18" t="n">
        <v>9.750999999999999</v>
      </c>
      <c r="K27" s="18" t="n">
        <v>9.917</v>
      </c>
      <c r="L27" s="18" t="n">
        <v>10.832</v>
      </c>
      <c r="M27" s="18" t="n">
        <v>10.184</v>
      </c>
      <c r="N27" s="18" t="n">
        <v>10.1</v>
      </c>
      <c r="O27" s="18" t="n">
        <v>10.083</v>
      </c>
      <c r="P27" s="18" t="n">
        <v>10.293</v>
      </c>
      <c r="Q27" s="18" t="n">
        <v>10</v>
      </c>
      <c r="R27" s="18" t="n">
        <v>11</v>
      </c>
      <c r="S27" s="18" t="n">
        <v>11</v>
      </c>
      <c r="T27" s="18" t="n">
        <v>10.805</v>
      </c>
      <c r="U27" s="18" t="n">
        <v>11</v>
      </c>
      <c r="V27" s="18" t="n">
        <v>11</v>
      </c>
      <c r="W27" s="18" t="n">
        <v>11</v>
      </c>
      <c r="X27" s="18" t="n">
        <v>11</v>
      </c>
      <c r="Y27" s="18" t="n">
        <v>11</v>
      </c>
      <c r="Z27" s="18" t="n">
        <v>11</v>
      </c>
      <c r="AA27" s="18" t="n">
        <v>11</v>
      </c>
      <c r="AB27" s="18" t="n">
        <v>12</v>
      </c>
      <c r="AC27" s="18" t="n">
        <v>11</v>
      </c>
    </row>
    <row r="28">
      <c r="A28" s="4" t="inlineStr">
        <is>
          <t>Stock-based Compensation</t>
        </is>
      </c>
      <c r="B28" s="18" t="n">
        <v>8.256</v>
      </c>
      <c r="C28" s="18" t="n">
        <v>6.517</v>
      </c>
      <c r="D28" s="18" t="n">
        <v>3.18</v>
      </c>
      <c r="E28" s="18" t="n">
        <v>6.552</v>
      </c>
      <c r="F28" s="18" t="n">
        <v>10.694</v>
      </c>
      <c r="G28" s="18" t="n">
        <v>20.864</v>
      </c>
      <c r="H28" s="18" t="n">
        <v>22.035</v>
      </c>
      <c r="I28" s="18" t="n">
        <v>11.822</v>
      </c>
      <c r="J28" s="18" t="n">
        <v>13.781</v>
      </c>
      <c r="K28" s="18" t="n">
        <v>10.362</v>
      </c>
      <c r="L28" s="18" t="n">
        <v>4.658</v>
      </c>
      <c r="M28" s="18" t="n">
        <v>9.846</v>
      </c>
      <c r="N28" s="18" t="n">
        <v>15.631</v>
      </c>
      <c r="O28" s="18" t="n">
        <v>13.341</v>
      </c>
      <c r="P28" s="18" t="n">
        <v>11.262</v>
      </c>
      <c r="Q28" s="18" t="n">
        <v>11</v>
      </c>
      <c r="R28" s="18" t="n">
        <v>15</v>
      </c>
      <c r="S28" s="18" t="n">
        <v>16</v>
      </c>
      <c r="T28" s="18" t="n">
        <v>11.32</v>
      </c>
      <c r="U28" s="18" t="n">
        <v>10</v>
      </c>
      <c r="V28" s="18" t="n">
        <v>20</v>
      </c>
      <c r="W28" s="18" t="n">
        <v>17</v>
      </c>
      <c r="X28" s="18" t="n">
        <v>14</v>
      </c>
      <c r="Y28" s="18" t="n">
        <v>11</v>
      </c>
      <c r="Z28" s="18" t="n">
        <v>20</v>
      </c>
      <c r="AA28" s="18" t="n">
        <v>16</v>
      </c>
      <c r="AB28" s="18" t="n">
        <v>14</v>
      </c>
      <c r="AC28" s="18" t="n">
        <v>0</v>
      </c>
    </row>
    <row r="29">
      <c r="A29" s="4" t="inlineStr">
        <is>
          <t>Change in Working Capital</t>
        </is>
      </c>
      <c r="B29" s="18" t="n">
        <v>-88.578</v>
      </c>
      <c r="C29" s="18" t="n">
        <v>-65.45699999999999</v>
      </c>
      <c r="D29" s="18" t="n">
        <v>130.993</v>
      </c>
      <c r="E29" s="18" t="n">
        <v>-65.01900000000001</v>
      </c>
      <c r="F29" s="18" t="n">
        <v>28.513</v>
      </c>
      <c r="G29" s="18" t="n">
        <v>-59.068</v>
      </c>
      <c r="H29" s="18" t="n">
        <v>217.22</v>
      </c>
      <c r="I29" s="18" t="n">
        <v>-102.766</v>
      </c>
      <c r="J29" s="18" t="n">
        <v>-29.877</v>
      </c>
      <c r="K29" s="18" t="n">
        <v>1.484</v>
      </c>
      <c r="L29" s="18" t="n">
        <v>182.469</v>
      </c>
      <c r="M29" s="18" t="n">
        <v>-41.073</v>
      </c>
      <c r="N29" s="18" t="n">
        <v>-99.45</v>
      </c>
      <c r="O29" s="18" t="n">
        <v>48.072</v>
      </c>
      <c r="P29" s="18" t="n">
        <v>179.85</v>
      </c>
      <c r="Q29" s="18" t="n">
        <v>-93</v>
      </c>
      <c r="R29" s="18" t="n">
        <v>-136</v>
      </c>
      <c r="S29" s="18" t="n">
        <v>137</v>
      </c>
      <c r="T29" s="18" t="n">
        <v>26.812</v>
      </c>
      <c r="U29" s="18" t="n">
        <v>-83</v>
      </c>
      <c r="V29" s="18" t="n">
        <v>-20</v>
      </c>
      <c r="W29" s="18" t="n">
        <v>-177</v>
      </c>
      <c r="X29" s="18" t="n">
        <v>618</v>
      </c>
      <c r="Y29" s="18" t="n">
        <v>-540</v>
      </c>
      <c r="Z29" s="18" t="n">
        <v>-93</v>
      </c>
      <c r="AA29" s="18" t="n">
        <v>-37</v>
      </c>
      <c r="AB29" s="18" t="n">
        <v>281</v>
      </c>
      <c r="AC29" s="18" t="n">
        <v>-153</v>
      </c>
    </row>
    <row r="30">
      <c r="A30" s="4" t="inlineStr">
        <is>
          <t>Operating Cash Flow</t>
        </is>
      </c>
      <c r="B30" s="18" t="n">
        <v>-45.269</v>
      </c>
      <c r="C30" s="18" t="n">
        <v>-25.352</v>
      </c>
      <c r="D30" s="18" t="n">
        <v>158.077</v>
      </c>
      <c r="E30" s="18" t="n">
        <v>23.787</v>
      </c>
      <c r="F30" s="18" t="n">
        <v>91.074</v>
      </c>
      <c r="G30" s="18" t="n">
        <v>-8.287000000000001</v>
      </c>
      <c r="H30" s="18" t="n">
        <v>239.779</v>
      </c>
      <c r="I30" s="18" t="n">
        <v>1.971</v>
      </c>
      <c r="J30" s="18" t="n">
        <v>5.024</v>
      </c>
      <c r="K30" s="18" t="n">
        <v>47.848</v>
      </c>
      <c r="L30" s="18" t="n">
        <v>205.312</v>
      </c>
      <c r="M30" s="18" t="n">
        <v>58.847</v>
      </c>
      <c r="N30" s="18" t="n">
        <v>-36.062</v>
      </c>
      <c r="O30" s="18" t="n">
        <v>99.245</v>
      </c>
      <c r="P30" s="18" t="n">
        <v>225.661</v>
      </c>
      <c r="Q30" s="18" t="n">
        <v>40</v>
      </c>
      <c r="R30" s="18" t="n">
        <v>-110</v>
      </c>
      <c r="S30" s="18" t="n">
        <v>210</v>
      </c>
      <c r="T30" s="18" t="n">
        <v>58.217</v>
      </c>
      <c r="U30" s="18" t="n">
        <v>31</v>
      </c>
      <c r="V30" s="18" t="n">
        <v>20</v>
      </c>
      <c r="W30" s="18" t="n">
        <v>-150</v>
      </c>
      <c r="X30" s="18" t="n">
        <v>619</v>
      </c>
      <c r="Y30" s="18" t="n">
        <v>-443</v>
      </c>
      <c r="Z30" s="18" t="n">
        <v>-79</v>
      </c>
      <c r="AA30" s="18" t="n">
        <v>-11</v>
      </c>
      <c r="AB30" s="18" t="n">
        <v>255</v>
      </c>
      <c r="AC30" s="18" t="n">
        <v>-67</v>
      </c>
    </row>
    <row r="31">
      <c r="A31" s="4" t="inlineStr">
        <is>
          <t>Capex</t>
        </is>
      </c>
      <c r="B31" s="18" t="n">
        <v>-11.599</v>
      </c>
      <c r="C31" s="18" t="n">
        <v>-18.761</v>
      </c>
      <c r="D31" s="18" t="n">
        <v>-20.339</v>
      </c>
      <c r="E31" s="18" t="n">
        <v>-15.625</v>
      </c>
      <c r="F31" s="18" t="n">
        <v>-23.841</v>
      </c>
      <c r="G31" s="18" t="n">
        <v>-29.304</v>
      </c>
      <c r="H31" s="18" t="n">
        <v>-29.389</v>
      </c>
      <c r="I31" s="18" t="n">
        <v>-12.072</v>
      </c>
      <c r="J31" s="18" t="n">
        <v>-8.635999999999999</v>
      </c>
      <c r="K31" s="18" t="n">
        <v>-2.895</v>
      </c>
      <c r="L31" s="18" t="n">
        <v>-9.304</v>
      </c>
      <c r="M31" s="18" t="n">
        <v>-4.686</v>
      </c>
      <c r="N31" s="18" t="n">
        <v>-4.357</v>
      </c>
      <c r="O31" s="18" t="n">
        <v>-7.405</v>
      </c>
      <c r="P31" s="18" t="n">
        <v>-13.881</v>
      </c>
      <c r="Q31" s="18" t="n">
        <v>-7</v>
      </c>
      <c r="R31" s="18" t="n">
        <v>-7</v>
      </c>
      <c r="S31" s="18" t="n">
        <v>-8</v>
      </c>
      <c r="T31" s="18" t="n">
        <v>-17.591</v>
      </c>
      <c r="U31" s="18" t="n">
        <v>-5</v>
      </c>
      <c r="V31" s="18" t="n">
        <v>-6</v>
      </c>
      <c r="W31" s="18" t="n">
        <v>-14</v>
      </c>
      <c r="X31" s="18" t="n">
        <v>-13</v>
      </c>
      <c r="Y31" s="18" t="n">
        <v>-6</v>
      </c>
      <c r="Z31" s="18" t="n">
        <v>-7</v>
      </c>
      <c r="AA31" s="18" t="n">
        <v>-9</v>
      </c>
      <c r="AB31" s="18" t="n">
        <v>-9</v>
      </c>
      <c r="AC31" s="18" t="n">
        <v>-6</v>
      </c>
    </row>
    <row r="32">
      <c r="A32" s="4" t="inlineStr">
        <is>
          <t>Free Cash Flow</t>
        </is>
      </c>
      <c r="B32" s="18" t="n">
        <v>-56.868</v>
      </c>
      <c r="C32" s="18" t="n">
        <v>-44.113</v>
      </c>
      <c r="D32" s="18" t="n">
        <v>137.738</v>
      </c>
      <c r="E32" s="18" t="n">
        <v>8.162000000000001</v>
      </c>
      <c r="F32" s="18" t="n">
        <v>67.233</v>
      </c>
      <c r="G32" s="18" t="n">
        <v>-37.591</v>
      </c>
      <c r="H32" s="18" t="n">
        <v>210.39</v>
      </c>
      <c r="I32" s="18" t="n">
        <v>-10.101</v>
      </c>
      <c r="J32" s="18" t="n">
        <v>-3.612</v>
      </c>
      <c r="K32" s="18" t="n">
        <v>44.953</v>
      </c>
      <c r="L32" s="18" t="n">
        <v>196.008</v>
      </c>
      <c r="M32" s="18" t="n">
        <v>54.161</v>
      </c>
      <c r="N32" s="18" t="n">
        <v>-40.419</v>
      </c>
      <c r="O32" s="18" t="n">
        <v>91.84</v>
      </c>
      <c r="P32" s="18" t="n">
        <v>211.78</v>
      </c>
      <c r="Q32" s="18" t="n">
        <v>33</v>
      </c>
      <c r="R32" s="18" t="n">
        <v>-117</v>
      </c>
      <c r="S32" s="18" t="n">
        <v>202</v>
      </c>
      <c r="T32" s="18" t="n">
        <v>40.626</v>
      </c>
      <c r="U32" s="18" t="n">
        <v>26</v>
      </c>
      <c r="V32" s="18" t="n">
        <v>14</v>
      </c>
      <c r="W32" s="18" t="n">
        <v>-164</v>
      </c>
      <c r="X32" s="18" t="n">
        <v>606</v>
      </c>
      <c r="Y32" s="18" t="n">
        <v>-449</v>
      </c>
      <c r="Z32" s="18" t="n">
        <v>-86</v>
      </c>
      <c r="AA32" s="18" t="n">
        <v>-20</v>
      </c>
      <c r="AB32" s="18" t="n">
        <v>246</v>
      </c>
      <c r="AC32" s="18" t="n">
        <v>-73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</row>
    <row r="4">
      <c r="A4" s="3" t="inlineStr">
        <is>
          <t>Revenue — consensus</t>
        </is>
      </c>
      <c r="B4" s="18" t="n">
        <v>6888.7086</v>
      </c>
      <c r="C4" s="18" t="n">
        <v>7236.1472</v>
      </c>
      <c r="D4" s="18" t="n">
        <v>7626</v>
      </c>
    </row>
    <row r="5">
      <c r="A5" s="4" t="inlineStr">
        <is>
          <t xml:space="preserve">  model</t>
        </is>
      </c>
      <c r="B5" s="28">
        <f>Model!G6</f>
        <v/>
      </c>
      <c r="C5" s="28">
        <f>Model!H6</f>
        <v/>
      </c>
      <c r="D5" s="28">
        <f>Model!I6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</row>
    <row r="8">
      <c r="A8" s="3" t="inlineStr">
        <is>
          <t>EBITDA* — consensus</t>
        </is>
      </c>
      <c r="B8" s="18" t="n">
        <v>240.234305</v>
      </c>
      <c r="C8" s="18" t="n">
        <v>252.350752</v>
      </c>
      <c r="D8" s="18" t="n">
        <v>265.946336</v>
      </c>
    </row>
    <row r="9">
      <c r="A9" s="4" t="inlineStr">
        <is>
          <t xml:space="preserve">  model</t>
        </is>
      </c>
      <c r="B9" s="28">
        <f>Model!G19+Model!G24</f>
        <v/>
      </c>
      <c r="C9" s="28">
        <f>Model!H19+Model!H24</f>
        <v/>
      </c>
      <c r="D9" s="28">
        <f>Model!I19+Model!I24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</row>
    <row r="12">
      <c r="A12" s="3" t="inlineStr">
        <is>
          <t>EBIT* — consensus</t>
        </is>
      </c>
      <c r="B12" s="18" t="n">
        <v>192.675769</v>
      </c>
      <c r="C12" s="18" t="n">
        <v>202.393556</v>
      </c>
      <c r="D12" s="18" t="n">
        <v>213.297659</v>
      </c>
    </row>
    <row r="13">
      <c r="A13" s="4" t="inlineStr">
        <is>
          <t xml:space="preserve">  model</t>
        </is>
      </c>
      <c r="B13" s="28">
        <f>Model!G19</f>
        <v/>
      </c>
      <c r="C13" s="28">
        <f>Model!H19</f>
        <v/>
      </c>
      <c r="D13" s="28">
        <f>Model!I19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</row>
    <row r="16">
      <c r="A16" s="3" t="inlineStr">
        <is>
          <t>SG&amp;A — consensus</t>
        </is>
      </c>
      <c r="B16" s="18" t="n">
        <v>715.853169</v>
      </c>
      <c r="C16" s="18" t="n">
        <v>751.957907</v>
      </c>
      <c r="D16" s="18" t="n">
        <v>792.470198</v>
      </c>
    </row>
    <row r="17">
      <c r="A17" s="4" t="inlineStr">
        <is>
          <t xml:space="preserve">  model</t>
        </is>
      </c>
      <c r="B17" s="28">
        <f>Model!G14</f>
        <v/>
      </c>
      <c r="C17" s="28">
        <f>Model!H14</f>
        <v/>
      </c>
      <c r="D17" s="28">
        <f>Model!I14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</row>
    <row r="20">
      <c r="A20" s="3" t="inlineStr">
        <is>
          <t>Net income (NOPAT) — consensus</t>
        </is>
      </c>
      <c r="B20" s="18" t="n">
        <v>77.3191715</v>
      </c>
      <c r="C20" s="18" t="n">
        <v>106.5998825</v>
      </c>
      <c r="D20" s="18" t="n">
        <v>139.683443</v>
      </c>
    </row>
    <row r="21">
      <c r="A21" s="4" t="inlineStr">
        <is>
          <t xml:space="preserve">  model</t>
        </is>
      </c>
      <c r="B21" s="28">
        <f>Model!G23</f>
        <v/>
      </c>
      <c r="C21" s="28">
        <f>Model!H23</f>
        <v/>
      </c>
      <c r="D21" s="28">
        <f>Model!I23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</row>
    <row r="24">
      <c r="A24" s="3" t="inlineStr">
        <is>
          <t>EPS — consensus</t>
        </is>
      </c>
      <c r="B24" s="38" t="n">
        <v>2.054</v>
      </c>
      <c r="C24" s="38" t="n">
        <v>2.796</v>
      </c>
      <c r="D24" s="38" t="n">
        <v>3.66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Insperity,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Model!G31</f>
        <v/>
      </c>
      <c r="D12" s="28">
        <f>Model!H31</f>
        <v/>
      </c>
      <c r="E12" s="28">
        <f>Model!I31</f>
        <v/>
      </c>
      <c r="F12" s="28">
        <f>Model!J31</f>
        <v/>
      </c>
      <c r="G12" s="28">
        <f>Model!K31</f>
        <v/>
      </c>
      <c r="H12" s="28">
        <f>Model!L31</f>
        <v/>
      </c>
      <c r="I12" s="28">
        <f>Model!M31</f>
        <v/>
      </c>
      <c r="J12" s="28">
        <f>Model!N31</f>
        <v/>
      </c>
      <c r="K12" s="28">
        <f>Model!O31</f>
        <v/>
      </c>
      <c r="L12" s="28">
        <f>Model!P31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Model!P6</f>
        <v/>
      </c>
    </row>
    <row r="21">
      <c r="A21" s="4" t="inlineStr">
        <is>
          <t>Terminal EBIT</t>
        </is>
      </c>
      <c r="B21" s="28">
        <f>Model!P19</f>
        <v/>
      </c>
    </row>
    <row r="22">
      <c r="A22" s="4" t="inlineStr">
        <is>
          <t>Terminal EBITDA</t>
        </is>
      </c>
      <c r="B22" s="28">
        <f>Model!P19+Model!P24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Financials!AC19</f>
        <v/>
      </c>
    </row>
    <row r="33">
      <c r="A33" s="4" t="inlineStr">
        <is>
          <t>- Long-term debt</t>
        </is>
      </c>
      <c r="B33" s="28">
        <f>-Financials!AC24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0.006605989430416911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0.7568888888888889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0.01560470203497837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1.245499151451987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2026-06-08T03:53:54Z</dcterms:created>
  <dcterms:modified xmlns:dcterms="http://purl.org/dc/terms/" xmlns:xsi="http://www.w3.org/2001/XMLSchema-instance" xsi:type="dcterms:W3CDTF">2026-06-08T03:53:54Z</dcterms:modified>
</cp:coreProperties>
</file>