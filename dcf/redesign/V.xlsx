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Visa Inc. (V)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Q2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Visa is a toll-taker on global electronic payments with a structurally advantaged duopoly network, and its growth is driven by the secular shift from cash to digital plus a cross-border premium that carries the highest-margin International Transaction revenue. Net revenue compounds in the low-teens near term (in line with FMP consensus to ~$45.5B in 2026), then fades toward a mature ~4% rate as digitization penetration matures. Operating margins normalize back to the mid-to-high 60s as the FY2025 dip reverses and operating leverage on a fixed-cost network reasserts.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Visa Inc. (V)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Model!G44-WACC!B14</f>
        <v/>
      </c>
      <c r="C15" s="10">
        <f>IF(Model!G44-WACC!B14&lt;0,"!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Data Processing Revenues</t>
        </is>
      </c>
      <c r="B20" s="15" t="n">
        <v>0.11</v>
      </c>
      <c r="C20" s="15" t="n">
        <v>0.04</v>
      </c>
      <c r="D20" s="16" t="n">
        <v>0.11</v>
      </c>
      <c r="E20" s="2" t="inlineStr"/>
    </row>
    <row r="21">
      <c r="A21" s="4" t="inlineStr">
        <is>
          <t>Service</t>
        </is>
      </c>
      <c r="B21" s="15" t="n">
        <v>0.09</v>
      </c>
      <c r="C21" s="15" t="n">
        <v>0.04</v>
      </c>
      <c r="D21" s="16" t="n">
        <v>0.09</v>
      </c>
      <c r="E21" s="2" t="inlineStr"/>
    </row>
    <row r="22">
      <c r="A22" s="4" t="inlineStr">
        <is>
          <t>International Transaction Revenues</t>
        </is>
      </c>
      <c r="B22" s="15" t="n">
        <v>0.11</v>
      </c>
      <c r="C22" s="15" t="n">
        <v>0.04</v>
      </c>
      <c r="D22" s="16" t="n">
        <v>0.11</v>
      </c>
      <c r="E22" s="2" t="inlineStr"/>
    </row>
    <row r="23">
      <c r="A23" s="4" t="inlineStr">
        <is>
          <t>Service, Other</t>
        </is>
      </c>
      <c r="B23" s="15" t="n">
        <v>0.15</v>
      </c>
      <c r="C23" s="15" t="n">
        <v>0.04</v>
      </c>
      <c r="D23" s="16" t="n">
        <v>0.15</v>
      </c>
      <c r="E23" s="2" t="inlineStr"/>
    </row>
    <row r="24">
      <c r="A24" s="4" t="inlineStr">
        <is>
          <t>Client Incentives</t>
        </is>
      </c>
      <c r="B24" s="15" t="n">
        <v>0.12</v>
      </c>
      <c r="C24" s="15" t="n">
        <v>0.04</v>
      </c>
      <c r="D24" s="16" t="n">
        <v>0.12</v>
      </c>
      <c r="E24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0.65</v>
      </c>
      <c r="D29" s="16" t="n">
        <v>0.65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0.67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0.19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1639.473178968</v>
      </c>
      <c r="D34" s="18" t="n">
        <v>1639.473178968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0.784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EV/FCF</t>
        </is>
      </c>
    </row>
    <row r="45">
      <c r="A45" s="4" t="inlineStr">
        <is>
          <t>Exit multiple</t>
        </is>
      </c>
      <c r="B45" s="19" t="n">
        <v>24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332.64</v>
      </c>
    </row>
  </sheetData>
  <conditionalFormatting sqref="B20:B24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Financials!AC47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Data Processing Revenues</t>
        </is>
      </c>
      <c r="B4" s="28">
        <f>SUM(Financials!H19:K19)</f>
        <v/>
      </c>
      <c r="C4" s="28">
        <f>SUM(Financials!L19:O19)</f>
        <v/>
      </c>
      <c r="D4" s="28">
        <f>SUM(Financials!P19:S19)</f>
        <v/>
      </c>
      <c r="E4" s="28">
        <f>SUM(Financials!T19:W19)</f>
        <v/>
      </c>
      <c r="F4" s="28">
        <f>SUM(Financials!X19:AA19)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Service</t>
        </is>
      </c>
      <c r="B6" s="28">
        <f>SUM(Financials!H22:K22)</f>
        <v/>
      </c>
      <c r="C6" s="28">
        <f>SUM(Financials!L22:O22)</f>
        <v/>
      </c>
      <c r="D6" s="28">
        <f>SUM(Financials!P22:S22)</f>
        <v/>
      </c>
      <c r="E6" s="28">
        <f>SUM(Financials!T22:W22)</f>
        <v/>
      </c>
      <c r="F6" s="28">
        <f>SUM(Financials!X22:AA22)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4" t="inlineStr">
        <is>
          <t>International Transaction Revenues</t>
        </is>
      </c>
      <c r="B8" s="28">
        <f>SUM(Financials!H25:K25)</f>
        <v/>
      </c>
      <c r="C8" s="28">
        <f>SUM(Financials!L25:O25)</f>
        <v/>
      </c>
      <c r="D8" s="28">
        <f>SUM(Financials!P25:S25)</f>
        <v/>
      </c>
      <c r="E8" s="28">
        <f>SUM(Financials!T25:W25)</f>
        <v/>
      </c>
      <c r="F8" s="28">
        <f>SUM(Financials!X25:AA25)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11">
        <f>Dashboard!$B$22+(Dashboard!$C$22-Dashboard!$B$22)*MAX(0,0-2)/7</f>
        <v/>
      </c>
      <c r="H9" s="11">
        <f>Dashboard!$B$22+(Dashboard!$C$22-Dashboard!$B$22)*MAX(0,1-2)/7</f>
        <v/>
      </c>
      <c r="I9" s="11">
        <f>Dashboard!$B$22+(Dashboard!$C$22-Dashboard!$B$22)*MAX(0,2-2)/7</f>
        <v/>
      </c>
      <c r="J9" s="11">
        <f>Dashboard!$B$22+(Dashboard!$C$22-Dashboard!$B$22)*MAX(0,3-2)/7</f>
        <v/>
      </c>
      <c r="K9" s="11">
        <f>Dashboard!$B$22+(Dashboard!$C$22-Dashboard!$B$22)*MAX(0,4-2)/7</f>
        <v/>
      </c>
      <c r="L9" s="11">
        <f>Dashboard!$B$22+(Dashboard!$C$22-Dashboard!$B$22)*MAX(0,5-2)/7</f>
        <v/>
      </c>
      <c r="M9" s="11">
        <f>Dashboard!$B$22+(Dashboard!$C$22-Dashboard!$B$22)*MAX(0,6-2)/7</f>
        <v/>
      </c>
      <c r="N9" s="11">
        <f>Dashboard!$B$22+(Dashboard!$C$22-Dashboard!$B$22)*MAX(0,7-2)/7</f>
        <v/>
      </c>
      <c r="O9" s="11">
        <f>Dashboard!$B$22+(Dashboard!$C$22-Dashboard!$B$22)*MAX(0,8-2)/7</f>
        <v/>
      </c>
      <c r="P9" s="11">
        <f>Dashboard!$B$22+(Dashboard!$C$22-Dashboard!$B$22)*MAX(0,9-2)/7</f>
        <v/>
      </c>
    </row>
    <row r="10">
      <c r="A10" s="4" t="inlineStr">
        <is>
          <t>Service, Other</t>
        </is>
      </c>
      <c r="B10" s="28">
        <f>SUM(Financials!H28:K28)</f>
        <v/>
      </c>
      <c r="C10" s="28">
        <f>SUM(Financials!L28:O28)</f>
        <v/>
      </c>
      <c r="D10" s="28">
        <f>SUM(Financials!P28:S28)</f>
        <v/>
      </c>
      <c r="E10" s="28">
        <f>SUM(Financials!T28:W28)</f>
        <v/>
      </c>
      <c r="F10" s="28">
        <f>SUM(Financials!X28:AA28)</f>
        <v/>
      </c>
      <c r="G10" s="32">
        <f>F10*(1+G11)</f>
        <v/>
      </c>
      <c r="H10" s="32">
        <f>G10*(1+H11)</f>
        <v/>
      </c>
      <c r="I10" s="32">
        <f>H10*(1+I11)</f>
        <v/>
      </c>
      <c r="J10" s="32">
        <f>I10*(1+J11)</f>
        <v/>
      </c>
      <c r="K10" s="32">
        <f>J10*(1+K11)</f>
        <v/>
      </c>
      <c r="L10" s="32">
        <f>K10*(1+L11)</f>
        <v/>
      </c>
      <c r="M10" s="32">
        <f>L10*(1+M11)</f>
        <v/>
      </c>
      <c r="N10" s="32">
        <f>M10*(1+N11)</f>
        <v/>
      </c>
      <c r="O10" s="32">
        <f>N10*(1+O11)</f>
        <v/>
      </c>
      <c r="P10" s="32">
        <f>O10*(1+P11)</f>
        <v/>
      </c>
    </row>
    <row r="11">
      <c r="A11" s="4" t="inlineStr">
        <is>
          <t xml:space="preserve">    growth % (interpolated from Dashboard)</t>
        </is>
      </c>
      <c r="C11" s="27">
        <f>IFERROR(C10/B10-1,"")</f>
        <v/>
      </c>
      <c r="D11" s="27">
        <f>IFERROR(D10/C10-1,"")</f>
        <v/>
      </c>
      <c r="E11" s="27">
        <f>IFERROR(E10/D10-1,"")</f>
        <v/>
      </c>
      <c r="F11" s="27">
        <f>IFERROR(F10/E10-1,"")</f>
        <v/>
      </c>
      <c r="G11" s="11">
        <f>Dashboard!$B$23+(Dashboard!$C$23-Dashboard!$B$23)*MAX(0,0-2)/7</f>
        <v/>
      </c>
      <c r="H11" s="11">
        <f>Dashboard!$B$23+(Dashboard!$C$23-Dashboard!$B$23)*MAX(0,1-2)/7</f>
        <v/>
      </c>
      <c r="I11" s="11">
        <f>Dashboard!$B$23+(Dashboard!$C$23-Dashboard!$B$23)*MAX(0,2-2)/7</f>
        <v/>
      </c>
      <c r="J11" s="11">
        <f>Dashboard!$B$23+(Dashboard!$C$23-Dashboard!$B$23)*MAX(0,3-2)/7</f>
        <v/>
      </c>
      <c r="K11" s="11">
        <f>Dashboard!$B$23+(Dashboard!$C$23-Dashboard!$B$23)*MAX(0,4-2)/7</f>
        <v/>
      </c>
      <c r="L11" s="11">
        <f>Dashboard!$B$23+(Dashboard!$C$23-Dashboard!$B$23)*MAX(0,5-2)/7</f>
        <v/>
      </c>
      <c r="M11" s="11">
        <f>Dashboard!$B$23+(Dashboard!$C$23-Dashboard!$B$23)*MAX(0,6-2)/7</f>
        <v/>
      </c>
      <c r="N11" s="11">
        <f>Dashboard!$B$23+(Dashboard!$C$23-Dashboard!$B$23)*MAX(0,7-2)/7</f>
        <v/>
      </c>
      <c r="O11" s="11">
        <f>Dashboard!$B$23+(Dashboard!$C$23-Dashboard!$B$23)*MAX(0,8-2)/7</f>
        <v/>
      </c>
      <c r="P11" s="11">
        <f>Dashboard!$B$23+(Dashboard!$C$23-Dashboard!$B$23)*MAX(0,9-2)/7</f>
        <v/>
      </c>
    </row>
    <row r="12">
      <c r="A12" s="4" t="inlineStr">
        <is>
          <t>Client Incentives</t>
        </is>
      </c>
      <c r="B12" s="28">
        <f>SUM(Financials!H31:K31)</f>
        <v/>
      </c>
      <c r="C12" s="28">
        <f>SUM(Financials!L31:O31)</f>
        <v/>
      </c>
      <c r="D12" s="28">
        <f>SUM(Financials!P31:S31)</f>
        <v/>
      </c>
      <c r="E12" s="28">
        <f>SUM(Financials!T31:W31)</f>
        <v/>
      </c>
      <c r="F12" s="28">
        <f>SUM(Financials!X31:AA31)</f>
        <v/>
      </c>
      <c r="G12" s="32">
        <f>F12*(1+G13)</f>
        <v/>
      </c>
      <c r="H12" s="32">
        <f>G12*(1+H13)</f>
        <v/>
      </c>
      <c r="I12" s="32">
        <f>H12*(1+I13)</f>
        <v/>
      </c>
      <c r="J12" s="32">
        <f>I12*(1+J13)</f>
        <v/>
      </c>
      <c r="K12" s="32">
        <f>J12*(1+K13)</f>
        <v/>
      </c>
      <c r="L12" s="32">
        <f>K12*(1+L13)</f>
        <v/>
      </c>
      <c r="M12" s="32">
        <f>L12*(1+M13)</f>
        <v/>
      </c>
      <c r="N12" s="32">
        <f>M12*(1+N13)</f>
        <v/>
      </c>
      <c r="O12" s="32">
        <f>N12*(1+O13)</f>
        <v/>
      </c>
      <c r="P12" s="32">
        <f>O12*(1+P13)</f>
        <v/>
      </c>
    </row>
    <row r="13">
      <c r="A13" s="4" t="inlineStr">
        <is>
          <t xml:space="preserve">    growth % (interpolated from Dashboard)</t>
        </is>
      </c>
      <c r="C13" s="27">
        <f>IFERROR(C12/B12-1,"")</f>
        <v/>
      </c>
      <c r="D13" s="27">
        <f>IFERROR(D12/C12-1,"")</f>
        <v/>
      </c>
      <c r="E13" s="27">
        <f>IFERROR(E12/D12-1,"")</f>
        <v/>
      </c>
      <c r="F13" s="27">
        <f>IFERROR(F12/E12-1,"")</f>
        <v/>
      </c>
      <c r="G13" s="11">
        <f>Dashboard!$B$24+(Dashboard!$C$24-Dashboard!$B$24)*MAX(0,0-2)/7</f>
        <v/>
      </c>
      <c r="H13" s="11">
        <f>Dashboard!$B$24+(Dashboard!$C$24-Dashboard!$B$24)*MAX(0,1-2)/7</f>
        <v/>
      </c>
      <c r="I13" s="11">
        <f>Dashboard!$B$24+(Dashboard!$C$24-Dashboard!$B$24)*MAX(0,2-2)/7</f>
        <v/>
      </c>
      <c r="J13" s="11">
        <f>Dashboard!$B$24+(Dashboard!$C$24-Dashboard!$B$24)*MAX(0,3-2)/7</f>
        <v/>
      </c>
      <c r="K13" s="11">
        <f>Dashboard!$B$24+(Dashboard!$C$24-Dashboard!$B$24)*MAX(0,4-2)/7</f>
        <v/>
      </c>
      <c r="L13" s="11">
        <f>Dashboard!$B$24+(Dashboard!$C$24-Dashboard!$B$24)*MAX(0,5-2)/7</f>
        <v/>
      </c>
      <c r="M13" s="11">
        <f>Dashboard!$B$24+(Dashboard!$C$24-Dashboard!$B$24)*MAX(0,6-2)/7</f>
        <v/>
      </c>
      <c r="N13" s="11">
        <f>Dashboard!$B$24+(Dashboard!$C$24-Dashboard!$B$24)*MAX(0,7-2)/7</f>
        <v/>
      </c>
      <c r="O13" s="11">
        <f>Dashboard!$B$24+(Dashboard!$C$24-Dashboard!$B$24)*MAX(0,8-2)/7</f>
        <v/>
      </c>
      <c r="P13" s="11">
        <f>Dashboard!$B$24+(Dashboard!$C$24-Dashboard!$B$24)*MAX(0,9-2)/7</f>
        <v/>
      </c>
    </row>
    <row r="14">
      <c r="A14" s="3" t="inlineStr">
        <is>
          <t>Total revenue</t>
        </is>
      </c>
      <c r="B14" s="33">
        <f>B4+B6+B8+B10+B12</f>
        <v/>
      </c>
      <c r="C14" s="33">
        <f>C4+C6+C8+C10+C12</f>
        <v/>
      </c>
      <c r="D14" s="33">
        <f>D4+D6+D8+D10+D12</f>
        <v/>
      </c>
      <c r="E14" s="33">
        <f>E4+E6+E8+E10+E12</f>
        <v/>
      </c>
      <c r="F14" s="33">
        <f>F4+F6+F8+F10+F12</f>
        <v/>
      </c>
      <c r="G14" s="33">
        <f>G4+G6+G8+G10+G12</f>
        <v/>
      </c>
      <c r="H14" s="33">
        <f>H4+H6+H8+H10+H12</f>
        <v/>
      </c>
      <c r="I14" s="33">
        <f>I4+I6+I8+I10+I12</f>
        <v/>
      </c>
      <c r="J14" s="33">
        <f>J4+J6+J8+J10+J12</f>
        <v/>
      </c>
      <c r="K14" s="33">
        <f>K4+K6+K8+K10+K12</f>
        <v/>
      </c>
      <c r="L14" s="33">
        <f>L4+L6+L8+L10+L12</f>
        <v/>
      </c>
      <c r="M14" s="33">
        <f>M4+M6+M8+M10+M12</f>
        <v/>
      </c>
      <c r="N14" s="33">
        <f>N4+N6+N8+N10+N12</f>
        <v/>
      </c>
      <c r="O14" s="33">
        <f>O4+O6+O8+O10+O12</f>
        <v/>
      </c>
      <c r="P14" s="33">
        <f>P4+P6+P8+P10+P12</f>
        <v/>
      </c>
    </row>
    <row r="15">
      <c r="A15" s="4" t="inlineStr">
        <is>
          <t xml:space="preserve">    growth %</t>
        </is>
      </c>
      <c r="C15" s="27">
        <f>IFERROR(C14/B14-1,"")</f>
        <v/>
      </c>
      <c r="D15" s="27">
        <f>IFERROR(D14/C14-1,"")</f>
        <v/>
      </c>
      <c r="E15" s="27">
        <f>IFERROR(E14/D14-1,"")</f>
        <v/>
      </c>
      <c r="F15" s="27">
        <f>IFERROR(F14/E14-1,"")</f>
        <v/>
      </c>
      <c r="G15" s="27">
        <f>IFERROR(G14/F14-1,"")</f>
        <v/>
      </c>
      <c r="H15" s="27">
        <f>IFERROR(H14/G14-1,"")</f>
        <v/>
      </c>
      <c r="I15" s="27">
        <f>IFERROR(I14/H14-1,"")</f>
        <v/>
      </c>
      <c r="J15" s="27">
        <f>IFERROR(J14/I14-1,"")</f>
        <v/>
      </c>
      <c r="K15" s="27">
        <f>IFERROR(K14/J14-1,"")</f>
        <v/>
      </c>
      <c r="L15" s="27">
        <f>IFERROR(L14/K14-1,"")</f>
        <v/>
      </c>
      <c r="M15" s="27">
        <f>IFERROR(M14/L14-1,"")</f>
        <v/>
      </c>
      <c r="N15" s="27">
        <f>IFERROR(N14/M14-1,"")</f>
        <v/>
      </c>
      <c r="O15" s="27">
        <f>IFERROR(O14/N14-1,"")</f>
        <v/>
      </c>
      <c r="P15" s="27">
        <f>IFERROR(P14/O14-1,"")</f>
        <v/>
      </c>
    </row>
    <row r="17">
      <c r="A17" s="5" t="inlineStr">
        <is>
          <t xml:space="preserve">  COST STRUCTURE (yellow = % of revenue)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4" t="inlineStr">
        <is>
          <t>Cost of revenue</t>
        </is>
      </c>
      <c r="B18" s="28">
        <f>SUM(Financials!H5:K5)</f>
        <v/>
      </c>
      <c r="C18" s="28">
        <f>SUM(Financials!L5:O5)</f>
        <v/>
      </c>
      <c r="D18" s="28">
        <f>SUM(Financials!P5:S5)</f>
        <v/>
      </c>
      <c r="E18" s="28">
        <f>SUM(Financials!T5:W5)</f>
        <v/>
      </c>
      <c r="F18" s="28">
        <f>SUM(Financials!X5:AA5)</f>
        <v/>
      </c>
      <c r="G18" s="32">
        <f>G14*G19</f>
        <v/>
      </c>
      <c r="H18" s="32">
        <f>H14*H19</f>
        <v/>
      </c>
      <c r="I18" s="32">
        <f>I14*I19</f>
        <v/>
      </c>
      <c r="J18" s="32">
        <f>J14*J19</f>
        <v/>
      </c>
      <c r="K18" s="32">
        <f>K14*K19</f>
        <v/>
      </c>
      <c r="L18" s="32">
        <f>L14*L19</f>
        <v/>
      </c>
      <c r="M18" s="32">
        <f>M14*M19</f>
        <v/>
      </c>
      <c r="N18" s="32">
        <f>N14*N19</f>
        <v/>
      </c>
      <c r="O18" s="32">
        <f>O14*O19</f>
        <v/>
      </c>
      <c r="P18" s="32">
        <f>P14*P19</f>
        <v/>
      </c>
    </row>
    <row r="19">
      <c r="A19" s="4" t="inlineStr">
        <is>
          <t xml:space="preserve">    % of revenue</t>
        </is>
      </c>
      <c r="B19" s="27">
        <f>IFERROR(B18/B14,"")</f>
        <v/>
      </c>
      <c r="C19" s="27">
        <f>IFERROR(C18/C14,"")</f>
        <v/>
      </c>
      <c r="D19" s="27">
        <f>IFERROR(D18/D14,"")</f>
        <v/>
      </c>
      <c r="E19" s="27">
        <f>IFERROR(E18/E14,"")</f>
        <v/>
      </c>
      <c r="F19" s="27">
        <f>IFERROR(F18/F14,"")</f>
        <v/>
      </c>
      <c r="G19" s="15" t="n">
        <v>0.196375</v>
      </c>
      <c r="H19" s="15" t="n">
        <v>0.196375</v>
      </c>
      <c r="I19" s="15" t="n">
        <v>0.196375</v>
      </c>
      <c r="J19" s="15" t="n">
        <v>0.196375</v>
      </c>
      <c r="K19" s="15" t="n">
        <v>0.196375</v>
      </c>
      <c r="L19" s="15" t="n">
        <v>0.196375</v>
      </c>
      <c r="M19" s="15" t="n">
        <v>0.196375</v>
      </c>
      <c r="N19" s="15" t="n">
        <v>0.196375</v>
      </c>
      <c r="O19" s="15" t="n">
        <v>0.196375</v>
      </c>
      <c r="P19" s="15" t="n">
        <v>0.196375</v>
      </c>
    </row>
    <row r="20">
      <c r="A20" s="4" t="inlineStr">
        <is>
          <t>R&amp;D / Technology</t>
        </is>
      </c>
      <c r="B20" s="28">
        <f>SUM(Financials!H7:K7)</f>
        <v/>
      </c>
      <c r="C20" s="28">
        <f>SUM(Financials!L7:O7)</f>
        <v/>
      </c>
      <c r="D20" s="28">
        <f>SUM(Financials!P7:S7)</f>
        <v/>
      </c>
      <c r="E20" s="28">
        <f>SUM(Financials!T7:W7)</f>
        <v/>
      </c>
      <c r="F20" s="28">
        <f>SUM(Financials!X7:AA7)</f>
        <v/>
      </c>
      <c r="G20" s="32">
        <f>G14*G21</f>
        <v/>
      </c>
      <c r="H20" s="32">
        <f>H14*H21</f>
        <v/>
      </c>
      <c r="I20" s="32">
        <f>I14*I21</f>
        <v/>
      </c>
      <c r="J20" s="32">
        <f>J14*J21</f>
        <v/>
      </c>
      <c r="K20" s="32">
        <f>K14*K21</f>
        <v/>
      </c>
      <c r="L20" s="32">
        <f>L14*L21</f>
        <v/>
      </c>
      <c r="M20" s="32">
        <f>M14*M21</f>
        <v/>
      </c>
      <c r="N20" s="32">
        <f>N14*N21</f>
        <v/>
      </c>
      <c r="O20" s="32">
        <f>O14*O21</f>
        <v/>
      </c>
      <c r="P20" s="32">
        <f>P14*P21</f>
        <v/>
      </c>
    </row>
    <row r="21">
      <c r="A21" s="4" t="inlineStr">
        <is>
          <t xml:space="preserve">    % of revenue</t>
        </is>
      </c>
      <c r="B21" s="27">
        <f>IFERROR(B20/B14,"")</f>
        <v/>
      </c>
      <c r="C21" s="27">
        <f>IFERROR(C20/C14,"")</f>
        <v/>
      </c>
      <c r="D21" s="27">
        <f>IFERROR(D20/D14,"")</f>
        <v/>
      </c>
      <c r="E21" s="27">
        <f>IFERROR(E20/E14,"")</f>
        <v/>
      </c>
      <c r="F21" s="27">
        <f>IFERROR(F20/F14,"")</f>
        <v/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</row>
    <row r="22">
      <c r="A22" s="4" t="inlineStr">
        <is>
          <t>SG&amp;A</t>
        </is>
      </c>
      <c r="B22" s="28">
        <f>SUM(Financials!H9:K9)</f>
        <v/>
      </c>
      <c r="C22" s="28">
        <f>SUM(Financials!L9:O9)</f>
        <v/>
      </c>
      <c r="D22" s="28">
        <f>SUM(Financials!P9:S9)</f>
        <v/>
      </c>
      <c r="E22" s="28">
        <f>SUM(Financials!T9:W9)</f>
        <v/>
      </c>
      <c r="F22" s="28">
        <f>SUM(Financials!X9:AA9)</f>
        <v/>
      </c>
      <c r="G22" s="32">
        <f>G14*G23</f>
        <v/>
      </c>
      <c r="H22" s="32">
        <f>H14*H23</f>
        <v/>
      </c>
      <c r="I22" s="32">
        <f>I14*I23</f>
        <v/>
      </c>
      <c r="J22" s="32">
        <f>J14*J23</f>
        <v/>
      </c>
      <c r="K22" s="32">
        <f>K14*K23</f>
        <v/>
      </c>
      <c r="L22" s="32">
        <f>L14*L23</f>
        <v/>
      </c>
      <c r="M22" s="32">
        <f>M14*M23</f>
        <v/>
      </c>
      <c r="N22" s="32">
        <f>N14*N23</f>
        <v/>
      </c>
      <c r="O22" s="32">
        <f>O14*O23</f>
        <v/>
      </c>
      <c r="P22" s="32">
        <f>P14*P23</f>
        <v/>
      </c>
    </row>
    <row r="23">
      <c r="A23" s="4" t="inlineStr">
        <is>
          <t xml:space="preserve">    % of revenue</t>
        </is>
      </c>
      <c r="B23" s="27">
        <f>IFERROR(B22/B14,"")</f>
        <v/>
      </c>
      <c r="C23" s="27">
        <f>IFERROR(C22/C14,"")</f>
        <v/>
      </c>
      <c r="D23" s="27">
        <f>IFERROR(D22/D14,"")</f>
        <v/>
      </c>
      <c r="E23" s="27">
        <f>IFERROR(E22/E14,"")</f>
        <v/>
      </c>
      <c r="F23" s="27">
        <f>IFERROR(F22/F14,"")</f>
        <v/>
      </c>
      <c r="G23" s="15" t="n">
        <v>0.109225</v>
      </c>
      <c r="H23" s="15" t="n">
        <v>0.109225</v>
      </c>
      <c r="I23" s="15" t="n">
        <v>0.109225</v>
      </c>
      <c r="J23" s="15" t="n">
        <v>0.109225</v>
      </c>
      <c r="K23" s="15" t="n">
        <v>0.109225</v>
      </c>
      <c r="L23" s="15" t="n">
        <v>0.109225</v>
      </c>
      <c r="M23" s="15" t="n">
        <v>0.109225</v>
      </c>
      <c r="N23" s="15" t="n">
        <v>0.109225</v>
      </c>
      <c r="O23" s="15" t="n">
        <v>0.109225</v>
      </c>
      <c r="P23" s="15" t="n">
        <v>0.109225</v>
      </c>
    </row>
    <row r="24">
      <c r="A24" s="4" t="inlineStr">
        <is>
          <t>Other opex (fulfilment, etc.)</t>
        </is>
      </c>
      <c r="B24" s="28">
        <f>B14-(B18+B20+B22)-SUM(Financials!H13:K13)</f>
        <v/>
      </c>
      <c r="C24" s="28">
        <f>C14-(C18+C20+C22)-SUM(Financials!L13:O13)</f>
        <v/>
      </c>
      <c r="D24" s="28">
        <f>D14-(D18+D20+D22)-SUM(Financials!P13:S13)</f>
        <v/>
      </c>
      <c r="E24" s="28">
        <f>E14-(E18+E20+E22)-SUM(Financials!T13:W13)</f>
        <v/>
      </c>
      <c r="F24" s="28">
        <f>F14-(F18+F20+F22)-SUM(Financials!X13:AA13)</f>
        <v/>
      </c>
      <c r="G24" s="28">
        <f>G14*(1-(Dashboard!$B$29+(Dashboard!$B$30-Dashboard!$B$29)*MIN(1,0/4)))-(G18+G20+G22)</f>
        <v/>
      </c>
      <c r="H24" s="28">
        <f>H14*(1-(Dashboard!$B$29+(Dashboard!$B$30-Dashboard!$B$29)*MIN(1,1/4)))-(H18+H20+H22)</f>
        <v/>
      </c>
      <c r="I24" s="28">
        <f>I14*(1-(Dashboard!$B$29+(Dashboard!$B$30-Dashboard!$B$29)*MIN(1,2/4)))-(I18+I20+I22)</f>
        <v/>
      </c>
      <c r="J24" s="28">
        <f>J14*(1-(Dashboard!$B$29+(Dashboard!$B$30-Dashboard!$B$29)*MIN(1,3/4)))-(J18+J20+J22)</f>
        <v/>
      </c>
      <c r="K24" s="28">
        <f>K14*(1-(Dashboard!$B$29+(Dashboard!$B$30-Dashboard!$B$29)*MIN(1,4/4)))-(K18+K20+K22)</f>
        <v/>
      </c>
      <c r="L24" s="28">
        <f>L14*(1-(Dashboard!$B$29+(Dashboard!$B$30-Dashboard!$B$29)*MIN(1,5/4)))-(L18+L20+L22)</f>
        <v/>
      </c>
      <c r="M24" s="28">
        <f>M14*(1-(Dashboard!$B$29+(Dashboard!$B$30-Dashboard!$B$29)*MIN(1,6/4)))-(M18+M20+M22)</f>
        <v/>
      </c>
      <c r="N24" s="28">
        <f>N14*(1-(Dashboard!$B$29+(Dashboard!$B$30-Dashboard!$B$29)*MIN(1,7/4)))-(N18+N20+N22)</f>
        <v/>
      </c>
      <c r="O24" s="28">
        <f>O14*(1-(Dashboard!$B$29+(Dashboard!$B$30-Dashboard!$B$29)*MIN(1,8/4)))-(O18+O20+O22)</f>
        <v/>
      </c>
      <c r="P24" s="28">
        <f>P14*(1-(Dashboard!$B$29+(Dashboard!$B$30-Dashboard!$B$29)*MIN(1,9/4)))-(P18+P20+P22)</f>
        <v/>
      </c>
    </row>
    <row r="25">
      <c r="A25" s="4" t="inlineStr">
        <is>
          <t xml:space="preserve">    % of revenue</t>
        </is>
      </c>
      <c r="B25" s="27">
        <f>IFERROR(B24/B14,"")</f>
        <v/>
      </c>
      <c r="C25" s="27">
        <f>IFERROR(C24/C14,"")</f>
        <v/>
      </c>
      <c r="D25" s="27">
        <f>IFERROR(D24/D14,"")</f>
        <v/>
      </c>
      <c r="E25" s="27">
        <f>IFERROR(E24/E14,"")</f>
        <v/>
      </c>
      <c r="F25" s="27">
        <f>IFERROR(F24/F14,"")</f>
        <v/>
      </c>
      <c r="G25" s="27">
        <f>IFERROR(G24/G14,"")</f>
        <v/>
      </c>
      <c r="H25" s="27">
        <f>IFERROR(H24/H14,"")</f>
        <v/>
      </c>
      <c r="I25" s="27">
        <f>IFERROR(I24/I14,"")</f>
        <v/>
      </c>
      <c r="J25" s="27">
        <f>IFERROR(J24/J14,"")</f>
        <v/>
      </c>
      <c r="K25" s="27">
        <f>IFERROR(K24/K14,"")</f>
        <v/>
      </c>
      <c r="L25" s="27">
        <f>IFERROR(L24/L14,"")</f>
        <v/>
      </c>
      <c r="M25" s="27">
        <f>IFERROR(M24/M14,"")</f>
        <v/>
      </c>
      <c r="N25" s="27">
        <f>IFERROR(N24/N14,"")</f>
        <v/>
      </c>
      <c r="O25" s="27">
        <f>IFERROR(O24/O14,"")</f>
        <v/>
      </c>
      <c r="P25" s="27">
        <f>IFERROR(P24/P14,"")</f>
        <v/>
      </c>
    </row>
    <row r="27">
      <c r="A27" s="3" t="inlineStr">
        <is>
          <t>Operating income (EBIT)</t>
        </is>
      </c>
      <c r="B27" s="33">
        <f>B14-(B18+B20+B22)-B24</f>
        <v/>
      </c>
      <c r="C27" s="33">
        <f>C14-(C18+C20+C22)-C24</f>
        <v/>
      </c>
      <c r="D27" s="33">
        <f>D14-(D18+D20+D22)-D24</f>
        <v/>
      </c>
      <c r="E27" s="33">
        <f>E14-(E18+E20+E22)-E24</f>
        <v/>
      </c>
      <c r="F27" s="33">
        <f>F14-(F18+F20+F22)-F24</f>
        <v/>
      </c>
      <c r="G27" s="33">
        <f>G14-(G18+G20+G22)-G24</f>
        <v/>
      </c>
      <c r="H27" s="33">
        <f>H14-(H18+H20+H22)-H24</f>
        <v/>
      </c>
      <c r="I27" s="33">
        <f>I14-(I18+I20+I22)-I24</f>
        <v/>
      </c>
      <c r="J27" s="33">
        <f>J14-(J18+J20+J22)-J24</f>
        <v/>
      </c>
      <c r="K27" s="33">
        <f>K14-(K18+K20+K22)-K24</f>
        <v/>
      </c>
      <c r="L27" s="33">
        <f>L14-(L18+L20+L22)-L24</f>
        <v/>
      </c>
      <c r="M27" s="33">
        <f>M14-(M18+M20+M22)-M24</f>
        <v/>
      </c>
      <c r="N27" s="33">
        <f>N14-(N18+N20+N22)-N24</f>
        <v/>
      </c>
      <c r="O27" s="33">
        <f>O14-(O18+O20+O22)-O24</f>
        <v/>
      </c>
      <c r="P27" s="33">
        <f>P14-(P18+P20+P22)-P24</f>
        <v/>
      </c>
    </row>
    <row r="28">
      <c r="A28" s="4" t="inlineStr">
        <is>
          <t xml:space="preserve">    operating margin</t>
        </is>
      </c>
      <c r="B28" s="27">
        <f>IFERROR(B27/B14,"")</f>
        <v/>
      </c>
      <c r="C28" s="27">
        <f>IFERROR(C27/C14,"")</f>
        <v/>
      </c>
      <c r="D28" s="27">
        <f>IFERROR(D27/D14,"")</f>
        <v/>
      </c>
      <c r="E28" s="27">
        <f>IFERROR(E27/E14,"")</f>
        <v/>
      </c>
      <c r="F28" s="27">
        <f>IFERROR(F27/F14,"")</f>
        <v/>
      </c>
      <c r="G28" s="27">
        <f>IFERROR(G27/G14,"")</f>
        <v/>
      </c>
      <c r="H28" s="27">
        <f>IFERROR(H27/H14,"")</f>
        <v/>
      </c>
      <c r="I28" s="27">
        <f>IFERROR(I27/I14,"")</f>
        <v/>
      </c>
      <c r="J28" s="27">
        <f>IFERROR(J27/J14,"")</f>
        <v/>
      </c>
      <c r="K28" s="27">
        <f>IFERROR(K27/K14,"")</f>
        <v/>
      </c>
      <c r="L28" s="27">
        <f>IFERROR(L27/L14,"")</f>
        <v/>
      </c>
      <c r="M28" s="27">
        <f>IFERROR(M27/M14,"")</f>
        <v/>
      </c>
      <c r="N28" s="27">
        <f>IFERROR(N27/N14,"")</f>
        <v/>
      </c>
      <c r="O28" s="27">
        <f>IFERROR(O27/O14,"")</f>
        <v/>
      </c>
      <c r="P28" s="27">
        <f>IFERROR(P27/P14,"")</f>
        <v/>
      </c>
    </row>
    <row r="30">
      <c r="A30" s="5" t="inlineStr">
        <is>
          <t xml:space="preserve">  FCF BRIDGE (NOPAT + D&amp;A + SBC - dNWC - Capex)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4" t="inlineStr">
        <is>
          <t>NOPAT = EBIT x (1 - tax)</t>
        </is>
      </c>
      <c r="B31" s="28">
        <f>B27*(1-Valuation!$B$5)</f>
        <v/>
      </c>
      <c r="C31" s="28">
        <f>C27*(1-Valuation!$B$5)</f>
        <v/>
      </c>
      <c r="D31" s="28">
        <f>D27*(1-Valuation!$B$5)</f>
        <v/>
      </c>
      <c r="E31" s="28">
        <f>E27*(1-Valuation!$B$5)</f>
        <v/>
      </c>
      <c r="F31" s="28">
        <f>F27*(1-Valuation!$B$5)</f>
        <v/>
      </c>
      <c r="G31" s="28">
        <f>G27*(1-Valuation!$B$5)</f>
        <v/>
      </c>
      <c r="H31" s="28">
        <f>H27*(1-Valuation!$B$5)</f>
        <v/>
      </c>
      <c r="I31" s="28">
        <f>I27*(1-Valuation!$B$5)</f>
        <v/>
      </c>
      <c r="J31" s="28">
        <f>J27*(1-Valuation!$B$5)</f>
        <v/>
      </c>
      <c r="K31" s="28">
        <f>K27*(1-Valuation!$B$5)</f>
        <v/>
      </c>
      <c r="L31" s="28">
        <f>L27*(1-Valuation!$B$5)</f>
        <v/>
      </c>
      <c r="M31" s="28">
        <f>M27*(1-Valuation!$B$5)</f>
        <v/>
      </c>
      <c r="N31" s="28">
        <f>N27*(1-Valuation!$B$5)</f>
        <v/>
      </c>
      <c r="O31" s="28">
        <f>O27*(1-Valuation!$B$5)</f>
        <v/>
      </c>
      <c r="P31" s="28">
        <f>P27*(1-Valuation!$B$5)</f>
        <v/>
      </c>
    </row>
    <row r="32">
      <c r="A32" s="4" t="inlineStr">
        <is>
          <t>+ D&amp;A</t>
        </is>
      </c>
      <c r="B32" s="28">
        <f>SUM(Financials!H50:K50)</f>
        <v/>
      </c>
      <c r="C32" s="28">
        <f>SUM(Financials!L50:O50)</f>
        <v/>
      </c>
      <c r="D32" s="28">
        <f>SUM(Financials!P50:S50)</f>
        <v/>
      </c>
      <c r="E32" s="28">
        <f>SUM(Financials!T50:W50)</f>
        <v/>
      </c>
      <c r="F32" s="28">
        <f>SUM(Financials!X50:AA50)</f>
        <v/>
      </c>
      <c r="G32" s="32">
        <f>G14*0.0305</f>
        <v/>
      </c>
      <c r="H32" s="32">
        <f>H14*0.0305</f>
        <v/>
      </c>
      <c r="I32" s="32">
        <f>I14*0.0305</f>
        <v/>
      </c>
      <c r="J32" s="32">
        <f>J14*0.0305</f>
        <v/>
      </c>
      <c r="K32" s="32">
        <f>K14*0.0305</f>
        <v/>
      </c>
      <c r="L32" s="32">
        <f>L14*0.0305</f>
        <v/>
      </c>
      <c r="M32" s="32">
        <f>M14*0.0305</f>
        <v/>
      </c>
      <c r="N32" s="32">
        <f>N14*0.0305</f>
        <v/>
      </c>
      <c r="O32" s="32">
        <f>O14*0.0305</f>
        <v/>
      </c>
      <c r="P32" s="32">
        <f>P14*0.0305</f>
        <v/>
      </c>
    </row>
    <row r="33">
      <c r="A33" s="4" t="inlineStr">
        <is>
          <t>+ SBC (non-cash)</t>
        </is>
      </c>
      <c r="B33" s="28">
        <f>SUM(Financials!H51:K51)</f>
        <v/>
      </c>
      <c r="C33" s="28">
        <f>SUM(Financials!L51:O51)</f>
        <v/>
      </c>
      <c r="D33" s="28">
        <f>SUM(Financials!P51:S51)</f>
        <v/>
      </c>
      <c r="E33" s="28">
        <f>SUM(Financials!T51:W51)</f>
        <v/>
      </c>
      <c r="F33" s="28">
        <f>SUM(Financials!X51:AA51)</f>
        <v/>
      </c>
      <c r="G33" s="32">
        <f>G14*0.0224</f>
        <v/>
      </c>
      <c r="H33" s="32">
        <f>H14*0.0214</f>
        <v/>
      </c>
      <c r="I33" s="32">
        <f>I14*0.0204</f>
        <v/>
      </c>
      <c r="J33" s="32">
        <f>J14*0.0194</f>
        <v/>
      </c>
      <c r="K33" s="32">
        <f>K14*0.0184</f>
        <v/>
      </c>
      <c r="L33" s="32">
        <f>L14*0.0174</f>
        <v/>
      </c>
      <c r="M33" s="32">
        <f>M14*0.0164</f>
        <v/>
      </c>
      <c r="N33" s="32">
        <f>N14*0.0154</f>
        <v/>
      </c>
      <c r="O33" s="32">
        <f>O14*0.0145</f>
        <v/>
      </c>
      <c r="P33" s="32">
        <f>P14*0.0135</f>
        <v/>
      </c>
    </row>
    <row r="34">
      <c r="A34" s="4" t="inlineStr">
        <is>
          <t>- dNWC</t>
        </is>
      </c>
      <c r="G34" s="32">
        <f>(G14-F14)*0.0050</f>
        <v/>
      </c>
      <c r="H34" s="32">
        <f>(H14-G14)*0.0050</f>
        <v/>
      </c>
      <c r="I34" s="32">
        <f>(I14-H14)*0.0050</f>
        <v/>
      </c>
      <c r="J34" s="32">
        <f>(J14-I14)*0.0050</f>
        <v/>
      </c>
      <c r="K34" s="32">
        <f>(K14-J14)*0.0050</f>
        <v/>
      </c>
      <c r="L34" s="32">
        <f>(L14-K14)*0.0050</f>
        <v/>
      </c>
      <c r="M34" s="32">
        <f>(M14-L14)*0.0050</f>
        <v/>
      </c>
      <c r="N34" s="32">
        <f>(N14-M14)*0.0050</f>
        <v/>
      </c>
      <c r="O34" s="32">
        <f>(O14-N14)*0.0050</f>
        <v/>
      </c>
      <c r="P34" s="32">
        <f>(P14-O14)*0.0050</f>
        <v/>
      </c>
    </row>
    <row r="35">
      <c r="A35" s="4" t="inlineStr">
        <is>
          <t>- Capex</t>
        </is>
      </c>
      <c r="B35" s="28">
        <f>-SUM(Financials!H54:K54)</f>
        <v/>
      </c>
      <c r="C35" s="28">
        <f>-SUM(Financials!L54:O54)</f>
        <v/>
      </c>
      <c r="D35" s="28">
        <f>-SUM(Financials!P54:S54)</f>
        <v/>
      </c>
      <c r="E35" s="28">
        <f>-SUM(Financials!T54:W54)</f>
        <v/>
      </c>
      <c r="F35" s="28">
        <f>-SUM(Financials!X54:AA54)</f>
        <v/>
      </c>
      <c r="G35" s="32">
        <f>G32*G36</f>
        <v/>
      </c>
      <c r="H35" s="32">
        <f>H32*H36</f>
        <v/>
      </c>
      <c r="I35" s="32">
        <f>I32*I36</f>
        <v/>
      </c>
      <c r="J35" s="32">
        <f>J32*J36</f>
        <v/>
      </c>
      <c r="K35" s="32">
        <f>K32*K36</f>
        <v/>
      </c>
      <c r="L35" s="32">
        <f>L32*L36</f>
        <v/>
      </c>
      <c r="M35" s="32">
        <f>M32*M36</f>
        <v/>
      </c>
      <c r="N35" s="32">
        <f>N32*N36</f>
        <v/>
      </c>
      <c r="O35" s="32">
        <f>O32*O36</f>
        <v/>
      </c>
      <c r="P35" s="32">
        <f>P32*P36</f>
        <v/>
      </c>
    </row>
    <row r="36">
      <c r="A36" s="4" t="inlineStr">
        <is>
          <t xml:space="preserve">    Capex / D&amp;A  (from Dashboard: $cap'26 -&gt; terminal)</t>
        </is>
      </c>
      <c r="B36" s="34">
        <f>IFERROR(B35/B32,"")</f>
        <v/>
      </c>
      <c r="C36" s="34">
        <f>IFERROR(C35/C32,"")</f>
        <v/>
      </c>
      <c r="D36" s="34">
        <f>IFERROR(D35/D32,"")</f>
        <v/>
      </c>
      <c r="E36" s="34">
        <f>IFERROR(E35/E32,"")</f>
        <v/>
      </c>
      <c r="F36" s="34">
        <f>IFERROR(F35/F32,"")</f>
        <v/>
      </c>
      <c r="G36" s="13">
        <f>(Dashboard!$B$34/G32)+(Dashboard!$B$35-(Dashboard!$B$34/G32))*0/9</f>
        <v/>
      </c>
      <c r="H36" s="13">
        <f>(Dashboard!$B$34/G32)+(Dashboard!$B$35-(Dashboard!$B$34/G32))*1/9</f>
        <v/>
      </c>
      <c r="I36" s="13">
        <f>(Dashboard!$B$34/G32)+(Dashboard!$B$35-(Dashboard!$B$34/G32))*2/9</f>
        <v/>
      </c>
      <c r="J36" s="13">
        <f>(Dashboard!$B$34/G32)+(Dashboard!$B$35-(Dashboard!$B$34/G32))*3/9</f>
        <v/>
      </c>
      <c r="K36" s="13">
        <f>(Dashboard!$B$34/G32)+(Dashboard!$B$35-(Dashboard!$B$34/G32))*4/9</f>
        <v/>
      </c>
      <c r="L36" s="13">
        <f>(Dashboard!$B$34/G32)+(Dashboard!$B$35-(Dashboard!$B$34/G32))*5/9</f>
        <v/>
      </c>
      <c r="M36" s="13">
        <f>(Dashboard!$B$34/G32)+(Dashboard!$B$35-(Dashboard!$B$34/G32))*6/9</f>
        <v/>
      </c>
      <c r="N36" s="13">
        <f>(Dashboard!$B$34/G32)+(Dashboard!$B$35-(Dashboard!$B$34/G32))*7/9</f>
        <v/>
      </c>
      <c r="O36" s="13">
        <f>(Dashboard!$B$34/G32)+(Dashboard!$B$35-(Dashboard!$B$34/G32))*8/9</f>
        <v/>
      </c>
      <c r="P36" s="13">
        <f>(Dashboard!$B$34/G32)+(Dashboard!$B$35-(Dashboard!$B$34/G32))*9/9</f>
        <v/>
      </c>
    </row>
    <row r="38">
      <c r="A38" s="3" t="inlineStr">
        <is>
          <t>FCFF (firm)</t>
        </is>
      </c>
      <c r="B38" s="33">
        <f>B31+B32+B33-B34-B35</f>
        <v/>
      </c>
      <c r="C38" s="33">
        <f>C31+C32+C33-C34-C35</f>
        <v/>
      </c>
      <c r="D38" s="33">
        <f>D31+D32+D33-D34-D35</f>
        <v/>
      </c>
      <c r="E38" s="33">
        <f>E31+E32+E33-E34-E35</f>
        <v/>
      </c>
      <c r="F38" s="33">
        <f>F31+F32+F33-F34-F35</f>
        <v/>
      </c>
      <c r="G38" s="33">
        <f>G31+G32+G33-G34-G35</f>
        <v/>
      </c>
      <c r="H38" s="33">
        <f>H31+H32+H33-H34-H35</f>
        <v/>
      </c>
      <c r="I38" s="33">
        <f>I31+I32+I33-I34-I35</f>
        <v/>
      </c>
      <c r="J38" s="33">
        <f>J31+J32+J33-J34-J35</f>
        <v/>
      </c>
      <c r="K38" s="33">
        <f>K31+K32+K33-K34-K35</f>
        <v/>
      </c>
      <c r="L38" s="33">
        <f>L31+L32+L33-L34-L35</f>
        <v/>
      </c>
      <c r="M38" s="33">
        <f>M31+M32+M33-M34-M35</f>
        <v/>
      </c>
      <c r="N38" s="33">
        <f>N31+N32+N33-N34-N35</f>
        <v/>
      </c>
      <c r="O38" s="33">
        <f>O31+O32+O33-O34-O35</f>
        <v/>
      </c>
      <c r="P38" s="33">
        <f>P31+P32+P33-P34-P35</f>
        <v/>
      </c>
    </row>
    <row r="39">
      <c r="A39" s="3" t="inlineStr">
        <is>
          <t>Valuation FCF (FCFF - SBC)</t>
        </is>
      </c>
      <c r="B39" s="33">
        <f>B38-B33</f>
        <v/>
      </c>
      <c r="C39" s="33">
        <f>C38-C33</f>
        <v/>
      </c>
      <c r="D39" s="33">
        <f>D38-D33</f>
        <v/>
      </c>
      <c r="E39" s="33">
        <f>E38-E33</f>
        <v/>
      </c>
      <c r="F39" s="33">
        <f>F38-F33</f>
        <v/>
      </c>
      <c r="G39" s="33">
        <f>G38-G33</f>
        <v/>
      </c>
      <c r="H39" s="33">
        <f>H38-H33</f>
        <v/>
      </c>
      <c r="I39" s="33">
        <f>I38-I33</f>
        <v/>
      </c>
      <c r="J39" s="33">
        <f>J38-J33</f>
        <v/>
      </c>
      <c r="K39" s="33">
        <f>K38-K33</f>
        <v/>
      </c>
      <c r="L39" s="33">
        <f>L38-L33</f>
        <v/>
      </c>
      <c r="M39" s="33">
        <f>M38-M33</f>
        <v/>
      </c>
      <c r="N39" s="33">
        <f>N38-N33</f>
        <v/>
      </c>
      <c r="O39" s="33">
        <f>O38-O33</f>
        <v/>
      </c>
      <c r="P39" s="33">
        <f>P38-P33</f>
        <v/>
      </c>
    </row>
    <row r="41">
      <c r="A41" s="5" t="inlineStr">
        <is>
          <t xml:space="preserve">  RETURNS ON CAPITAL &amp; EFFICIENCY  (is new revenue/capital earning its keep?)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4" t="inlineStr">
        <is>
          <t>Invested capital (debt + equity - cash)</t>
        </is>
      </c>
      <c r="B42" s="28">
        <f>Financials!K48+Financials!K47-Financials!K42</f>
        <v/>
      </c>
      <c r="C42" s="28">
        <f>Financials!O48+Financials!O47-Financials!O42</f>
        <v/>
      </c>
      <c r="D42" s="28">
        <f>Financials!S48+Financials!S47-Financials!S42</f>
        <v/>
      </c>
      <c r="E42" s="28">
        <f>Financials!W48+Financials!W47-Financials!W42</f>
        <v/>
      </c>
      <c r="F42" s="28">
        <f>Financials!AA48+Financials!AA47-Financials!AA42</f>
        <v/>
      </c>
      <c r="G42" s="32">
        <f>F42+G35-G32+G34</f>
        <v/>
      </c>
      <c r="H42" s="32">
        <f>G42+H35-H32+H34</f>
        <v/>
      </c>
      <c r="I42" s="32">
        <f>H42+I35-I32+I34</f>
        <v/>
      </c>
      <c r="J42" s="32">
        <f>I42+J35-J32+J34</f>
        <v/>
      </c>
      <c r="K42" s="32">
        <f>J42+K35-K32+K34</f>
        <v/>
      </c>
      <c r="L42" s="32">
        <f>K42+L35-L32+L34</f>
        <v/>
      </c>
      <c r="M42" s="32">
        <f>L42+M35-M32+M34</f>
        <v/>
      </c>
      <c r="N42" s="32">
        <f>M42+N35-N32+N34</f>
        <v/>
      </c>
      <c r="O42" s="32">
        <f>N42+O35-O32+O34</f>
        <v/>
      </c>
      <c r="P42" s="32">
        <f>O42+P35-P32+P34</f>
        <v/>
      </c>
    </row>
    <row r="43">
      <c r="A43" s="4" t="inlineStr">
        <is>
          <t>Book equity (year-end)</t>
        </is>
      </c>
      <c r="B43" s="28">
        <f>Financials!K48</f>
        <v/>
      </c>
      <c r="C43" s="28">
        <f>Financials!O48</f>
        <v/>
      </c>
      <c r="D43" s="28">
        <f>Financials!S48</f>
        <v/>
      </c>
      <c r="E43" s="28">
        <f>Financials!W48</f>
        <v/>
      </c>
      <c r="F43" s="28">
        <f>Financials!AA48</f>
        <v/>
      </c>
      <c r="G43" s="32">
        <f>F43+G31</f>
        <v/>
      </c>
      <c r="H43" s="32">
        <f>G43+H31</f>
        <v/>
      </c>
      <c r="I43" s="32">
        <f>H43+I31</f>
        <v/>
      </c>
      <c r="J43" s="32">
        <f>I43+J31</f>
        <v/>
      </c>
      <c r="K43" s="32">
        <f>J43+K31</f>
        <v/>
      </c>
      <c r="L43" s="32">
        <f>K43+L31</f>
        <v/>
      </c>
      <c r="M43" s="32">
        <f>L43+M31</f>
        <v/>
      </c>
      <c r="N43" s="32">
        <f>M43+N31</f>
        <v/>
      </c>
      <c r="O43" s="32">
        <f>N43+O31</f>
        <v/>
      </c>
      <c r="P43" s="32">
        <f>O43+P31</f>
        <v/>
      </c>
    </row>
    <row r="44">
      <c r="A44" s="3" t="inlineStr">
        <is>
          <t xml:space="preserve">  ROIC (NOPAT / beg. invested capital)</t>
        </is>
      </c>
      <c r="C44" s="27">
        <f>IFERROR(C31/B42,"")</f>
        <v/>
      </c>
      <c r="D44" s="27">
        <f>IFERROR(D31/C42,"")</f>
        <v/>
      </c>
      <c r="E44" s="27">
        <f>IFERROR(E31/D42,"")</f>
        <v/>
      </c>
      <c r="F44" s="27">
        <f>IFERROR(F31/E42,"")</f>
        <v/>
      </c>
      <c r="G44" s="27">
        <f>IFERROR(G31/F42,"")</f>
        <v/>
      </c>
      <c r="H44" s="27">
        <f>IFERROR(H31/G42,"")</f>
        <v/>
      </c>
      <c r="I44" s="27">
        <f>IFERROR(I31/H42,"")</f>
        <v/>
      </c>
      <c r="J44" s="27">
        <f>IFERROR(J31/I42,"")</f>
        <v/>
      </c>
      <c r="K44" s="27">
        <f>IFERROR(K31/J42,"")</f>
        <v/>
      </c>
      <c r="L44" s="27">
        <f>IFERROR(L31/K42,"")</f>
        <v/>
      </c>
      <c r="M44" s="27">
        <f>IFERROR(M31/L42,"")</f>
        <v/>
      </c>
      <c r="N44" s="27">
        <f>IFERROR(N31/M42,"")</f>
        <v/>
      </c>
      <c r="O44" s="27">
        <f>IFERROR(O31/N42,"")</f>
        <v/>
      </c>
      <c r="P44" s="27">
        <f>IFERROR(P31/O42,"")</f>
        <v/>
      </c>
    </row>
    <row r="45">
      <c r="A45" s="3" t="inlineStr">
        <is>
          <t xml:space="preserve">  ROE (earnings / beg. equity)</t>
        </is>
      </c>
      <c r="C45" s="11">
        <f>IFERROR(SUM(Financials!L15:O15)/B43,"")</f>
        <v/>
      </c>
      <c r="D45" s="11">
        <f>IFERROR(SUM(Financials!P15:S15)/C43,"")</f>
        <v/>
      </c>
      <c r="E45" s="11">
        <f>IFERROR(SUM(Financials!T15:W15)/D43,"")</f>
        <v/>
      </c>
      <c r="F45" s="11">
        <f>IFERROR(SUM(Financials!X15:AA15)/E43,"")</f>
        <v/>
      </c>
      <c r="G45" s="27">
        <f>IFERROR(G31/F43,"")</f>
        <v/>
      </c>
      <c r="H45" s="27">
        <f>IFERROR(H31/G43,"")</f>
        <v/>
      </c>
      <c r="I45" s="27">
        <f>IFERROR(I31/H43,"")</f>
        <v/>
      </c>
      <c r="J45" s="27">
        <f>IFERROR(J31/I43,"")</f>
        <v/>
      </c>
      <c r="K45" s="27">
        <f>IFERROR(K31/J43,"")</f>
        <v/>
      </c>
      <c r="L45" s="27">
        <f>IFERROR(L31/K43,"")</f>
        <v/>
      </c>
      <c r="M45" s="27">
        <f>IFERROR(M31/L43,"")</f>
        <v/>
      </c>
      <c r="N45" s="27">
        <f>IFERROR(N31/M43,"")</f>
        <v/>
      </c>
      <c r="O45" s="27">
        <f>IFERROR(O31/N43,"")</f>
        <v/>
      </c>
      <c r="P45" s="27">
        <f>IFERROR(P31/O43,"")</f>
        <v/>
      </c>
    </row>
    <row r="46">
      <c r="A46" s="4" t="inlineStr">
        <is>
          <t xml:space="preserve">  ROIC - WACC spread (value created)</t>
        </is>
      </c>
      <c r="C46" s="11">
        <f>IFERROR(C44-WACC!$B$14,"")</f>
        <v/>
      </c>
      <c r="D46" s="11">
        <f>IFERROR(D44-WACC!$B$14,"")</f>
        <v/>
      </c>
      <c r="E46" s="11">
        <f>IFERROR(E44-WACC!$B$14,"")</f>
        <v/>
      </c>
      <c r="F46" s="11">
        <f>IFERROR(F44-WACC!$B$14,"")</f>
        <v/>
      </c>
      <c r="G46" s="11">
        <f>IFERROR(G44-WACC!$B$14,"")</f>
        <v/>
      </c>
      <c r="H46" s="11">
        <f>IFERROR(H44-WACC!$B$14,"")</f>
        <v/>
      </c>
      <c r="I46" s="11">
        <f>IFERROR(I44-WACC!$B$14,"")</f>
        <v/>
      </c>
      <c r="J46" s="11">
        <f>IFERROR(J44-WACC!$B$14,"")</f>
        <v/>
      </c>
      <c r="K46" s="11">
        <f>IFERROR(K44-WACC!$B$14,"")</f>
        <v/>
      </c>
      <c r="L46" s="11">
        <f>IFERROR(L44-WACC!$B$14,"")</f>
        <v/>
      </c>
      <c r="M46" s="11">
        <f>IFERROR(M44-WACC!$B$14,"")</f>
        <v/>
      </c>
      <c r="N46" s="11">
        <f>IFERROR(N44-WACC!$B$14,"")</f>
        <v/>
      </c>
      <c r="O46" s="11">
        <f>IFERROR(O44-WACC!$B$14,"")</f>
        <v/>
      </c>
      <c r="P46" s="11">
        <f>IFERROR(P44-WACC!$B$14,"")</f>
        <v/>
      </c>
    </row>
    <row r="47">
      <c r="A47" s="4" t="inlineStr">
        <is>
          <t xml:space="preserve">  Incremental op margin (ΔEBIT / ΔRev)</t>
        </is>
      </c>
      <c r="C47" s="27">
        <f>IFERROR((C27-B27)/(C14-B14),"")</f>
        <v/>
      </c>
      <c r="D47" s="27">
        <f>IFERROR((D27-C27)/(D14-C14),"")</f>
        <v/>
      </c>
      <c r="E47" s="27">
        <f>IFERROR((E27-D27)/(E14-D14),"")</f>
        <v/>
      </c>
      <c r="F47" s="27">
        <f>IFERROR((F27-E27)/(F14-E14),"")</f>
        <v/>
      </c>
      <c r="G47" s="27">
        <f>IFERROR((G27-F27)/(G14-F14),"")</f>
        <v/>
      </c>
      <c r="H47" s="27">
        <f>IFERROR((H27-G27)/(H14-G14),"")</f>
        <v/>
      </c>
      <c r="I47" s="27">
        <f>IFERROR((I27-H27)/(I14-H14),"")</f>
        <v/>
      </c>
      <c r="J47" s="27">
        <f>IFERROR((J27-I27)/(J14-I14),"")</f>
        <v/>
      </c>
      <c r="K47" s="27">
        <f>IFERROR((K27-J27)/(K14-J14),"")</f>
        <v/>
      </c>
      <c r="L47" s="27">
        <f>IFERROR((L27-K27)/(L14-K14),"")</f>
        <v/>
      </c>
      <c r="M47" s="27">
        <f>IFERROR((M27-L27)/(M14-L14),"")</f>
        <v/>
      </c>
      <c r="N47" s="27">
        <f>IFERROR((N27-M27)/(N14-M14),"")</f>
        <v/>
      </c>
      <c r="O47" s="27">
        <f>IFERROR((O27-N27)/(O14-N14),"")</f>
        <v/>
      </c>
      <c r="P47" s="27">
        <f>IFERROR((P27-O27)/(P14-O14),"")</f>
        <v/>
      </c>
    </row>
    <row r="48">
      <c r="A48" s="3" t="inlineStr">
        <is>
          <t xml:space="preserve">  ROIIC (ΔNOPAT / ΔInvested capital)</t>
        </is>
      </c>
      <c r="C48" s="27">
        <f>IFERROR((C31-B31)/(C42-B42),"")</f>
        <v/>
      </c>
      <c r="D48" s="27">
        <f>IFERROR((D31-C31)/(D42-C42),"")</f>
        <v/>
      </c>
      <c r="E48" s="27">
        <f>IFERROR((E31-D31)/(E42-D42),"")</f>
        <v/>
      </c>
      <c r="F48" s="27">
        <f>IFERROR((F31-E31)/(F42-E42),"")</f>
        <v/>
      </c>
      <c r="G48" s="27">
        <f>IFERROR((G31-F31)/(G42-F42),"")</f>
        <v/>
      </c>
      <c r="H48" s="27">
        <f>IFERROR((H31-G31)/(H42-G42),"")</f>
        <v/>
      </c>
      <c r="I48" s="27">
        <f>IFERROR((I31-H31)/(I42-H42),"")</f>
        <v/>
      </c>
      <c r="J48" s="27">
        <f>IFERROR((J31-I31)/(J42-I42),"")</f>
        <v/>
      </c>
      <c r="K48" s="27">
        <f>IFERROR((K31-J31)/(K42-J42),"")</f>
        <v/>
      </c>
      <c r="L48" s="27">
        <f>IFERROR((L31-K31)/(L42-K42),"")</f>
        <v/>
      </c>
      <c r="M48" s="27">
        <f>IFERROR((M31-L31)/(M42-L42),"")</f>
        <v/>
      </c>
      <c r="N48" s="27">
        <f>IFERROR((N31-M31)/(N42-M42),"")</f>
        <v/>
      </c>
      <c r="O48" s="27">
        <f>IFERROR((O31-N31)/(O42-N42),"")</f>
        <v/>
      </c>
      <c r="P48" s="27">
        <f>IFERROR((P31-O31)/(P42-O42),"")</f>
        <v/>
      </c>
    </row>
    <row r="49">
      <c r="A49" s="4" t="inlineStr">
        <is>
          <t xml:space="preserve">  Sales-to-capital (ΔRev / ΔInvested capital)</t>
        </is>
      </c>
      <c r="C49" s="35">
        <f>IFERROR((C14-B14)/(C42-B42),"")</f>
        <v/>
      </c>
      <c r="D49" s="35">
        <f>IFERROR((D14-C14)/(D42-C42),"")</f>
        <v/>
      </c>
      <c r="E49" s="35">
        <f>IFERROR((E14-D14)/(E42-D42),"")</f>
        <v/>
      </c>
      <c r="F49" s="35">
        <f>IFERROR((F14-E14)/(F42-E42),"")</f>
        <v/>
      </c>
      <c r="G49" s="35">
        <f>IFERROR((G14-F14)/(G42-F42),"")</f>
        <v/>
      </c>
      <c r="H49" s="35">
        <f>IFERROR((H14-G14)/(H42-G42),"")</f>
        <v/>
      </c>
      <c r="I49" s="35">
        <f>IFERROR((I14-H14)/(I42-H42),"")</f>
        <v/>
      </c>
      <c r="J49" s="35">
        <f>IFERROR((J14-I14)/(J42-I42),"")</f>
        <v/>
      </c>
      <c r="K49" s="35">
        <f>IFERROR((K14-J14)/(K42-J42),"")</f>
        <v/>
      </c>
      <c r="L49" s="35">
        <f>IFERROR((L14-K14)/(L42-K42),"")</f>
        <v/>
      </c>
      <c r="M49" s="35">
        <f>IFERROR((M14-L14)/(M42-L42),"")</f>
        <v/>
      </c>
      <c r="N49" s="35">
        <f>IFERROR((N14-M14)/(N42-M42),"")</f>
        <v/>
      </c>
      <c r="O49" s="35">
        <f>IFERROR((O14-N14)/(O42-N42),"")</f>
        <v/>
      </c>
      <c r="P49" s="35">
        <f>IFERROR((P14-O14)/(P42-O42),"")</f>
        <v/>
      </c>
    </row>
    <row r="50">
      <c r="A50" s="4" t="inlineStr">
        <is>
          <t xml:space="preserve">  Reinvestment rate (ΔInvested capital / NOPAT)</t>
        </is>
      </c>
      <c r="C50" s="27">
        <f>IFERROR((C42-B42)/C31,"")</f>
        <v/>
      </c>
      <c r="D50" s="27">
        <f>IFERROR((D42-C42)/D31,"")</f>
        <v/>
      </c>
      <c r="E50" s="27">
        <f>IFERROR((E42-D42)/E31,"")</f>
        <v/>
      </c>
      <c r="F50" s="27">
        <f>IFERROR((F42-E42)/F31,"")</f>
        <v/>
      </c>
      <c r="G50" s="27">
        <f>IFERROR((G42-F42)/G31,"")</f>
        <v/>
      </c>
      <c r="H50" s="27">
        <f>IFERROR((H42-G42)/H31,"")</f>
        <v/>
      </c>
      <c r="I50" s="27">
        <f>IFERROR((I42-H42)/I31,"")</f>
        <v/>
      </c>
      <c r="J50" s="27">
        <f>IFERROR((J42-I42)/J31,"")</f>
        <v/>
      </c>
      <c r="K50" s="27">
        <f>IFERROR((K42-J42)/K31,"")</f>
        <v/>
      </c>
      <c r="L50" s="27">
        <f>IFERROR((L42-K42)/L31,"")</f>
        <v/>
      </c>
      <c r="M50" s="27">
        <f>IFERROR((M42-L42)/M31,"")</f>
        <v/>
      </c>
      <c r="N50" s="27">
        <f>IFERROR((N42-M42)/N31,"")</f>
        <v/>
      </c>
      <c r="O50" s="27">
        <f>IFERROR((O42-N42)/O31,"")</f>
        <v/>
      </c>
      <c r="P50" s="27">
        <f>IFERROR((P42-O42)/P31,"")</f>
        <v/>
      </c>
    </row>
    <row r="52">
      <c r="A52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Q3 2019</t>
        </is>
      </c>
      <c r="C1" s="36" t="inlineStr">
        <is>
          <t>Q4 2019</t>
        </is>
      </c>
      <c r="D1" s="36" t="inlineStr">
        <is>
          <t>Q1 2020</t>
        </is>
      </c>
      <c r="E1" s="36" t="inlineStr">
        <is>
          <t>Q2 2020</t>
        </is>
      </c>
      <c r="F1" s="36" t="inlineStr">
        <is>
          <t>Q3 2020</t>
        </is>
      </c>
      <c r="G1" s="36" t="inlineStr">
        <is>
          <t>Q4 2020</t>
        </is>
      </c>
      <c r="H1" s="36" t="inlineStr">
        <is>
          <t>Q1 2021</t>
        </is>
      </c>
      <c r="I1" s="36" t="inlineStr">
        <is>
          <t>Q2 2021</t>
        </is>
      </c>
      <c r="J1" s="36" t="inlineStr">
        <is>
          <t>Q3 2021</t>
        </is>
      </c>
      <c r="K1" s="36" t="inlineStr">
        <is>
          <t>Q4 2021</t>
        </is>
      </c>
      <c r="L1" s="36" t="inlineStr">
        <is>
          <t>Q1 2022</t>
        </is>
      </c>
      <c r="M1" s="36" t="inlineStr">
        <is>
          <t>Q2 2022</t>
        </is>
      </c>
      <c r="N1" s="36" t="inlineStr">
        <is>
          <t>Q3 2022</t>
        </is>
      </c>
      <c r="O1" s="36" t="inlineStr">
        <is>
          <t>Q4 2022</t>
        </is>
      </c>
      <c r="P1" s="36" t="inlineStr">
        <is>
          <t>Q1 2023</t>
        </is>
      </c>
      <c r="Q1" s="36" t="inlineStr">
        <is>
          <t>Q2 2023</t>
        </is>
      </c>
      <c r="R1" s="36" t="inlineStr">
        <is>
          <t>Q3 2023</t>
        </is>
      </c>
      <c r="S1" s="36" t="inlineStr">
        <is>
          <t>Q4 2023</t>
        </is>
      </c>
      <c r="T1" s="36" t="inlineStr">
        <is>
          <t>Q1 2024</t>
        </is>
      </c>
      <c r="U1" s="36" t="inlineStr">
        <is>
          <t>Q2 2024</t>
        </is>
      </c>
      <c r="V1" s="36" t="inlineStr">
        <is>
          <t>Q3 2024</t>
        </is>
      </c>
      <c r="W1" s="36" t="inlineStr">
        <is>
          <t>Q4 2024</t>
        </is>
      </c>
      <c r="X1" s="36" t="inlineStr">
        <is>
          <t>Q1 2025</t>
        </is>
      </c>
      <c r="Y1" s="36" t="inlineStr">
        <is>
          <t>Q2 2025</t>
        </is>
      </c>
      <c r="Z1" s="36" t="inlineStr">
        <is>
          <t>Q3 2025</t>
        </is>
      </c>
      <c r="AA1" s="36" t="inlineStr">
        <is>
          <t>Q4 2025</t>
        </is>
      </c>
      <c r="AB1" s="36" t="inlineStr">
        <is>
          <t>Q1 2026</t>
        </is>
      </c>
      <c r="AC1" s="36" t="inlineStr">
        <is>
          <t>Q2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5840</v>
      </c>
      <c r="C3" s="18" t="n">
        <v>6137</v>
      </c>
      <c r="D3" s="18" t="n">
        <v>6054</v>
      </c>
      <c r="E3" s="18" t="n">
        <v>5854</v>
      </c>
      <c r="F3" s="18" t="n">
        <v>4837</v>
      </c>
      <c r="G3" s="18" t="n">
        <v>5101</v>
      </c>
      <c r="H3" s="18" t="n">
        <v>5687</v>
      </c>
      <c r="I3" s="18" t="n">
        <v>5729</v>
      </c>
      <c r="J3" s="18" t="n">
        <v>6130</v>
      </c>
      <c r="K3" s="18" t="n">
        <v>6559</v>
      </c>
      <c r="L3" s="18" t="n">
        <v>7059</v>
      </c>
      <c r="M3" s="18" t="n">
        <v>7189</v>
      </c>
      <c r="N3" s="18" t="n">
        <v>7275</v>
      </c>
      <c r="O3" s="18" t="n">
        <v>7787</v>
      </c>
      <c r="P3" s="18" t="n">
        <v>7936</v>
      </c>
      <c r="Q3" s="18" t="n">
        <v>7985</v>
      </c>
      <c r="R3" s="18" t="n">
        <v>8123</v>
      </c>
      <c r="S3" s="18" t="n">
        <v>8609</v>
      </c>
      <c r="T3" s="18" t="n">
        <v>8634</v>
      </c>
      <c r="U3" s="18" t="n">
        <v>8775</v>
      </c>
      <c r="V3" s="18" t="n">
        <v>8900</v>
      </c>
      <c r="W3" s="18" t="n">
        <v>9617</v>
      </c>
      <c r="X3" s="18" t="n">
        <v>9510</v>
      </c>
      <c r="Y3" s="18" t="n">
        <v>9594</v>
      </c>
      <c r="Z3" s="18" t="n">
        <v>10172</v>
      </c>
      <c r="AA3" s="18" t="n">
        <v>10724</v>
      </c>
      <c r="AB3" s="18" t="n">
        <v>10901</v>
      </c>
      <c r="AC3" s="18" t="n">
        <v>11230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1056</v>
      </c>
      <c r="C5" s="18" t="n">
        <v>1064</v>
      </c>
      <c r="D5" s="18" t="n">
        <v>1163</v>
      </c>
      <c r="E5" s="18" t="n">
        <v>1123</v>
      </c>
      <c r="F5" s="18" t="n">
        <v>1113</v>
      </c>
      <c r="G5" s="18" t="n">
        <v>1113</v>
      </c>
      <c r="H5" s="18" t="n">
        <v>1154</v>
      </c>
      <c r="I5" s="18" t="n">
        <v>1293</v>
      </c>
      <c r="J5" s="18" t="n">
        <v>1284</v>
      </c>
      <c r="K5" s="18" t="n">
        <v>1239</v>
      </c>
      <c r="L5" s="18" t="n">
        <v>1315</v>
      </c>
      <c r="M5" s="18" t="n">
        <v>1416</v>
      </c>
      <c r="N5" s="18" t="n">
        <v>1461</v>
      </c>
      <c r="O5" s="18" t="n">
        <v>1541</v>
      </c>
      <c r="P5" s="18" t="n">
        <v>1515</v>
      </c>
      <c r="Q5" s="18" t="n">
        <v>1694</v>
      </c>
      <c r="R5" s="18" t="n">
        <v>1663</v>
      </c>
      <c r="S5" s="18" t="n">
        <v>1695</v>
      </c>
      <c r="T5" s="18" t="n">
        <v>1660</v>
      </c>
      <c r="U5" s="18" t="n">
        <v>1792</v>
      </c>
      <c r="V5" s="18" t="n">
        <v>1773</v>
      </c>
      <c r="W5" s="18" t="n">
        <v>1817</v>
      </c>
      <c r="X5" s="18" t="n">
        <v>2020</v>
      </c>
      <c r="Y5" s="18" t="n">
        <v>1881</v>
      </c>
      <c r="Z5" s="18" t="n">
        <v>1973</v>
      </c>
      <c r="AA5" s="18" t="n">
        <v>1981</v>
      </c>
      <c r="AB5" s="18" t="n">
        <v>1997</v>
      </c>
      <c r="AC5" s="18" t="n">
        <v>2101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710</v>
      </c>
      <c r="C9" s="18" t="n">
        <v>796</v>
      </c>
      <c r="D9" s="18" t="n">
        <v>693</v>
      </c>
      <c r="E9" s="18" t="n">
        <v>607</v>
      </c>
      <c r="F9" s="18" t="n">
        <v>527</v>
      </c>
      <c r="G9" s="18" t="n">
        <v>648</v>
      </c>
      <c r="H9" s="18" t="n">
        <v>491</v>
      </c>
      <c r="I9" s="18" t="n">
        <v>651</v>
      </c>
      <c r="J9" s="18" t="n">
        <v>580</v>
      </c>
      <c r="K9" s="18" t="n">
        <v>802</v>
      </c>
      <c r="L9" s="18" t="n">
        <v>622</v>
      </c>
      <c r="M9" s="18" t="n">
        <v>764</v>
      </c>
      <c r="N9" s="18" t="n">
        <v>719</v>
      </c>
      <c r="O9" s="18" t="n">
        <v>930</v>
      </c>
      <c r="P9" s="18" t="n">
        <v>763</v>
      </c>
      <c r="Q9" s="18" t="n">
        <v>721</v>
      </c>
      <c r="R9" s="18" t="n">
        <v>744</v>
      </c>
      <c r="S9" s="18" t="n">
        <v>988</v>
      </c>
      <c r="T9" s="18" t="n">
        <v>764</v>
      </c>
      <c r="U9" s="18" t="n">
        <v>950</v>
      </c>
      <c r="V9" s="18" t="n">
        <v>912</v>
      </c>
      <c r="W9" s="18" t="n">
        <v>1167</v>
      </c>
      <c r="X9" s="18" t="n">
        <v>930</v>
      </c>
      <c r="Y9" s="18" t="n">
        <v>973</v>
      </c>
      <c r="Z9" s="18" t="n">
        <v>1090</v>
      </c>
      <c r="AA9" s="18" t="n">
        <v>1376</v>
      </c>
      <c r="AB9" s="18" t="n">
        <v>1133</v>
      </c>
      <c r="AC9" s="18" t="n">
        <v>1233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4784</v>
      </c>
      <c r="C11" s="18" t="n">
        <v>5073</v>
      </c>
      <c r="D11" s="18" t="n">
        <v>4891</v>
      </c>
      <c r="E11" s="18" t="n">
        <v>4731</v>
      </c>
      <c r="F11" s="18" t="n">
        <v>3724</v>
      </c>
      <c r="G11" s="18" t="n">
        <v>3988</v>
      </c>
      <c r="H11" s="18" t="n">
        <v>4533</v>
      </c>
      <c r="I11" s="18" t="n">
        <v>4436</v>
      </c>
      <c r="J11" s="18" t="n">
        <v>4846</v>
      </c>
      <c r="K11" s="18" t="n">
        <v>5320</v>
      </c>
      <c r="L11" s="18" t="n">
        <v>5744</v>
      </c>
      <c r="M11" s="18" t="n">
        <v>5773</v>
      </c>
      <c r="N11" s="18" t="n">
        <v>5814</v>
      </c>
      <c r="O11" s="18" t="n">
        <v>6246</v>
      </c>
      <c r="P11" s="18" t="n">
        <v>6421</v>
      </c>
      <c r="Q11" s="18" t="n">
        <v>6291</v>
      </c>
      <c r="R11" s="18" t="n">
        <v>6460</v>
      </c>
      <c r="S11" s="18" t="n">
        <v>6914</v>
      </c>
      <c r="T11" s="18" t="n">
        <v>6974</v>
      </c>
      <c r="U11" s="18" t="n">
        <v>6983</v>
      </c>
      <c r="V11" s="18" t="n">
        <v>7127</v>
      </c>
      <c r="W11" s="18" t="n">
        <v>7800</v>
      </c>
      <c r="X11" s="18" t="n">
        <v>7490</v>
      </c>
      <c r="Y11" s="18" t="n">
        <v>7713</v>
      </c>
      <c r="Z11" s="18" t="n">
        <v>8199</v>
      </c>
      <c r="AA11" s="18" t="n">
        <v>8743</v>
      </c>
      <c r="AB11" s="18" t="n">
        <v>8904</v>
      </c>
      <c r="AC11" s="18" t="n">
        <v>9129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3908</v>
      </c>
      <c r="C13" s="18" t="n">
        <v>3735</v>
      </c>
      <c r="D13" s="18" t="n">
        <v>4016</v>
      </c>
      <c r="E13" s="18" t="n">
        <v>3924</v>
      </c>
      <c r="F13" s="18" t="n">
        <v>2999</v>
      </c>
      <c r="G13" s="18" t="n">
        <v>3142</v>
      </c>
      <c r="H13" s="18" t="n">
        <v>3844</v>
      </c>
      <c r="I13" s="18" t="n">
        <v>3581</v>
      </c>
      <c r="J13" s="18" t="n">
        <v>4064</v>
      </c>
      <c r="K13" s="18" t="n">
        <v>4315</v>
      </c>
      <c r="L13" s="18" t="n">
        <v>4776</v>
      </c>
      <c r="M13" s="18" t="n">
        <v>4802</v>
      </c>
      <c r="N13" s="18" t="n">
        <v>4148</v>
      </c>
      <c r="O13" s="18" t="n">
        <v>5087</v>
      </c>
      <c r="P13" s="18" t="n">
        <v>5090</v>
      </c>
      <c r="Q13" s="18" t="n">
        <v>5336</v>
      </c>
      <c r="R13" s="18" t="n">
        <v>5024</v>
      </c>
      <c r="S13" s="18" t="n">
        <v>5550</v>
      </c>
      <c r="T13" s="18" t="n">
        <v>5954</v>
      </c>
      <c r="U13" s="18" t="n">
        <v>5354</v>
      </c>
      <c r="V13" s="18" t="n">
        <v>5938</v>
      </c>
      <c r="W13" s="18" t="n">
        <v>6349</v>
      </c>
      <c r="X13" s="18" t="n">
        <v>6234</v>
      </c>
      <c r="Y13" s="18" t="n">
        <v>5435</v>
      </c>
      <c r="Z13" s="18" t="n">
        <v>6177</v>
      </c>
      <c r="AA13" s="18" t="n">
        <v>6148</v>
      </c>
      <c r="AB13" s="18" t="n">
        <v>6737</v>
      </c>
      <c r="AC13" s="18" t="n">
        <v>7234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3101</v>
      </c>
      <c r="C15" s="18" t="n">
        <v>3025</v>
      </c>
      <c r="D15" s="18" t="n">
        <v>3272</v>
      </c>
      <c r="E15" s="18" t="n">
        <v>3084</v>
      </c>
      <c r="F15" s="18" t="n">
        <v>2373</v>
      </c>
      <c r="G15" s="18" t="n">
        <v>2137</v>
      </c>
      <c r="H15" s="18" t="n">
        <v>3126</v>
      </c>
      <c r="I15" s="18" t="n">
        <v>3026</v>
      </c>
      <c r="J15" s="18" t="n">
        <v>2575</v>
      </c>
      <c r="K15" s="18" t="n">
        <v>3584</v>
      </c>
      <c r="L15" s="18" t="n">
        <v>3959</v>
      </c>
      <c r="M15" s="18" t="n">
        <v>3647</v>
      </c>
      <c r="N15" s="18" t="n">
        <v>3411</v>
      </c>
      <c r="O15" s="18" t="n">
        <v>3940</v>
      </c>
      <c r="P15" s="18" t="n">
        <v>4179</v>
      </c>
      <c r="Q15" s="18" t="n">
        <v>4257</v>
      </c>
      <c r="R15" s="18" t="n">
        <v>4156</v>
      </c>
      <c r="S15" s="18" t="n">
        <v>4681</v>
      </c>
      <c r="T15" s="18" t="n">
        <v>4890</v>
      </c>
      <c r="U15" s="18" t="n">
        <v>4663</v>
      </c>
      <c r="V15" s="18" t="n">
        <v>4872</v>
      </c>
      <c r="W15" s="18" t="n">
        <v>5318</v>
      </c>
      <c r="X15" s="18" t="n">
        <v>5119</v>
      </c>
      <c r="Y15" s="18" t="n">
        <v>4577</v>
      </c>
      <c r="Z15" s="18" t="n">
        <v>5272</v>
      </c>
      <c r="AA15" s="18" t="n">
        <v>5090</v>
      </c>
      <c r="AB15" s="18" t="n">
        <v>5853</v>
      </c>
      <c r="AC15" s="18" t="n">
        <v>6021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2265</v>
      </c>
      <c r="C17" s="18" t="n">
        <v>2253</v>
      </c>
      <c r="D17" s="18" t="n">
        <v>2240</v>
      </c>
      <c r="E17" s="18" t="n">
        <v>2228</v>
      </c>
      <c r="F17" s="18" t="n">
        <v>2214</v>
      </c>
      <c r="G17" s="18" t="n">
        <v>2208</v>
      </c>
      <c r="H17" s="18" t="n">
        <v>2200</v>
      </c>
      <c r="I17" s="18" t="n">
        <v>2193</v>
      </c>
      <c r="J17" s="18" t="n">
        <v>2184</v>
      </c>
      <c r="K17" s="18" t="n">
        <v>2175</v>
      </c>
      <c r="L17" s="18" t="n">
        <v>2159</v>
      </c>
      <c r="M17" s="18" t="n">
        <v>2142</v>
      </c>
      <c r="N17" s="18" t="n">
        <v>2129</v>
      </c>
      <c r="O17" s="18" t="n">
        <v>2116</v>
      </c>
      <c r="P17" s="18" t="n">
        <v>2102</v>
      </c>
      <c r="Q17" s="18" t="n">
        <v>2093</v>
      </c>
      <c r="R17" s="18" t="n">
        <v>2080</v>
      </c>
      <c r="S17" s="18" t="n">
        <v>2065</v>
      </c>
      <c r="T17" s="18" t="n">
        <v>2045</v>
      </c>
      <c r="U17" s="18" t="n">
        <v>2039</v>
      </c>
      <c r="V17" s="18" t="n">
        <v>2029</v>
      </c>
      <c r="W17" s="18" t="n">
        <v>2003</v>
      </c>
      <c r="X17" s="18" t="n">
        <v>1985</v>
      </c>
      <c r="Y17" s="18" t="n">
        <v>1974</v>
      </c>
      <c r="Z17" s="18" t="n">
        <v>1959</v>
      </c>
      <c r="AA17" s="18" t="n">
        <v>1945</v>
      </c>
      <c r="AB17" s="18" t="n">
        <v>1933</v>
      </c>
      <c r="AC17" s="18" t="n">
        <v>1933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Data Processing Revenues</t>
        </is>
      </c>
      <c r="B19" s="18" t="n">
        <v>2662</v>
      </c>
      <c r="C19" s="18" t="n">
        <v>2769</v>
      </c>
      <c r="D19" s="18" t="n">
        <v>2864</v>
      </c>
      <c r="E19" s="18" t="n">
        <v>2711</v>
      </c>
      <c r="F19" s="18" t="n">
        <v>2525</v>
      </c>
      <c r="G19" s="18" t="n">
        <v>2875</v>
      </c>
      <c r="H19" s="18" t="n">
        <v>3033</v>
      </c>
      <c r="I19" s="18" t="n">
        <v>2996</v>
      </c>
      <c r="J19" s="18" t="n">
        <v>3327</v>
      </c>
      <c r="K19" s="18" t="n">
        <v>3436</v>
      </c>
      <c r="L19" s="18" t="n">
        <v>3614</v>
      </c>
      <c r="M19" s="18" t="n">
        <v>3480</v>
      </c>
      <c r="N19" s="18" t="n">
        <v>3579</v>
      </c>
      <c r="O19" s="18" t="n">
        <v>3765</v>
      </c>
      <c r="P19" s="18" t="n">
        <v>3827</v>
      </c>
      <c r="Q19" s="18" t="n">
        <v>3819</v>
      </c>
      <c r="R19" s="18" t="n">
        <v>4105</v>
      </c>
      <c r="S19" s="18" t="n">
        <v>4256</v>
      </c>
      <c r="T19" s="18" t="n">
        <v>4356</v>
      </c>
      <c r="U19" s="18" t="n">
        <v>4259</v>
      </c>
      <c r="V19" s="18" t="n">
        <v>4489</v>
      </c>
      <c r="W19" s="18" t="n">
        <v>4610</v>
      </c>
      <c r="X19" s="18" t="n">
        <v>4745</v>
      </c>
      <c r="Y19" s="18" t="n">
        <v>4701</v>
      </c>
      <c r="Z19" s="18" t="n">
        <v>5153</v>
      </c>
      <c r="AA19" s="18" t="n">
        <v>5394</v>
      </c>
      <c r="AB19" s="18" t="n">
        <v>5544</v>
      </c>
      <c r="AC19" s="18" t="n">
        <v>5543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Service</t>
        </is>
      </c>
      <c r="B22" s="18" t="n">
        <v>2405</v>
      </c>
      <c r="C22" s="18" t="n">
        <v>2536</v>
      </c>
      <c r="D22" s="18" t="n">
        <v>2555</v>
      </c>
      <c r="E22" s="18" t="n">
        <v>2623</v>
      </c>
      <c r="F22" s="18" t="n">
        <v>2409</v>
      </c>
      <c r="G22" s="18" t="n">
        <v>2217</v>
      </c>
      <c r="H22" s="18" t="n">
        <v>2677</v>
      </c>
      <c r="I22" s="18" t="n">
        <v>2845</v>
      </c>
      <c r="J22" s="18" t="n">
        <v>2828</v>
      </c>
      <c r="K22" s="18" t="n">
        <v>3125</v>
      </c>
      <c r="L22" s="18" t="n">
        <v>3193</v>
      </c>
      <c r="M22" s="18" t="n">
        <v>3521</v>
      </c>
      <c r="N22" s="18" t="n">
        <v>3189</v>
      </c>
      <c r="O22" s="18" t="n">
        <v>3458</v>
      </c>
      <c r="P22" s="18" t="n">
        <v>3511</v>
      </c>
      <c r="Q22" s="18" t="n">
        <v>3771</v>
      </c>
      <c r="R22" s="18" t="n">
        <v>3668</v>
      </c>
      <c r="S22" s="18" t="n">
        <v>3876</v>
      </c>
      <c r="T22" s="18" t="n">
        <v>3915</v>
      </c>
      <c r="U22" s="18" t="n">
        <v>4033</v>
      </c>
      <c r="V22" s="18" t="n">
        <v>3967</v>
      </c>
      <c r="W22" s="18" t="n">
        <v>4199</v>
      </c>
      <c r="X22" s="18" t="n">
        <v>4208</v>
      </c>
      <c r="Y22" s="18" t="n">
        <v>4399</v>
      </c>
      <c r="Z22" s="18" t="n">
        <v>4330</v>
      </c>
      <c r="AA22" s="18" t="n">
        <v>4602</v>
      </c>
      <c r="AB22" s="18" t="n">
        <v>4760</v>
      </c>
      <c r="AC22" s="18" t="n">
        <v>4981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4" t="inlineStr">
        <is>
          <t>International Transaction Revenues</t>
        </is>
      </c>
      <c r="B25" s="18" t="n">
        <v>1977</v>
      </c>
      <c r="C25" s="18" t="n">
        <v>2180</v>
      </c>
      <c r="D25" s="18" t="n">
        <v>2018</v>
      </c>
      <c r="E25" s="18" t="n">
        <v>1833</v>
      </c>
      <c r="F25" s="18" t="n">
        <v>1102</v>
      </c>
      <c r="G25" s="18" t="n">
        <v>1346</v>
      </c>
      <c r="H25" s="18" t="n">
        <v>1451</v>
      </c>
      <c r="I25" s="18" t="n">
        <v>1488</v>
      </c>
      <c r="J25" s="18" t="n">
        <v>1696</v>
      </c>
      <c r="K25" s="18" t="n">
        <v>1895</v>
      </c>
      <c r="L25" s="18" t="n">
        <v>2174</v>
      </c>
      <c r="M25" s="18" t="n">
        <v>2208</v>
      </c>
      <c r="N25" s="18" t="n">
        <v>2560</v>
      </c>
      <c r="O25" s="18" t="n">
        <v>2873</v>
      </c>
      <c r="P25" s="18" t="n">
        <v>2797</v>
      </c>
      <c r="Q25" s="18" t="n">
        <v>2749</v>
      </c>
      <c r="R25" s="18" t="n">
        <v>2920</v>
      </c>
      <c r="S25" s="18" t="n">
        <v>3172</v>
      </c>
      <c r="T25" s="18" t="n">
        <v>3019</v>
      </c>
      <c r="U25" s="18" t="n">
        <v>2984</v>
      </c>
      <c r="V25" s="18" t="n">
        <v>3194</v>
      </c>
      <c r="W25" s="18" t="n">
        <v>3468</v>
      </c>
      <c r="X25" s="18" t="n">
        <v>3442</v>
      </c>
      <c r="Y25" s="18" t="n">
        <v>3291</v>
      </c>
      <c r="Z25" s="18" t="n">
        <v>3633</v>
      </c>
      <c r="AA25" s="18" t="n">
        <v>3800</v>
      </c>
      <c r="AB25" s="18" t="n">
        <v>3652</v>
      </c>
      <c r="AC25" s="18" t="n">
        <v>3631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  <c r="Y26" s="27">
        <f>IFERROR(Y25/U25-1,"")</f>
        <v/>
      </c>
      <c r="Z26" s="27">
        <f>IFERROR(Z25/V25-1,"")</f>
        <v/>
      </c>
      <c r="AA26" s="27">
        <f>IFERROR(AA25/W25-1,"")</f>
        <v/>
      </c>
      <c r="AB26" s="27">
        <f>IFERROR(AB25/X25-1,"")</f>
        <v/>
      </c>
      <c r="AC26" s="27">
        <f>IFERROR(AC25/Y25-1,"")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  <c r="Y27" s="27">
        <f>IFERROR(Y25/Y3,"")</f>
        <v/>
      </c>
      <c r="Z27" s="27">
        <f>IFERROR(Z25/Z3,"")</f>
        <v/>
      </c>
      <c r="AA27" s="27">
        <f>IFERROR(AA25/AA3,"")</f>
        <v/>
      </c>
      <c r="AB27" s="27">
        <f>IFERROR(AB25/AB3,"")</f>
        <v/>
      </c>
      <c r="AC27" s="27">
        <f>IFERROR(AC25/AC3,"")</f>
        <v/>
      </c>
    </row>
    <row r="28">
      <c r="A28" s="4" t="inlineStr">
        <is>
          <t>Service, Other</t>
        </is>
      </c>
      <c r="B28" s="18" t="n">
        <v>342</v>
      </c>
      <c r="C28" s="18" t="n">
        <v>345</v>
      </c>
      <c r="D28" s="18" t="n">
        <v>365</v>
      </c>
      <c r="E28" s="18" t="n">
        <v>392</v>
      </c>
      <c r="F28" s="18" t="n">
        <v>314</v>
      </c>
      <c r="G28" s="18" t="n">
        <v>361</v>
      </c>
      <c r="H28" s="18" t="n">
        <v>384</v>
      </c>
      <c r="I28" s="18" t="n">
        <v>392</v>
      </c>
      <c r="J28" s="18" t="n">
        <v>409</v>
      </c>
      <c r="K28" s="18" t="n">
        <v>490</v>
      </c>
      <c r="L28" s="18" t="n">
        <v>449</v>
      </c>
      <c r="M28" s="18" t="n">
        <v>474</v>
      </c>
      <c r="N28" s="18" t="n">
        <v>517</v>
      </c>
      <c r="O28" s="18" t="n">
        <v>551</v>
      </c>
      <c r="P28" s="18" t="n">
        <v>587</v>
      </c>
      <c r="Q28" s="18" t="n">
        <v>551</v>
      </c>
      <c r="R28" s="18" t="n">
        <v>597</v>
      </c>
      <c r="S28" s="18" t="n">
        <v>744</v>
      </c>
      <c r="T28" s="18" t="n">
        <v>692</v>
      </c>
      <c r="U28" s="18" t="n">
        <v>756</v>
      </c>
      <c r="V28" s="18" t="n">
        <v>780</v>
      </c>
      <c r="W28" s="18" t="n">
        <v>969</v>
      </c>
      <c r="X28" s="18" t="n">
        <v>912</v>
      </c>
      <c r="Y28" s="18" t="n">
        <v>937</v>
      </c>
      <c r="Z28" s="18" t="n">
        <v>1028</v>
      </c>
      <c r="AA28" s="18" t="n">
        <v>1176</v>
      </c>
      <c r="AB28" s="18" t="n">
        <v>1214</v>
      </c>
      <c r="AC28" s="18" t="n">
        <v>1320</v>
      </c>
    </row>
    <row r="29">
      <c r="A29" s="4" t="inlineStr">
        <is>
          <t xml:space="preserve">    % YoY</t>
        </is>
      </c>
      <c r="F29" s="27">
        <f>IFERROR(F28/B28-1,"")</f>
        <v/>
      </c>
      <c r="G29" s="27">
        <f>IFERROR(G28/C28-1,"")</f>
        <v/>
      </c>
      <c r="H29" s="27">
        <f>IFERROR(H28/D28-1,"")</f>
        <v/>
      </c>
      <c r="I29" s="27">
        <f>IFERROR(I28/E28-1,"")</f>
        <v/>
      </c>
      <c r="J29" s="27">
        <f>IFERROR(J28/F28-1,"")</f>
        <v/>
      </c>
      <c r="K29" s="27">
        <f>IFERROR(K28/G28-1,"")</f>
        <v/>
      </c>
      <c r="L29" s="27">
        <f>IFERROR(L28/H28-1,"")</f>
        <v/>
      </c>
      <c r="M29" s="27">
        <f>IFERROR(M28/I28-1,"")</f>
        <v/>
      </c>
      <c r="N29" s="27">
        <f>IFERROR(N28/J28-1,"")</f>
        <v/>
      </c>
      <c r="O29" s="27">
        <f>IFERROR(O28/K28-1,"")</f>
        <v/>
      </c>
      <c r="P29" s="27">
        <f>IFERROR(P28/L28-1,"")</f>
        <v/>
      </c>
      <c r="Q29" s="27">
        <f>IFERROR(Q28/M28-1,"")</f>
        <v/>
      </c>
      <c r="R29" s="27">
        <f>IFERROR(R28/N28-1,"")</f>
        <v/>
      </c>
      <c r="S29" s="27">
        <f>IFERROR(S28/O28-1,"")</f>
        <v/>
      </c>
      <c r="T29" s="27">
        <f>IFERROR(T28/P28-1,"")</f>
        <v/>
      </c>
      <c r="U29" s="27">
        <f>IFERROR(U28/Q28-1,"")</f>
        <v/>
      </c>
      <c r="V29" s="27">
        <f>IFERROR(V28/R28-1,"")</f>
        <v/>
      </c>
      <c r="W29" s="27">
        <f>IFERROR(W28/S28-1,"")</f>
        <v/>
      </c>
      <c r="X29" s="27">
        <f>IFERROR(X28/T28-1,"")</f>
        <v/>
      </c>
      <c r="Y29" s="27">
        <f>IFERROR(Y28/U28-1,"")</f>
        <v/>
      </c>
      <c r="Z29" s="27">
        <f>IFERROR(Z28/V28-1,"")</f>
        <v/>
      </c>
      <c r="AA29" s="27">
        <f>IFERROR(AA28/W28-1,"")</f>
        <v/>
      </c>
      <c r="AB29" s="27">
        <f>IFERROR(AB28/X28-1,"")</f>
        <v/>
      </c>
      <c r="AC29" s="27">
        <f>IFERROR(AC28/Y28-1,"")</f>
        <v/>
      </c>
    </row>
    <row r="30">
      <c r="A30" s="4" t="inlineStr">
        <is>
          <t xml:space="preserve">    % of revenue</t>
        </is>
      </c>
      <c r="B30" s="27">
        <f>IFERROR(B28/B3,"")</f>
        <v/>
      </c>
      <c r="C30" s="27">
        <f>IFERROR(C28/C3,"")</f>
        <v/>
      </c>
      <c r="D30" s="27">
        <f>IFERROR(D28/D3,"")</f>
        <v/>
      </c>
      <c r="E30" s="27">
        <f>IFERROR(E28/E3,"")</f>
        <v/>
      </c>
      <c r="F30" s="27">
        <f>IFERROR(F28/F3,"")</f>
        <v/>
      </c>
      <c r="G30" s="27">
        <f>IFERROR(G28/G3,"")</f>
        <v/>
      </c>
      <c r="H30" s="27">
        <f>IFERROR(H28/H3,"")</f>
        <v/>
      </c>
      <c r="I30" s="27">
        <f>IFERROR(I28/I3,"")</f>
        <v/>
      </c>
      <c r="J30" s="27">
        <f>IFERROR(J28/J3,"")</f>
        <v/>
      </c>
      <c r="K30" s="27">
        <f>IFERROR(K28/K3,"")</f>
        <v/>
      </c>
      <c r="L30" s="27">
        <f>IFERROR(L28/L3,"")</f>
        <v/>
      </c>
      <c r="M30" s="27">
        <f>IFERROR(M28/M3,"")</f>
        <v/>
      </c>
      <c r="N30" s="27">
        <f>IFERROR(N28/N3,"")</f>
        <v/>
      </c>
      <c r="O30" s="27">
        <f>IFERROR(O28/O3,"")</f>
        <v/>
      </c>
      <c r="P30" s="27">
        <f>IFERROR(P28/P3,"")</f>
        <v/>
      </c>
      <c r="Q30" s="27">
        <f>IFERROR(Q28/Q3,"")</f>
        <v/>
      </c>
      <c r="R30" s="27">
        <f>IFERROR(R28/R3,"")</f>
        <v/>
      </c>
      <c r="S30" s="27">
        <f>IFERROR(S28/S3,"")</f>
        <v/>
      </c>
      <c r="T30" s="27">
        <f>IFERROR(T28/T3,"")</f>
        <v/>
      </c>
      <c r="U30" s="27">
        <f>IFERROR(U28/U3,"")</f>
        <v/>
      </c>
      <c r="V30" s="27">
        <f>IFERROR(V28/V3,"")</f>
        <v/>
      </c>
      <c r="W30" s="27">
        <f>IFERROR(W28/W3,"")</f>
        <v/>
      </c>
      <c r="X30" s="27">
        <f>IFERROR(X28/X3,"")</f>
        <v/>
      </c>
      <c r="Y30" s="27">
        <f>IFERROR(Y28/Y3,"")</f>
        <v/>
      </c>
      <c r="Z30" s="27">
        <f>IFERROR(Z28/Z3,"")</f>
        <v/>
      </c>
      <c r="AA30" s="27">
        <f>IFERROR(AA28/AA3,"")</f>
        <v/>
      </c>
      <c r="AB30" s="27">
        <f>IFERROR(AB28/AB3,"")</f>
        <v/>
      </c>
      <c r="AC30" s="27">
        <f>IFERROR(AC28/AC3,"")</f>
        <v/>
      </c>
    </row>
    <row r="31">
      <c r="A31" s="4" t="inlineStr">
        <is>
          <t>Client Incentives</t>
        </is>
      </c>
      <c r="B31" s="18" t="n">
        <v>-1546</v>
      </c>
      <c r="C31" s="18" t="n">
        <v>-1693</v>
      </c>
      <c r="D31" s="18" t="n">
        <v>-1748</v>
      </c>
      <c r="E31" s="18" t="n">
        <v>-1705</v>
      </c>
      <c r="F31" s="18" t="n">
        <v>-1513</v>
      </c>
      <c r="G31" s="18" t="n">
        <v>-1698</v>
      </c>
      <c r="H31" s="18" t="n">
        <v>-1858</v>
      </c>
      <c r="I31" s="18" t="n">
        <v>-1992</v>
      </c>
      <c r="J31" s="18" t="n">
        <v>-2130</v>
      </c>
      <c r="K31" s="18" t="n">
        <v>-2387</v>
      </c>
      <c r="L31" s="18" t="n">
        <v>-2371</v>
      </c>
      <c r="M31" s="18" t="n">
        <v>-2494</v>
      </c>
      <c r="N31" s="18" t="n">
        <v>-2570</v>
      </c>
      <c r="O31" s="18" t="n">
        <v>-2860</v>
      </c>
      <c r="P31" s="18" t="n">
        <v>-2786</v>
      </c>
      <c r="Q31" s="18" t="n">
        <v>-2905</v>
      </c>
      <c r="R31" s="18" t="n">
        <v>-3167</v>
      </c>
      <c r="S31" s="18" t="n">
        <v>-3439</v>
      </c>
      <c r="T31" s="18" t="n">
        <v>-3348</v>
      </c>
      <c r="U31" s="18" t="n">
        <v>-3257</v>
      </c>
      <c r="V31" s="18" t="n">
        <v>-3530</v>
      </c>
      <c r="W31" s="18" t="n">
        <v>-3629</v>
      </c>
      <c r="X31" s="18" t="n">
        <v>-3797</v>
      </c>
      <c r="Y31" s="18" t="n">
        <v>-3734</v>
      </c>
      <c r="Z31" s="18" t="n">
        <v>-3972</v>
      </c>
      <c r="AA31" s="18" t="n">
        <v>-4248</v>
      </c>
      <c r="AB31" s="18" t="n">
        <v>-4269</v>
      </c>
      <c r="AC31" s="18" t="n">
        <v>-4245</v>
      </c>
    </row>
    <row r="32">
      <c r="A32" s="4" t="inlineStr">
        <is>
          <t xml:space="preserve">    % YoY</t>
        </is>
      </c>
      <c r="F32" s="27">
        <f>IFERROR(F31/B31-1,"")</f>
        <v/>
      </c>
      <c r="G32" s="27">
        <f>IFERROR(G31/C31-1,"")</f>
        <v/>
      </c>
      <c r="H32" s="27">
        <f>IFERROR(H31/D31-1,"")</f>
        <v/>
      </c>
      <c r="I32" s="27">
        <f>IFERROR(I31/E31-1,"")</f>
        <v/>
      </c>
      <c r="J32" s="27">
        <f>IFERROR(J31/F31-1,"")</f>
        <v/>
      </c>
      <c r="K32" s="27">
        <f>IFERROR(K31/G31-1,"")</f>
        <v/>
      </c>
      <c r="L32" s="27">
        <f>IFERROR(L31/H31-1,"")</f>
        <v/>
      </c>
      <c r="M32" s="27">
        <f>IFERROR(M31/I31-1,"")</f>
        <v/>
      </c>
      <c r="N32" s="27">
        <f>IFERROR(N31/J31-1,"")</f>
        <v/>
      </c>
      <c r="O32" s="27">
        <f>IFERROR(O31/K31-1,"")</f>
        <v/>
      </c>
      <c r="P32" s="27">
        <f>IFERROR(P31/L31-1,"")</f>
        <v/>
      </c>
      <c r="Q32" s="27">
        <f>IFERROR(Q31/M31-1,"")</f>
        <v/>
      </c>
      <c r="R32" s="27">
        <f>IFERROR(R31/N31-1,"")</f>
        <v/>
      </c>
      <c r="S32" s="27">
        <f>IFERROR(S31/O31-1,"")</f>
        <v/>
      </c>
      <c r="T32" s="27">
        <f>IFERROR(T31/P31-1,"")</f>
        <v/>
      </c>
      <c r="U32" s="27">
        <f>IFERROR(U31/Q31-1,"")</f>
        <v/>
      </c>
      <c r="V32" s="27">
        <f>IFERROR(V31/R31-1,"")</f>
        <v/>
      </c>
      <c r="W32" s="27">
        <f>IFERROR(W31/S31-1,"")</f>
        <v/>
      </c>
      <c r="X32" s="27">
        <f>IFERROR(X31/T31-1,"")</f>
        <v/>
      </c>
      <c r="Y32" s="27">
        <f>IFERROR(Y31/U31-1,"")</f>
        <v/>
      </c>
      <c r="Z32" s="27">
        <f>IFERROR(Z31/V31-1,"")</f>
        <v/>
      </c>
      <c r="AA32" s="27">
        <f>IFERROR(AA31/W31-1,"")</f>
        <v/>
      </c>
      <c r="AB32" s="27">
        <f>IFERROR(AB31/X31-1,"")</f>
        <v/>
      </c>
      <c r="AC32" s="27">
        <f>IFERROR(AC31/Y31-1,"")</f>
        <v/>
      </c>
    </row>
    <row r="33">
      <c r="A33" s="4" t="inlineStr">
        <is>
          <t xml:space="preserve">    % of revenue</t>
        </is>
      </c>
      <c r="B33" s="27">
        <f>IFERROR(B31/B3,"")</f>
        <v/>
      </c>
      <c r="C33" s="27">
        <f>IFERROR(C31/C3,"")</f>
        <v/>
      </c>
      <c r="D33" s="27">
        <f>IFERROR(D31/D3,"")</f>
        <v/>
      </c>
      <c r="E33" s="27">
        <f>IFERROR(E31/E3,"")</f>
        <v/>
      </c>
      <c r="F33" s="27">
        <f>IFERROR(F31/F3,"")</f>
        <v/>
      </c>
      <c r="G33" s="27">
        <f>IFERROR(G31/G3,"")</f>
        <v/>
      </c>
      <c r="H33" s="27">
        <f>IFERROR(H31/H3,"")</f>
        <v/>
      </c>
      <c r="I33" s="27">
        <f>IFERROR(I31/I3,"")</f>
        <v/>
      </c>
      <c r="J33" s="27">
        <f>IFERROR(J31/J3,"")</f>
        <v/>
      </c>
      <c r="K33" s="27">
        <f>IFERROR(K31/K3,"")</f>
        <v/>
      </c>
      <c r="L33" s="27">
        <f>IFERROR(L31/L3,"")</f>
        <v/>
      </c>
      <c r="M33" s="27">
        <f>IFERROR(M31/M3,"")</f>
        <v/>
      </c>
      <c r="N33" s="27">
        <f>IFERROR(N31/N3,"")</f>
        <v/>
      </c>
      <c r="O33" s="27">
        <f>IFERROR(O31/O3,"")</f>
        <v/>
      </c>
      <c r="P33" s="27">
        <f>IFERROR(P31/P3,"")</f>
        <v/>
      </c>
      <c r="Q33" s="27">
        <f>IFERROR(Q31/Q3,"")</f>
        <v/>
      </c>
      <c r="R33" s="27">
        <f>IFERROR(R31/R3,"")</f>
        <v/>
      </c>
      <c r="S33" s="27">
        <f>IFERROR(S31/S3,"")</f>
        <v/>
      </c>
      <c r="T33" s="27">
        <f>IFERROR(T31/T3,"")</f>
        <v/>
      </c>
      <c r="U33" s="27">
        <f>IFERROR(U31/U3,"")</f>
        <v/>
      </c>
      <c r="V33" s="27">
        <f>IFERROR(V31/V3,"")</f>
        <v/>
      </c>
      <c r="W33" s="27">
        <f>IFERROR(W31/W3,"")</f>
        <v/>
      </c>
      <c r="X33" s="27">
        <f>IFERROR(X31/X3,"")</f>
        <v/>
      </c>
      <c r="Y33" s="27">
        <f>IFERROR(Y31/Y3,"")</f>
        <v/>
      </c>
      <c r="Z33" s="27">
        <f>IFERROR(Z31/Z3,"")</f>
        <v/>
      </c>
      <c r="AA33" s="27">
        <f>IFERROR(AA31/AA3,"")</f>
        <v/>
      </c>
      <c r="AB33" s="27">
        <f>IFERROR(AB31/AB3,"")</f>
        <v/>
      </c>
      <c r="AC33" s="27">
        <f>IFERROR(AC31/AC3,"")</f>
        <v/>
      </c>
    </row>
    <row r="34">
      <c r="A34" s="5" t="inlineStr">
        <is>
          <t xml:space="preserve">  REVENUE BY SEGMENT — GEOGRAPHY (% YoY, % of revenue)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4" t="inlineStr">
        <is>
          <t>Non-US</t>
        </is>
      </c>
      <c r="B35" s="18" t="n">
        <v>3253</v>
      </c>
      <c r="C35" s="18" t="n">
        <v>3431</v>
      </c>
      <c r="D35" s="18" t="n">
        <v>3337</v>
      </c>
      <c r="E35" s="18" t="n">
        <v>3204</v>
      </c>
      <c r="F35" s="18" t="n">
        <v>2457</v>
      </c>
      <c r="G35" s="18" t="n">
        <v>2723</v>
      </c>
      <c r="H35" s="18" t="n">
        <v>3020</v>
      </c>
      <c r="I35" s="18" t="n">
        <v>3046</v>
      </c>
      <c r="J35" s="18" t="n">
        <v>3324</v>
      </c>
      <c r="K35" s="18" t="n">
        <v>3555</v>
      </c>
      <c r="L35" s="18" t="n">
        <v>3881</v>
      </c>
      <c r="M35" s="18" t="n">
        <v>4110</v>
      </c>
      <c r="N35" s="18" t="n">
        <v>4105</v>
      </c>
      <c r="O35" s="18" t="n">
        <v>4363</v>
      </c>
      <c r="P35" s="18" t="n">
        <v>4369</v>
      </c>
      <c r="Q35" s="18" t="n">
        <v>4445</v>
      </c>
      <c r="R35" s="18" t="n">
        <v>4680</v>
      </c>
      <c r="S35" s="18" t="n">
        <v>5021</v>
      </c>
      <c r="T35" s="18" t="n">
        <v>4989</v>
      </c>
      <c r="U35" s="18" t="n">
        <v>5132</v>
      </c>
      <c r="V35" s="18" t="n">
        <v>5279</v>
      </c>
      <c r="W35" s="18" t="n">
        <v>5746</v>
      </c>
      <c r="X35" s="18" t="n">
        <v>5772</v>
      </c>
      <c r="Y35" s="18" t="n">
        <v>5783</v>
      </c>
      <c r="Z35" s="18" t="n">
        <v>6245</v>
      </c>
      <c r="AA35" s="18" t="n">
        <v>6567</v>
      </c>
      <c r="AB35" s="18" t="n">
        <v>6738</v>
      </c>
      <c r="AC35" s="18" t="n">
        <v>6911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4" t="inlineStr">
        <is>
          <t>UNITED STATES</t>
        </is>
      </c>
      <c r="B38" s="18" t="n">
        <v>2587</v>
      </c>
      <c r="C38" s="18" t="n">
        <v>2706</v>
      </c>
      <c r="D38" s="18" t="n">
        <v>2717</v>
      </c>
      <c r="E38" s="18" t="n">
        <v>2650</v>
      </c>
      <c r="F38" s="18" t="n">
        <v>2380</v>
      </c>
      <c r="G38" s="18" t="n">
        <v>2378</v>
      </c>
      <c r="H38" s="18" t="n">
        <v>2667</v>
      </c>
      <c r="I38" s="18" t="n">
        <v>2683</v>
      </c>
      <c r="J38" s="18" t="n">
        <v>2806</v>
      </c>
      <c r="K38" s="18" t="n">
        <v>3004</v>
      </c>
      <c r="L38" s="18" t="n">
        <v>3178</v>
      </c>
      <c r="M38" s="18" t="n">
        <v>3079</v>
      </c>
      <c r="N38" s="18" t="n">
        <v>3170</v>
      </c>
      <c r="O38" s="18" t="n">
        <v>3424</v>
      </c>
      <c r="P38" s="18" t="n">
        <v>3567</v>
      </c>
      <c r="Q38" s="18" t="n">
        <v>3540</v>
      </c>
      <c r="R38" s="18" t="n">
        <v>3443</v>
      </c>
      <c r="S38" s="18" t="n">
        <v>3588</v>
      </c>
      <c r="T38" s="18" t="n">
        <v>3645</v>
      </c>
      <c r="U38" s="18" t="n">
        <v>3643</v>
      </c>
      <c r="V38" s="18" t="n">
        <v>3621</v>
      </c>
      <c r="W38" s="18" t="n">
        <v>3871</v>
      </c>
      <c r="X38" s="18" t="n">
        <v>3738</v>
      </c>
      <c r="Y38" s="18" t="n">
        <v>3811</v>
      </c>
      <c r="Z38" s="18" t="n">
        <v>3927</v>
      </c>
      <c r="AA38" s="18" t="n">
        <v>4157</v>
      </c>
      <c r="AB38" s="18" t="n">
        <v>4163</v>
      </c>
      <c r="AC38" s="18" t="n">
        <v>4319</v>
      </c>
    </row>
    <row r="39">
      <c r="A39" s="4" t="inlineStr">
        <is>
          <t xml:space="preserve">    % YoY</t>
        </is>
      </c>
      <c r="F39" s="27">
        <f>IFERROR(F38/B38-1,"")</f>
        <v/>
      </c>
      <c r="G39" s="27">
        <f>IFERROR(G38/C38-1,"")</f>
        <v/>
      </c>
      <c r="H39" s="27">
        <f>IFERROR(H38/D38-1,"")</f>
        <v/>
      </c>
      <c r="I39" s="27">
        <f>IFERROR(I38/E38-1,"")</f>
        <v/>
      </c>
      <c r="J39" s="27">
        <f>IFERROR(J38/F38-1,"")</f>
        <v/>
      </c>
      <c r="K39" s="27">
        <f>IFERROR(K38/G38-1,"")</f>
        <v/>
      </c>
      <c r="L39" s="27">
        <f>IFERROR(L38/H38-1,"")</f>
        <v/>
      </c>
      <c r="M39" s="27">
        <f>IFERROR(M38/I38-1,"")</f>
        <v/>
      </c>
      <c r="N39" s="27">
        <f>IFERROR(N38/J38-1,"")</f>
        <v/>
      </c>
      <c r="O39" s="27">
        <f>IFERROR(O38/K38-1,"")</f>
        <v/>
      </c>
      <c r="P39" s="27">
        <f>IFERROR(P38/L38-1,"")</f>
        <v/>
      </c>
      <c r="Q39" s="27">
        <f>IFERROR(Q38/M38-1,"")</f>
        <v/>
      </c>
      <c r="R39" s="27">
        <f>IFERROR(R38/N38-1,"")</f>
        <v/>
      </c>
      <c r="S39" s="27">
        <f>IFERROR(S38/O38-1,"")</f>
        <v/>
      </c>
      <c r="T39" s="27">
        <f>IFERROR(T38/P38-1,"")</f>
        <v/>
      </c>
      <c r="U39" s="27">
        <f>IFERROR(U38/Q38-1,"")</f>
        <v/>
      </c>
      <c r="V39" s="27">
        <f>IFERROR(V38/R38-1,"")</f>
        <v/>
      </c>
      <c r="W39" s="27">
        <f>IFERROR(W38/S38-1,"")</f>
        <v/>
      </c>
      <c r="X39" s="27">
        <f>IFERROR(X38/T38-1,"")</f>
        <v/>
      </c>
      <c r="Y39" s="27">
        <f>IFERROR(Y38/U38-1,"")</f>
        <v/>
      </c>
      <c r="Z39" s="27">
        <f>IFERROR(Z38/V38-1,"")</f>
        <v/>
      </c>
      <c r="AA39" s="27">
        <f>IFERROR(AA38/W38-1,"")</f>
        <v/>
      </c>
      <c r="AB39" s="27">
        <f>IFERROR(AB38/X38-1,"")</f>
        <v/>
      </c>
      <c r="AC39" s="27">
        <f>IFERROR(AC38/Y38-1,"")</f>
        <v/>
      </c>
    </row>
    <row r="40">
      <c r="A40" s="4" t="inlineStr">
        <is>
          <t xml:space="preserve">    % of revenue</t>
        </is>
      </c>
      <c r="B40" s="27">
        <f>IFERROR(B38/B3,"")</f>
        <v/>
      </c>
      <c r="C40" s="27">
        <f>IFERROR(C38/C3,"")</f>
        <v/>
      </c>
      <c r="D40" s="27">
        <f>IFERROR(D38/D3,"")</f>
        <v/>
      </c>
      <c r="E40" s="27">
        <f>IFERROR(E38/E3,"")</f>
        <v/>
      </c>
      <c r="F40" s="27">
        <f>IFERROR(F38/F3,"")</f>
        <v/>
      </c>
      <c r="G40" s="27">
        <f>IFERROR(G38/G3,"")</f>
        <v/>
      </c>
      <c r="H40" s="27">
        <f>IFERROR(H38/H3,"")</f>
        <v/>
      </c>
      <c r="I40" s="27">
        <f>IFERROR(I38/I3,"")</f>
        <v/>
      </c>
      <c r="J40" s="27">
        <f>IFERROR(J38/J3,"")</f>
        <v/>
      </c>
      <c r="K40" s="27">
        <f>IFERROR(K38/K3,"")</f>
        <v/>
      </c>
      <c r="L40" s="27">
        <f>IFERROR(L38/L3,"")</f>
        <v/>
      </c>
      <c r="M40" s="27">
        <f>IFERROR(M38/M3,"")</f>
        <v/>
      </c>
      <c r="N40" s="27">
        <f>IFERROR(N38/N3,"")</f>
        <v/>
      </c>
      <c r="O40" s="27">
        <f>IFERROR(O38/O3,"")</f>
        <v/>
      </c>
      <c r="P40" s="27">
        <f>IFERROR(P38/P3,"")</f>
        <v/>
      </c>
      <c r="Q40" s="27">
        <f>IFERROR(Q38/Q3,"")</f>
        <v/>
      </c>
      <c r="R40" s="27">
        <f>IFERROR(R38/R3,"")</f>
        <v/>
      </c>
      <c r="S40" s="27">
        <f>IFERROR(S38/S3,"")</f>
        <v/>
      </c>
      <c r="T40" s="27">
        <f>IFERROR(T38/T3,"")</f>
        <v/>
      </c>
      <c r="U40" s="27">
        <f>IFERROR(U38/U3,"")</f>
        <v/>
      </c>
      <c r="V40" s="27">
        <f>IFERROR(V38/V3,"")</f>
        <v/>
      </c>
      <c r="W40" s="27">
        <f>IFERROR(W38/W3,"")</f>
        <v/>
      </c>
      <c r="X40" s="27">
        <f>IFERROR(X38/X3,"")</f>
        <v/>
      </c>
      <c r="Y40" s="27">
        <f>IFERROR(Y38/Y3,"")</f>
        <v/>
      </c>
      <c r="Z40" s="27">
        <f>IFERROR(Z38/Z3,"")</f>
        <v/>
      </c>
      <c r="AA40" s="27">
        <f>IFERROR(AA38/AA3,"")</f>
        <v/>
      </c>
      <c r="AB40" s="27">
        <f>IFERROR(AB38/AB3,"")</f>
        <v/>
      </c>
      <c r="AC40" s="27">
        <f>IFERROR(AC38/AC3,"")</f>
        <v/>
      </c>
    </row>
    <row r="41">
      <c r="A41" s="5" t="inlineStr">
        <is>
          <t xml:space="preserve">  BALANCE SHEET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4" t="inlineStr">
        <is>
          <t>Cash &amp; ST Investments</t>
        </is>
      </c>
      <c r="B42" s="18" t="n">
        <v>11177</v>
      </c>
      <c r="C42" s="18" t="n">
        <v>12074</v>
      </c>
      <c r="D42" s="18" t="n">
        <v>12670</v>
      </c>
      <c r="E42" s="18" t="n">
        <v>12151</v>
      </c>
      <c r="F42" s="18" t="n">
        <v>16637</v>
      </c>
      <c r="G42" s="18" t="n">
        <v>20041</v>
      </c>
      <c r="H42" s="18" t="n">
        <v>18041</v>
      </c>
      <c r="I42" s="18" t="n">
        <v>18552</v>
      </c>
      <c r="J42" s="18" t="n">
        <v>19240</v>
      </c>
      <c r="K42" s="18" t="n">
        <v>18512</v>
      </c>
      <c r="L42" s="18" t="n">
        <v>15921</v>
      </c>
      <c r="M42" s="18" t="n">
        <v>13529</v>
      </c>
      <c r="N42" s="18" t="n">
        <v>17356</v>
      </c>
      <c r="O42" s="18" t="n">
        <v>18522</v>
      </c>
      <c r="P42" s="18" t="n">
        <v>16119</v>
      </c>
      <c r="Q42" s="18" t="n">
        <v>16594</v>
      </c>
      <c r="R42" s="18" t="n">
        <v>18756</v>
      </c>
      <c r="S42" s="18" t="n">
        <v>20128</v>
      </c>
      <c r="T42" s="18" t="n">
        <v>18596</v>
      </c>
      <c r="U42" s="18" t="n">
        <v>17703</v>
      </c>
      <c r="V42" s="18" t="n">
        <v>16644</v>
      </c>
      <c r="W42" s="18" t="n">
        <v>15175</v>
      </c>
      <c r="X42" s="18" t="n">
        <v>14334</v>
      </c>
      <c r="Y42" s="18" t="n">
        <v>13751</v>
      </c>
      <c r="Z42" s="18" t="n">
        <v>19180</v>
      </c>
      <c r="AA42" s="18" t="n">
        <v>18997</v>
      </c>
      <c r="AB42" s="18" t="n">
        <v>16397</v>
      </c>
      <c r="AC42" s="18" t="n">
        <v>13913</v>
      </c>
    </row>
    <row r="43">
      <c r="A43" s="4" t="inlineStr">
        <is>
          <t>Total Current Assets</t>
        </is>
      </c>
      <c r="B43" s="18" t="n">
        <v>18305</v>
      </c>
      <c r="C43" s="18" t="n">
        <v>20970</v>
      </c>
      <c r="D43" s="18" t="n">
        <v>22319</v>
      </c>
      <c r="E43" s="18" t="n">
        <v>19907</v>
      </c>
      <c r="F43" s="18" t="n">
        <v>25011</v>
      </c>
      <c r="G43" s="18" t="n">
        <v>27645</v>
      </c>
      <c r="H43" s="18" t="n">
        <v>26280</v>
      </c>
      <c r="I43" s="18" t="n">
        <v>26901</v>
      </c>
      <c r="J43" s="18" t="n">
        <v>28042</v>
      </c>
      <c r="K43" s="18" t="n">
        <v>27607</v>
      </c>
      <c r="L43" s="18" t="n">
        <v>25906</v>
      </c>
      <c r="M43" s="18" t="n">
        <v>24091</v>
      </c>
      <c r="N43" s="18" t="n">
        <v>28971</v>
      </c>
      <c r="O43" s="18" t="n">
        <v>30205</v>
      </c>
      <c r="P43" s="18" t="n">
        <v>27859</v>
      </c>
      <c r="Q43" s="18" t="n">
        <v>28657</v>
      </c>
      <c r="R43" s="18" t="n">
        <v>31670</v>
      </c>
      <c r="S43" s="18" t="n">
        <v>33532</v>
      </c>
      <c r="T43" s="18" t="n">
        <v>32732</v>
      </c>
      <c r="U43" s="18" t="n">
        <v>32775</v>
      </c>
      <c r="V43" s="18" t="n">
        <v>31039</v>
      </c>
      <c r="W43" s="18" t="n">
        <v>34033</v>
      </c>
      <c r="X43" s="18" t="n">
        <v>32622</v>
      </c>
      <c r="Y43" s="18" t="n">
        <v>32934</v>
      </c>
      <c r="Z43" s="18" t="n">
        <v>38398</v>
      </c>
      <c r="AA43" s="18" t="n">
        <v>37766</v>
      </c>
      <c r="AB43" s="18" t="n">
        <v>34997</v>
      </c>
      <c r="AC43" s="18" t="n">
        <v>31625</v>
      </c>
    </row>
    <row r="44">
      <c r="A44" s="4" t="inlineStr">
        <is>
          <t>PP&amp;E (net)</t>
        </is>
      </c>
      <c r="B44" s="18" t="n">
        <v>2549</v>
      </c>
      <c r="C44" s="18" t="n">
        <v>2695</v>
      </c>
      <c r="D44" s="18" t="n">
        <v>2739</v>
      </c>
      <c r="E44" s="18" t="n">
        <v>2776</v>
      </c>
      <c r="F44" s="18" t="n">
        <v>2746</v>
      </c>
      <c r="G44" s="18" t="n">
        <v>2737</v>
      </c>
      <c r="H44" s="18" t="n">
        <v>2713</v>
      </c>
      <c r="I44" s="18" t="n">
        <v>2684</v>
      </c>
      <c r="J44" s="18" t="n">
        <v>2707</v>
      </c>
      <c r="K44" s="18" t="n">
        <v>2715</v>
      </c>
      <c r="L44" s="18" t="n">
        <v>2908</v>
      </c>
      <c r="M44" s="18" t="n">
        <v>3120</v>
      </c>
      <c r="N44" s="18" t="n">
        <v>3146</v>
      </c>
      <c r="O44" s="18" t="n">
        <v>3223</v>
      </c>
      <c r="P44" s="18" t="n">
        <v>3236</v>
      </c>
      <c r="Q44" s="18" t="n">
        <v>3359</v>
      </c>
      <c r="R44" s="18" t="n">
        <v>3370</v>
      </c>
      <c r="S44" s="18" t="n">
        <v>3425</v>
      </c>
      <c r="T44" s="18" t="n">
        <v>3472</v>
      </c>
      <c r="U44" s="18" t="n">
        <v>3630</v>
      </c>
      <c r="V44" s="18" t="n">
        <v>3766</v>
      </c>
      <c r="W44" s="18" t="n">
        <v>3824</v>
      </c>
      <c r="X44" s="18" t="n">
        <v>3974</v>
      </c>
      <c r="Y44" s="18" t="n">
        <v>4023</v>
      </c>
      <c r="Z44" s="18" t="n">
        <v>4143</v>
      </c>
      <c r="AA44" s="18" t="n">
        <v>4236</v>
      </c>
      <c r="AB44" s="18" t="n">
        <v>4276</v>
      </c>
      <c r="AC44" s="18" t="n">
        <v>4778</v>
      </c>
    </row>
    <row r="45">
      <c r="A45" s="4" t="inlineStr">
        <is>
          <t>Total Assets</t>
        </is>
      </c>
      <c r="B45" s="18" t="n">
        <v>70249</v>
      </c>
      <c r="C45" s="18" t="n">
        <v>72574</v>
      </c>
      <c r="D45" s="18" t="n">
        <v>74781</v>
      </c>
      <c r="E45" s="18" t="n">
        <v>72820</v>
      </c>
      <c r="F45" s="18" t="n">
        <v>77884</v>
      </c>
      <c r="G45" s="18" t="n">
        <v>80919</v>
      </c>
      <c r="H45" s="18" t="n">
        <v>80426</v>
      </c>
      <c r="I45" s="18" t="n">
        <v>80195</v>
      </c>
      <c r="J45" s="18" t="n">
        <v>82671</v>
      </c>
      <c r="K45" s="18" t="n">
        <v>82896</v>
      </c>
      <c r="L45" s="18" t="n">
        <v>81929</v>
      </c>
      <c r="M45" s="18" t="n">
        <v>81808</v>
      </c>
      <c r="N45" s="18" t="n">
        <v>85410</v>
      </c>
      <c r="O45" s="18" t="n">
        <v>85501</v>
      </c>
      <c r="P45" s="18" t="n">
        <v>85387</v>
      </c>
      <c r="Q45" s="18" t="n">
        <v>86755</v>
      </c>
      <c r="R45" s="18" t="n">
        <v>89234</v>
      </c>
      <c r="S45" s="18" t="n">
        <v>90499</v>
      </c>
      <c r="T45" s="18" t="n">
        <v>91409</v>
      </c>
      <c r="U45" s="18" t="n">
        <v>92399</v>
      </c>
      <c r="V45" s="18" t="n">
        <v>91040</v>
      </c>
      <c r="W45" s="18" t="n">
        <v>94511</v>
      </c>
      <c r="X45" s="18" t="n">
        <v>91888</v>
      </c>
      <c r="Y45" s="18" t="n">
        <v>92853</v>
      </c>
      <c r="Z45" s="18" t="n">
        <v>100024</v>
      </c>
      <c r="AA45" s="18" t="n">
        <v>99627</v>
      </c>
      <c r="AB45" s="18" t="n">
        <v>96814</v>
      </c>
      <c r="AC45" s="18" t="n">
        <v>95049</v>
      </c>
    </row>
    <row r="46">
      <c r="A46" s="4" t="inlineStr">
        <is>
          <t>Total Current Liabilities</t>
        </is>
      </c>
      <c r="B46" s="18" t="n">
        <v>10829</v>
      </c>
      <c r="C46" s="18" t="n">
        <v>13415</v>
      </c>
      <c r="D46" s="18" t="n">
        <v>17579</v>
      </c>
      <c r="E46" s="18" t="n">
        <v>15942</v>
      </c>
      <c r="F46" s="18" t="n">
        <v>16100</v>
      </c>
      <c r="G46" s="18" t="n">
        <v>14510</v>
      </c>
      <c r="H46" s="18" t="n">
        <v>12390</v>
      </c>
      <c r="I46" s="18" t="n">
        <v>12711</v>
      </c>
      <c r="J46" s="18" t="n">
        <v>14023</v>
      </c>
      <c r="K46" s="18" t="n">
        <v>15739</v>
      </c>
      <c r="L46" s="18" t="n">
        <v>18568</v>
      </c>
      <c r="M46" s="18" t="n">
        <v>18702</v>
      </c>
      <c r="N46" s="18" t="n">
        <v>20309</v>
      </c>
      <c r="O46" s="18" t="n">
        <v>20853</v>
      </c>
      <c r="P46" s="18" t="n">
        <v>19353</v>
      </c>
      <c r="Q46" s="18" t="n">
        <v>19097</v>
      </c>
      <c r="R46" s="18" t="n">
        <v>21230</v>
      </c>
      <c r="S46" s="18" t="n">
        <v>23098</v>
      </c>
      <c r="T46" s="18" t="n">
        <v>22634</v>
      </c>
      <c r="U46" s="18" t="n">
        <v>23443</v>
      </c>
      <c r="V46" s="18" t="n">
        <v>22612</v>
      </c>
      <c r="W46" s="18" t="n">
        <v>26517</v>
      </c>
      <c r="X46" s="18" t="n">
        <v>29091</v>
      </c>
      <c r="Y46" s="18" t="n">
        <v>30381</v>
      </c>
      <c r="Z46" s="18" t="n">
        <v>34427</v>
      </c>
      <c r="AA46" s="18" t="n">
        <v>35048</v>
      </c>
      <c r="AB46" s="18" t="n">
        <v>31491</v>
      </c>
      <c r="AC46" s="18" t="n">
        <v>29076</v>
      </c>
    </row>
    <row r="47">
      <c r="A47" s="4" t="inlineStr">
        <is>
          <t>Long-term Debt</t>
        </is>
      </c>
      <c r="B47" s="18" t="n">
        <v>16694</v>
      </c>
      <c r="C47" s="18" t="n">
        <v>16729</v>
      </c>
      <c r="D47" s="18" t="n">
        <v>13688</v>
      </c>
      <c r="E47" s="18" t="n">
        <v>13893</v>
      </c>
      <c r="F47" s="18" t="n">
        <v>17880</v>
      </c>
      <c r="G47" s="18" t="n">
        <v>21071</v>
      </c>
      <c r="H47" s="18" t="n">
        <v>21055</v>
      </c>
      <c r="I47" s="18" t="n">
        <v>20974</v>
      </c>
      <c r="J47" s="18" t="n">
        <v>20996</v>
      </c>
      <c r="K47" s="18" t="n">
        <v>19978</v>
      </c>
      <c r="L47" s="18" t="n">
        <v>17673</v>
      </c>
      <c r="M47" s="18" t="n">
        <v>17479</v>
      </c>
      <c r="N47" s="18" t="n">
        <v>20546</v>
      </c>
      <c r="O47" s="18" t="n">
        <v>20200</v>
      </c>
      <c r="P47" s="18" t="n">
        <v>20487</v>
      </c>
      <c r="Q47" s="18" t="n">
        <v>20606</v>
      </c>
      <c r="R47" s="18" t="n">
        <v>20560</v>
      </c>
      <c r="S47" s="18" t="n">
        <v>20463</v>
      </c>
      <c r="T47" s="18" t="n">
        <v>20703</v>
      </c>
      <c r="U47" s="18" t="n">
        <v>20603</v>
      </c>
      <c r="V47" s="18" t="n">
        <v>20602</v>
      </c>
      <c r="W47" s="18" t="n">
        <v>20836</v>
      </c>
      <c r="X47" s="18" t="n">
        <v>16680</v>
      </c>
      <c r="Y47" s="18" t="n">
        <v>16814</v>
      </c>
      <c r="Z47" s="18" t="n">
        <v>19590</v>
      </c>
      <c r="AA47" s="18" t="n">
        <v>19602</v>
      </c>
      <c r="AB47" s="18" t="n">
        <v>19588</v>
      </c>
      <c r="AC47" s="18" t="n">
        <v>22417</v>
      </c>
    </row>
    <row r="48">
      <c r="A48" s="4" t="inlineStr">
        <is>
          <t>Total Equity</t>
        </is>
      </c>
      <c r="B48" s="18" t="n">
        <v>34995</v>
      </c>
      <c r="C48" s="18" t="n">
        <v>34684</v>
      </c>
      <c r="D48" s="18" t="n">
        <v>35270</v>
      </c>
      <c r="E48" s="18" t="n">
        <v>34585</v>
      </c>
      <c r="F48" s="18" t="n">
        <v>35524</v>
      </c>
      <c r="G48" s="18" t="n">
        <v>36210</v>
      </c>
      <c r="H48" s="18" t="n">
        <v>37679</v>
      </c>
      <c r="I48" s="18" t="n">
        <v>37696</v>
      </c>
      <c r="J48" s="18" t="n">
        <v>37790</v>
      </c>
      <c r="K48" s="18" t="n">
        <v>37589</v>
      </c>
      <c r="L48" s="18" t="n">
        <v>36194</v>
      </c>
      <c r="M48" s="18" t="n">
        <v>35989</v>
      </c>
      <c r="N48" s="18" t="n">
        <v>35483</v>
      </c>
      <c r="O48" s="18" t="n">
        <v>35581</v>
      </c>
      <c r="P48" s="18" t="n">
        <v>36924</v>
      </c>
      <c r="Q48" s="18" t="n">
        <v>38565</v>
      </c>
      <c r="R48" s="18" t="n">
        <v>38981</v>
      </c>
      <c r="S48" s="18" t="n">
        <v>38733</v>
      </c>
      <c r="T48" s="18" t="n">
        <v>39733</v>
      </c>
      <c r="U48" s="18" t="n">
        <v>40485</v>
      </c>
      <c r="V48" s="18" t="n">
        <v>39729</v>
      </c>
      <c r="W48" s="18" t="n">
        <v>39137</v>
      </c>
      <c r="X48" s="18" t="n">
        <v>38296</v>
      </c>
      <c r="Y48" s="18" t="n">
        <v>38030</v>
      </c>
      <c r="Z48" s="18" t="n">
        <v>38664</v>
      </c>
      <c r="AA48" s="18" t="n">
        <v>37909</v>
      </c>
      <c r="AB48" s="18" t="n">
        <v>38777</v>
      </c>
      <c r="AC48" s="18" t="n">
        <v>35661</v>
      </c>
    </row>
    <row r="49">
      <c r="A49" s="5" t="inlineStr">
        <is>
          <t xml:space="preserve">  CASH FLOW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4" t="inlineStr">
        <is>
          <t>D&amp;A</t>
        </is>
      </c>
      <c r="B50" s="18" t="n">
        <v>165</v>
      </c>
      <c r="C50" s="18" t="n">
        <v>172</v>
      </c>
      <c r="D50" s="18" t="n">
        <v>182</v>
      </c>
      <c r="E50" s="18" t="n">
        <v>192</v>
      </c>
      <c r="F50" s="18" t="n">
        <v>197</v>
      </c>
      <c r="G50" s="18" t="n">
        <v>196</v>
      </c>
      <c r="H50" s="18" t="n">
        <v>197</v>
      </c>
      <c r="I50" s="18" t="n">
        <v>201</v>
      </c>
      <c r="J50" s="18" t="n">
        <v>204</v>
      </c>
      <c r="K50" s="18" t="n">
        <v>202</v>
      </c>
      <c r="L50" s="18" t="n">
        <v>198</v>
      </c>
      <c r="M50" s="18" t="n">
        <v>207</v>
      </c>
      <c r="N50" s="18" t="n">
        <v>230</v>
      </c>
      <c r="O50" s="18" t="n">
        <v>226</v>
      </c>
      <c r="P50" s="18" t="n">
        <v>227</v>
      </c>
      <c r="Q50" s="18" t="n">
        <v>234</v>
      </c>
      <c r="R50" s="18" t="n">
        <v>235</v>
      </c>
      <c r="S50" s="18" t="n">
        <v>247</v>
      </c>
      <c r="T50" s="18" t="n">
        <v>247</v>
      </c>
      <c r="U50" s="18" t="n">
        <v>249</v>
      </c>
      <c r="V50" s="18" t="n">
        <v>264</v>
      </c>
      <c r="W50" s="18" t="n">
        <v>274</v>
      </c>
      <c r="X50" s="18" t="n">
        <v>282</v>
      </c>
      <c r="Y50" s="18" t="n">
        <v>305</v>
      </c>
      <c r="Z50" s="18" t="n">
        <v>317</v>
      </c>
      <c r="AA50" s="18" t="n">
        <v>316</v>
      </c>
      <c r="AB50" s="18" t="n">
        <v>326</v>
      </c>
      <c r="AC50" s="18" t="n">
        <v>333</v>
      </c>
    </row>
    <row r="51">
      <c r="A51" s="4" t="inlineStr">
        <is>
          <t>Stock-based Compensation</t>
        </is>
      </c>
      <c r="B51" s="18" t="n">
        <v>110</v>
      </c>
      <c r="C51" s="18" t="n">
        <v>86</v>
      </c>
      <c r="D51" s="18" t="n">
        <v>116</v>
      </c>
      <c r="E51" s="18" t="n">
        <v>99</v>
      </c>
      <c r="F51" s="18" t="n">
        <v>107</v>
      </c>
      <c r="G51" s="18" t="n">
        <v>94</v>
      </c>
      <c r="H51" s="18" t="n">
        <v>122</v>
      </c>
      <c r="I51" s="18" t="n">
        <v>153</v>
      </c>
      <c r="J51" s="18" t="n">
        <v>159</v>
      </c>
      <c r="K51" s="18" t="n">
        <v>108</v>
      </c>
      <c r="L51" s="18" t="n">
        <v>128</v>
      </c>
      <c r="M51" s="18" t="n">
        <v>190</v>
      </c>
      <c r="N51" s="18" t="n">
        <v>152</v>
      </c>
      <c r="O51" s="18" t="n">
        <v>132</v>
      </c>
      <c r="P51" s="18" t="n">
        <v>177</v>
      </c>
      <c r="Q51" s="18" t="n">
        <v>214</v>
      </c>
      <c r="R51" s="18" t="n">
        <v>184</v>
      </c>
      <c r="S51" s="18" t="n">
        <v>174</v>
      </c>
      <c r="T51" s="18" t="n">
        <v>209</v>
      </c>
      <c r="U51" s="18" t="n">
        <v>242</v>
      </c>
      <c r="V51" s="18" t="n">
        <v>211</v>
      </c>
      <c r="W51" s="18" t="n">
        <v>188</v>
      </c>
      <c r="X51" s="18" t="n">
        <v>224</v>
      </c>
      <c r="Y51" s="18" t="n">
        <v>259</v>
      </c>
      <c r="Z51" s="18" t="n">
        <v>223</v>
      </c>
      <c r="AA51" s="18" t="n">
        <v>191</v>
      </c>
      <c r="AB51" s="18" t="n">
        <v>231</v>
      </c>
      <c r="AC51" s="18" t="n">
        <v>275</v>
      </c>
    </row>
    <row r="52">
      <c r="A52" s="4" t="inlineStr">
        <is>
          <t>Change in Working Capital</t>
        </is>
      </c>
      <c r="B52" s="18" t="n">
        <v>-1410</v>
      </c>
      <c r="C52" s="18" t="n">
        <v>-845</v>
      </c>
      <c r="D52" s="18" t="n">
        <v>-1342</v>
      </c>
      <c r="E52" s="18" t="n">
        <v>-3580</v>
      </c>
      <c r="F52" s="18" t="n">
        <v>-1035</v>
      </c>
      <c r="G52" s="18" t="n">
        <v>-2441</v>
      </c>
      <c r="H52" s="18" t="n">
        <v>-1810</v>
      </c>
      <c r="I52" s="18" t="n">
        <v>-1759</v>
      </c>
      <c r="J52" s="18" t="n">
        <v>-1168</v>
      </c>
      <c r="K52" s="18" t="n">
        <v>-1965</v>
      </c>
      <c r="L52" s="18" t="n">
        <v>-2139</v>
      </c>
      <c r="M52" s="18" t="n">
        <v>-3174</v>
      </c>
      <c r="N52" s="18" t="n">
        <v>-1108</v>
      </c>
      <c r="O52" s="18" t="n">
        <v>-1236</v>
      </c>
      <c r="P52" s="18" t="n">
        <v>-3138</v>
      </c>
      <c r="Q52" s="18" t="n">
        <v>-3824</v>
      </c>
      <c r="R52" s="18" t="n">
        <v>-1777</v>
      </c>
      <c r="S52" s="18" t="n">
        <v>-1283</v>
      </c>
      <c r="T52" s="18" t="n">
        <v>-5122</v>
      </c>
      <c r="U52" s="18" t="n">
        <v>-3787</v>
      </c>
      <c r="V52" s="18" t="n">
        <v>-3777</v>
      </c>
      <c r="W52" s="18" t="n">
        <v>-2746</v>
      </c>
      <c r="X52" s="18" t="n">
        <v>-4168</v>
      </c>
      <c r="Y52" s="18" t="n">
        <v>-4091</v>
      </c>
      <c r="Z52" s="18" t="n">
        <v>-3529</v>
      </c>
      <c r="AA52" s="18" t="n">
        <v>-3384</v>
      </c>
      <c r="AB52" s="18" t="n">
        <v>-3486</v>
      </c>
      <c r="AC52" s="18" t="n">
        <v>-8313</v>
      </c>
    </row>
    <row r="53">
      <c r="A53" s="4" t="inlineStr">
        <is>
          <t>Operating Cash Flow</t>
        </is>
      </c>
      <c r="B53" s="18" t="n">
        <v>3384</v>
      </c>
      <c r="C53" s="18" t="n">
        <v>4042</v>
      </c>
      <c r="D53" s="18" t="n">
        <v>3875</v>
      </c>
      <c r="E53" s="18" t="n">
        <v>1467</v>
      </c>
      <c r="F53" s="18" t="n">
        <v>3002</v>
      </c>
      <c r="G53" s="18" t="n">
        <v>2096</v>
      </c>
      <c r="H53" s="18" t="n">
        <v>3513</v>
      </c>
      <c r="I53" s="18" t="n">
        <v>3329</v>
      </c>
      <c r="J53" s="18" t="n">
        <v>4414</v>
      </c>
      <c r="K53" s="18" t="n">
        <v>3971</v>
      </c>
      <c r="L53" s="18" t="n">
        <v>4232</v>
      </c>
      <c r="M53" s="18" t="n">
        <v>3489</v>
      </c>
      <c r="N53" s="18" t="n">
        <v>5252</v>
      </c>
      <c r="O53" s="18" t="n">
        <v>5876</v>
      </c>
      <c r="P53" s="18" t="n">
        <v>4171</v>
      </c>
      <c r="Q53" s="18" t="n">
        <v>3860</v>
      </c>
      <c r="R53" s="18" t="n">
        <v>5797</v>
      </c>
      <c r="S53" s="18" t="n">
        <v>6927</v>
      </c>
      <c r="T53" s="18" t="n">
        <v>3614</v>
      </c>
      <c r="U53" s="18" t="n">
        <v>4538</v>
      </c>
      <c r="V53" s="18" t="n">
        <v>5134</v>
      </c>
      <c r="W53" s="18" t="n">
        <v>6664</v>
      </c>
      <c r="X53" s="18" t="n">
        <v>5396</v>
      </c>
      <c r="Y53" s="18" t="n">
        <v>4695</v>
      </c>
      <c r="Z53" s="18" t="n">
        <v>6730</v>
      </c>
      <c r="AA53" s="18" t="n">
        <v>6238</v>
      </c>
      <c r="AB53" s="18" t="n">
        <v>6780</v>
      </c>
      <c r="AC53" s="18" t="n">
        <v>3008</v>
      </c>
    </row>
    <row r="54">
      <c r="A54" s="4" t="inlineStr">
        <is>
          <t>Capex</t>
        </is>
      </c>
      <c r="B54" s="18" t="n">
        <v>-194</v>
      </c>
      <c r="C54" s="18" t="n">
        <v>-249</v>
      </c>
      <c r="D54" s="18" t="n">
        <v>-191</v>
      </c>
      <c r="E54" s="18" t="n">
        <v>-216</v>
      </c>
      <c r="F54" s="18" t="n">
        <v>-161</v>
      </c>
      <c r="G54" s="18" t="n">
        <v>-168</v>
      </c>
      <c r="H54" s="18" t="n">
        <v>-160</v>
      </c>
      <c r="I54" s="18" t="n">
        <v>-158</v>
      </c>
      <c r="J54" s="18" t="n">
        <v>-179</v>
      </c>
      <c r="K54" s="18" t="n">
        <v>-208</v>
      </c>
      <c r="L54" s="18" t="n">
        <v>-173</v>
      </c>
      <c r="M54" s="18" t="n">
        <v>-267</v>
      </c>
      <c r="N54" s="18" t="n">
        <v>-235</v>
      </c>
      <c r="O54" s="18" t="n">
        <v>-295</v>
      </c>
      <c r="P54" s="18" t="n">
        <v>-249</v>
      </c>
      <c r="Q54" s="18" t="n">
        <v>-210</v>
      </c>
      <c r="R54" s="18" t="n">
        <v>-295</v>
      </c>
      <c r="S54" s="18" t="n">
        <v>-305</v>
      </c>
      <c r="T54" s="18" t="n">
        <v>-267</v>
      </c>
      <c r="U54" s="18" t="n">
        <v>-281</v>
      </c>
      <c r="V54" s="18" t="n">
        <v>-400</v>
      </c>
      <c r="W54" s="18" t="n">
        <v>-309</v>
      </c>
      <c r="X54" s="18" t="n">
        <v>-345</v>
      </c>
      <c r="Y54" s="18" t="n">
        <v>-327</v>
      </c>
      <c r="Z54" s="18" t="n">
        <v>-421</v>
      </c>
      <c r="AA54" s="18" t="n">
        <v>-389</v>
      </c>
      <c r="AB54" s="18" t="n">
        <v>-378</v>
      </c>
      <c r="AC54" s="18" t="n">
        <v>-383</v>
      </c>
    </row>
    <row r="55">
      <c r="A55" s="4" t="inlineStr">
        <is>
          <t>Free Cash Flow</t>
        </is>
      </c>
      <c r="B55" s="18" t="n">
        <v>3190</v>
      </c>
      <c r="C55" s="18" t="n">
        <v>3793</v>
      </c>
      <c r="D55" s="18" t="n">
        <v>3684</v>
      </c>
      <c r="E55" s="18" t="n">
        <v>1251</v>
      </c>
      <c r="F55" s="18" t="n">
        <v>2841</v>
      </c>
      <c r="G55" s="18" t="n">
        <v>1928</v>
      </c>
      <c r="H55" s="18" t="n">
        <v>3353</v>
      </c>
      <c r="I55" s="18" t="n">
        <v>3171</v>
      </c>
      <c r="J55" s="18" t="n">
        <v>4235</v>
      </c>
      <c r="K55" s="18" t="n">
        <v>3763</v>
      </c>
      <c r="L55" s="18" t="n">
        <v>4059</v>
      </c>
      <c r="M55" s="18" t="n">
        <v>3222</v>
      </c>
      <c r="N55" s="18" t="n">
        <v>5017</v>
      </c>
      <c r="O55" s="18" t="n">
        <v>5581</v>
      </c>
      <c r="P55" s="18" t="n">
        <v>3922</v>
      </c>
      <c r="Q55" s="18" t="n">
        <v>3650</v>
      </c>
      <c r="R55" s="18" t="n">
        <v>5502</v>
      </c>
      <c r="S55" s="18" t="n">
        <v>6622</v>
      </c>
      <c r="T55" s="18" t="n">
        <v>3347</v>
      </c>
      <c r="U55" s="18" t="n">
        <v>4257</v>
      </c>
      <c r="V55" s="18" t="n">
        <v>4734</v>
      </c>
      <c r="W55" s="18" t="n">
        <v>6355</v>
      </c>
      <c r="X55" s="18" t="n">
        <v>5051</v>
      </c>
      <c r="Y55" s="18" t="n">
        <v>4368</v>
      </c>
      <c r="Z55" s="18" t="n">
        <v>6309</v>
      </c>
      <c r="AA55" s="18" t="n">
        <v>5849</v>
      </c>
      <c r="AB55" s="18" t="n">
        <v>6402</v>
      </c>
      <c r="AC55" s="18" t="n">
        <v>2625</v>
      </c>
    </row>
    <row r="57">
      <c r="A5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45540.921638</v>
      </c>
      <c r="C4" s="18" t="n">
        <v>50365.218301</v>
      </c>
      <c r="D4" s="18" t="n">
        <v>55528.017236</v>
      </c>
      <c r="E4" s="18" t="n">
        <v>61988.195757</v>
      </c>
      <c r="F4" s="18" t="n">
        <v>65566.25</v>
      </c>
    </row>
    <row r="5">
      <c r="A5" s="4" t="inlineStr">
        <is>
          <t xml:space="preserve">  model</t>
        </is>
      </c>
      <c r="B5" s="28">
        <f>Model!G14</f>
        <v/>
      </c>
      <c r="C5" s="28">
        <f>Model!H14</f>
        <v/>
      </c>
      <c r="D5" s="28">
        <f>Model!I14</f>
        <v/>
      </c>
      <c r="E5" s="28">
        <f>Model!J14</f>
        <v/>
      </c>
      <c r="F5" s="28">
        <f>Model!K14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31357.383293</v>
      </c>
      <c r="C8" s="18" t="n">
        <v>34679.172009</v>
      </c>
      <c r="D8" s="18" t="n">
        <v>38234.037814</v>
      </c>
      <c r="E8" s="18" t="n">
        <v>42682.219509</v>
      </c>
      <c r="F8" s="18" t="n">
        <v>45145.903034</v>
      </c>
    </row>
    <row r="9">
      <c r="A9" s="4" t="inlineStr">
        <is>
          <t xml:space="preserve">  model</t>
        </is>
      </c>
      <c r="B9" s="28">
        <f>Model!G27+Model!G32</f>
        <v/>
      </c>
      <c r="C9" s="28">
        <f>Model!H27+Model!H32</f>
        <v/>
      </c>
      <c r="D9" s="28">
        <f>Model!I27+Model!I32</f>
        <v/>
      </c>
      <c r="E9" s="28">
        <f>Model!J27+Model!J32</f>
        <v/>
      </c>
      <c r="F9" s="28">
        <f>Model!K27+Model!K32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29983.044544</v>
      </c>
      <c r="C12" s="18" t="n">
        <v>33159.245125</v>
      </c>
      <c r="D12" s="18" t="n">
        <v>36558.307438</v>
      </c>
      <c r="E12" s="18" t="n">
        <v>40811.533183</v>
      </c>
      <c r="F12" s="18" t="n">
        <v>43167.237808</v>
      </c>
    </row>
    <row r="13">
      <c r="A13" s="4" t="inlineStr">
        <is>
          <t xml:space="preserve">  model</t>
        </is>
      </c>
      <c r="B13" s="28">
        <f>Model!G27</f>
        <v/>
      </c>
      <c r="C13" s="28">
        <f>Model!H27</f>
        <v/>
      </c>
      <c r="D13" s="28">
        <f>Model!I27</f>
        <v/>
      </c>
      <c r="E13" s="28">
        <f>Model!J27</f>
        <v/>
      </c>
      <c r="F13" s="28">
        <f>Model!K27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4750.375004</v>
      </c>
      <c r="C16" s="18" t="n">
        <v>5253.597544</v>
      </c>
      <c r="D16" s="18" t="n">
        <v>5792.129268</v>
      </c>
      <c r="E16" s="18" t="n">
        <v>6465.990698</v>
      </c>
      <c r="F16" s="18" t="n">
        <v>6839.217651</v>
      </c>
    </row>
    <row r="17">
      <c r="A17" s="4" t="inlineStr">
        <is>
          <t xml:space="preserve">  model</t>
        </is>
      </c>
      <c r="B17" s="28">
        <f>Model!G22</f>
        <v/>
      </c>
      <c r="C17" s="28">
        <f>Model!H22</f>
        <v/>
      </c>
      <c r="D17" s="28">
        <f>Model!I22</f>
        <v/>
      </c>
      <c r="E17" s="28">
        <f>Model!J22</f>
        <v/>
      </c>
      <c r="F17" s="28">
        <f>Model!K22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25656.6833825</v>
      </c>
      <c r="C20" s="18" t="n">
        <v>29167.8414245</v>
      </c>
      <c r="D20" s="18" t="n">
        <v>33403.0281165</v>
      </c>
      <c r="E20" s="18" t="n">
        <v>38041.824779</v>
      </c>
      <c r="F20" s="18" t="n">
        <v>37236.040018</v>
      </c>
    </row>
    <row r="21">
      <c r="A21" s="4" t="inlineStr">
        <is>
          <t xml:space="preserve">  model</t>
        </is>
      </c>
      <c r="B21" s="28">
        <f>Model!G31</f>
        <v/>
      </c>
      <c r="C21" s="28">
        <f>Model!H31</f>
        <v/>
      </c>
      <c r="D21" s="28">
        <f>Model!I31</f>
        <v/>
      </c>
      <c r="E21" s="28">
        <f>Model!J31</f>
        <v/>
      </c>
      <c r="F21" s="28">
        <f>Model!K31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13.1456</v>
      </c>
      <c r="C24" s="38" t="n">
        <v>14.89144</v>
      </c>
      <c r="D24" s="38" t="n">
        <v>16.82887</v>
      </c>
      <c r="E24" s="38" t="n">
        <v>19.34986</v>
      </c>
      <c r="F24" s="38" t="n">
        <v>18.94</v>
      </c>
    </row>
    <row r="25">
      <c r="A25" s="4" t="inlineStr">
        <is>
          <t xml:space="preserve">  model</t>
        </is>
      </c>
      <c r="B25" s="8">
        <f>Model!G31/Financials!AC17</f>
        <v/>
      </c>
      <c r="C25" s="8">
        <f>Model!H31/Financials!AC17</f>
        <v/>
      </c>
      <c r="D25" s="8">
        <f>Model!I31/Financials!AC17</f>
        <v/>
      </c>
      <c r="E25" s="8">
        <f>Model!J31/Financials!AC17</f>
        <v/>
      </c>
      <c r="F25" s="8">
        <f>Model!K31/Financials!AC17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Visa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Model!G39</f>
        <v/>
      </c>
      <c r="D12" s="28">
        <f>Model!H39</f>
        <v/>
      </c>
      <c r="E12" s="28">
        <f>Model!I39</f>
        <v/>
      </c>
      <c r="F12" s="28">
        <f>Model!J39</f>
        <v/>
      </c>
      <c r="G12" s="28">
        <f>Model!K39</f>
        <v/>
      </c>
      <c r="H12" s="28">
        <f>Model!L39</f>
        <v/>
      </c>
      <c r="I12" s="28">
        <f>Model!M39</f>
        <v/>
      </c>
      <c r="J12" s="28">
        <f>Model!N39</f>
        <v/>
      </c>
      <c r="K12" s="28">
        <f>Model!O39</f>
        <v/>
      </c>
      <c r="L12" s="28">
        <f>Model!P39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Model!P14</f>
        <v/>
      </c>
    </row>
    <row r="21">
      <c r="A21" s="4" t="inlineStr">
        <is>
          <t>Terminal EBIT</t>
        </is>
      </c>
      <c r="B21" s="28">
        <f>Model!P27</f>
        <v/>
      </c>
    </row>
    <row r="22">
      <c r="A22" s="4" t="inlineStr">
        <is>
          <t>Terminal EBITDA</t>
        </is>
      </c>
      <c r="B22" s="28">
        <f>Model!P27+Model!P32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Financials!AC42</f>
        <v/>
      </c>
    </row>
    <row r="33">
      <c r="A33" s="4" t="inlineStr">
        <is>
          <t>- Long-term debt</t>
        </is>
      </c>
      <c r="B33" s="28">
        <f>-Financials!AC47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Model!F14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Model!F28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0.0305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1.180327868852459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(Model!P14/Model!F14)^(1/10)-1</f>
        <v/>
      </c>
      <c r="D6" s="15" t="n">
        <v>0.02326501785259418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0.02073262399812837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0.8482301574000178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Financials!AC42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Financials!AC47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2026-06-08T03:58:35Z</dcterms:created>
  <dcterms:modified xmlns:dcterms="http://purl.org/dc/terms/" xmlns:xsi="http://www.w3.org/2001/XMLSchema-instance" xsi:type="dcterms:W3CDTF">2026-06-08T03:58:36Z</dcterms:modified>
</cp:coreProperties>
</file>