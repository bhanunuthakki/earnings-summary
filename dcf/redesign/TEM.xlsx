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Tempus AI, Inc. (TEM)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Tempus AI is a high-growth genomics/healthcare-information platform compounding revenue past $1.3B with consensus pointing to ~16-25% annual growth and a crossover to GAAP profitability around 2028. The thesis is operating leverage: as data/diagnostics scale on a largely fixed analytics and platform cost base, the currently negative operating margin normalizes toward a healthy ~20% mature level, with capex light (~2-3% of revenue) and converging to maintenance by year 10. We fade growth from ~22% near-term to a 4% terminal rate and exit on a mature ~14x EV/EBITDA, the lens the market uses once the business is cash-generative.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Tempus AI, Inc. (TEM)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Model!E36-WACC!B14</f>
        <v/>
      </c>
      <c r="C15" s="10">
        <f>IF(Model!E36-WACC!B14&lt;0,"!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0.22</v>
      </c>
      <c r="C20" s="15" t="n">
        <v>0.04</v>
      </c>
      <c r="D20" s="16" t="n">
        <v>0.22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-0.03</v>
      </c>
      <c r="D29" s="16" t="n">
        <v>-0.03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39.84187742500001</v>
      </c>
      <c r="D34" s="18" t="n">
        <v>39.84187742500001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3.985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14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43.62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Dashboard!$B$48*Financials!W17</f>
        <v/>
      </c>
    </row>
    <row r="10">
      <c r="A10" s="4" t="inlineStr">
        <is>
          <t>Total debt (D)</t>
        </is>
      </c>
      <c r="B10" s="28">
        <f>Financials!W24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$M unless noted</t>
        </is>
      </c>
      <c r="B1" s="30" t="inlineStr">
        <is>
          <t>FY2023A</t>
        </is>
      </c>
      <c r="C1" s="30" t="inlineStr">
        <is>
          <t>FY2024A</t>
        </is>
      </c>
      <c r="D1" s="30" t="inlineStr">
        <is>
          <t>FY2025A</t>
        </is>
      </c>
      <c r="E1" s="31" t="inlineStr">
        <is>
          <t>FY2026E</t>
        </is>
      </c>
      <c r="F1" s="31" t="inlineStr">
        <is>
          <t>FY2027E</t>
        </is>
      </c>
      <c r="G1" s="31" t="inlineStr">
        <is>
          <t>FY2028E</t>
        </is>
      </c>
      <c r="H1" s="31" t="inlineStr">
        <is>
          <t>FY2029E</t>
        </is>
      </c>
      <c r="I1" s="31" t="inlineStr">
        <is>
          <t>FY2030E</t>
        </is>
      </c>
      <c r="J1" s="31" t="inlineStr">
        <is>
          <t>FY2031E</t>
        </is>
      </c>
      <c r="K1" s="31" t="inlineStr">
        <is>
          <t>FY2032E</t>
        </is>
      </c>
      <c r="L1" s="31" t="inlineStr">
        <is>
          <t>FY2033E</t>
        </is>
      </c>
      <c r="M1" s="31" t="inlineStr">
        <is>
          <t>FY2034E</t>
        </is>
      </c>
      <c r="N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A4" s="4" t="inlineStr">
        <is>
          <t>Total company</t>
        </is>
      </c>
      <c r="B4" s="28">
        <f>SUM(Financials!K3:N3)</f>
        <v/>
      </c>
      <c r="C4" s="28">
        <f>SUM(Financials!O3:R3)</f>
        <v/>
      </c>
      <c r="D4" s="28">
        <f>SUM(Financials!S3:V3)</f>
        <v/>
      </c>
      <c r="E4" s="32">
        <f>D4*(1+E5)</f>
        <v/>
      </c>
      <c r="F4" s="32">
        <f>E4*(1+F5)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11">
        <f>Dashboard!$B$20+(Dashboard!$C$20-Dashboard!$B$20)*MAX(0,0-2)/7</f>
        <v/>
      </c>
      <c r="F5" s="11">
        <f>Dashboard!$B$20+(Dashboard!$C$20-Dashboard!$B$20)*MAX(0,1-2)/7</f>
        <v/>
      </c>
      <c r="G5" s="11">
        <f>Dashboard!$B$20+(Dashboard!$C$20-Dashboard!$B$20)*MAX(0,2-2)/7</f>
        <v/>
      </c>
      <c r="H5" s="11">
        <f>Dashboard!$B$20+(Dashboard!$C$20-Dashboard!$B$20)*MAX(0,3-2)/7</f>
        <v/>
      </c>
      <c r="I5" s="11">
        <f>Dashboard!$B$20+(Dashboard!$C$20-Dashboard!$B$20)*MAX(0,4-2)/7</f>
        <v/>
      </c>
      <c r="J5" s="11">
        <f>Dashboard!$B$20+(Dashboard!$C$20-Dashboard!$B$20)*MAX(0,5-2)/7</f>
        <v/>
      </c>
      <c r="K5" s="11">
        <f>Dashboard!$B$20+(Dashboard!$C$20-Dashboard!$B$20)*MAX(0,6-2)/7</f>
        <v/>
      </c>
      <c r="L5" s="11">
        <f>Dashboard!$B$20+(Dashboard!$C$20-Dashboard!$B$20)*MAX(0,7-2)/7</f>
        <v/>
      </c>
      <c r="M5" s="11">
        <f>Dashboard!$B$20+(Dashboard!$C$20-Dashboard!$B$20)*MAX(0,8-2)/7</f>
        <v/>
      </c>
      <c r="N5" s="11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</row>
    <row r="7">
      <c r="A7" s="4" t="inlineStr">
        <is>
          <t xml:space="preserve">    growth %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27">
        <f>IFERROR(G6/F6-1,"")</f>
        <v/>
      </c>
      <c r="H7" s="27">
        <f>IFERROR(H6/G6-1,"")</f>
        <v/>
      </c>
      <c r="I7" s="27">
        <f>IFERROR(I6/H6-1,"")</f>
        <v/>
      </c>
      <c r="J7" s="27">
        <f>IFERROR(J6/I6-1,"")</f>
        <v/>
      </c>
      <c r="K7" s="27">
        <f>IFERROR(K6/J6-1,"")</f>
        <v/>
      </c>
      <c r="L7" s="27">
        <f>IFERROR(L6/K6-1,"")</f>
        <v/>
      </c>
      <c r="M7" s="27">
        <f>IFERROR(M6/L6-1,"")</f>
        <v/>
      </c>
      <c r="N7" s="27">
        <f>IFERROR(N6/M6-1,"")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4" t="inlineStr">
        <is>
          <t>Cost of revenue</t>
        </is>
      </c>
      <c r="B10" s="28">
        <f>SUM(Financials!K5:N5)</f>
        <v/>
      </c>
      <c r="C10" s="28">
        <f>SUM(Financials!O5:R5)</f>
        <v/>
      </c>
      <c r="D10" s="28">
        <f>SUM(Financials!S5:V5)</f>
        <v/>
      </c>
      <c r="E10" s="32">
        <f>E6*E11</f>
        <v/>
      </c>
      <c r="F10" s="32">
        <f>F6*F11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</row>
    <row r="11">
      <c r="A11" s="4" t="inlineStr">
        <is>
          <t xml:space="preserve">    % of revenue</t>
        </is>
      </c>
      <c r="B11" s="27">
        <f>IFERROR(B10/B6,"")</f>
        <v/>
      </c>
      <c r="C11" s="27">
        <f>IFERROR(C10/C6,"")</f>
        <v/>
      </c>
      <c r="D11" s="27">
        <f>IFERROR(D10/D6,"")</f>
        <v/>
      </c>
      <c r="E11" s="15" t="n">
        <v>0.3035896677829419</v>
      </c>
      <c r="F11" s="15" t="n">
        <v>0.3035896677829419</v>
      </c>
      <c r="G11" s="15" t="n">
        <v>0.3035896677829419</v>
      </c>
      <c r="H11" s="15" t="n">
        <v>0.3035896677829419</v>
      </c>
      <c r="I11" s="15" t="n">
        <v>0.3035896677829419</v>
      </c>
      <c r="J11" s="15" t="n">
        <v>0.3035896677829419</v>
      </c>
      <c r="K11" s="15" t="n">
        <v>0.3035896677829419</v>
      </c>
      <c r="L11" s="15" t="n">
        <v>0.3035896677829419</v>
      </c>
      <c r="M11" s="15" t="n">
        <v>0.3035896677829419</v>
      </c>
      <c r="N11" s="15" t="n">
        <v>0.3035896677829419</v>
      </c>
    </row>
    <row r="12">
      <c r="A12" s="4" t="inlineStr">
        <is>
          <t>R&amp;D / Technology</t>
        </is>
      </c>
      <c r="B12" s="28">
        <f>SUM(Financials!K7:N7)</f>
        <v/>
      </c>
      <c r="C12" s="28">
        <f>SUM(Financials!O7:R7)</f>
        <v/>
      </c>
      <c r="D12" s="28">
        <f>SUM(Financials!S7:V7)</f>
        <v/>
      </c>
      <c r="E12" s="32">
        <f>E6*E13</f>
        <v/>
      </c>
      <c r="F12" s="32">
        <f>F6*F13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</row>
    <row r="13">
      <c r="A13" s="4" t="inlineStr">
        <is>
          <t xml:space="preserve">    % of revenue</t>
        </is>
      </c>
      <c r="B13" s="27">
        <f>IFERROR(B12/B6,"")</f>
        <v/>
      </c>
      <c r="C13" s="27">
        <f>IFERROR(C12/C6,"")</f>
        <v/>
      </c>
      <c r="D13" s="27">
        <f>IFERROR(D12/D6,"")</f>
        <v/>
      </c>
      <c r="E13" s="15" t="n">
        <v>0.2361484491531221</v>
      </c>
      <c r="F13" s="15" t="n">
        <v>0.2361484491531221</v>
      </c>
      <c r="G13" s="15" t="n">
        <v>0.2361484491531221</v>
      </c>
      <c r="H13" s="15" t="n">
        <v>0.2361484491531221</v>
      </c>
      <c r="I13" s="15" t="n">
        <v>0.2361484491531221</v>
      </c>
      <c r="J13" s="15" t="n">
        <v>0.2361484491531221</v>
      </c>
      <c r="K13" s="15" t="n">
        <v>0.2361484491531221</v>
      </c>
      <c r="L13" s="15" t="n">
        <v>0.2361484491531221</v>
      </c>
      <c r="M13" s="15" t="n">
        <v>0.2361484491531221</v>
      </c>
      <c r="N13" s="15" t="n">
        <v>0.2361484491531221</v>
      </c>
    </row>
    <row r="14">
      <c r="A14" s="4" t="inlineStr">
        <is>
          <t>SG&amp;A</t>
        </is>
      </c>
      <c r="B14" s="28">
        <f>SUM(Financials!K9:N9)</f>
        <v/>
      </c>
      <c r="C14" s="28">
        <f>SUM(Financials!O9:R9)</f>
        <v/>
      </c>
      <c r="D14" s="28">
        <f>SUM(Financials!S9:V9)</f>
        <v/>
      </c>
      <c r="E14" s="32">
        <f>E6*E15</f>
        <v/>
      </c>
      <c r="F14" s="32">
        <f>F6*F15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</row>
    <row r="15">
      <c r="A15" s="4" t="inlineStr">
        <is>
          <t xml:space="preserve">    % of revenue</t>
        </is>
      </c>
      <c r="B15" s="27">
        <f>IFERROR(B14/B6,"")</f>
        <v/>
      </c>
      <c r="C15" s="27">
        <f>IFERROR(C14/C6,"")</f>
        <v/>
      </c>
      <c r="D15" s="27">
        <f>IFERROR(D14/D6,"")</f>
        <v/>
      </c>
      <c r="E15" s="15" t="n">
        <v>0.5713605008377963</v>
      </c>
      <c r="F15" s="15" t="n">
        <v>0.5713605008377963</v>
      </c>
      <c r="G15" s="15" t="n">
        <v>0.5713605008377963</v>
      </c>
      <c r="H15" s="15" t="n">
        <v>0.5713605008377963</v>
      </c>
      <c r="I15" s="15" t="n">
        <v>0.5713605008377963</v>
      </c>
      <c r="J15" s="15" t="n">
        <v>0.5713605008377963</v>
      </c>
      <c r="K15" s="15" t="n">
        <v>0.5713605008377963</v>
      </c>
      <c r="L15" s="15" t="n">
        <v>0.5713605008377963</v>
      </c>
      <c r="M15" s="15" t="n">
        <v>0.5713605008377963</v>
      </c>
      <c r="N15" s="15" t="n">
        <v>0.5713605008377963</v>
      </c>
    </row>
    <row r="16">
      <c r="A16" s="4" t="inlineStr">
        <is>
          <t>Other opex (fulfilment, etc.)</t>
        </is>
      </c>
      <c r="B16" s="28">
        <f>B6-(B10+B12+B14)-SUM(Financials!K13:N13)</f>
        <v/>
      </c>
      <c r="C16" s="28">
        <f>C6-(C10+C12+C14)-SUM(Financials!O13:R13)</f>
        <v/>
      </c>
      <c r="D16" s="28">
        <f>D6-(D10+D12+D14)-SUM(Financials!S13:V13)</f>
        <v/>
      </c>
      <c r="E16" s="28">
        <f>E6*(1-(Dashboard!$B$29+(Dashboard!$B$30-Dashboard!$B$29)*MIN(1,0/4)))-(E10+E12+E14)</f>
        <v/>
      </c>
      <c r="F16" s="28">
        <f>F6*(1-(Dashboard!$B$29+(Dashboard!$B$30-Dashboard!$B$29)*MIN(1,1/4)))-(F10+F12+F14)</f>
        <v/>
      </c>
      <c r="G16" s="28">
        <f>G6*(1-(Dashboard!$B$29+(Dashboard!$B$30-Dashboard!$B$29)*MIN(1,2/4)))-(G10+G12+G14)</f>
        <v/>
      </c>
      <c r="H16" s="28">
        <f>H6*(1-(Dashboard!$B$29+(Dashboard!$B$30-Dashboard!$B$29)*MIN(1,3/4)))-(H10+H12+H14)</f>
        <v/>
      </c>
      <c r="I16" s="28">
        <f>I6*(1-(Dashboard!$B$29+(Dashboard!$B$30-Dashboard!$B$29)*MIN(1,4/4)))-(I10+I12+I14)</f>
        <v/>
      </c>
      <c r="J16" s="28">
        <f>J6*(1-(Dashboard!$B$29+(Dashboard!$B$30-Dashboard!$B$29)*MIN(1,5/4)))-(J10+J12+J14)</f>
        <v/>
      </c>
      <c r="K16" s="28">
        <f>K6*(1-(Dashboard!$B$29+(Dashboard!$B$30-Dashboard!$B$29)*MIN(1,6/4)))-(K10+K12+K14)</f>
        <v/>
      </c>
      <c r="L16" s="28">
        <f>L6*(1-(Dashboard!$B$29+(Dashboard!$B$30-Dashboard!$B$29)*MIN(1,7/4)))-(L10+L12+L14)</f>
        <v/>
      </c>
      <c r="M16" s="28">
        <f>M6*(1-(Dashboard!$B$29+(Dashboard!$B$30-Dashboard!$B$29)*MIN(1,8/4)))-(M10+M12+M14)</f>
        <v/>
      </c>
      <c r="N16" s="28">
        <f>N6*(1-(Dashboard!$B$29+(Dashboard!$B$30-Dashboard!$B$29)*MIN(1,9/4)))-(N10+N12+N14)</f>
        <v/>
      </c>
    </row>
    <row r="17">
      <c r="A17" s="4" t="inlineStr">
        <is>
          <t xml:space="preserve">    % of revenue</t>
        </is>
      </c>
      <c r="B17" s="27">
        <f>IFERROR(B16/B6,"")</f>
        <v/>
      </c>
      <c r="C17" s="27">
        <f>IFERROR(C16/C6,"")</f>
        <v/>
      </c>
      <c r="D17" s="27">
        <f>IFERROR(D16/D6,"")</f>
        <v/>
      </c>
      <c r="E17" s="27">
        <f>IFERROR(E16/E6,"")</f>
        <v/>
      </c>
      <c r="F17" s="27">
        <f>IFERROR(F16/F6,"")</f>
        <v/>
      </c>
      <c r="G17" s="27">
        <f>IFERROR(G16/G6,"")</f>
        <v/>
      </c>
      <c r="H17" s="27">
        <f>IFERROR(H16/H6,"")</f>
        <v/>
      </c>
      <c r="I17" s="27">
        <f>IFERROR(I16/I6,"")</f>
        <v/>
      </c>
      <c r="J17" s="27">
        <f>IFERROR(J16/J6,"")</f>
        <v/>
      </c>
      <c r="K17" s="27">
        <f>IFERROR(K16/K6,"")</f>
        <v/>
      </c>
      <c r="L17" s="27">
        <f>IFERROR(L16/L6,"")</f>
        <v/>
      </c>
      <c r="M17" s="27">
        <f>IFERROR(M16/M6,"")</f>
        <v/>
      </c>
      <c r="N17" s="27">
        <f>IFERROR(N16/N6,"")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</row>
    <row r="20">
      <c r="A20" s="4" t="inlineStr">
        <is>
          <t xml:space="preserve">    operating margin</t>
        </is>
      </c>
      <c r="B20" s="27">
        <f>IFERROR(B19/B6,"")</f>
        <v/>
      </c>
      <c r="C20" s="27">
        <f>IFERROR(C19/C6,"")</f>
        <v/>
      </c>
      <c r="D20" s="27">
        <f>IFERROR(D19/D6,"")</f>
        <v/>
      </c>
      <c r="E20" s="27">
        <f>IFERROR(E19/E6,"")</f>
        <v/>
      </c>
      <c r="F20" s="27">
        <f>IFERROR(F19/F6,"")</f>
        <v/>
      </c>
      <c r="G20" s="27">
        <f>IFERROR(G19/G6,"")</f>
        <v/>
      </c>
      <c r="H20" s="27">
        <f>IFERROR(H19/H6,"")</f>
        <v/>
      </c>
      <c r="I20" s="27">
        <f>IFERROR(I19/I6,"")</f>
        <v/>
      </c>
      <c r="J20" s="27">
        <f>IFERROR(J19/J6,"")</f>
        <v/>
      </c>
      <c r="K20" s="27">
        <f>IFERROR(K19/K6,"")</f>
        <v/>
      </c>
      <c r="L20" s="27">
        <f>IFERROR(L19/L6,"")</f>
        <v/>
      </c>
      <c r="M20" s="27">
        <f>IFERROR(M19/M6,"")</f>
        <v/>
      </c>
      <c r="N20" s="27">
        <f>IFERROR(N19/N6,"")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</row>
    <row r="24">
      <c r="A24" s="4" t="inlineStr">
        <is>
          <t>+ D&amp;A</t>
        </is>
      </c>
      <c r="B24" s="28">
        <f>SUM(Financials!K27:N27)</f>
        <v/>
      </c>
      <c r="C24" s="28">
        <f>SUM(Financials!O27:R27)</f>
        <v/>
      </c>
      <c r="D24" s="28">
        <f>SUM(Financials!S27:V27)</f>
        <v/>
      </c>
      <c r="E24" s="32">
        <f>E6*0.0816</f>
        <v/>
      </c>
      <c r="F24" s="32">
        <f>F6*0.0816</f>
        <v/>
      </c>
      <c r="G24" s="32">
        <f>G6*0.0816</f>
        <v/>
      </c>
      <c r="H24" s="32">
        <f>H6*0.0816</f>
        <v/>
      </c>
      <c r="I24" s="32">
        <f>I6*0.0816</f>
        <v/>
      </c>
      <c r="J24" s="32">
        <f>J6*0.0816</f>
        <v/>
      </c>
      <c r="K24" s="32">
        <f>K6*0.0816</f>
        <v/>
      </c>
      <c r="L24" s="32">
        <f>L6*0.0816</f>
        <v/>
      </c>
      <c r="M24" s="32">
        <f>M6*0.0816</f>
        <v/>
      </c>
      <c r="N24" s="32">
        <f>N6*0.0816</f>
        <v/>
      </c>
    </row>
    <row r="25">
      <c r="A25" s="4" t="inlineStr">
        <is>
          <t>+ SBC (non-cash)</t>
        </is>
      </c>
      <c r="B25" s="28">
        <f>SUM(Financials!K28:N28)</f>
        <v/>
      </c>
      <c r="C25" s="28">
        <f>SUM(Financials!O28:R28)</f>
        <v/>
      </c>
      <c r="D25" s="28">
        <f>SUM(Financials!S28:V28)</f>
        <v/>
      </c>
      <c r="E25" s="32">
        <f>E6*0.0981</f>
        <v/>
      </c>
      <c r="F25" s="32">
        <f>F6*0.0937</f>
        <v/>
      </c>
      <c r="G25" s="32">
        <f>G6*0.0894</f>
        <v/>
      </c>
      <c r="H25" s="32">
        <f>H6*0.0850</f>
        <v/>
      </c>
      <c r="I25" s="32">
        <f>I6*0.0806</f>
        <v/>
      </c>
      <c r="J25" s="32">
        <f>J6*0.0763</f>
        <v/>
      </c>
      <c r="K25" s="32">
        <f>K6*0.0719</f>
        <v/>
      </c>
      <c r="L25" s="32">
        <f>L6*0.0676</f>
        <v/>
      </c>
      <c r="M25" s="32">
        <f>M6*0.0632</f>
        <v/>
      </c>
      <c r="N25" s="32">
        <f>N6*0.0589</f>
        <v/>
      </c>
    </row>
    <row r="26">
      <c r="A26" s="4" t="inlineStr">
        <is>
          <t>- dNWC</t>
        </is>
      </c>
      <c r="E26" s="32">
        <f>(E6-D6)*0.0050</f>
        <v/>
      </c>
      <c r="F26" s="32">
        <f>(F6-E6)*0.0050</f>
        <v/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</row>
    <row r="27">
      <c r="A27" s="4" t="inlineStr">
        <is>
          <t>- Capex</t>
        </is>
      </c>
      <c r="B27" s="28">
        <f>-SUM(Financials!K31:N31)</f>
        <v/>
      </c>
      <c r="C27" s="28">
        <f>-SUM(Financials!O31:R31)</f>
        <v/>
      </c>
      <c r="D27" s="28">
        <f>-SUM(Financials!S31:V31)</f>
        <v/>
      </c>
      <c r="E27" s="32">
        <f>E24*E28</f>
        <v/>
      </c>
      <c r="F27" s="32">
        <f>F24*F28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</row>
    <row r="28">
      <c r="A28" s="4" t="inlineStr">
        <is>
          <t xml:space="preserve">    Capex / D&amp;A  (from Dashboard: $cap'26 -&gt; terminal)</t>
        </is>
      </c>
      <c r="B28" s="34">
        <f>IFERROR(B27/B24,"")</f>
        <v/>
      </c>
      <c r="C28" s="34">
        <f>IFERROR(C27/C24,"")</f>
        <v/>
      </c>
      <c r="D28" s="34">
        <f>IFERROR(D27/D24,"")</f>
        <v/>
      </c>
      <c r="E28" s="13">
        <f>(Dashboard!$B$34/E24)+(Dashboard!$B$35-(Dashboard!$B$34/E24))*0/9</f>
        <v/>
      </c>
      <c r="F28" s="13">
        <f>(Dashboard!$B$34/E24)+(Dashboard!$B$35-(Dashboard!$B$34/E24))*1/9</f>
        <v/>
      </c>
      <c r="G28" s="13">
        <f>(Dashboard!$B$34/E24)+(Dashboard!$B$35-(Dashboard!$B$34/E24))*2/9</f>
        <v/>
      </c>
      <c r="H28" s="13">
        <f>(Dashboard!$B$34/E24)+(Dashboard!$B$35-(Dashboard!$B$34/E24))*3/9</f>
        <v/>
      </c>
      <c r="I28" s="13">
        <f>(Dashboard!$B$34/E24)+(Dashboard!$B$35-(Dashboard!$B$34/E24))*4/9</f>
        <v/>
      </c>
      <c r="J28" s="13">
        <f>(Dashboard!$B$34/E24)+(Dashboard!$B$35-(Dashboard!$B$34/E24))*5/9</f>
        <v/>
      </c>
      <c r="K28" s="13">
        <f>(Dashboard!$B$34/E24)+(Dashboard!$B$35-(Dashboard!$B$34/E24))*6/9</f>
        <v/>
      </c>
      <c r="L28" s="13">
        <f>(Dashboard!$B$34/E24)+(Dashboard!$B$35-(Dashboard!$B$34/E24))*7/9</f>
        <v/>
      </c>
      <c r="M28" s="13">
        <f>(Dashboard!$B$34/E24)+(Dashboard!$B$35-(Dashboard!$B$34/E24))*8/9</f>
        <v/>
      </c>
      <c r="N28" s="13">
        <f>(Dashboard!$B$34/E24)+(Dashboard!$B$35-(Dashboard!$B$34/E24))*9/9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4" t="inlineStr">
        <is>
          <t>Invested capital (debt + equity - cash)</t>
        </is>
      </c>
      <c r="B34" s="28">
        <f>Financials!N25+Financials!N24-Financials!N19</f>
        <v/>
      </c>
      <c r="C34" s="28">
        <f>Financials!R25+Financials!R24-Financials!R19</f>
        <v/>
      </c>
      <c r="D34" s="28">
        <f>Financials!V25+Financials!V24-Financials!V19</f>
        <v/>
      </c>
      <c r="E34" s="32">
        <f>D34+E27-E24+E26</f>
        <v/>
      </c>
      <c r="F34" s="32">
        <f>E34+F27-F24+F26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</row>
    <row r="35">
      <c r="A35" s="4" t="inlineStr">
        <is>
          <t>Book equity (year-end)</t>
        </is>
      </c>
      <c r="B35" s="28">
        <f>Financials!N25</f>
        <v/>
      </c>
      <c r="C35" s="28">
        <f>Financials!R25</f>
        <v/>
      </c>
      <c r="D35" s="28">
        <f>Financials!V25</f>
        <v/>
      </c>
      <c r="E35" s="32">
        <f>D35+E23</f>
        <v/>
      </c>
      <c r="F35" s="32">
        <f>E35+F23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</row>
    <row r="36">
      <c r="A36" s="3" t="inlineStr">
        <is>
          <t xml:space="preserve">  ROIC (NOPAT / beg. invested capital)</t>
        </is>
      </c>
      <c r="C36" s="27">
        <f>IFERROR(C23/B34,"")</f>
        <v/>
      </c>
      <c r="D36" s="27">
        <f>IFERROR(D23/C34,"")</f>
        <v/>
      </c>
      <c r="E36" s="27">
        <f>IFERROR(E23/D34,"")</f>
        <v/>
      </c>
      <c r="F36" s="27">
        <f>IFERROR(F23/E34,"")</f>
        <v/>
      </c>
      <c r="G36" s="27">
        <f>IFERROR(G23/F34,"")</f>
        <v/>
      </c>
      <c r="H36" s="27">
        <f>IFERROR(H23/G34,"")</f>
        <v/>
      </c>
      <c r="I36" s="27">
        <f>IFERROR(I23/H34,"")</f>
        <v/>
      </c>
      <c r="J36" s="27">
        <f>IFERROR(J23/I34,"")</f>
        <v/>
      </c>
      <c r="K36" s="27">
        <f>IFERROR(K23/J34,"")</f>
        <v/>
      </c>
      <c r="L36" s="27">
        <f>IFERROR(L23/K34,"")</f>
        <v/>
      </c>
      <c r="M36" s="27">
        <f>IFERROR(M23/L34,"")</f>
        <v/>
      </c>
      <c r="N36" s="27">
        <f>IFERROR(N23/M34,"")</f>
        <v/>
      </c>
    </row>
    <row r="37">
      <c r="A37" s="3" t="inlineStr">
        <is>
          <t xml:space="preserve">  ROE (earnings / beg. equity)</t>
        </is>
      </c>
      <c r="C37" s="11">
        <f>IFERROR(SUM(Financials!O15:R15)/B35,"")</f>
        <v/>
      </c>
      <c r="D37" s="11">
        <f>IFERROR(SUM(Financials!S15:V15)/C35,"")</f>
        <v/>
      </c>
      <c r="E37" s="27">
        <f>IFERROR(E23/D35,"")</f>
        <v/>
      </c>
      <c r="F37" s="27">
        <f>IFERROR(F23/E35,"")</f>
        <v/>
      </c>
      <c r="G37" s="27">
        <f>IFERROR(G23/F35,"")</f>
        <v/>
      </c>
      <c r="H37" s="27">
        <f>IFERROR(H23/G35,"")</f>
        <v/>
      </c>
      <c r="I37" s="27">
        <f>IFERROR(I23/H35,"")</f>
        <v/>
      </c>
      <c r="J37" s="27">
        <f>IFERROR(J23/I35,"")</f>
        <v/>
      </c>
      <c r="K37" s="27">
        <f>IFERROR(K23/J35,"")</f>
        <v/>
      </c>
      <c r="L37" s="27">
        <f>IFERROR(L23/K35,"")</f>
        <v/>
      </c>
      <c r="M37" s="27">
        <f>IFERROR(M23/L35,"")</f>
        <v/>
      </c>
      <c r="N37" s="27">
        <f>IFERROR(N23/M35,"")</f>
        <v/>
      </c>
    </row>
    <row r="38">
      <c r="A38" s="4" t="inlineStr">
        <is>
          <t xml:space="preserve">  ROIC - WACC spread (value created)</t>
        </is>
      </c>
      <c r="C38" s="11">
        <f>IFERROR(C36-WACC!$B$14,"")</f>
        <v/>
      </c>
      <c r="D38" s="11">
        <f>IFERROR(D36-WACC!$B$14,"")</f>
        <v/>
      </c>
      <c r="E38" s="11">
        <f>IFERROR(E36-WACC!$B$14,"")</f>
        <v/>
      </c>
      <c r="F38" s="11">
        <f>IFERROR(F36-WACC!$B$14,"")</f>
        <v/>
      </c>
      <c r="G38" s="11">
        <f>IFERROR(G36-WACC!$B$14,"")</f>
        <v/>
      </c>
      <c r="H38" s="11">
        <f>IFERROR(H36-WACC!$B$14,"")</f>
        <v/>
      </c>
      <c r="I38" s="11">
        <f>IFERROR(I36-WACC!$B$14,"")</f>
        <v/>
      </c>
      <c r="J38" s="11">
        <f>IFERROR(J36-WACC!$B$14,"")</f>
        <v/>
      </c>
      <c r="K38" s="11">
        <f>IFERROR(K36-WACC!$B$14,"")</f>
        <v/>
      </c>
      <c r="L38" s="11">
        <f>IFERROR(L36-WACC!$B$14,"")</f>
        <v/>
      </c>
      <c r="M38" s="11">
        <f>IFERROR(M36-WACC!$B$14,"")</f>
        <v/>
      </c>
      <c r="N38" s="11">
        <f>IFERROR(N36-WACC!$B$14,"")</f>
        <v/>
      </c>
    </row>
    <row r="39">
      <c r="A39" s="4" t="inlineStr">
        <is>
          <t xml:space="preserve">  Incremental op margin (ΔEBIT / ΔRev)</t>
        </is>
      </c>
      <c r="C39" s="27">
        <f>IFERROR((C19-B19)/(C6-B6),"")</f>
        <v/>
      </c>
      <c r="D39" s="27">
        <f>IFERROR((D19-C19)/(D6-C6),"")</f>
        <v/>
      </c>
      <c r="E39" s="27">
        <f>IFERROR((E19-D19)/(E6-D6),"")</f>
        <v/>
      </c>
      <c r="F39" s="27">
        <f>IFERROR((F19-E19)/(F6-E6),"")</f>
        <v/>
      </c>
      <c r="G39" s="27">
        <f>IFERROR((G19-F19)/(G6-F6),"")</f>
        <v/>
      </c>
      <c r="H39" s="27">
        <f>IFERROR((H19-G19)/(H6-G6),"")</f>
        <v/>
      </c>
      <c r="I39" s="27">
        <f>IFERROR((I19-H19)/(I6-H6),"")</f>
        <v/>
      </c>
      <c r="J39" s="27">
        <f>IFERROR((J19-I19)/(J6-I6),"")</f>
        <v/>
      </c>
      <c r="K39" s="27">
        <f>IFERROR((K19-J19)/(K6-J6),"")</f>
        <v/>
      </c>
      <c r="L39" s="27">
        <f>IFERROR((L19-K19)/(L6-K6),"")</f>
        <v/>
      </c>
      <c r="M39" s="27">
        <f>IFERROR((M19-L19)/(M6-L6),"")</f>
        <v/>
      </c>
      <c r="N39" s="27">
        <f>IFERROR((N19-M19)/(N6-M6),"")</f>
        <v/>
      </c>
    </row>
    <row r="40">
      <c r="A40" s="3" t="inlineStr">
        <is>
          <t xml:space="preserve">  ROIIC (ΔNOPAT / ΔInvested capital)</t>
        </is>
      </c>
      <c r="C40" s="27">
        <f>IFERROR((C23-B23)/(C34-B34),"")</f>
        <v/>
      </c>
      <c r="D40" s="27">
        <f>IFERROR((D23-C23)/(D34-C34),"")</f>
        <v/>
      </c>
      <c r="E40" s="27">
        <f>IFERROR((E23-D23)/(E34-D34),"")</f>
        <v/>
      </c>
      <c r="F40" s="27">
        <f>IFERROR((F23-E23)/(F34-E34),"")</f>
        <v/>
      </c>
      <c r="G40" s="27">
        <f>IFERROR((G23-F23)/(G34-F34),"")</f>
        <v/>
      </c>
      <c r="H40" s="27">
        <f>IFERROR((H23-G23)/(H34-G34),"")</f>
        <v/>
      </c>
      <c r="I40" s="27">
        <f>IFERROR((I23-H23)/(I34-H34),"")</f>
        <v/>
      </c>
      <c r="J40" s="27">
        <f>IFERROR((J23-I23)/(J34-I34),"")</f>
        <v/>
      </c>
      <c r="K40" s="27">
        <f>IFERROR((K23-J23)/(K34-J34),"")</f>
        <v/>
      </c>
      <c r="L40" s="27">
        <f>IFERROR((L23-K23)/(L34-K34),"")</f>
        <v/>
      </c>
      <c r="M40" s="27">
        <f>IFERROR((M23-L23)/(M34-L34),"")</f>
        <v/>
      </c>
      <c r="N40" s="27">
        <f>IFERROR((N23-M23)/(N34-M34),"")</f>
        <v/>
      </c>
    </row>
    <row r="41">
      <c r="A41" s="4" t="inlineStr">
        <is>
          <t xml:space="preserve">  Sales-to-capital (ΔRev / ΔInvested capital)</t>
        </is>
      </c>
      <c r="C41" s="35">
        <f>IFERROR((C6-B6)/(C34-B34),"")</f>
        <v/>
      </c>
      <c r="D41" s="35">
        <f>IFERROR((D6-C6)/(D34-C34),"")</f>
        <v/>
      </c>
      <c r="E41" s="35">
        <f>IFERROR((E6-D6)/(E34-D34),"")</f>
        <v/>
      </c>
      <c r="F41" s="35">
        <f>IFERROR((F6-E6)/(F34-E34),"")</f>
        <v/>
      </c>
      <c r="G41" s="35">
        <f>IFERROR((G6-F6)/(G34-F34),"")</f>
        <v/>
      </c>
      <c r="H41" s="35">
        <f>IFERROR((H6-G6)/(H34-G34),"")</f>
        <v/>
      </c>
      <c r="I41" s="35">
        <f>IFERROR((I6-H6)/(I34-H34),"")</f>
        <v/>
      </c>
      <c r="J41" s="35">
        <f>IFERROR((J6-I6)/(J34-I34),"")</f>
        <v/>
      </c>
      <c r="K41" s="35">
        <f>IFERROR((K6-J6)/(K34-J34),"")</f>
        <v/>
      </c>
      <c r="L41" s="35">
        <f>IFERROR((L6-K6)/(L34-K34),"")</f>
        <v/>
      </c>
      <c r="M41" s="35">
        <f>IFERROR((M6-L6)/(M34-L34),"")</f>
        <v/>
      </c>
      <c r="N41" s="35">
        <f>IFERROR((N6-M6)/(N34-M34),"")</f>
        <v/>
      </c>
    </row>
    <row r="42">
      <c r="A42" s="4" t="inlineStr">
        <is>
          <t xml:space="preserve">  Reinvestment rate (ΔInvested capital / NOPAT)</t>
        </is>
      </c>
      <c r="C42" s="27">
        <f>IFERROR((C34-B34)/C23,"")</f>
        <v/>
      </c>
      <c r="D42" s="27">
        <f>IFERROR((D34-C34)/D23,"")</f>
        <v/>
      </c>
      <c r="E42" s="27">
        <f>IFERROR((E34-D34)/E23,"")</f>
        <v/>
      </c>
      <c r="F42" s="27">
        <f>IFERROR((F34-E34)/F23,"")</f>
        <v/>
      </c>
      <c r="G42" s="27">
        <f>IFERROR((G34-F34)/G23,"")</f>
        <v/>
      </c>
      <c r="H42" s="27">
        <f>IFERROR((H34-G34)/H23,"")</f>
        <v/>
      </c>
      <c r="I42" s="27">
        <f>IFERROR((I34-H34)/I23,"")</f>
        <v/>
      </c>
      <c r="J42" s="27">
        <f>IFERROR((J34-I34)/J23,"")</f>
        <v/>
      </c>
      <c r="K42" s="27">
        <f>IFERROR((K34-J34)/K23,"")</f>
        <v/>
      </c>
      <c r="L42" s="27">
        <f>IFERROR((L34-K34)/L23,"")</f>
        <v/>
      </c>
      <c r="M42" s="27">
        <f>IFERROR((M34-L34)/M23,"")</f>
        <v/>
      </c>
      <c r="N42" s="27">
        <f>IFERROR((N34-M34)/N23,"")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3" t="inlineStr">
        <is>
          <t>Line Item ($M)</t>
        </is>
      </c>
      <c r="B1" s="36" t="inlineStr">
        <is>
          <t>Q1 2020</t>
        </is>
      </c>
      <c r="C1" s="36" t="inlineStr">
        <is>
          <t>Q2 2020</t>
        </is>
      </c>
      <c r="D1" s="36" t="inlineStr">
        <is>
          <t>Q3 2020</t>
        </is>
      </c>
      <c r="E1" s="36" t="inlineStr">
        <is>
          <t>Q4 2020</t>
        </is>
      </c>
      <c r="F1" s="36" t="inlineStr">
        <is>
          <t>Q1 2021</t>
        </is>
      </c>
      <c r="G1" s="36" t="inlineStr">
        <is>
          <t>Q2 2021</t>
        </is>
      </c>
      <c r="H1" s="36" t="inlineStr">
        <is>
          <t>Q3 2021</t>
        </is>
      </c>
      <c r="I1" s="36" t="inlineStr">
        <is>
          <t>Q4 2021</t>
        </is>
      </c>
      <c r="J1" s="36" t="inlineStr">
        <is>
          <t>Q4 2022</t>
        </is>
      </c>
      <c r="K1" s="36" t="inlineStr">
        <is>
          <t>Q1 2023</t>
        </is>
      </c>
      <c r="L1" s="36" t="inlineStr">
        <is>
          <t>Q2 2023</t>
        </is>
      </c>
      <c r="M1" s="36" t="inlineStr">
        <is>
          <t>Q3 2023</t>
        </is>
      </c>
      <c r="N1" s="36" t="inlineStr">
        <is>
          <t>Q4 2023</t>
        </is>
      </c>
      <c r="O1" s="36" t="inlineStr">
        <is>
          <t>Q1 2024</t>
        </is>
      </c>
      <c r="P1" s="36" t="inlineStr">
        <is>
          <t>Q2 2024</t>
        </is>
      </c>
      <c r="Q1" s="36" t="inlineStr">
        <is>
          <t>Q3 2024</t>
        </is>
      </c>
      <c r="R1" s="36" t="inlineStr">
        <is>
          <t>Q4 2024</t>
        </is>
      </c>
      <c r="S1" s="36" t="inlineStr">
        <is>
          <t>Q1 2025</t>
        </is>
      </c>
      <c r="T1" s="36" t="inlineStr">
        <is>
          <t>Q2 2025</t>
        </is>
      </c>
      <c r="U1" s="36" t="inlineStr">
        <is>
          <t>Q3 2025</t>
        </is>
      </c>
      <c r="V1" s="36" t="inlineStr">
        <is>
          <t>Q4 2025</t>
        </is>
      </c>
      <c r="W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s="4" t="inlineStr">
        <is>
          <t>Revenue</t>
        </is>
      </c>
      <c r="B3" s="18" t="n">
        <v>18.2095</v>
      </c>
      <c r="C3" s="18" t="n">
        <v>18.2095</v>
      </c>
      <c r="D3" s="18" t="n">
        <v>50.733</v>
      </c>
      <c r="E3" s="18" t="n">
        <v>100.852</v>
      </c>
      <c r="F3" s="18" t="n">
        <v>66.0475</v>
      </c>
      <c r="G3" s="18" t="n">
        <v>66.0475</v>
      </c>
      <c r="H3" s="18" t="n">
        <v>52.448</v>
      </c>
      <c r="I3" s="18" t="n">
        <v>73.31</v>
      </c>
      <c r="J3" s="18" t="n">
        <v>100.626</v>
      </c>
      <c r="K3" s="18" t="n">
        <v>115.624</v>
      </c>
      <c r="L3" s="18" t="n">
        <v>132.417</v>
      </c>
      <c r="M3" s="18" t="n">
        <v>136.057</v>
      </c>
      <c r="N3" s="18" t="n">
        <v>147.724</v>
      </c>
      <c r="O3" s="18" t="n">
        <v>145.82</v>
      </c>
      <c r="P3" s="18" t="n">
        <v>165.969</v>
      </c>
      <c r="Q3" s="18" t="n">
        <v>180.929</v>
      </c>
      <c r="R3" s="18" t="n">
        <v>200.68</v>
      </c>
      <c r="S3" s="18" t="n">
        <v>255.737</v>
      </c>
      <c r="T3" s="18" t="n">
        <v>314.635</v>
      </c>
      <c r="U3" s="18" t="n">
        <v>334.206</v>
      </c>
      <c r="V3" s="18" t="n">
        <v>367.211</v>
      </c>
      <c r="W3" s="18" t="n">
        <v>348.116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</row>
    <row r="5">
      <c r="A5" s="4" t="inlineStr">
        <is>
          <t>Cost of Revenue</t>
        </is>
      </c>
      <c r="B5" s="18" t="n">
        <v>18.4735</v>
      </c>
      <c r="C5" s="18" t="n">
        <v>18.4735</v>
      </c>
      <c r="D5" s="18" t="n">
        <v>48.497</v>
      </c>
      <c r="E5" s="18" t="n">
        <v>73.846</v>
      </c>
      <c r="F5" s="18" t="n">
        <v>51.21</v>
      </c>
      <c r="G5" s="18" t="n">
        <v>51.21</v>
      </c>
      <c r="H5" s="18" t="n">
        <v>34.811</v>
      </c>
      <c r="I5" s="18" t="n">
        <v>36.978</v>
      </c>
      <c r="J5" s="18" t="n">
        <v>52.144</v>
      </c>
      <c r="K5" s="18" t="n">
        <v>56.673</v>
      </c>
      <c r="L5" s="18" t="n">
        <v>60.768</v>
      </c>
      <c r="M5" s="18" t="n">
        <v>62.03</v>
      </c>
      <c r="N5" s="18" t="n">
        <v>66.176</v>
      </c>
      <c r="O5" s="18" t="n">
        <v>68.123</v>
      </c>
      <c r="P5" s="18" t="n">
        <v>90.456</v>
      </c>
      <c r="Q5" s="18" t="n">
        <v>75.09</v>
      </c>
      <c r="R5" s="18" t="n">
        <v>78.616</v>
      </c>
      <c r="S5" s="18" t="n">
        <v>100.534</v>
      </c>
      <c r="T5" s="18" t="n">
        <v>119.596</v>
      </c>
      <c r="U5" s="18" t="n">
        <v>128.3</v>
      </c>
      <c r="V5" s="18" t="n">
        <v>37.672</v>
      </c>
      <c r="W5" s="18" t="n">
        <v>129.775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</row>
    <row r="7">
      <c r="A7" s="4" t="inlineStr">
        <is>
          <t>R&amp;D Expense</t>
        </is>
      </c>
      <c r="B7" s="18" t="n">
        <v>20.76</v>
      </c>
      <c r="C7" s="18" t="n">
        <v>20.76</v>
      </c>
      <c r="D7" s="18" t="n">
        <v>44.483</v>
      </c>
      <c r="E7" s="18" t="n">
        <v>26.168</v>
      </c>
      <c r="F7" s="18" t="n">
        <v>30.042</v>
      </c>
      <c r="G7" s="18" t="n">
        <v>30.042</v>
      </c>
      <c r="H7" s="18" t="n">
        <v>64.27800000000001</v>
      </c>
      <c r="I7" s="18" t="n">
        <v>36.282</v>
      </c>
      <c r="J7" s="18" t="n">
        <v>42.441</v>
      </c>
      <c r="K7" s="18" t="n">
        <v>43.765</v>
      </c>
      <c r="L7" s="18" t="n">
        <v>45.598</v>
      </c>
      <c r="M7" s="18" t="n">
        <v>47.39</v>
      </c>
      <c r="N7" s="18" t="n">
        <v>48.745</v>
      </c>
      <c r="O7" s="18" t="n">
        <v>51.407</v>
      </c>
      <c r="P7" s="18" t="n">
        <v>145.933</v>
      </c>
      <c r="Q7" s="18" t="n">
        <v>58.028</v>
      </c>
      <c r="R7" s="18" t="n">
        <v>61.476</v>
      </c>
      <c r="S7" s="18" t="n">
        <v>69.265</v>
      </c>
      <c r="T7" s="18" t="n">
        <v>76.101</v>
      </c>
      <c r="U7" s="18" t="n">
        <v>83.047</v>
      </c>
      <c r="V7" s="18" t="n">
        <v>71.91800000000001</v>
      </c>
      <c r="W7" s="18" t="n">
        <v>45.921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</row>
    <row r="9">
      <c r="A9" s="4" t="inlineStr">
        <is>
          <t>SG&amp;A Expense</t>
        </is>
      </c>
      <c r="B9" s="18" t="n">
        <v>28.529</v>
      </c>
      <c r="C9" s="18" t="n">
        <v>28.529</v>
      </c>
      <c r="D9" s="18" t="n">
        <v>30.948</v>
      </c>
      <c r="E9" s="18" t="n">
        <v>42.886</v>
      </c>
      <c r="F9" s="18" t="n">
        <v>46.9495</v>
      </c>
      <c r="G9" s="18" t="n">
        <v>46.9495</v>
      </c>
      <c r="H9" s="18" t="n">
        <v>50.259</v>
      </c>
      <c r="I9" s="18" t="n">
        <v>54.846</v>
      </c>
      <c r="J9" s="18" t="n">
        <v>64.438</v>
      </c>
      <c r="K9" s="18" t="n">
        <v>69.047</v>
      </c>
      <c r="L9" s="18" t="n">
        <v>71.18899999999999</v>
      </c>
      <c r="M9" s="18" t="n">
        <v>71.426</v>
      </c>
      <c r="N9" s="18" t="n">
        <v>85.098</v>
      </c>
      <c r="O9" s="18" t="n">
        <v>79.56399999999999</v>
      </c>
      <c r="P9" s="18" t="n">
        <v>463.072</v>
      </c>
      <c r="Q9" s="18" t="n">
        <v>101.427</v>
      </c>
      <c r="R9" s="18" t="n">
        <v>111.288</v>
      </c>
      <c r="S9" s="18" t="n">
        <v>154.627</v>
      </c>
      <c r="T9" s="18" t="n">
        <v>180.712</v>
      </c>
      <c r="U9" s="18" t="n">
        <v>182.803</v>
      </c>
      <c r="V9" s="18" t="n">
        <v>208.508</v>
      </c>
      <c r="W9" s="18" t="n">
        <v>212.594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</row>
    <row r="11">
      <c r="A11" s="4" t="inlineStr">
        <is>
          <t>Gross Profit</t>
        </is>
      </c>
      <c r="B11" s="18" t="n">
        <v>-0.264</v>
      </c>
      <c r="C11" s="18" t="n">
        <v>-0.264</v>
      </c>
      <c r="D11" s="18" t="n">
        <v>2.236</v>
      </c>
      <c r="E11" s="18" t="n">
        <v>27.006</v>
      </c>
      <c r="F11" s="18" t="n">
        <v>14.8375</v>
      </c>
      <c r="G11" s="18" t="n">
        <v>14.8375</v>
      </c>
      <c r="H11" s="18" t="n">
        <v>17.637</v>
      </c>
      <c r="I11" s="18" t="n">
        <v>36.332</v>
      </c>
      <c r="J11" s="18" t="n">
        <v>48.482</v>
      </c>
      <c r="K11" s="18" t="n">
        <v>58.951</v>
      </c>
      <c r="L11" s="18" t="n">
        <v>71.649</v>
      </c>
      <c r="M11" s="18" t="n">
        <v>74.027</v>
      </c>
      <c r="N11" s="18" t="n">
        <v>81.548</v>
      </c>
      <c r="O11" s="18" t="n">
        <v>77.697</v>
      </c>
      <c r="P11" s="18" t="n">
        <v>75.51300000000001</v>
      </c>
      <c r="Q11" s="18" t="n">
        <v>105.839</v>
      </c>
      <c r="R11" s="18" t="n">
        <v>122.064</v>
      </c>
      <c r="S11" s="18" t="n">
        <v>155.203</v>
      </c>
      <c r="T11" s="18" t="n">
        <v>195.039</v>
      </c>
      <c r="U11" s="18" t="n">
        <v>205.906</v>
      </c>
      <c r="V11" s="18" t="n">
        <v>329.539</v>
      </c>
      <c r="W11" s="18" t="n">
        <v>218.341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</row>
    <row r="13">
      <c r="A13" s="4" t="inlineStr">
        <is>
          <t>Operating Income</t>
        </is>
      </c>
      <c r="B13" s="18" t="n">
        <v>-49.553</v>
      </c>
      <c r="C13" s="18" t="n">
        <v>-49.553</v>
      </c>
      <c r="D13" s="18" t="n">
        <v>-52.3</v>
      </c>
      <c r="E13" s="18" t="n">
        <v>-42.048</v>
      </c>
      <c r="F13" s="18" t="n">
        <v>-62.154</v>
      </c>
      <c r="G13" s="18" t="n">
        <v>-62.154</v>
      </c>
      <c r="H13" s="18" t="n">
        <v>-64.607</v>
      </c>
      <c r="I13" s="18" t="n">
        <v>-54.796</v>
      </c>
      <c r="J13" s="18" t="n">
        <v>-58.397</v>
      </c>
      <c r="K13" s="18" t="n">
        <v>-53.861</v>
      </c>
      <c r="L13" s="18" t="n">
        <v>-45.138</v>
      </c>
      <c r="M13" s="18" t="n">
        <v>-44.789</v>
      </c>
      <c r="N13" s="18" t="n">
        <v>-52.295</v>
      </c>
      <c r="O13" s="18" t="n">
        <v>-53.274</v>
      </c>
      <c r="P13" s="18" t="n">
        <v>-533.492</v>
      </c>
      <c r="Q13" s="18" t="n">
        <v>-53.616</v>
      </c>
      <c r="R13" s="18" t="n">
        <v>-50.7</v>
      </c>
      <c r="S13" s="18" t="n">
        <v>-68.68899999999999</v>
      </c>
      <c r="T13" s="18" t="n">
        <v>-61.774</v>
      </c>
      <c r="U13" s="18" t="n">
        <v>-59.944</v>
      </c>
      <c r="V13" s="18" t="n">
        <v>-48.228</v>
      </c>
      <c r="W13" s="18" t="n">
        <v>-77.315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</row>
    <row r="15">
      <c r="A15" s="4" t="inlineStr">
        <is>
          <t>Net Income</t>
        </is>
      </c>
      <c r="B15" s="18" t="n">
        <v>-49.101</v>
      </c>
      <c r="C15" s="18" t="n">
        <v>-49.101</v>
      </c>
      <c r="D15" s="18" t="n">
        <v>-57.51</v>
      </c>
      <c r="E15" s="18" t="n">
        <v>-54.142</v>
      </c>
      <c r="F15" s="18" t="n">
        <v>-65.9345</v>
      </c>
      <c r="G15" s="18" t="n">
        <v>-65.9345</v>
      </c>
      <c r="H15" s="18" t="n">
        <v>-68.342</v>
      </c>
      <c r="I15" s="18" t="n">
        <v>-58.981</v>
      </c>
      <c r="J15" s="18" t="n">
        <v>-66.07599999999999</v>
      </c>
      <c r="K15" s="18" t="n">
        <v>-54.377</v>
      </c>
      <c r="L15" s="18" t="n">
        <v>-55.832</v>
      </c>
      <c r="M15" s="18" t="n">
        <v>-53.426</v>
      </c>
      <c r="N15" s="18" t="n">
        <v>-50.483</v>
      </c>
      <c r="O15" s="18" t="n">
        <v>-64.74299999999999</v>
      </c>
      <c r="P15" s="18" t="n">
        <v>-552.212</v>
      </c>
      <c r="Q15" s="18" t="n">
        <v>-75.84</v>
      </c>
      <c r="R15" s="18" t="n">
        <v>-13.014</v>
      </c>
      <c r="S15" s="18" t="n">
        <v>-68.03700000000001</v>
      </c>
      <c r="T15" s="18" t="n">
        <v>-42.843</v>
      </c>
      <c r="U15" s="18" t="n">
        <v>-79.982</v>
      </c>
      <c r="V15" s="18" t="n">
        <v>-54.166</v>
      </c>
      <c r="W15" s="18" t="n">
        <v>-125.919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</row>
    <row r="17">
      <c r="A17" s="4" t="inlineStr">
        <is>
          <t>Diluted Shares (M)</t>
        </is>
      </c>
      <c r="B17" s="18" t="n">
        <v>62.726</v>
      </c>
      <c r="C17" s="18" t="n">
        <v>62.726</v>
      </c>
      <c r="D17" s="18" t="n">
        <v>62.8475</v>
      </c>
      <c r="E17" s="18" t="n">
        <v>62.8475</v>
      </c>
      <c r="F17" s="18" t="n">
        <v>62.969</v>
      </c>
      <c r="G17" s="18" t="n">
        <v>62.969</v>
      </c>
      <c r="H17" s="18" t="n">
        <v>169.876399</v>
      </c>
      <c r="I17" s="18" t="n">
        <v>169.876399</v>
      </c>
      <c r="J17" s="18" t="n">
        <v>169.876399</v>
      </c>
      <c r="K17" s="18" t="n">
        <v>169.876399</v>
      </c>
      <c r="L17" s="18" t="n">
        <v>169.876399</v>
      </c>
      <c r="M17" s="18" t="n">
        <v>169.876399</v>
      </c>
      <c r="N17" s="18" t="n">
        <v>154.173246</v>
      </c>
      <c r="O17" s="18" t="n">
        <v>169.876399</v>
      </c>
      <c r="P17" s="18" t="n">
        <v>154.173246</v>
      </c>
      <c r="Q17" s="18" t="n">
        <v>165.612</v>
      </c>
      <c r="R17" s="18" t="n">
        <v>162.120761</v>
      </c>
      <c r="S17" s="18" t="n">
        <v>170.506</v>
      </c>
      <c r="T17" s="18" t="n">
        <v>173.381</v>
      </c>
      <c r="U17" s="18" t="n">
        <v>174.945</v>
      </c>
      <c r="V17" s="18" t="n">
        <v>174.264</v>
      </c>
      <c r="W17" s="18" t="n">
        <v>178.964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4" t="inlineStr">
        <is>
          <t>Cash &amp; ST Investments</t>
        </is>
      </c>
      <c r="B19" s="18" t="n">
        <v>227.599</v>
      </c>
      <c r="E19" s="18" t="n">
        <v>513.436</v>
      </c>
      <c r="F19" s="18" t="n">
        <v>422.398</v>
      </c>
      <c r="G19" s="18" t="n">
        <v>422.398</v>
      </c>
      <c r="H19" s="18" t="n">
        <v>344.945</v>
      </c>
      <c r="I19" s="18" t="n">
        <v>277.686</v>
      </c>
      <c r="J19" s="18" t="n">
        <v>302.938</v>
      </c>
      <c r="K19" s="18" t="n">
        <v>302.938</v>
      </c>
      <c r="M19" s="18" t="n">
        <v>132.706</v>
      </c>
      <c r="N19" s="18" t="n">
        <v>197.574</v>
      </c>
      <c r="O19" s="18" t="n">
        <v>94.898</v>
      </c>
      <c r="P19" s="18" t="n">
        <v>490.066</v>
      </c>
      <c r="Q19" s="18" t="n">
        <v>466.323</v>
      </c>
      <c r="R19" s="18" t="n">
        <v>448.263</v>
      </c>
      <c r="S19" s="18" t="n">
        <v>218.786</v>
      </c>
      <c r="T19" s="18" t="n">
        <v>291.306</v>
      </c>
      <c r="U19" s="18" t="n">
        <v>759.638</v>
      </c>
      <c r="V19" s="18" t="n">
        <v>754.998</v>
      </c>
      <c r="W19" s="18" t="n">
        <v>639.072</v>
      </c>
    </row>
    <row r="20">
      <c r="A20" s="4" t="inlineStr">
        <is>
          <t>Total Current Assets</t>
        </is>
      </c>
      <c r="B20" s="18" t="n">
        <v>0</v>
      </c>
      <c r="E20" s="18" t="n">
        <v>649.73</v>
      </c>
      <c r="F20" s="18" t="n">
        <v>505.577</v>
      </c>
      <c r="G20" s="18" t="n">
        <v>505.577</v>
      </c>
      <c r="H20" s="18" t="n">
        <v>454.605</v>
      </c>
      <c r="I20" s="18" t="n">
        <v>403.988</v>
      </c>
      <c r="J20" s="18" t="n">
        <v>438.629</v>
      </c>
      <c r="K20" s="18" t="n">
        <v>0</v>
      </c>
      <c r="M20" s="18" t="n">
        <v>300.861</v>
      </c>
      <c r="N20" s="18" t="n">
        <v>350.331</v>
      </c>
      <c r="O20" s="18" t="n">
        <v>266.563</v>
      </c>
      <c r="P20" s="18" t="n">
        <v>671.366</v>
      </c>
      <c r="Q20" s="18" t="n">
        <v>679.412</v>
      </c>
      <c r="R20" s="18" t="n">
        <v>667.603</v>
      </c>
      <c r="S20" s="18" t="n">
        <v>573.97</v>
      </c>
      <c r="T20" s="18" t="n">
        <v>644.201</v>
      </c>
      <c r="U20" s="18" t="n">
        <v>1146.511</v>
      </c>
      <c r="V20" s="18" t="n">
        <v>1167.175</v>
      </c>
      <c r="W20" s="18" t="n">
        <v>1053.942</v>
      </c>
    </row>
    <row r="21">
      <c r="A21" s="4" t="inlineStr">
        <is>
          <t>PP&amp;E (net)</t>
        </is>
      </c>
      <c r="B21" s="18" t="n">
        <v>0</v>
      </c>
      <c r="E21" s="18" t="n">
        <v>38.435</v>
      </c>
      <c r="F21" s="18" t="n">
        <v>35.215</v>
      </c>
      <c r="G21" s="18" t="n">
        <v>35.215</v>
      </c>
      <c r="H21" s="18" t="n">
        <v>35.999</v>
      </c>
      <c r="I21" s="18" t="n">
        <v>35.395</v>
      </c>
      <c r="J21" s="18" t="n">
        <v>67.786</v>
      </c>
      <c r="K21" s="18" t="n">
        <v>0</v>
      </c>
      <c r="M21" s="18" t="n">
        <v>84.685</v>
      </c>
      <c r="N21" s="18" t="n">
        <v>82.211</v>
      </c>
      <c r="O21" s="18" t="n">
        <v>78.752</v>
      </c>
      <c r="P21" s="18" t="n">
        <v>74.533</v>
      </c>
      <c r="Q21" s="18" t="n">
        <v>73.533</v>
      </c>
      <c r="R21" s="18" t="n">
        <v>72.818</v>
      </c>
      <c r="S21" s="18" t="n">
        <v>133.162</v>
      </c>
      <c r="T21" s="18" t="n">
        <v>131.214</v>
      </c>
      <c r="U21" s="18" t="n">
        <v>157.611</v>
      </c>
      <c r="V21" s="18" t="n">
        <v>153.652</v>
      </c>
      <c r="W21" s="18" t="n">
        <v>150.899</v>
      </c>
    </row>
    <row r="22">
      <c r="A22" s="4" t="inlineStr">
        <is>
          <t>Total Assets</t>
        </is>
      </c>
      <c r="B22" s="18" t="n">
        <v>0</v>
      </c>
      <c r="E22" s="18" t="n">
        <v>751.918</v>
      </c>
      <c r="F22" s="18" t="n">
        <v>604.186</v>
      </c>
      <c r="G22" s="18" t="n">
        <v>604.186</v>
      </c>
      <c r="H22" s="18" t="n">
        <v>551.347</v>
      </c>
      <c r="I22" s="18" t="n">
        <v>531.354</v>
      </c>
      <c r="J22" s="18" t="n">
        <v>631.364</v>
      </c>
      <c r="K22" s="18" t="n">
        <v>0</v>
      </c>
      <c r="M22" s="18" t="n">
        <v>504.071</v>
      </c>
      <c r="N22" s="18" t="n">
        <v>564.052</v>
      </c>
      <c r="O22" s="18" t="n">
        <v>469.272</v>
      </c>
      <c r="P22" s="18" t="n">
        <v>864.611</v>
      </c>
      <c r="Q22" s="18" t="n">
        <v>971.728</v>
      </c>
      <c r="R22" s="18" t="n">
        <v>926.116</v>
      </c>
      <c r="S22" s="18" t="n">
        <v>1543.137</v>
      </c>
      <c r="T22" s="18" t="n">
        <v>1625.365</v>
      </c>
      <c r="U22" s="18" t="n">
        <v>2281.424</v>
      </c>
      <c r="V22" s="18" t="n">
        <v>2274.838</v>
      </c>
      <c r="W22" s="18" t="n">
        <v>2135.091</v>
      </c>
    </row>
    <row r="23">
      <c r="A23" s="4" t="inlineStr">
        <is>
          <t>Total Current Liabilities</t>
        </is>
      </c>
      <c r="B23" s="18" t="n">
        <v>0</v>
      </c>
      <c r="E23" s="18" t="n">
        <v>101.382</v>
      </c>
      <c r="F23" s="18" t="n">
        <v>98.04900000000001</v>
      </c>
      <c r="G23" s="18" t="n">
        <v>82.54300000000001</v>
      </c>
      <c r="H23" s="18" t="n">
        <v>102.984</v>
      </c>
      <c r="I23" s="18" t="n">
        <v>114.806</v>
      </c>
      <c r="J23" s="18" t="n">
        <v>174.239</v>
      </c>
      <c r="K23" s="18" t="n">
        <v>0</v>
      </c>
      <c r="M23" s="18" t="n">
        <v>204.038</v>
      </c>
      <c r="N23" s="18" t="n">
        <v>232.627</v>
      </c>
      <c r="O23" s="18" t="n">
        <v>209.524</v>
      </c>
      <c r="P23" s="18" t="n">
        <v>181.564</v>
      </c>
      <c r="Q23" s="18" t="n">
        <v>252.62</v>
      </c>
      <c r="R23" s="18" t="n">
        <v>291.07</v>
      </c>
      <c r="S23" s="18" t="n">
        <v>336.47</v>
      </c>
      <c r="T23" s="18" t="n">
        <v>418.16</v>
      </c>
      <c r="U23" s="18" t="n">
        <v>350.028</v>
      </c>
      <c r="V23" s="18" t="n">
        <v>372.388</v>
      </c>
      <c r="W23" s="18" t="n">
        <v>317.956</v>
      </c>
    </row>
    <row r="24">
      <c r="A24" s="4" t="inlineStr">
        <is>
          <t>Long-term Debt</t>
        </is>
      </c>
      <c r="B24" s="18" t="n">
        <v>0</v>
      </c>
      <c r="E24" s="18" t="n">
        <v>250</v>
      </c>
      <c r="F24" s="18" t="n">
        <v>246.581</v>
      </c>
      <c r="G24" s="18" t="n">
        <v>246.581</v>
      </c>
      <c r="H24" s="18" t="n">
        <v>243.42</v>
      </c>
      <c r="I24" s="18" t="n">
        <v>238.236</v>
      </c>
      <c r="J24" s="18" t="n">
        <v>389.546</v>
      </c>
      <c r="K24" s="18" t="n">
        <v>0</v>
      </c>
      <c r="M24" s="18" t="n">
        <v>419.359</v>
      </c>
      <c r="N24" s="18" t="n">
        <v>449.665</v>
      </c>
      <c r="O24" s="18" t="n">
        <v>445.929</v>
      </c>
      <c r="P24" s="18" t="n">
        <v>442.501</v>
      </c>
      <c r="Q24" s="18" t="n">
        <v>438.987</v>
      </c>
      <c r="R24" s="18" t="n">
        <v>435.436</v>
      </c>
      <c r="S24" s="18" t="n">
        <v>800.764</v>
      </c>
      <c r="T24" s="18" t="n">
        <v>798.005</v>
      </c>
      <c r="U24" s="18" t="n">
        <v>1245.681</v>
      </c>
      <c r="V24" s="18" t="n">
        <v>802.35</v>
      </c>
      <c r="W24" s="18" t="n">
        <v>801.99</v>
      </c>
    </row>
    <row r="25">
      <c r="A25" s="4" t="inlineStr">
        <is>
          <t>Total Equity</t>
        </is>
      </c>
      <c r="B25" s="18" t="n">
        <v>289.746</v>
      </c>
      <c r="E25" s="18" t="n">
        <v>346.172</v>
      </c>
      <c r="F25" s="18" t="n">
        <v>220.956</v>
      </c>
      <c r="G25" s="18" t="n">
        <v>-662.849</v>
      </c>
      <c r="H25" s="18" t="n">
        <v>-739.322</v>
      </c>
      <c r="I25" s="18" t="n">
        <v>-807.491</v>
      </c>
      <c r="J25" s="18" t="n">
        <v>-1129.027</v>
      </c>
      <c r="K25" s="18" t="n">
        <v>-102.884</v>
      </c>
      <c r="M25" s="18" t="n">
        <v>-1324.697</v>
      </c>
      <c r="N25" s="18" t="n">
        <v>-1382.163</v>
      </c>
      <c r="O25" s="18" t="n">
        <v>-1474.425</v>
      </c>
      <c r="P25" s="18" t="n">
        <v>98.251</v>
      </c>
      <c r="Q25" s="18" t="n">
        <v>53.728</v>
      </c>
      <c r="R25" s="18" t="n">
        <v>56.339</v>
      </c>
      <c r="S25" s="18" t="n">
        <v>326.194</v>
      </c>
      <c r="T25" s="18" t="n">
        <v>309.562</v>
      </c>
      <c r="U25" s="18" t="n">
        <v>507.824</v>
      </c>
      <c r="V25" s="18" t="n">
        <v>491.326</v>
      </c>
      <c r="W25" s="18" t="n">
        <v>416.405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4" t="inlineStr">
        <is>
          <t>D&amp;A</t>
        </is>
      </c>
      <c r="B27" s="18" t="n">
        <v>5.637</v>
      </c>
      <c r="C27" s="18" t="n">
        <v>5.637</v>
      </c>
      <c r="D27" s="18" t="n">
        <v>5.765</v>
      </c>
      <c r="E27" s="18" t="n">
        <v>6.013</v>
      </c>
      <c r="F27" s="18" t="n">
        <v>6.089</v>
      </c>
      <c r="G27" s="18" t="n">
        <v>6.089</v>
      </c>
      <c r="H27" s="18" t="n">
        <v>5.973</v>
      </c>
      <c r="I27" s="18" t="n">
        <v>5.73</v>
      </c>
      <c r="J27" s="18" t="n">
        <v>8.256</v>
      </c>
      <c r="K27" s="18" t="n">
        <v>8.042999999999999</v>
      </c>
      <c r="L27" s="18" t="n">
        <v>8.332000000000001</v>
      </c>
      <c r="M27" s="18" t="n">
        <v>8.417</v>
      </c>
      <c r="N27" s="18" t="n">
        <v>8.539999999999999</v>
      </c>
      <c r="O27" s="18" t="n">
        <v>9.189</v>
      </c>
      <c r="P27" s="18" t="n">
        <v>9.159000000000001</v>
      </c>
      <c r="Q27" s="18" t="n">
        <v>9.44</v>
      </c>
      <c r="R27" s="18" t="n">
        <v>9.457000000000001</v>
      </c>
      <c r="S27" s="18" t="n">
        <v>20.353</v>
      </c>
      <c r="T27" s="18" t="n">
        <v>28.032</v>
      </c>
      <c r="U27" s="18" t="n">
        <v>28.543</v>
      </c>
      <c r="V27" s="18" t="n">
        <v>26.908</v>
      </c>
      <c r="W27" s="18" t="n">
        <v>1.448</v>
      </c>
    </row>
    <row r="28">
      <c r="A28" s="4" t="inlineStr">
        <is>
          <t>Stock-based Compensation</t>
        </is>
      </c>
      <c r="B28" s="18" t="n">
        <v>0.09950000000000001</v>
      </c>
      <c r="C28" s="18" t="n">
        <v>0.09950000000000001</v>
      </c>
      <c r="D28" s="18" t="n">
        <v>0.1</v>
      </c>
      <c r="E28" s="18" t="n">
        <v>0.1</v>
      </c>
      <c r="F28" s="18" t="n">
        <v>0.2795</v>
      </c>
      <c r="G28" s="18" t="n">
        <v>0.2795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488.313</v>
      </c>
      <c r="Q28" s="18" t="n">
        <v>21.038</v>
      </c>
      <c r="R28" s="18" t="n">
        <v>24.787</v>
      </c>
      <c r="S28" s="18" t="n">
        <v>22.974</v>
      </c>
      <c r="T28" s="18" t="n">
        <v>22.455</v>
      </c>
      <c r="U28" s="18" t="n">
        <v>33.979</v>
      </c>
      <c r="V28" s="18" t="n">
        <v>45.339</v>
      </c>
      <c r="W28" s="18" t="n">
        <v>52.706</v>
      </c>
    </row>
    <row r="29">
      <c r="A29" s="4" t="inlineStr">
        <is>
          <t>Change in Working Capital</t>
        </is>
      </c>
      <c r="B29" s="18" t="n">
        <v>-5.8835</v>
      </c>
      <c r="C29" s="18" t="n">
        <v>-5.8835</v>
      </c>
      <c r="D29" s="18" t="n">
        <v>-11.717</v>
      </c>
      <c r="E29" s="18" t="n">
        <v>-4.65</v>
      </c>
      <c r="F29" s="18" t="n">
        <v>35.3575</v>
      </c>
      <c r="G29" s="18" t="n">
        <v>35.3575</v>
      </c>
      <c r="H29" s="18" t="n">
        <v>-5.553</v>
      </c>
      <c r="I29" s="18" t="n">
        <v>-17.836</v>
      </c>
      <c r="J29" s="18" t="n">
        <v>-16.83</v>
      </c>
      <c r="K29" s="18" t="n">
        <v>-25.692</v>
      </c>
      <c r="L29" s="18" t="n">
        <v>-12.814</v>
      </c>
      <c r="M29" s="18" t="n">
        <v>-11.134</v>
      </c>
      <c r="N29" s="18" t="n">
        <v>11.803</v>
      </c>
      <c r="O29" s="18" t="n">
        <v>-51.101</v>
      </c>
      <c r="P29" s="18" t="n">
        <v>-52.719</v>
      </c>
      <c r="Q29" s="18" t="n">
        <v>72.09999999999999</v>
      </c>
      <c r="R29" s="18" t="n">
        <v>-6.083</v>
      </c>
      <c r="S29" s="18" t="n">
        <v>-75.07599999999999</v>
      </c>
      <c r="T29" s="18" t="n">
        <v>64.646</v>
      </c>
      <c r="U29" s="18" t="n">
        <v>-71.426</v>
      </c>
      <c r="V29" s="18" t="n">
        <v>-47.711</v>
      </c>
      <c r="W29" s="18" t="n">
        <v>-68.429</v>
      </c>
    </row>
    <row r="30">
      <c r="A30" s="4" t="inlineStr">
        <is>
          <t>Operating Cash Flow</t>
        </is>
      </c>
      <c r="B30" s="18" t="n">
        <v>-49.3335</v>
      </c>
      <c r="C30" s="18" t="n">
        <v>-49.3335</v>
      </c>
      <c r="D30" s="18" t="n">
        <v>-62.905</v>
      </c>
      <c r="E30" s="18" t="n">
        <v>-44.99</v>
      </c>
      <c r="F30" s="18" t="n">
        <v>-40.285</v>
      </c>
      <c r="G30" s="18" t="n">
        <v>-40.285</v>
      </c>
      <c r="H30" s="18" t="n">
        <v>-67.65900000000001</v>
      </c>
      <c r="I30" s="18" t="n">
        <v>-63.755</v>
      </c>
      <c r="J30" s="18" t="n">
        <v>-64.583</v>
      </c>
      <c r="K30" s="18" t="n">
        <v>-66.262</v>
      </c>
      <c r="L30" s="18" t="n">
        <v>-54.825</v>
      </c>
      <c r="M30" s="18" t="n">
        <v>-52.985</v>
      </c>
      <c r="N30" s="18" t="n">
        <v>-40.267</v>
      </c>
      <c r="O30" s="18" t="n">
        <v>-101.378</v>
      </c>
      <c r="P30" s="18" t="n">
        <v>-97.08</v>
      </c>
      <c r="Q30" s="18" t="n">
        <v>48.664</v>
      </c>
      <c r="R30" s="18" t="n">
        <v>-39.251</v>
      </c>
      <c r="S30" s="18" t="n">
        <v>-105.624</v>
      </c>
      <c r="T30" s="18" t="n">
        <v>44.164</v>
      </c>
      <c r="U30" s="18" t="n">
        <v>-119.842</v>
      </c>
      <c r="V30" s="18" t="n">
        <v>-36.788</v>
      </c>
      <c r="W30" s="18" t="n">
        <v>-73.277</v>
      </c>
    </row>
    <row r="31">
      <c r="A31" s="4" t="inlineStr">
        <is>
          <t>Capex</t>
        </is>
      </c>
      <c r="B31" s="18" t="n">
        <v>-3.601</v>
      </c>
      <c r="C31" s="18" t="n">
        <v>-3.601</v>
      </c>
      <c r="D31" s="18" t="n">
        <v>-4.259</v>
      </c>
      <c r="E31" s="18" t="n">
        <v>-1.955</v>
      </c>
      <c r="F31" s="18" t="n">
        <v>-1.985</v>
      </c>
      <c r="G31" s="18" t="n">
        <v>-1.985</v>
      </c>
      <c r="H31" s="18" t="n">
        <v>-5.475</v>
      </c>
      <c r="I31" s="18" t="n">
        <v>-2.322</v>
      </c>
      <c r="J31" s="18" t="n">
        <v>-1.913</v>
      </c>
      <c r="K31" s="18" t="n">
        <v>-6.226</v>
      </c>
      <c r="L31" s="18" t="n">
        <v>-9.68</v>
      </c>
      <c r="M31" s="18" t="n">
        <v>-15.993</v>
      </c>
      <c r="N31" s="18" t="n">
        <v>-2.709</v>
      </c>
      <c r="O31" s="18" t="n">
        <v>-6.108</v>
      </c>
      <c r="P31" s="18" t="n">
        <v>-8.007999999999999</v>
      </c>
      <c r="Q31" s="18" t="n">
        <v>-0.043</v>
      </c>
      <c r="R31" s="18" t="n">
        <v>-7.962</v>
      </c>
      <c r="S31" s="18" t="n">
        <v>-3.372</v>
      </c>
      <c r="T31" s="18" t="n">
        <v>-9.510999999999999</v>
      </c>
      <c r="U31" s="18" t="n">
        <v>-6.706</v>
      </c>
      <c r="V31" s="18" t="n">
        <v>-6.336</v>
      </c>
      <c r="W31" s="18" t="n">
        <v>-8.202</v>
      </c>
    </row>
    <row r="32">
      <c r="A32" s="4" t="inlineStr">
        <is>
          <t>Free Cash Flow</t>
        </is>
      </c>
      <c r="B32" s="18" t="n">
        <v>-52.9345</v>
      </c>
      <c r="C32" s="18" t="n">
        <v>-52.9345</v>
      </c>
      <c r="D32" s="18" t="n">
        <v>-67.164</v>
      </c>
      <c r="E32" s="18" t="n">
        <v>-46.945</v>
      </c>
      <c r="F32" s="18" t="n">
        <v>-42.269999</v>
      </c>
      <c r="G32" s="18" t="n">
        <v>-42.269999</v>
      </c>
      <c r="H32" s="18" t="n">
        <v>-73.134</v>
      </c>
      <c r="I32" s="18" t="n">
        <v>-66.077</v>
      </c>
      <c r="J32" s="18" t="n">
        <v>-60.468</v>
      </c>
      <c r="K32" s="18" t="n">
        <v>-72.488</v>
      </c>
      <c r="L32" s="18" t="n">
        <v>-64.505</v>
      </c>
      <c r="M32" s="18" t="n">
        <v>-68.97799999999999</v>
      </c>
      <c r="N32" s="18" t="n">
        <v>-42.976</v>
      </c>
      <c r="O32" s="18" t="n">
        <v>-107.486</v>
      </c>
      <c r="P32" s="18" t="n">
        <v>-105.088</v>
      </c>
      <c r="Q32" s="18" t="n">
        <v>48.621</v>
      </c>
      <c r="R32" s="18" t="n">
        <v>-47.213</v>
      </c>
      <c r="S32" s="18" t="n">
        <v>-108.996</v>
      </c>
      <c r="T32" s="18" t="n">
        <v>34.653</v>
      </c>
      <c r="U32" s="18" t="n">
        <v>-126.548</v>
      </c>
      <c r="V32" s="18" t="n">
        <v>-43.124</v>
      </c>
      <c r="W32" s="18" t="n">
        <v>-81.479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1593.675097</v>
      </c>
      <c r="C4" s="18" t="n">
        <v>1942.059057</v>
      </c>
      <c r="D4" s="18" t="n">
        <v>2299.63025</v>
      </c>
      <c r="E4" s="18" t="n">
        <v>2685.566667</v>
      </c>
      <c r="F4" s="18" t="n">
        <v>3122.533333</v>
      </c>
    </row>
    <row r="5">
      <c r="A5" s="4" t="inlineStr">
        <is>
          <t xml:space="preserve">  model</t>
        </is>
      </c>
      <c r="B5" s="28">
        <f>Model!E6</f>
        <v/>
      </c>
      <c r="C5" s="28">
        <f>Model!F6</f>
        <v/>
      </c>
      <c r="D5" s="28">
        <f>Model!G6</f>
        <v/>
      </c>
      <c r="E5" s="28">
        <f>Model!H6</f>
        <v/>
      </c>
      <c r="F5" s="28">
        <f>Model!I6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-922.998206</v>
      </c>
      <c r="C8" s="18" t="n">
        <v>-1124.769427</v>
      </c>
      <c r="D8" s="18" t="n">
        <v>-1331.861556</v>
      </c>
      <c r="E8" s="18" t="n">
        <v>-1555.381784</v>
      </c>
      <c r="F8" s="18" t="n">
        <v>-1808.456862</v>
      </c>
    </row>
    <row r="9">
      <c r="A9" s="4" t="inlineStr">
        <is>
          <t xml:space="preserve">  model</t>
        </is>
      </c>
      <c r="B9" s="28">
        <f>Model!E19+Model!E24</f>
        <v/>
      </c>
      <c r="C9" s="28">
        <f>Model!F19+Model!F24</f>
        <v/>
      </c>
      <c r="D9" s="28">
        <f>Model!G19+Model!G24</f>
        <v/>
      </c>
      <c r="E9" s="28">
        <f>Model!H19+Model!H24</f>
        <v/>
      </c>
      <c r="F9" s="28">
        <f>Model!I19+Model!I24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-1020.866203</v>
      </c>
      <c r="C12" s="18" t="n">
        <v>-1244.031773</v>
      </c>
      <c r="D12" s="18" t="n">
        <v>-1473.082441</v>
      </c>
      <c r="E12" s="18" t="n">
        <v>-1720.303124</v>
      </c>
      <c r="F12" s="18" t="n">
        <v>-2000.212437</v>
      </c>
    </row>
    <row r="13">
      <c r="A13" s="4" t="inlineStr">
        <is>
          <t xml:space="preserve">  model</t>
        </is>
      </c>
      <c r="B13" s="28">
        <f>Model!E19</f>
        <v/>
      </c>
      <c r="C13" s="28">
        <f>Model!F19</f>
        <v/>
      </c>
      <c r="D13" s="28">
        <f>Model!G19</f>
        <v/>
      </c>
      <c r="E13" s="28">
        <f>Model!H19</f>
        <v/>
      </c>
      <c r="F13" s="28">
        <f>Model!I19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1186.418218</v>
      </c>
      <c r="C16" s="18" t="n">
        <v>1445.774142</v>
      </c>
      <c r="D16" s="18" t="n">
        <v>1711.96954</v>
      </c>
      <c r="E16" s="18" t="n">
        <v>1999.281551</v>
      </c>
      <c r="F16" s="18" t="n">
        <v>2324.583248</v>
      </c>
    </row>
    <row r="17">
      <c r="A17" s="4" t="inlineStr">
        <is>
          <t xml:space="preserve">  model</t>
        </is>
      </c>
      <c r="B17" s="28">
        <f>Model!E14</f>
        <v/>
      </c>
      <c r="C17" s="28">
        <f>Model!F14</f>
        <v/>
      </c>
      <c r="D17" s="28">
        <f>Model!G14</f>
        <v/>
      </c>
      <c r="E17" s="28">
        <f>Model!H14</f>
        <v/>
      </c>
      <c r="F17" s="28">
        <f>Model!I14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-65.9824495</v>
      </c>
      <c r="C20" s="18" t="n">
        <v>-3.3990195</v>
      </c>
      <c r="D20" s="18" t="n">
        <v>70.92255849999999</v>
      </c>
      <c r="E20" s="18" t="n">
        <v>304.090681</v>
      </c>
      <c r="F20" s="18" t="n">
        <v>487.939202</v>
      </c>
    </row>
    <row r="21">
      <c r="A21" s="4" t="inlineStr">
        <is>
          <t xml:space="preserve">  model</t>
        </is>
      </c>
      <c r="B21" s="28">
        <f>Model!E23</f>
        <v/>
      </c>
      <c r="C21" s="28">
        <f>Model!F23</f>
        <v/>
      </c>
      <c r="D21" s="28">
        <f>Model!G23</f>
        <v/>
      </c>
      <c r="E21" s="28">
        <f>Model!H23</f>
        <v/>
      </c>
      <c r="F21" s="28">
        <f>Model!I23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-0.36812</v>
      </c>
      <c r="C24" s="38" t="n">
        <v>-0.09102300000000001</v>
      </c>
      <c r="D24" s="38" t="n">
        <v>0.42733</v>
      </c>
      <c r="E24" s="38" t="n">
        <v>1.745</v>
      </c>
      <c r="F24" s="38" t="n">
        <v>2.8</v>
      </c>
    </row>
    <row r="25">
      <c r="A25" s="4" t="inlineStr">
        <is>
          <t xml:space="preserve">  model</t>
        </is>
      </c>
      <c r="B25" s="8">
        <f>Model!E23/Financials!W17</f>
        <v/>
      </c>
      <c r="C25" s="8">
        <f>Model!F23/Financials!W17</f>
        <v/>
      </c>
      <c r="D25" s="8">
        <f>Model!G23/Financials!W17</f>
        <v/>
      </c>
      <c r="E25" s="8">
        <f>Model!H23/Financials!W17</f>
        <v/>
      </c>
      <c r="F25" s="8">
        <f>Model!I23/Financials!W17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Tempus AI,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Model!E31</f>
        <v/>
      </c>
      <c r="D12" s="28">
        <f>Model!F31</f>
        <v/>
      </c>
      <c r="E12" s="28">
        <f>Model!G31</f>
        <v/>
      </c>
      <c r="F12" s="28">
        <f>Model!H31</f>
        <v/>
      </c>
      <c r="G12" s="28">
        <f>Model!I31</f>
        <v/>
      </c>
      <c r="H12" s="28">
        <f>Model!J31</f>
        <v/>
      </c>
      <c r="I12" s="28">
        <f>Model!K31</f>
        <v/>
      </c>
      <c r="J12" s="28">
        <f>Model!L31</f>
        <v/>
      </c>
      <c r="K12" s="28">
        <f>Model!M31</f>
        <v/>
      </c>
      <c r="L12" s="28">
        <f>Model!N31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Model!N6</f>
        <v/>
      </c>
    </row>
    <row r="21">
      <c r="A21" s="4" t="inlineStr">
        <is>
          <t>Terminal EBIT</t>
        </is>
      </c>
      <c r="B21" s="28">
        <f>Model!N19</f>
        <v/>
      </c>
    </row>
    <row r="22">
      <c r="A22" s="4" t="inlineStr">
        <is>
          <t>Terminal EBITDA</t>
        </is>
      </c>
      <c r="B22" s="28">
        <f>Model!N19+Model!N24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Financials!W19</f>
        <v/>
      </c>
    </row>
    <row r="33">
      <c r="A33" s="4" t="inlineStr">
        <is>
          <t>- Long-term debt</t>
        </is>
      </c>
      <c r="B33" s="28">
        <f>-Financials!W24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Financials!W17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Model!D6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Model!D20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0.08164561888803881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0.3062013656150084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(Model!N6/Model!D6)^(1/10)-1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1.360190660812168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Financials!W19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Financials!W24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Financials!W17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2026-06-08T03:57:16Z</dcterms:created>
  <dcterms:modified xmlns:dcterms="http://purl.org/dc/terms/" xmlns:xsi="http://www.w3.org/2001/XMLSchema-instance" xsi:type="dcterms:W3CDTF">2026-06-08T03:57:16Z</dcterms:modified>
</cp:coreProperties>
</file>