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DLocal Limited (DLO)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2025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DLocal is a capital-light LatAm/EM cross-border payments processor whose value rests on TPV growth times a thinning but durable take-rate, with merchant retention driving operating leverage. We fade consensus-anchored ~30%+ near-term revenue growth toward a 4% mature rate as EM payments penetration matures and competition compresses take-rate, while operating margin normalizes from the low-20s up to ~25% as fixed processing and compliance infrastructure scales. The asset-light model keeps capex near 2% of revenue, converging to ~1.1x D&amp;A at maturity, so FCFF conversion stays high.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DLocal Limited (DLO)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0.3</v>
      </c>
      <c r="C20" s="15" t="n">
        <v>0.04</v>
      </c>
      <c r="D20" s="16" t="n">
        <v>0.3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0.21</v>
      </c>
      <c r="D29" s="16" t="n">
        <v>0.21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0.18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30.54079914</v>
      </c>
      <c r="D34" s="18" t="n">
        <v>30.54079914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1.021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11.64000034332275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Dashboard!$B$48*Financials!Y17</f>
        <v/>
      </c>
    </row>
    <row r="10">
      <c r="A10" s="4" t="inlineStr">
        <is>
          <t>Total debt (D)</t>
        </is>
      </c>
      <c r="B10" s="28">
        <f>Financials!Y24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SUM(Financials!F3:I3)</f>
        <v/>
      </c>
      <c r="C4" s="28">
        <f>SUM(Financials!J3:M3)</f>
        <v/>
      </c>
      <c r="D4" s="28">
        <f>SUM(Financials!N3:Q3)</f>
        <v/>
      </c>
      <c r="E4" s="28">
        <f>SUM(Financials!R3:U3)</f>
        <v/>
      </c>
      <c r="F4" s="28">
        <f>SUM(Financials!V3:Y3)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  <c r="N7" s="27">
        <f>IFERROR(N6/M6-1,"")</f>
        <v/>
      </c>
      <c r="O7" s="27">
        <f>IFERROR(O6/N6-1,"")</f>
        <v/>
      </c>
      <c r="P7" s="2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SUM(Financials!F5:I5)</f>
        <v/>
      </c>
      <c r="C10" s="28">
        <f>SUM(Financials!J5:M5)</f>
        <v/>
      </c>
      <c r="D10" s="28">
        <f>SUM(Financials!N5:Q5)</f>
        <v/>
      </c>
      <c r="E10" s="28">
        <f>SUM(Financials!R5:U5)</f>
        <v/>
      </c>
      <c r="F10" s="28">
        <f>SUM(Financials!V5:Y5)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27">
        <f>IFERROR(D10/D6,"")</f>
        <v/>
      </c>
      <c r="E11" s="27">
        <f>IFERROR(E10/E6,"")</f>
        <v/>
      </c>
      <c r="F11" s="27">
        <f>IFERROR(F10/F6,"")</f>
        <v/>
      </c>
      <c r="G11" s="15" t="n">
        <v>0.6317110572821366</v>
      </c>
      <c r="H11" s="15" t="n">
        <v>0.6317110572821366</v>
      </c>
      <c r="I11" s="15" t="n">
        <v>0.6317110572821366</v>
      </c>
      <c r="J11" s="15" t="n">
        <v>0.6317110572821366</v>
      </c>
      <c r="K11" s="15" t="n">
        <v>0.6317110572821366</v>
      </c>
      <c r="L11" s="15" t="n">
        <v>0.6317110572821366</v>
      </c>
      <c r="M11" s="15" t="n">
        <v>0.6317110572821366</v>
      </c>
      <c r="N11" s="15" t="n">
        <v>0.6317110572821366</v>
      </c>
      <c r="O11" s="15" t="n">
        <v>0.6317110572821366</v>
      </c>
      <c r="P11" s="15" t="n">
        <v>0.6317110572821366</v>
      </c>
    </row>
    <row r="12">
      <c r="A12" s="4" t="inlineStr">
        <is>
          <t>R&amp;D / Technology</t>
        </is>
      </c>
      <c r="B12" s="28">
        <f>SUM(Financials!F7:I7)</f>
        <v/>
      </c>
      <c r="C12" s="28">
        <f>SUM(Financials!J7:M7)</f>
        <v/>
      </c>
      <c r="D12" s="28">
        <f>SUM(Financials!N7:Q7)</f>
        <v/>
      </c>
      <c r="E12" s="28">
        <f>SUM(Financials!R7:U7)</f>
        <v/>
      </c>
      <c r="F12" s="28">
        <f>SUM(Financials!V7:Y7)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27">
        <f>IFERROR(D12/D6,"")</f>
        <v/>
      </c>
      <c r="E13" s="27">
        <f>IFERROR(E12/E6,"")</f>
        <v/>
      </c>
      <c r="F13" s="27">
        <f>IFERROR(F12/F6,"")</f>
        <v/>
      </c>
      <c r="G13" s="15" t="n">
        <v>0.02807915602508077</v>
      </c>
      <c r="H13" s="15" t="n">
        <v>0.02807915602508077</v>
      </c>
      <c r="I13" s="15" t="n">
        <v>0.02807915602508077</v>
      </c>
      <c r="J13" s="15" t="n">
        <v>0.02807915602508077</v>
      </c>
      <c r="K13" s="15" t="n">
        <v>0.02807915602508077</v>
      </c>
      <c r="L13" s="15" t="n">
        <v>0.02807915602508077</v>
      </c>
      <c r="M13" s="15" t="n">
        <v>0.02807915602508077</v>
      </c>
      <c r="N13" s="15" t="n">
        <v>0.02807915602508077</v>
      </c>
      <c r="O13" s="15" t="n">
        <v>0.02807915602508077</v>
      </c>
      <c r="P13" s="15" t="n">
        <v>0.02807915602508077</v>
      </c>
    </row>
    <row r="14">
      <c r="A14" s="4" t="inlineStr">
        <is>
          <t>SG&amp;A</t>
        </is>
      </c>
      <c r="B14" s="28">
        <f>SUM(Financials!F9:I9)</f>
        <v/>
      </c>
      <c r="C14" s="28">
        <f>SUM(Financials!J9:M9)</f>
        <v/>
      </c>
      <c r="D14" s="28">
        <f>SUM(Financials!N9:Q9)</f>
        <v/>
      </c>
      <c r="E14" s="28">
        <f>SUM(Financials!R9:U9)</f>
        <v/>
      </c>
      <c r="F14" s="28">
        <f>SUM(Financials!V9:Y9)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27">
        <f>IFERROR(D14/D6,"")</f>
        <v/>
      </c>
      <c r="E15" s="27">
        <f>IFERROR(E14/E6,"")</f>
        <v/>
      </c>
      <c r="F15" s="27">
        <f>IFERROR(F14/F6,"")</f>
        <v/>
      </c>
      <c r="G15" s="15" t="n">
        <v>0.1328015055043632</v>
      </c>
      <c r="H15" s="15" t="n">
        <v>0.1328015055043632</v>
      </c>
      <c r="I15" s="15" t="n">
        <v>0.1328015055043632</v>
      </c>
      <c r="J15" s="15" t="n">
        <v>0.1328015055043632</v>
      </c>
      <c r="K15" s="15" t="n">
        <v>0.1328015055043632</v>
      </c>
      <c r="L15" s="15" t="n">
        <v>0.1328015055043632</v>
      </c>
      <c r="M15" s="15" t="n">
        <v>0.1328015055043632</v>
      </c>
      <c r="N15" s="15" t="n">
        <v>0.1328015055043632</v>
      </c>
      <c r="O15" s="15" t="n">
        <v>0.1328015055043632</v>
      </c>
      <c r="P15" s="15" t="n">
        <v>0.1328015055043632</v>
      </c>
    </row>
    <row r="16">
      <c r="A16" s="4" t="inlineStr">
        <is>
          <t>Other opex (fulfilment, etc.)</t>
        </is>
      </c>
      <c r="B16" s="28">
        <f>B6-(B10+B12+B14)-SUM(Financials!F13:I13)</f>
        <v/>
      </c>
      <c r="C16" s="28">
        <f>C6-(C10+C12+C14)-SUM(Financials!J13:M13)</f>
        <v/>
      </c>
      <c r="D16" s="28">
        <f>D6-(D10+D12+D14)-SUM(Financials!N13:Q13)</f>
        <v/>
      </c>
      <c r="E16" s="28">
        <f>E6-(E10+E12+E14)-SUM(Financials!R13:U13)</f>
        <v/>
      </c>
      <c r="F16" s="28">
        <f>F6-(F10+F12+F14)-SUM(Financials!V13:Y13)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  <c r="N17" s="27">
        <f>IFERROR(N16/N6,"")</f>
        <v/>
      </c>
      <c r="O17" s="27">
        <f>IFERROR(O16/O6,"")</f>
        <v/>
      </c>
      <c r="P17" s="2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  <c r="N20" s="27">
        <f>IFERROR(N19/N6,"")</f>
        <v/>
      </c>
      <c r="O20" s="27">
        <f>IFERROR(O19/O6,"")</f>
        <v/>
      </c>
      <c r="P20" s="2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SUM(Financials!F27:I27)</f>
        <v/>
      </c>
      <c r="C24" s="28">
        <f>SUM(Financials!J27:M27)</f>
        <v/>
      </c>
      <c r="D24" s="28">
        <f>SUM(Financials!N27:Q27)</f>
        <v/>
      </c>
      <c r="E24" s="28">
        <f>SUM(Financials!R27:U27)</f>
        <v/>
      </c>
      <c r="F24" s="28">
        <f>SUM(Financials!V27:Y27)</f>
        <v/>
      </c>
      <c r="G24" s="32">
        <f>G6*0.0240</f>
        <v/>
      </c>
      <c r="H24" s="32">
        <f>H6*0.0240</f>
        <v/>
      </c>
      <c r="I24" s="32">
        <f>I6*0.0240</f>
        <v/>
      </c>
      <c r="J24" s="32">
        <f>J6*0.0240</f>
        <v/>
      </c>
      <c r="K24" s="32">
        <f>K6*0.0240</f>
        <v/>
      </c>
      <c r="L24" s="32">
        <f>L6*0.0240</f>
        <v/>
      </c>
      <c r="M24" s="32">
        <f>M6*0.0240</f>
        <v/>
      </c>
      <c r="N24" s="32">
        <f>N6*0.0240</f>
        <v/>
      </c>
      <c r="O24" s="32">
        <f>O6*0.0240</f>
        <v/>
      </c>
      <c r="P24" s="32">
        <f>P6*0.0240</f>
        <v/>
      </c>
    </row>
    <row r="25">
      <c r="A25" s="4" t="inlineStr">
        <is>
          <t>+ SBC (non-cash)</t>
        </is>
      </c>
      <c r="B25" s="28">
        <f>SUM(Financials!F28:I28)</f>
        <v/>
      </c>
      <c r="C25" s="28">
        <f>SUM(Financials!J28:M28)</f>
        <v/>
      </c>
      <c r="D25" s="28">
        <f>SUM(Financials!N28:Q28)</f>
        <v/>
      </c>
      <c r="E25" s="28">
        <f>SUM(Financials!R28:U28)</f>
        <v/>
      </c>
      <c r="F25" s="28">
        <f>SUM(Financials!V28:Y28)</f>
        <v/>
      </c>
      <c r="G25" s="32">
        <f>G6*0.0100</f>
        <v/>
      </c>
      <c r="H25" s="32">
        <f>H6*0.0096</f>
        <v/>
      </c>
      <c r="I25" s="32">
        <f>I6*0.0091</f>
        <v/>
      </c>
      <c r="J25" s="32">
        <f>J6*0.0087</f>
        <v/>
      </c>
      <c r="K25" s="32">
        <f>K6*0.0082</f>
        <v/>
      </c>
      <c r="L25" s="32">
        <f>L6*0.0078</f>
        <v/>
      </c>
      <c r="M25" s="32">
        <f>M6*0.0073</f>
        <v/>
      </c>
      <c r="N25" s="32">
        <f>N6*0.0069</f>
        <v/>
      </c>
      <c r="O25" s="32">
        <f>O6*0.0064</f>
        <v/>
      </c>
      <c r="P25" s="32">
        <f>P6*0.0060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-SUM(Financials!F31:I31)</f>
        <v/>
      </c>
      <c r="C27" s="28">
        <f>-SUM(Financials!J31:M31)</f>
        <v/>
      </c>
      <c r="D27" s="28">
        <f>-SUM(Financials!N31:Q31)</f>
        <v/>
      </c>
      <c r="E27" s="28">
        <f>-SUM(Financials!R31:U31)</f>
        <v/>
      </c>
      <c r="F27" s="28">
        <f>-SUM(Financials!V31:Y31)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34">
        <f>IFERROR(D27/D24,"")</f>
        <v/>
      </c>
      <c r="E28" s="34">
        <f>IFERROR(E27/E24,"")</f>
        <v/>
      </c>
      <c r="F28" s="34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Financials!I25+Financials!I24-Financials!I19</f>
        <v/>
      </c>
      <c r="C34" s="28">
        <f>Financials!M25+Financials!M24-Financials!M19</f>
        <v/>
      </c>
      <c r="D34" s="28">
        <f>Financials!Q25+Financials!Q24-Financials!Q19</f>
        <v/>
      </c>
      <c r="E34" s="28">
        <f>Financials!U25+Financials!U24-Financials!U19</f>
        <v/>
      </c>
      <c r="F34" s="28">
        <f>Financials!Y25+Financials!Y24-Financials!Y19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Financials!I25</f>
        <v/>
      </c>
      <c r="C35" s="28">
        <f>Financials!M25</f>
        <v/>
      </c>
      <c r="D35" s="28">
        <f>Financials!Q25</f>
        <v/>
      </c>
      <c r="E35" s="28">
        <f>Financials!U25</f>
        <v/>
      </c>
      <c r="F35" s="28">
        <f>Financials!Y25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  <c r="N36" s="27">
        <f>IFERROR(N23/M34,"")</f>
        <v/>
      </c>
      <c r="O36" s="27">
        <f>IFERROR(O23/N34,"")</f>
        <v/>
      </c>
      <c r="P36" s="27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IFERROR(SUM(Financials!J15:M15)/B35,"")</f>
        <v/>
      </c>
      <c r="D37" s="11">
        <f>IFERROR(SUM(Financials!N15:Q15)/C35,"")</f>
        <v/>
      </c>
      <c r="E37" s="11">
        <f>IFERROR(SUM(Financials!R15:U15)/D35,"")</f>
        <v/>
      </c>
      <c r="F37" s="11">
        <f>IFERROR(SUM(Financials!V15:Y15)/E35,"")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  <c r="N37" s="27">
        <f>IFERROR(N23/M35,"")</f>
        <v/>
      </c>
      <c r="O37" s="27">
        <f>IFERROR(O23/N35,"")</f>
        <v/>
      </c>
      <c r="P37" s="27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  <c r="N38" s="11">
        <f>IFERROR(N36-WACC!$B$14,"")</f>
        <v/>
      </c>
      <c r="O38" s="11">
        <f>IFERROR(O36-WACC!$B$14,"")</f>
        <v/>
      </c>
      <c r="P38" s="11">
        <f>IFERROR(P36-WACC!$B$14,"")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  <c r="N39" s="27">
        <f>IFERROR((N19-M19)/(N6-M6),"")</f>
        <v/>
      </c>
      <c r="O39" s="27">
        <f>IFERROR((O19-N19)/(O6-N6),"")</f>
        <v/>
      </c>
      <c r="P39" s="27">
        <f>IFERROR((P19-O19)/(P6-O6),"")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  <c r="N40" s="27">
        <f>IFERROR((N23-M23)/(N34-M34),"")</f>
        <v/>
      </c>
      <c r="O40" s="27">
        <f>IFERROR((O23-N23)/(O34-N34),"")</f>
        <v/>
      </c>
      <c r="P40" s="2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  <c r="N41" s="35">
        <f>IFERROR((N6-M6)/(N34-M34),"")</f>
        <v/>
      </c>
      <c r="O41" s="35">
        <f>IFERROR((O6-N6)/(O34-N34),"")</f>
        <v/>
      </c>
      <c r="P41" s="3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  <c r="N42" s="27">
        <f>IFERROR((N34-M34)/N23,"")</f>
        <v/>
      </c>
      <c r="O42" s="27">
        <f>IFERROR((O34-N34)/O23,"")</f>
        <v/>
      </c>
      <c r="P42" s="2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4" t="inlineStr">
        <is>
          <t>Revenue</t>
        </is>
      </c>
      <c r="B3" s="18" t="n">
        <v>17.995</v>
      </c>
      <c r="C3" s="18" t="n">
        <v>20.645</v>
      </c>
      <c r="D3" s="18" t="n">
        <v>30.85</v>
      </c>
      <c r="E3" s="18" t="n">
        <v>34.653</v>
      </c>
      <c r="F3" s="18" t="n">
        <v>40.256</v>
      </c>
      <c r="G3" s="18" t="n">
        <v>58.961</v>
      </c>
      <c r="H3" s="18" t="n">
        <v>68.646</v>
      </c>
      <c r="I3" s="18" t="n">
        <v>76.25700000000001</v>
      </c>
      <c r="J3" s="18" t="n">
        <v>87.453</v>
      </c>
      <c r="K3" s="18" t="n">
        <v>101.18</v>
      </c>
      <c r="L3" s="18" t="n">
        <v>111.864</v>
      </c>
      <c r="M3" s="18" t="n">
        <v>118.428</v>
      </c>
      <c r="N3" s="18" t="n">
        <v>137.287</v>
      </c>
      <c r="O3" s="18" t="n">
        <v>161.138</v>
      </c>
      <c r="P3" s="18" t="n">
        <v>163.921</v>
      </c>
      <c r="Q3" s="18" t="n">
        <v>188.005</v>
      </c>
      <c r="R3" s="18" t="n">
        <v>184.43</v>
      </c>
      <c r="S3" s="18" t="n">
        <v>171.279</v>
      </c>
      <c r="T3" s="18" t="n">
        <v>185.774</v>
      </c>
      <c r="U3" s="18" t="n">
        <v>204.491</v>
      </c>
      <c r="V3" s="18" t="n">
        <v>216.759</v>
      </c>
      <c r="W3" s="18" t="n">
        <v>256.458</v>
      </c>
      <c r="X3" s="18" t="n">
        <v>282.483</v>
      </c>
      <c r="Y3" s="18" t="n">
        <v>337.887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</row>
    <row r="5">
      <c r="A5" s="4" t="inlineStr">
        <is>
          <t>Cost of Revenue</t>
        </is>
      </c>
      <c r="B5" s="18" t="n">
        <v>6.993</v>
      </c>
      <c r="C5" s="18" t="n">
        <v>9.122</v>
      </c>
      <c r="D5" s="18" t="n">
        <v>13.969</v>
      </c>
      <c r="E5" s="18" t="n">
        <v>13.981</v>
      </c>
      <c r="F5" s="18" t="n">
        <v>16.989</v>
      </c>
      <c r="G5" s="18" t="n">
        <v>25.17</v>
      </c>
      <c r="H5" s="18" t="n">
        <v>34.202</v>
      </c>
      <c r="I5" s="18" t="n">
        <v>37.316</v>
      </c>
      <c r="J5" s="18" t="n">
        <v>43.899</v>
      </c>
      <c r="K5" s="18" t="n">
        <v>51.541</v>
      </c>
      <c r="L5" s="18" t="n">
        <v>57.992</v>
      </c>
      <c r="M5" s="18" t="n">
        <v>63.326</v>
      </c>
      <c r="N5" s="18" t="n">
        <v>75.45</v>
      </c>
      <c r="O5" s="18" t="n">
        <v>90.378</v>
      </c>
      <c r="P5" s="18" t="n">
        <v>89.378</v>
      </c>
      <c r="Q5" s="18" t="n">
        <v>118.286</v>
      </c>
      <c r="R5" s="18" t="n">
        <v>121.459</v>
      </c>
      <c r="S5" s="18" t="n">
        <v>101.468</v>
      </c>
      <c r="T5" s="18" t="n">
        <v>107.594</v>
      </c>
      <c r="U5" s="18" t="n">
        <v>120.78</v>
      </c>
      <c r="V5" s="18" t="n">
        <v>131.88</v>
      </c>
      <c r="W5" s="18" t="n">
        <v>157.573</v>
      </c>
      <c r="X5" s="18" t="n">
        <v>179.294</v>
      </c>
      <c r="Y5" s="18" t="n">
        <v>222.084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</row>
    <row r="7">
      <c r="A7" s="4" t="inlineStr">
        <is>
          <t>R&amp;D Expense</t>
        </is>
      </c>
      <c r="B7" s="18" t="n">
        <v>0.346</v>
      </c>
      <c r="C7" s="18" t="n">
        <v>0.381</v>
      </c>
      <c r="D7" s="18" t="n">
        <v>0.528</v>
      </c>
      <c r="E7" s="18" t="n">
        <v>1.406</v>
      </c>
      <c r="F7" s="18" t="n">
        <v>0.52</v>
      </c>
      <c r="G7" s="18" t="n">
        <v>0.596</v>
      </c>
      <c r="H7" s="18" t="n">
        <v>1.116</v>
      </c>
      <c r="I7" s="18" t="n">
        <v>3.498</v>
      </c>
      <c r="J7" s="18" t="n">
        <v>1.406</v>
      </c>
      <c r="K7" s="18" t="n">
        <v>1.643</v>
      </c>
      <c r="L7" s="18" t="n">
        <v>1.692</v>
      </c>
      <c r="M7" s="18" t="n">
        <v>1.607</v>
      </c>
      <c r="N7" s="18" t="n">
        <v>2.29</v>
      </c>
      <c r="O7" s="18" t="n">
        <v>2.64</v>
      </c>
      <c r="P7" s="18" t="n">
        <v>3.696</v>
      </c>
      <c r="Q7" s="18" t="n">
        <v>12.734</v>
      </c>
      <c r="R7" s="18" t="n">
        <v>5.465</v>
      </c>
      <c r="S7" s="18" t="n">
        <v>6.408</v>
      </c>
      <c r="T7" s="18" t="n">
        <v>6.93</v>
      </c>
      <c r="U7" s="18" t="n">
        <v>6.822</v>
      </c>
      <c r="V7" s="18" t="n">
        <v>6.767</v>
      </c>
      <c r="W7" s="18" t="n">
        <v>7.38</v>
      </c>
      <c r="X7" s="18" t="n">
        <v>8.843999999999999</v>
      </c>
      <c r="Y7" s="18" t="n">
        <v>7.716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</row>
    <row r="9">
      <c r="A9" s="4" t="inlineStr">
        <is>
          <t>SG&amp;A Expense</t>
        </is>
      </c>
      <c r="B9" s="18" t="n">
        <v>10.07</v>
      </c>
      <c r="C9" s="18" t="n">
        <v>3.283</v>
      </c>
      <c r="D9" s="18" t="n">
        <v>3.429</v>
      </c>
      <c r="E9" s="18" t="n">
        <v>5.873</v>
      </c>
      <c r="F9" s="18" t="n">
        <v>6.716</v>
      </c>
      <c r="G9" s="18" t="n">
        <v>13.742</v>
      </c>
      <c r="H9" s="18" t="n">
        <v>11.741</v>
      </c>
      <c r="I9" s="18" t="n">
        <v>10.582</v>
      </c>
      <c r="J9" s="18" t="n">
        <v>13.138</v>
      </c>
      <c r="K9" s="18" t="n">
        <v>12.223</v>
      </c>
      <c r="L9" s="18" t="n">
        <v>14.955</v>
      </c>
      <c r="M9" s="18" t="n">
        <v>21.144</v>
      </c>
      <c r="N9" s="18" t="n">
        <v>20.137</v>
      </c>
      <c r="O9" s="18" t="n">
        <v>20.374</v>
      </c>
      <c r="P9" s="18" t="n">
        <v>21.825</v>
      </c>
      <c r="Q9" s="18" t="n">
        <v>24.895</v>
      </c>
      <c r="R9" s="18" t="n">
        <v>28.963</v>
      </c>
      <c r="S9" s="18" t="n">
        <v>31.579</v>
      </c>
      <c r="T9" s="18" t="n">
        <v>29.528</v>
      </c>
      <c r="U9" s="18" t="n">
        <v>9.087</v>
      </c>
      <c r="V9" s="18" t="n">
        <v>31.459</v>
      </c>
      <c r="W9" s="18" t="n">
        <v>31.845</v>
      </c>
      <c r="X9" s="18" t="n">
        <v>36.363</v>
      </c>
      <c r="Y9" s="18" t="n">
        <v>45.563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</row>
    <row r="11">
      <c r="A11" s="4" t="inlineStr">
        <is>
          <t>Gross Profit</t>
        </is>
      </c>
      <c r="B11" s="18" t="n">
        <v>11.002</v>
      </c>
      <c r="C11" s="18" t="n">
        <v>11.523</v>
      </c>
      <c r="D11" s="18" t="n">
        <v>16.881</v>
      </c>
      <c r="E11" s="18" t="n">
        <v>20.672</v>
      </c>
      <c r="F11" s="18" t="n">
        <v>23.267</v>
      </c>
      <c r="G11" s="18" t="n">
        <v>33.791</v>
      </c>
      <c r="H11" s="18" t="n">
        <v>34.444</v>
      </c>
      <c r="I11" s="18" t="n">
        <v>38.941</v>
      </c>
      <c r="J11" s="18" t="n">
        <v>43.554</v>
      </c>
      <c r="K11" s="18" t="n">
        <v>49.639</v>
      </c>
      <c r="L11" s="18" t="n">
        <v>53.872</v>
      </c>
      <c r="M11" s="18" t="n">
        <v>55.102</v>
      </c>
      <c r="N11" s="18" t="n">
        <v>61.837</v>
      </c>
      <c r="O11" s="18" t="n">
        <v>70.76000000000001</v>
      </c>
      <c r="P11" s="18" t="n">
        <v>74.54300000000001</v>
      </c>
      <c r="Q11" s="18" t="n">
        <v>69.71899999999999</v>
      </c>
      <c r="R11" s="18" t="n">
        <v>62.971</v>
      </c>
      <c r="S11" s="18" t="n">
        <v>69.81100000000001</v>
      </c>
      <c r="T11" s="18" t="n">
        <v>78.18000000000001</v>
      </c>
      <c r="U11" s="18" t="n">
        <v>83.711</v>
      </c>
      <c r="V11" s="18" t="n">
        <v>84.879</v>
      </c>
      <c r="W11" s="18" t="n">
        <v>98.88500000000001</v>
      </c>
      <c r="X11" s="18" t="n">
        <v>103.189</v>
      </c>
      <c r="Y11" s="18" t="n">
        <v>115.803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</row>
    <row r="13">
      <c r="A13" s="4" t="inlineStr">
        <is>
          <t>Operating Income</t>
        </is>
      </c>
      <c r="B13" s="18" t="n">
        <v>1.323</v>
      </c>
      <c r="C13" s="18" t="n">
        <v>7.826</v>
      </c>
      <c r="D13" s="18" t="n">
        <v>9.34</v>
      </c>
      <c r="E13" s="18" t="n">
        <v>12.456</v>
      </c>
      <c r="F13" s="18" t="n">
        <v>18.785</v>
      </c>
      <c r="G13" s="18" t="n">
        <v>18.918</v>
      </c>
      <c r="H13" s="18" t="n">
        <v>21.569</v>
      </c>
      <c r="I13" s="18" t="n">
        <v>24.566</v>
      </c>
      <c r="J13" s="18" t="n">
        <v>29.085</v>
      </c>
      <c r="K13" s="18" t="n">
        <v>35.092</v>
      </c>
      <c r="L13" s="18" t="n">
        <v>37.231</v>
      </c>
      <c r="M13" s="18" t="n">
        <v>26.502</v>
      </c>
      <c r="N13" s="18" t="n">
        <v>39.359</v>
      </c>
      <c r="O13" s="18" t="n">
        <v>47.767</v>
      </c>
      <c r="P13" s="18" t="n">
        <v>51.53</v>
      </c>
      <c r="Q13" s="18" t="n">
        <v>41.001</v>
      </c>
      <c r="R13" s="18" t="n">
        <v>26.901</v>
      </c>
      <c r="S13" s="18" t="n">
        <v>30.195</v>
      </c>
      <c r="T13" s="18" t="n">
        <v>41.136</v>
      </c>
      <c r="U13" s="18" t="n">
        <v>42.268</v>
      </c>
      <c r="V13" s="18" t="n">
        <v>45.845</v>
      </c>
      <c r="W13" s="18" t="n">
        <v>55.765</v>
      </c>
      <c r="X13" s="18" t="n">
        <v>55.589</v>
      </c>
      <c r="Y13" s="18" t="n">
        <v>62.524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</row>
    <row r="15">
      <c r="A15" s="4" t="inlineStr">
        <is>
          <t>Net Income</t>
        </is>
      </c>
      <c r="B15" s="18" t="n">
        <v>0.555</v>
      </c>
      <c r="C15" s="18" t="n">
        <v>7.411</v>
      </c>
      <c r="D15" s="18" t="n">
        <v>8.622</v>
      </c>
      <c r="E15" s="18" t="n">
        <v>11.598</v>
      </c>
      <c r="F15" s="18" t="n">
        <v>16.92</v>
      </c>
      <c r="G15" s="18" t="n">
        <v>17.708</v>
      </c>
      <c r="H15" s="18" t="n">
        <v>19.663</v>
      </c>
      <c r="I15" s="18" t="n">
        <v>23.585</v>
      </c>
      <c r="J15" s="18" t="n">
        <v>26.292</v>
      </c>
      <c r="K15" s="18" t="n">
        <v>30.572</v>
      </c>
      <c r="L15" s="18" t="n">
        <v>32.462</v>
      </c>
      <c r="M15" s="18" t="n">
        <v>19.357</v>
      </c>
      <c r="N15" s="18" t="n">
        <v>35.444</v>
      </c>
      <c r="O15" s="18" t="n">
        <v>44.697</v>
      </c>
      <c r="P15" s="18" t="n">
        <v>40.308</v>
      </c>
      <c r="Q15" s="18" t="n">
        <v>28.515</v>
      </c>
      <c r="R15" s="18" t="n">
        <v>17.708</v>
      </c>
      <c r="S15" s="18" t="n">
        <v>46.244</v>
      </c>
      <c r="T15" s="18" t="n">
        <v>26.782</v>
      </c>
      <c r="U15" s="18" t="n">
        <v>29.682</v>
      </c>
      <c r="V15" s="18" t="n">
        <v>46.63</v>
      </c>
      <c r="W15" s="18" t="n">
        <v>42.81</v>
      </c>
      <c r="X15" s="18" t="n">
        <v>51.825</v>
      </c>
      <c r="Y15" s="18" t="n">
        <v>55.536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</row>
    <row r="17">
      <c r="A17" s="4" t="inlineStr">
        <is>
          <t>Diluted Shares (M)</t>
        </is>
      </c>
      <c r="B17" s="18" t="n">
        <v>292.915765</v>
      </c>
      <c r="C17" s="18" t="n">
        <v>292.915765</v>
      </c>
      <c r="D17" s="18" t="n">
        <v>292.915765</v>
      </c>
      <c r="E17" s="18" t="n">
        <v>292.915765</v>
      </c>
      <c r="F17" s="18" t="n">
        <v>292.915765</v>
      </c>
      <c r="G17" s="18" t="n">
        <v>308.586186</v>
      </c>
      <c r="H17" s="18" t="n">
        <v>313.204997</v>
      </c>
      <c r="I17" s="18" t="n">
        <v>313.18912</v>
      </c>
      <c r="J17" s="18" t="n">
        <v>313.18912</v>
      </c>
      <c r="K17" s="18" t="n">
        <v>312.992943</v>
      </c>
      <c r="L17" s="18" t="n">
        <v>313.165357</v>
      </c>
      <c r="M17" s="18" t="n">
        <v>296.02987</v>
      </c>
      <c r="N17" s="18" t="n">
        <v>293.796128</v>
      </c>
      <c r="O17" s="18" t="n">
        <v>289.247206</v>
      </c>
      <c r="P17" s="18" t="n">
        <v>289.557906</v>
      </c>
      <c r="Q17" s="18" t="n">
        <v>295.665276</v>
      </c>
      <c r="R17" s="18" t="n">
        <v>310.122087</v>
      </c>
      <c r="S17" s="18" t="n">
        <v>308.427</v>
      </c>
      <c r="T17" s="18" t="n">
        <v>296.321</v>
      </c>
      <c r="U17" s="18" t="n">
        <v>294.861</v>
      </c>
      <c r="V17" s="18" t="n">
        <v>310.866667</v>
      </c>
      <c r="W17" s="18" t="n">
        <v>305.785714</v>
      </c>
      <c r="X17" s="18" t="n">
        <v>304.852941</v>
      </c>
      <c r="Y17" s="18" t="n">
        <v>294.931956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4" t="inlineStr">
        <is>
          <t>Cash &amp; ST Investments</t>
        </is>
      </c>
      <c r="B19" s="18" t="n">
        <v>0</v>
      </c>
      <c r="E19" s="18" t="n">
        <v>52.003</v>
      </c>
      <c r="F19" s="18" t="n">
        <v>57.758</v>
      </c>
      <c r="G19" s="18" t="n">
        <v>267.214</v>
      </c>
      <c r="H19" s="18" t="n">
        <v>188.747</v>
      </c>
      <c r="I19" s="18" t="n">
        <v>228.917</v>
      </c>
      <c r="J19" s="18" t="n">
        <v>253.13</v>
      </c>
      <c r="K19" s="18" t="n">
        <v>271.284</v>
      </c>
      <c r="L19" s="18" t="n">
        <v>321.052</v>
      </c>
      <c r="M19" s="18" t="n">
        <v>513.201</v>
      </c>
      <c r="N19" s="18" t="n">
        <v>558.154</v>
      </c>
      <c r="O19" s="18" t="n">
        <v>645.467</v>
      </c>
      <c r="P19" s="18" t="n">
        <v>627.009</v>
      </c>
      <c r="Q19" s="18" t="n">
        <v>325.485</v>
      </c>
      <c r="R19" s="18" t="n">
        <v>680.134</v>
      </c>
      <c r="S19" s="18" t="n">
        <v>651.917</v>
      </c>
      <c r="T19" s="18" t="n">
        <v>672.779</v>
      </c>
      <c r="U19" s="18" t="n">
        <v>329.967</v>
      </c>
      <c r="V19" s="18" t="n">
        <v>636.9930000000001</v>
      </c>
      <c r="W19" s="18" t="n">
        <v>602.465</v>
      </c>
      <c r="X19" s="18" t="n">
        <v>699.4930000000001</v>
      </c>
      <c r="Y19" s="18" t="n">
        <v>824.067</v>
      </c>
    </row>
    <row r="20">
      <c r="A20" s="4" t="inlineStr">
        <is>
          <t>Total Current Assets</t>
        </is>
      </c>
      <c r="B20" s="18" t="n">
        <v>0</v>
      </c>
      <c r="E20" s="18" t="n">
        <v>194.854</v>
      </c>
      <c r="F20" s="18" t="n">
        <v>412.368</v>
      </c>
      <c r="G20" s="18" t="n">
        <v>442.951</v>
      </c>
      <c r="H20" s="18" t="n">
        <v>463.546</v>
      </c>
      <c r="I20" s="18" t="n">
        <v>529.506</v>
      </c>
      <c r="J20" s="18" t="n">
        <v>629.729</v>
      </c>
      <c r="K20" s="18" t="n">
        <v>655.068</v>
      </c>
      <c r="L20" s="18" t="n">
        <v>776.852</v>
      </c>
      <c r="M20" s="18" t="n">
        <v>767.828</v>
      </c>
      <c r="N20" s="18" t="n">
        <v>810.5700000000001</v>
      </c>
      <c r="O20" s="18" t="n">
        <v>946.585</v>
      </c>
      <c r="P20" s="18" t="n">
        <v>942.4930000000001</v>
      </c>
      <c r="Q20" s="18" t="n">
        <v>1016.033</v>
      </c>
      <c r="R20" s="18" t="n">
        <v>1087.34</v>
      </c>
      <c r="S20" s="18" t="n">
        <v>1118.92</v>
      </c>
      <c r="T20" s="18" t="n">
        <v>1091.522</v>
      </c>
      <c r="U20" s="18" t="n">
        <v>1072.883</v>
      </c>
      <c r="V20" s="18" t="n">
        <v>1142.806</v>
      </c>
      <c r="W20" s="18" t="n">
        <v>1120.364</v>
      </c>
      <c r="X20" s="18" t="n">
        <v>1307.038</v>
      </c>
      <c r="Y20" s="18" t="n">
        <v>1420.757</v>
      </c>
    </row>
    <row r="21">
      <c r="A21" s="4" t="inlineStr">
        <is>
          <t>PP&amp;E (net)</t>
        </is>
      </c>
      <c r="B21" s="18" t="n">
        <v>0</v>
      </c>
      <c r="E21" s="18" t="n">
        <v>1.101</v>
      </c>
      <c r="F21" s="18" t="n">
        <v>1.448</v>
      </c>
      <c r="G21" s="18" t="n">
        <v>6.044</v>
      </c>
      <c r="H21" s="18" t="n">
        <v>6.273</v>
      </c>
      <c r="I21" s="18" t="n">
        <v>6.4</v>
      </c>
      <c r="J21" s="18" t="n">
        <v>6.176</v>
      </c>
      <c r="K21" s="18" t="n">
        <v>6.516</v>
      </c>
      <c r="L21" s="18" t="n">
        <v>6.752</v>
      </c>
      <c r="M21" s="18" t="n">
        <v>6.668</v>
      </c>
      <c r="N21" s="18" t="n">
        <v>6.14</v>
      </c>
      <c r="O21" s="18" t="n">
        <v>6.474</v>
      </c>
      <c r="P21" s="18" t="n">
        <v>7.372</v>
      </c>
      <c r="Q21" s="18" t="n">
        <v>6.606</v>
      </c>
      <c r="R21" s="18" t="n">
        <v>6.992</v>
      </c>
      <c r="S21" s="18" t="n">
        <v>7.084</v>
      </c>
      <c r="T21" s="18" t="n">
        <v>7.247</v>
      </c>
      <c r="U21" s="18" t="n">
        <v>7.022</v>
      </c>
      <c r="V21" s="18" t="n">
        <v>7.859</v>
      </c>
      <c r="W21" s="18" t="n">
        <v>8.332000000000001</v>
      </c>
      <c r="X21" s="18" t="n">
        <v>7.328</v>
      </c>
      <c r="Y21" s="18" t="n">
        <v>6.98</v>
      </c>
    </row>
    <row r="22">
      <c r="A22" s="4" t="inlineStr">
        <is>
          <t>Total Assets</t>
        </is>
      </c>
      <c r="B22" s="18" t="n">
        <v>0</v>
      </c>
      <c r="E22" s="18" t="n">
        <v>200.467</v>
      </c>
      <c r="F22" s="18" t="n">
        <v>418.894</v>
      </c>
      <c r="G22" s="18" t="n">
        <v>493.692</v>
      </c>
      <c r="H22" s="18" t="n">
        <v>515.87</v>
      </c>
      <c r="I22" s="18" t="n">
        <v>583.008</v>
      </c>
      <c r="J22" s="18" t="n">
        <v>684.539</v>
      </c>
      <c r="K22" s="18" t="n">
        <v>710.704</v>
      </c>
      <c r="L22" s="18" t="n">
        <v>834.58</v>
      </c>
      <c r="M22" s="18" t="n">
        <v>826.301</v>
      </c>
      <c r="N22" s="18" t="n">
        <v>870.331</v>
      </c>
      <c r="O22" s="18" t="n">
        <v>1008.788</v>
      </c>
      <c r="P22" s="18" t="n">
        <v>1007.56</v>
      </c>
      <c r="Q22" s="18" t="n">
        <v>1084.453</v>
      </c>
      <c r="R22" s="18" t="n">
        <v>1156</v>
      </c>
      <c r="S22" s="18" t="n">
        <v>1195.684</v>
      </c>
      <c r="T22" s="18" t="n">
        <v>1171.159</v>
      </c>
      <c r="U22" s="18" t="n">
        <v>1171.329</v>
      </c>
      <c r="V22" s="18" t="n">
        <v>1241.647</v>
      </c>
      <c r="W22" s="18" t="n">
        <v>1221.312</v>
      </c>
      <c r="X22" s="18" t="n">
        <v>1408.754</v>
      </c>
      <c r="Y22" s="18" t="n">
        <v>1540.964</v>
      </c>
    </row>
    <row r="23">
      <c r="A23" s="4" t="inlineStr">
        <is>
          <t>Total Current Liabilities</t>
        </is>
      </c>
      <c r="B23" s="18" t="n">
        <v>0</v>
      </c>
      <c r="E23" s="18" t="n">
        <v>155.143</v>
      </c>
      <c r="F23" s="18" t="n">
        <v>309.38</v>
      </c>
      <c r="G23" s="18" t="n">
        <v>256.406999</v>
      </c>
      <c r="H23" s="18" t="n">
        <v>256.564</v>
      </c>
      <c r="I23" s="18" t="n">
        <v>298.398</v>
      </c>
      <c r="J23" s="18" t="n">
        <v>370.468</v>
      </c>
      <c r="K23" s="18" t="n">
        <v>363.681</v>
      </c>
      <c r="L23" s="18" t="n">
        <v>452.884</v>
      </c>
      <c r="M23" s="18" t="n">
        <v>422.272</v>
      </c>
      <c r="N23" s="18" t="n">
        <v>463.124</v>
      </c>
      <c r="O23" s="18" t="n">
        <v>613.298</v>
      </c>
      <c r="P23" s="18" t="n">
        <v>566.514</v>
      </c>
      <c r="Q23" s="18" t="n">
        <v>625.229</v>
      </c>
      <c r="R23" s="18" t="n">
        <v>673.643</v>
      </c>
      <c r="S23" s="18" t="n">
        <v>747.877</v>
      </c>
      <c r="T23" s="18" t="n">
        <v>709.8920000000001</v>
      </c>
      <c r="U23" s="18" t="n">
        <v>677.621</v>
      </c>
      <c r="V23" s="18" t="n">
        <v>691.76</v>
      </c>
      <c r="W23" s="18" t="n">
        <v>766.5170000000001</v>
      </c>
      <c r="X23" s="18" t="n">
        <v>897.755</v>
      </c>
      <c r="Y23" s="18" t="n">
        <v>965.91</v>
      </c>
    </row>
    <row r="24">
      <c r="A24" s="4" t="inlineStr">
        <is>
          <t>Long-term Debt</t>
        </is>
      </c>
      <c r="B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</row>
    <row r="25">
      <c r="A25" s="4" t="inlineStr">
        <is>
          <t>Total Equity</t>
        </is>
      </c>
      <c r="B25" s="18" t="n">
        <v>0</v>
      </c>
      <c r="E25" s="18" t="n">
        <v>45.052</v>
      </c>
      <c r="F25" s="18" t="n">
        <v>109.08</v>
      </c>
      <c r="G25" s="18" t="n">
        <v>232.93</v>
      </c>
      <c r="H25" s="18" t="n">
        <v>254.873</v>
      </c>
      <c r="I25" s="18" t="n">
        <v>280.319</v>
      </c>
      <c r="J25" s="18" t="n">
        <v>310.165</v>
      </c>
      <c r="K25" s="18" t="n">
        <v>343.089</v>
      </c>
      <c r="L25" s="18" t="n">
        <v>377.755</v>
      </c>
      <c r="M25" s="18" t="n">
        <v>399.629</v>
      </c>
      <c r="N25" s="18" t="n">
        <v>402.043</v>
      </c>
      <c r="O25" s="18" t="n">
        <v>388.908</v>
      </c>
      <c r="P25" s="18" t="n">
        <v>430.717</v>
      </c>
      <c r="Q25" s="18" t="n">
        <v>455.031</v>
      </c>
      <c r="R25" s="18" t="n">
        <v>476.62</v>
      </c>
      <c r="S25" s="18" t="n">
        <v>442.287</v>
      </c>
      <c r="T25" s="18" t="n">
        <v>456.879</v>
      </c>
      <c r="U25" s="18" t="n">
        <v>488.887</v>
      </c>
      <c r="V25" s="18" t="n">
        <v>545.081</v>
      </c>
      <c r="W25" s="18" t="n">
        <v>447.96</v>
      </c>
      <c r="X25" s="18" t="n">
        <v>504.531</v>
      </c>
      <c r="Y25" s="18" t="n">
        <v>569.261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>
      <c r="A27" s="4" t="inlineStr">
        <is>
          <t>D&amp;A</t>
        </is>
      </c>
      <c r="B27" s="18" t="n">
        <v>0.126</v>
      </c>
      <c r="C27" s="18" t="n">
        <v>0.336</v>
      </c>
      <c r="D27" s="18" t="n">
        <v>0.282</v>
      </c>
      <c r="E27" s="18" t="n">
        <v>0.248</v>
      </c>
      <c r="F27" s="18" t="n">
        <v>0.515</v>
      </c>
      <c r="G27" s="18" t="n">
        <v>1.344</v>
      </c>
      <c r="H27" s="18" t="n">
        <v>1.381</v>
      </c>
      <c r="I27" s="18" t="n">
        <v>1.507</v>
      </c>
      <c r="J27" s="18" t="n">
        <v>1.723</v>
      </c>
      <c r="K27" s="18" t="n">
        <v>1.857</v>
      </c>
      <c r="L27" s="18" t="n">
        <v>2.11</v>
      </c>
      <c r="M27" s="18" t="n">
        <v>2.457</v>
      </c>
      <c r="N27" s="18" t="n">
        <v>2.515</v>
      </c>
      <c r="O27" s="18" t="n">
        <v>2.869</v>
      </c>
      <c r="P27" s="18" t="n">
        <v>2.897</v>
      </c>
      <c r="Q27" s="18" t="n">
        <v>3.604</v>
      </c>
      <c r="R27" s="18" t="n">
        <v>3.824</v>
      </c>
      <c r="S27" s="18" t="n">
        <v>4.038</v>
      </c>
      <c r="T27" s="18" t="n">
        <v>4.517</v>
      </c>
      <c r="U27" s="18" t="n">
        <v>6.248</v>
      </c>
      <c r="V27" s="18" t="n">
        <v>5.287</v>
      </c>
      <c r="W27" s="18" t="n">
        <v>5.54</v>
      </c>
      <c r="X27" s="18" t="n">
        <v>6.784</v>
      </c>
      <c r="Y27" s="18" t="n">
        <v>8.648999999999999</v>
      </c>
    </row>
    <row r="28">
      <c r="A28" s="4" t="inlineStr">
        <is>
          <t>Stock-based Compensation</t>
        </is>
      </c>
      <c r="B28" s="18" t="n">
        <v>6.903</v>
      </c>
      <c r="C28" s="18" t="n">
        <v>0.03</v>
      </c>
      <c r="D28" s="18" t="n">
        <v>0.106</v>
      </c>
      <c r="E28" s="18" t="n">
        <v>0.256</v>
      </c>
      <c r="F28" s="18" t="n">
        <v>0.5649999999999999</v>
      </c>
      <c r="G28" s="18" t="n">
        <v>2.116</v>
      </c>
      <c r="H28" s="18" t="n">
        <v>2.673</v>
      </c>
      <c r="I28" s="18" t="n">
        <v>2.236</v>
      </c>
      <c r="J28" s="18" t="n">
        <v>2.034</v>
      </c>
      <c r="K28" s="18" t="n">
        <v>1.241</v>
      </c>
      <c r="L28" s="18" t="n">
        <v>1.599</v>
      </c>
      <c r="M28" s="18" t="n">
        <v>3.81</v>
      </c>
      <c r="N28" s="18" t="n">
        <v>2.329</v>
      </c>
      <c r="O28" s="18" t="n">
        <v>1.421</v>
      </c>
      <c r="P28" s="18" t="n">
        <v>3.322</v>
      </c>
      <c r="Q28" s="18" t="n">
        <v>4.85</v>
      </c>
      <c r="R28" s="18" t="n">
        <v>4.461</v>
      </c>
      <c r="S28" s="18" t="n">
        <v>6.776</v>
      </c>
      <c r="T28" s="18" t="n">
        <v>6.204</v>
      </c>
      <c r="U28" s="18" t="n">
        <v>6.339</v>
      </c>
      <c r="V28" s="18" t="n">
        <v>6.02</v>
      </c>
      <c r="W28" s="18" t="n">
        <v>4.911</v>
      </c>
      <c r="X28" s="18" t="n">
        <v>0</v>
      </c>
      <c r="Y28" s="18" t="n">
        <v>0</v>
      </c>
    </row>
    <row r="29">
      <c r="A29" s="4" t="inlineStr">
        <is>
          <t>Change in Working Capital</t>
        </is>
      </c>
      <c r="B29" s="18" t="n">
        <v>-6.465</v>
      </c>
      <c r="C29" s="18" t="n">
        <v>-6.432</v>
      </c>
      <c r="D29" s="18" t="n">
        <v>-34.873</v>
      </c>
      <c r="E29" s="18" t="n">
        <v>25.23</v>
      </c>
      <c r="F29" s="18" t="n">
        <v>-13.177</v>
      </c>
      <c r="G29" s="18" t="n">
        <v>19.696</v>
      </c>
      <c r="H29" s="18" t="n">
        <v>7.036</v>
      </c>
      <c r="I29" s="18" t="n">
        <v>13.491</v>
      </c>
      <c r="J29" s="18" t="n">
        <v>43.124</v>
      </c>
      <c r="K29" s="18" t="n">
        <v>4.999</v>
      </c>
      <c r="L29" s="18" t="n">
        <v>-35.799</v>
      </c>
      <c r="M29" s="18" t="n">
        <v>-81.012</v>
      </c>
      <c r="N29" s="18" t="n">
        <v>44.691</v>
      </c>
      <c r="O29" s="18" t="n">
        <v>-52.161</v>
      </c>
      <c r="P29" s="18" t="n">
        <v>-42.602</v>
      </c>
      <c r="Q29" s="18" t="n">
        <v>7.892</v>
      </c>
      <c r="R29" s="18" t="n">
        <v>15.231</v>
      </c>
      <c r="S29" s="18" t="n">
        <v>6.01</v>
      </c>
      <c r="T29" s="18" t="n">
        <v>-8.791</v>
      </c>
      <c r="U29" s="18" t="n">
        <v>-179.671</v>
      </c>
      <c r="V29" s="18" t="n">
        <v>39.461</v>
      </c>
      <c r="W29" s="18" t="n">
        <v>62.151</v>
      </c>
      <c r="X29" s="18" t="n">
        <v>-89.694</v>
      </c>
      <c r="Y29" s="18" t="n">
        <v>29.258787</v>
      </c>
    </row>
    <row r="30">
      <c r="A30" s="4" t="inlineStr">
        <is>
          <t>Operating Cash Flow</t>
        </is>
      </c>
      <c r="B30" s="18" t="n">
        <v>-0.102</v>
      </c>
      <c r="C30" s="18" t="n">
        <v>20.394</v>
      </c>
      <c r="D30" s="18" t="n">
        <v>30.527</v>
      </c>
      <c r="E30" s="18" t="n">
        <v>37.667</v>
      </c>
      <c r="F30" s="18" t="n">
        <v>3.395</v>
      </c>
      <c r="G30" s="18" t="n">
        <v>36.304</v>
      </c>
      <c r="H30" s="18" t="n">
        <v>29.441</v>
      </c>
      <c r="I30" s="18" t="n">
        <v>39.346</v>
      </c>
      <c r="J30" s="18" t="n">
        <v>75.91</v>
      </c>
      <c r="K30" s="18" t="n">
        <v>33.616</v>
      </c>
      <c r="L30" s="18" t="n">
        <v>86.29300000000001</v>
      </c>
      <c r="M30" s="18" t="n">
        <v>-41.368</v>
      </c>
      <c r="N30" s="18" t="n">
        <v>84.533</v>
      </c>
      <c r="O30" s="18" t="n">
        <v>139.505</v>
      </c>
      <c r="P30" s="18" t="n">
        <v>7.974</v>
      </c>
      <c r="Q30" s="18" t="n">
        <v>61.441</v>
      </c>
      <c r="R30" s="18" t="n">
        <v>39.968</v>
      </c>
      <c r="S30" s="18" t="n">
        <v>28.808</v>
      </c>
      <c r="T30" s="18" t="n">
        <v>39.571</v>
      </c>
      <c r="U30" s="18" t="n">
        <v>-141.131</v>
      </c>
      <c r="V30" s="18" t="n">
        <v>95.411</v>
      </c>
      <c r="W30" s="18" t="n">
        <v>124.459</v>
      </c>
      <c r="X30" s="18" t="n">
        <v>95.17400000000001</v>
      </c>
      <c r="Y30" s="18" t="n">
        <v>106.11161</v>
      </c>
    </row>
    <row r="31">
      <c r="A31" s="4" t="inlineStr">
        <is>
          <t>Capex</t>
        </is>
      </c>
      <c r="B31" s="18" t="n">
        <v>-0.72</v>
      </c>
      <c r="C31" s="18" t="n">
        <v>-0.025</v>
      </c>
      <c r="D31" s="18" t="n">
        <v>-0.179</v>
      </c>
      <c r="E31" s="18" t="n">
        <v>-1.222</v>
      </c>
      <c r="F31" s="18" t="n">
        <v>-1.65</v>
      </c>
      <c r="G31" s="18" t="n">
        <v>-40.852</v>
      </c>
      <c r="H31" s="18" t="n">
        <v>-0.419</v>
      </c>
      <c r="I31" s="18" t="n">
        <v>-2.803</v>
      </c>
      <c r="J31" s="18" t="n">
        <v>-2.589</v>
      </c>
      <c r="K31" s="18" t="n">
        <v>-2.711</v>
      </c>
      <c r="L31" s="18" t="n">
        <v>-0.285</v>
      </c>
      <c r="M31" s="18" t="n">
        <v>-3.778</v>
      </c>
      <c r="N31" s="18" t="n">
        <v>-3.855</v>
      </c>
      <c r="O31" s="18" t="n">
        <v>-0.608</v>
      </c>
      <c r="P31" s="18" t="n">
        <v>-4.687</v>
      </c>
      <c r="Q31" s="18" t="n">
        <v>-4.736</v>
      </c>
      <c r="R31" s="18" t="n">
        <v>-5.808</v>
      </c>
      <c r="S31" s="18" t="n">
        <v>-5.282</v>
      </c>
      <c r="T31" s="18" t="n">
        <v>-5.431</v>
      </c>
      <c r="U31" s="18" t="n">
        <v>-6.126</v>
      </c>
      <c r="V31" s="18" t="n">
        <v>-7.512</v>
      </c>
      <c r="W31" s="18" t="n">
        <v>-8.433999999999999</v>
      </c>
      <c r="X31" s="18" t="n">
        <v>-0.22</v>
      </c>
      <c r="Y31" s="18" t="n">
        <v>-0.62408</v>
      </c>
    </row>
    <row r="32">
      <c r="A32" s="4" t="inlineStr">
        <is>
          <t>Free Cash Flow</t>
        </is>
      </c>
      <c r="B32" s="18" t="n">
        <v>-0.822</v>
      </c>
      <c r="C32" s="18" t="n">
        <v>20.369</v>
      </c>
      <c r="D32" s="18" t="n">
        <v>30.348</v>
      </c>
      <c r="E32" s="18" t="n">
        <v>36.445</v>
      </c>
      <c r="F32" s="18" t="n">
        <v>1.745</v>
      </c>
      <c r="G32" s="18" t="n">
        <v>-4.548</v>
      </c>
      <c r="H32" s="18" t="n">
        <v>29.022</v>
      </c>
      <c r="I32" s="18" t="n">
        <v>36.543</v>
      </c>
      <c r="J32" s="18" t="n">
        <v>73.321</v>
      </c>
      <c r="K32" s="18" t="n">
        <v>30.905</v>
      </c>
      <c r="L32" s="18" t="n">
        <v>86.008</v>
      </c>
      <c r="M32" s="18" t="n">
        <v>-45.146</v>
      </c>
      <c r="N32" s="18" t="n">
        <v>80.678</v>
      </c>
      <c r="O32" s="18" t="n">
        <v>138.897</v>
      </c>
      <c r="P32" s="18" t="n">
        <v>3.287</v>
      </c>
      <c r="Q32" s="18" t="n">
        <v>56.705</v>
      </c>
      <c r="R32" s="18" t="n">
        <v>34.16</v>
      </c>
      <c r="S32" s="18" t="n">
        <v>23.526</v>
      </c>
      <c r="T32" s="18" t="n">
        <v>34.14</v>
      </c>
      <c r="U32" s="18" t="n">
        <v>-147.257</v>
      </c>
      <c r="V32" s="18" t="n">
        <v>87.899</v>
      </c>
      <c r="W32" s="18" t="n">
        <v>116.025</v>
      </c>
      <c r="X32" s="18" t="n">
        <v>94.95399999999999</v>
      </c>
      <c r="Y32" s="18" t="n">
        <v>105.48753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1527.039957</v>
      </c>
      <c r="C4" s="18" t="n">
        <v>1944.927763</v>
      </c>
      <c r="D4" s="18" t="n">
        <v>2292.676482</v>
      </c>
      <c r="E4" s="18" t="n">
        <v>3060.7</v>
      </c>
      <c r="F4" s="18" t="n">
        <v>3543.5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437.174812</v>
      </c>
      <c r="C8" s="18" t="n">
        <v>556.811513</v>
      </c>
      <c r="D8" s="18" t="n">
        <v>656.368162</v>
      </c>
      <c r="E8" s="18" t="n">
        <v>876.244882</v>
      </c>
      <c r="F8" s="18" t="n">
        <v>1014.465234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405.1004</v>
      </c>
      <c r="C12" s="18" t="n">
        <v>515.959659</v>
      </c>
      <c r="D12" s="18" t="n">
        <v>608.212088</v>
      </c>
      <c r="E12" s="18" t="n">
        <v>811.957009</v>
      </c>
      <c r="F12" s="18" t="n">
        <v>940.036482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211.753728</v>
      </c>
      <c r="C16" s="18" t="n">
        <v>269.701983</v>
      </c>
      <c r="D16" s="18" t="n">
        <v>317.924093</v>
      </c>
      <c r="E16" s="18" t="n">
        <v>424.42546</v>
      </c>
      <c r="F16" s="18" t="n">
        <v>491.375051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242.97397</v>
      </c>
      <c r="C20" s="18" t="n">
        <v>319.18516</v>
      </c>
      <c r="D20" s="18" t="n">
        <v>384.61821</v>
      </c>
      <c r="E20" s="18" t="n">
        <v>0</v>
      </c>
      <c r="F20" s="18" t="n">
        <v>0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0.84427</v>
      </c>
      <c r="C24" s="38" t="n">
        <v>1.05708</v>
      </c>
      <c r="D24" s="38" t="n">
        <v>1.26849</v>
      </c>
      <c r="E24" s="38" t="n">
        <v>0</v>
      </c>
      <c r="F24" s="38" t="n">
        <v>0</v>
      </c>
    </row>
    <row r="25">
      <c r="A25" s="4" t="inlineStr">
        <is>
          <t xml:space="preserve">  model</t>
        </is>
      </c>
      <c r="B25" s="8">
        <f>Model!G23/Financials!Y17</f>
        <v/>
      </c>
      <c r="C25" s="8">
        <f>Model!H23/Financials!Y17</f>
        <v/>
      </c>
      <c r="D25" s="8">
        <f>Model!I23/Financials!Y17</f>
        <v/>
      </c>
      <c r="E25" s="8">
        <f>Model!J23/Financials!Y17</f>
        <v/>
      </c>
      <c r="F25" s="8">
        <f>Model!K23/Financials!Y17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DLocal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Financials!Y19</f>
        <v/>
      </c>
    </row>
    <row r="33">
      <c r="A33" s="4" t="inlineStr">
        <is>
          <t>- Long-term debt</t>
        </is>
      </c>
      <c r="B33" s="28">
        <f>-Financials!Y24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Financials!Y17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0.02401272143871498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0.832891850723534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1.081212817498496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Financials!Y19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Financials!Y24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Financials!Y17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2026-06-08T03:50:30Z</dcterms:created>
  <dcterms:modified xmlns:dcterms="http://purl.org/dc/terms/" xmlns:xsi="http://www.w3.org/2001/XMLSchema-instance" xsi:type="dcterms:W3CDTF">2026-06-08T03:50:30Z</dcterms:modified>
</cp:coreProperties>
</file>