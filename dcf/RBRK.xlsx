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0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builder default</t>
      </text>
    </comment>
    <comment ref="C20" authorId="0" shapeId="0">
      <text>
        <t>builder default</t>
      </text>
    </comment>
    <comment ref="B29" authorId="0" shapeId="0">
      <text>
        <t>Opus: 5.0%</t>
      </text>
    </comment>
    <comment ref="B30" authorId="0" shapeId="0">
      <text>
        <t>Opus: 25.0%</t>
      </text>
    </comment>
    <comment ref="B31" authorId="0" shapeId="0">
      <text>
        <t>Opus: 25.0%</t>
      </text>
    </comment>
    <comment ref="B34" authorId="0" shapeId="0">
      <text>
        <t>Opus: —
set from Opus 1% of FY1E revenue; edits not tracked (unit differs from the JSON)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1.100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EV/Sales</t>
      </text>
    </comment>
    <comment ref="B45" authorId="0" shapeId="0">
      <text>
        <t>Opus: 6.0x</t>
      </text>
    </comment>
    <comment ref="B46" authorId="0" shapeId="0">
      <text>
        <t>Opus: 4.0%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Rubrik, Inc. (RBRK)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2026-07-08</t>
        </is>
      </c>
    </row>
    <row r="5">
      <c r="A5" s="3" t="inlineStr">
        <is>
          <t>Data pulled (FMP)</t>
        </is>
      </c>
      <c r="B5" s="4" t="inlineStr">
        <is>
          <t>Q1 2027</t>
        </is>
      </c>
    </row>
    <row r="6">
      <c r="A6" s="3" t="inlineStr">
        <is>
          <t>Assumptions by</t>
        </is>
      </c>
      <c r="B6" s="4" t="inlineStr">
        <is>
          <t>Opus 4.8 — values as of 2026-06-11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Rubrik is a subscription-led cyber-resilience platform consolidating ransomware recovery and cloud data protection, with subscription ARR (96% of revenue) compounding in the low-50s% but decelerating toward a low-20s% blended pace consistent with consensus revenue of $1.6B (2027) scaling to $3.1B (2031). As the IPO-era CAC cycle normalizes and land-and-expand deepens NRR above 120%, operating leverage inflects from deeply negative FY26 margins to a mid-single-digit operating margin near-term, maturing toward a ~25% best-in-class infrastructure-software margin by year 10. Capex stays asset-light (~1.2% of revenue) and converges to maintenance levels (capex/D&amp;A ~1.1x) as the model matures.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Rubrik, Inc. (RBRK)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IF(Model!E34&lt;=0,"n/a (neg. capital)",Model!F36-WACC!B15)</f>
        <v/>
      </c>
      <c r="C15" s="10">
        <f>IF(Model!E34&lt;=0,"n/a",IF(Model!F36-WACC!B15&lt;0,"!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0.1880631231768194</v>
      </c>
      <c r="C20" s="15" t="n">
        <v>0.05</v>
      </c>
      <c r="D20" s="16" t="n">
        <v>0.1880631231768194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0.05</v>
      </c>
      <c r="D29" s="16" t="n">
        <v>0.05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0.25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0.25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19.282552104</v>
      </c>
      <c r="D34" s="18" t="n">
        <v>19.282552104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1.1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EV/Sales</t>
        </is>
      </c>
    </row>
    <row r="45">
      <c r="A45" s="4" t="inlineStr">
        <is>
          <t>Exit multiple</t>
        </is>
      </c>
      <c r="B45" s="19" t="n">
        <v>6</v>
      </c>
    </row>
    <row r="46">
      <c r="A46" s="4" t="inlineStr">
        <is>
          <t>Terminal growth (g)</t>
        </is>
      </c>
      <c r="B46" s="15" t="n">
        <v>0.04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84.24500274658203</v>
      </c>
    </row>
    <row r="49">
      <c r="A49" s="4" t="inlineStr">
        <is>
          <t>Growth fade curvature</t>
        </is>
      </c>
      <c r="B49" s="20" t="n">
        <v>2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53.87740414338552</v>
      </c>
      <c r="C58" s="28" t="n">
        <v>79.25348811268772</v>
      </c>
      <c r="D58" s="28" t="n">
        <v>33.98768659133486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0.45</v>
      </c>
      <c r="C62" s="30" t="n">
        <v>0.2</v>
      </c>
      <c r="D62" s="30" t="n">
        <v>0.35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0.05587334968860903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0.03352400981316542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RBRK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2026-06-11 from the synced assumptions block (pass predates provenance tracking — may already include your edits)</t>
        </is>
      </c>
    </row>
    <row r="6">
      <c r="A6" s="5" t="inlineStr">
        <is>
          <t xml:space="preserve">  THE STORY (Opus narrative)</t>
        </is>
      </c>
      <c r="B6" s="6" t="n"/>
      <c r="C6" s="6" t="n"/>
      <c r="D6" s="6" t="n"/>
      <c r="E6" s="6" t="n"/>
      <c r="F6" s="6" t="n"/>
    </row>
    <row r="7">
      <c r="A7" s="31" t="inlineStr">
        <is>
          <t>Rubrik is a subscription-led cyber-resilience platform consolidating ransomware recovery and cloud data protection, with subscription ARR (96% of revenue) compounding in the low-50s% but decelerating toward a low-20s% blended pace consistent with consensus revenue of $1.6B (2027) scaling to $3.1B (2031). As the IPO-era CAC cycle normalizes and land-and-expand deepens NRR above 120%, operating leverage inflects from deeply negative FY26 margins to a mid-single-digit operating margin near-term, maturing toward a ~25% best-in-class infrastructure-software margin by year 10. Capex stays asset-light (~1.2% of revenue) and converges to maintenance levels (capex/D&amp;A ~1.1x) as the model matures.</t>
        </is>
      </c>
    </row>
    <row r="8"/>
    <row r="9"/>
    <row r="10"/>
    <row r="12">
      <c r="A12" s="5" t="inlineStr">
        <is>
          <t xml:space="preserve">  KEY JUDGMENTS (Opus reasoning)</t>
        </is>
      </c>
      <c r="B12" s="6" t="n"/>
      <c r="C12" s="6" t="n"/>
      <c r="D12" s="6" t="n"/>
      <c r="E12" s="6" t="n"/>
      <c r="F12" s="6" t="n"/>
    </row>
    <row r="13">
      <c r="A13" s="31" t="inlineStr">
        <is>
          <t>Growth is anchored to Street consensus near-term (~22% blended) rather than the unsustainable 52% subscription print, then faded to a 4% terminal rate near the risk-free anchor, with the tiny shrinking Maintenance line held flat. Terminal margin of 25% reflects normalized SaaS economics achievable via operating leverage but stops short of mature giants given continued reinvestment, and an EV/Sales exit of 6x is the basis the market actually applies to high-retention infrastructure SaaS, cross-checked as reasonable against a 25% terminal operating margin.</t>
        </is>
      </c>
    </row>
    <row r="14"/>
    <row r="15"/>
    <row r="16"/>
    <row r="18">
      <c r="A18" s="5" t="inlineStr">
        <is>
          <t xml:space="preserve">  DASHBOARD INPUTS — value · source · reasoning</t>
        </is>
      </c>
      <c r="B18" s="6" t="n"/>
      <c r="C18" s="6" t="n"/>
      <c r="D18" s="6" t="n"/>
      <c r="E18" s="6" t="n"/>
      <c r="F18" s="6" t="n"/>
    </row>
    <row r="19">
      <c r="A19" s="3" t="inlineStr">
        <is>
          <t>Input</t>
        </is>
      </c>
      <c r="B19" s="3" t="inlineStr">
        <is>
          <t>Cell</t>
        </is>
      </c>
      <c r="C19" s="3" t="inlineStr">
        <is>
          <t>Current</t>
        </is>
      </c>
      <c r="D19" s="3" t="inlineStr">
        <is>
          <t>Source</t>
        </is>
      </c>
      <c r="E19" s="3" t="inlineStr">
        <is>
          <t>Opus value</t>
        </is>
      </c>
      <c r="F19" s="3" t="inlineStr">
        <is>
          <t>Note</t>
        </is>
      </c>
    </row>
    <row r="20">
      <c r="A20" t="inlineStr">
        <is>
          <t>Total company — near-term growth</t>
        </is>
      </c>
      <c r="B20" t="inlineStr">
        <is>
          <t>B20</t>
        </is>
      </c>
      <c r="C20" s="11">
        <f>Dashboard!B20</f>
        <v/>
      </c>
      <c r="D20" t="inlineStr">
        <is>
          <t>builder default</t>
        </is>
      </c>
      <c r="E20" t="inlineStr">
        <is>
          <t>—</t>
        </is>
      </c>
      <c r="F20" s="31" t="inlineStr"/>
    </row>
    <row r="21">
      <c r="A21" t="inlineStr">
        <is>
          <t>Total company — terminal growth</t>
        </is>
      </c>
      <c r="B21" t="inlineStr">
        <is>
          <t>C20</t>
        </is>
      </c>
      <c r="C21" s="11">
        <f>Dashboard!C20</f>
        <v/>
      </c>
      <c r="D21" t="inlineStr">
        <is>
          <t>builder default</t>
        </is>
      </c>
      <c r="E21" t="inlineStr">
        <is>
          <t>—</t>
        </is>
      </c>
      <c r="F21" s="31" t="inlineStr"/>
    </row>
    <row r="22">
      <c r="A22" t="inlineStr">
        <is>
          <t>Near-term operating margin</t>
        </is>
      </c>
      <c r="B22" t="inlineStr">
        <is>
          <t>B29</t>
        </is>
      </c>
      <c r="C22" s="11">
        <f>Dashboard!B29</f>
        <v/>
      </c>
      <c r="D22" t="inlineStr">
        <is>
          <t>Opus</t>
        </is>
      </c>
      <c r="E22" t="inlineStr">
        <is>
          <t>5.0%</t>
        </is>
      </c>
      <c r="F22" s="31" t="inlineStr"/>
    </row>
    <row r="23">
      <c r="A23" t="inlineStr">
        <is>
          <t>Terminal operating margin</t>
        </is>
      </c>
      <c r="B23" t="inlineStr">
        <is>
          <t>B30</t>
        </is>
      </c>
      <c r="C23" s="11">
        <f>Dashboard!B30</f>
        <v/>
      </c>
      <c r="D23" t="inlineStr">
        <is>
          <t>Opus</t>
        </is>
      </c>
      <c r="E23" t="inlineStr">
        <is>
          <t>25.0%</t>
        </is>
      </c>
      <c r="F23" s="31" t="inlineStr"/>
    </row>
    <row r="24">
      <c r="A24" t="inlineStr">
        <is>
          <t>Tax rate</t>
        </is>
      </c>
      <c r="B24" t="inlineStr">
        <is>
          <t>B31</t>
        </is>
      </c>
      <c r="C24" s="11">
        <f>Dashboard!B31</f>
        <v/>
      </c>
      <c r="D24" t="inlineStr">
        <is>
          <t>Opus</t>
        </is>
      </c>
      <c r="E24" t="inlineStr">
        <is>
          <t>25.0%</t>
        </is>
      </c>
      <c r="F24" s="31" t="inlineStr"/>
    </row>
    <row r="25">
      <c r="A25" t="inlineStr">
        <is>
          <t>Terminal capex / D&amp;A</t>
        </is>
      </c>
      <c r="B25" t="inlineStr">
        <is>
          <t>B35</t>
        </is>
      </c>
      <c r="C25" s="13">
        <f>Dashboard!B35</f>
        <v/>
      </c>
      <c r="D25" t="inlineStr">
        <is>
          <t>Opus</t>
        </is>
      </c>
      <c r="E25" t="inlineStr">
        <is>
          <t>1.1x</t>
        </is>
      </c>
      <c r="F25" s="31" t="inlineStr"/>
    </row>
    <row r="26">
      <c r="A26" t="inlineStr">
        <is>
          <t>Risk-free rate (10Y)</t>
        </is>
      </c>
      <c r="B26" t="inlineStr">
        <is>
          <t>B38</t>
        </is>
      </c>
      <c r="C26" s="11">
        <f>Dashboard!B38</f>
        <v/>
      </c>
      <c r="D26" t="inlineStr">
        <is>
          <t>Opus</t>
        </is>
      </c>
      <c r="E26" t="inlineStr">
        <is>
          <t>4.3%</t>
        </is>
      </c>
      <c r="F26" s="31" t="inlineStr"/>
    </row>
    <row r="27">
      <c r="A27" t="inlineStr">
        <is>
          <t>Equity risk premium</t>
        </is>
      </c>
      <c r="B27" t="inlineStr">
        <is>
          <t>B39</t>
        </is>
      </c>
      <c r="C27" s="11">
        <f>Dashboard!B39</f>
        <v/>
      </c>
      <c r="D27" t="inlineStr">
        <is>
          <t>Opus</t>
        </is>
      </c>
      <c r="E27" t="inlineStr">
        <is>
          <t>4.5%</t>
        </is>
      </c>
      <c r="F27" s="31" t="inlineStr"/>
    </row>
    <row r="28">
      <c r="A28" t="inlineStr">
        <is>
          <t>Beta (levered)</t>
        </is>
      </c>
      <c r="B28" t="inlineStr">
        <is>
          <t>B40</t>
        </is>
      </c>
      <c r="C28" s="32">
        <f>Dashboard!B40</f>
        <v/>
      </c>
      <c r="D28" t="inlineStr">
        <is>
          <t>Opus</t>
        </is>
      </c>
      <c r="E28" t="inlineStr">
        <is>
          <t>1.100</t>
        </is>
      </c>
      <c r="F28" s="31" t="inlineStr"/>
    </row>
    <row r="29">
      <c r="A29" t="inlineStr">
        <is>
          <t>Pre-tax cost of debt</t>
        </is>
      </c>
      <c r="B29" t="inlineStr">
        <is>
          <t>B41</t>
        </is>
      </c>
      <c r="C29" s="11">
        <f>Dashboard!B41</f>
        <v/>
      </c>
      <c r="D29" t="inlineStr">
        <is>
          <t>Opus</t>
        </is>
      </c>
      <c r="E29" t="inlineStr">
        <is>
          <t>4.5%</t>
        </is>
      </c>
      <c r="F29" s="31" t="inlineStr"/>
    </row>
    <row r="30">
      <c r="A30" t="inlineStr">
        <is>
          <t>Terminal method</t>
        </is>
      </c>
      <c r="B30" t="inlineStr">
        <is>
          <t>B43</t>
        </is>
      </c>
      <c r="C30" s="12">
        <f>Dashboard!B43</f>
        <v/>
      </c>
      <c r="D30" t="inlineStr">
        <is>
          <t>Opus</t>
        </is>
      </c>
      <c r="E30" t="inlineStr">
        <is>
          <t>Exit multiple</t>
        </is>
      </c>
      <c r="F30" s="31" t="inlineStr"/>
    </row>
    <row r="31">
      <c r="A31" t="inlineStr">
        <is>
          <t>Exit basis</t>
        </is>
      </c>
      <c r="B31" t="inlineStr">
        <is>
          <t>B44</t>
        </is>
      </c>
      <c r="C31" s="12">
        <f>Dashboard!B44</f>
        <v/>
      </c>
      <c r="D31" t="inlineStr">
        <is>
          <t>Opus</t>
        </is>
      </c>
      <c r="E31" t="inlineStr">
        <is>
          <t>EV/Sales</t>
        </is>
      </c>
      <c r="F31" s="31" t="inlineStr"/>
    </row>
    <row r="32">
      <c r="A32" t="inlineStr">
        <is>
          <t>Exit multiple</t>
        </is>
      </c>
      <c r="B32" t="inlineStr">
        <is>
          <t>B45</t>
        </is>
      </c>
      <c r="C32" s="13">
        <f>Dashboard!B45</f>
        <v/>
      </c>
      <c r="D32" t="inlineStr">
        <is>
          <t>Opus</t>
        </is>
      </c>
      <c r="E32" t="inlineStr">
        <is>
          <t>6.0x</t>
        </is>
      </c>
      <c r="F32" s="31" t="inlineStr"/>
    </row>
    <row r="33">
      <c r="A33" t="inlineStr">
        <is>
          <t>Terminal growth (g)</t>
        </is>
      </c>
      <c r="B33" t="inlineStr">
        <is>
          <t>B46</t>
        </is>
      </c>
      <c r="C33" s="11">
        <f>Dashboard!B46</f>
        <v/>
      </c>
      <c r="D33" t="inlineStr">
        <is>
          <t>Opus</t>
        </is>
      </c>
      <c r="E33" t="inlineStr">
        <is>
          <t>4.0%</t>
        </is>
      </c>
      <c r="F33" s="31" t="inlineStr"/>
    </row>
    <row r="34">
      <c r="A34" t="inlineStr">
        <is>
          <t>2026 capex ($M)</t>
        </is>
      </c>
      <c r="B34" t="inlineStr">
        <is>
          <t>B34</t>
        </is>
      </c>
      <c r="C34" s="33">
        <f>Dashboard!B34</f>
        <v/>
      </c>
      <c r="D34" t="inlineStr">
        <is>
          <t>Opus</t>
        </is>
      </c>
      <c r="E34" t="inlineStr">
        <is>
          <t>—</t>
        </is>
      </c>
      <c r="F34" s="31" t="inlineStr">
        <is>
          <t>set from Opus 1% of FY1E revenue; edits not tracked (unit differs from the JSON)</t>
        </is>
      </c>
    </row>
    <row r="35">
      <c r="A35" t="inlineStr">
        <is>
          <t>Bull Δ — segment growth, near-term</t>
        </is>
      </c>
      <c r="B35" t="inlineStr">
        <is>
          <t>C52</t>
        </is>
      </c>
      <c r="C35" s="34">
        <f>Dashboard!C52</f>
        <v/>
      </c>
      <c r="D35" t="inlineStr">
        <is>
          <t>seed default</t>
        </is>
      </c>
      <c r="E35" t="inlineStr">
        <is>
          <t>3.0%</t>
        </is>
      </c>
      <c r="F35" s="31" t="inlineStr"/>
    </row>
    <row r="36">
      <c r="A36" t="inlineStr">
        <is>
          <t>Bear Δ — segment growth, near-term</t>
        </is>
      </c>
      <c r="B36" t="inlineStr">
        <is>
          <t>D52</t>
        </is>
      </c>
      <c r="C36" s="34">
        <f>Dashboard!D52</f>
        <v/>
      </c>
      <c r="D36" t="inlineStr">
        <is>
          <t>seed default</t>
        </is>
      </c>
      <c r="E36" t="inlineStr">
        <is>
          <t>-3.0%</t>
        </is>
      </c>
      <c r="F36" s="31" t="inlineStr"/>
    </row>
    <row r="37">
      <c r="A37" t="inlineStr">
        <is>
          <t>Bull Δ — segment growth, terminal</t>
        </is>
      </c>
      <c r="B37" t="inlineStr">
        <is>
          <t>C53</t>
        </is>
      </c>
      <c r="C37" s="34">
        <f>Dashboard!C53</f>
        <v/>
      </c>
      <c r="D37" t="inlineStr">
        <is>
          <t>seed default</t>
        </is>
      </c>
      <c r="E37" t="inlineStr">
        <is>
          <t>1.0%</t>
        </is>
      </c>
      <c r="F37" s="31" t="inlineStr"/>
    </row>
    <row r="38">
      <c r="A38" t="inlineStr">
        <is>
          <t>Bear Δ — segment growth, terminal</t>
        </is>
      </c>
      <c r="B38" t="inlineStr">
        <is>
          <t>D53</t>
        </is>
      </c>
      <c r="C38" s="34">
        <f>Dashboard!D53</f>
        <v/>
      </c>
      <c r="D38" t="inlineStr">
        <is>
          <t>seed default</t>
        </is>
      </c>
      <c r="E38" t="inlineStr">
        <is>
          <t>-1.0%</t>
        </is>
      </c>
      <c r="F38" s="31" t="inlineStr"/>
    </row>
    <row r="39">
      <c r="A39" t="inlineStr">
        <is>
          <t>Bull Δ — operating margin, near-term</t>
        </is>
      </c>
      <c r="B39" t="inlineStr">
        <is>
          <t>C54</t>
        </is>
      </c>
      <c r="C39" s="34">
        <f>Dashboard!C54</f>
        <v/>
      </c>
      <c r="D39" t="inlineStr">
        <is>
          <t>seed default</t>
        </is>
      </c>
      <c r="E39" t="inlineStr">
        <is>
          <t>1.0%</t>
        </is>
      </c>
      <c r="F39" s="31" t="inlineStr"/>
    </row>
    <row r="40">
      <c r="A40" t="inlineStr">
        <is>
          <t>Bear Δ — operating margin, near-term</t>
        </is>
      </c>
      <c r="B40" t="inlineStr">
        <is>
          <t>D54</t>
        </is>
      </c>
      <c r="C40" s="34">
        <f>Dashboard!D54</f>
        <v/>
      </c>
      <c r="D40" t="inlineStr">
        <is>
          <t>seed default</t>
        </is>
      </c>
      <c r="E40" t="inlineStr">
        <is>
          <t>-1.0%</t>
        </is>
      </c>
      <c r="F40" s="31" t="inlineStr"/>
    </row>
    <row r="41">
      <c r="A41" t="inlineStr">
        <is>
          <t>Bull Δ — operating margin, terminal</t>
        </is>
      </c>
      <c r="B41" t="inlineStr">
        <is>
          <t>C55</t>
        </is>
      </c>
      <c r="C41" s="34">
        <f>Dashboard!C55</f>
        <v/>
      </c>
      <c r="D41" t="inlineStr">
        <is>
          <t>seed default</t>
        </is>
      </c>
      <c r="E41" t="inlineStr">
        <is>
          <t>2.0%</t>
        </is>
      </c>
      <c r="F41" s="31" t="inlineStr"/>
    </row>
    <row r="42">
      <c r="A42" t="inlineStr">
        <is>
          <t>Bear Δ — operating margin, terminal</t>
        </is>
      </c>
      <c r="B42" t="inlineStr">
        <is>
          <t>D55</t>
        </is>
      </c>
      <c r="C42" s="34">
        <f>Dashboard!D55</f>
        <v/>
      </c>
      <c r="D42" t="inlineStr">
        <is>
          <t>seed default</t>
        </is>
      </c>
      <c r="E42" t="inlineStr">
        <is>
          <t>-2.0%</t>
        </is>
      </c>
      <c r="F42" s="31" t="inlineStr"/>
    </row>
    <row r="43">
      <c r="A43" t="inlineStr">
        <is>
          <t>Bull Δ — exit multiple</t>
        </is>
      </c>
      <c r="B43" t="inlineStr">
        <is>
          <t>C56</t>
        </is>
      </c>
      <c r="C43" s="35">
        <f>Dashboard!C56</f>
        <v/>
      </c>
      <c r="D43" t="inlineStr">
        <is>
          <t>seed default</t>
        </is>
      </c>
      <c r="E43" t="inlineStr">
        <is>
          <t>2.0x</t>
        </is>
      </c>
      <c r="F43" s="31" t="inlineStr"/>
    </row>
    <row r="44">
      <c r="A44" t="inlineStr">
        <is>
          <t>Bear Δ — exit multiple</t>
        </is>
      </c>
      <c r="B44" t="inlineStr">
        <is>
          <t>D56</t>
        </is>
      </c>
      <c r="C44" s="35">
        <f>Dashboard!D56</f>
        <v/>
      </c>
      <c r="D44" t="inlineStr">
        <is>
          <t>seed default</t>
        </is>
      </c>
      <c r="E44" t="inlineStr">
        <is>
          <t>-2.0x</t>
        </is>
      </c>
      <c r="F44" s="31" t="inlineStr"/>
    </row>
    <row r="45">
      <c r="A45" t="inlineStr">
        <is>
          <t>Bull Δ — terminal growth (g)</t>
        </is>
      </c>
      <c r="B45" t="inlineStr">
        <is>
          <t>C57</t>
        </is>
      </c>
      <c r="C45" s="34">
        <f>Dashboard!C57</f>
        <v/>
      </c>
      <c r="D45" t="inlineStr">
        <is>
          <t>seed default</t>
        </is>
      </c>
      <c r="E45" t="inlineStr">
        <is>
          <t>0.5%</t>
        </is>
      </c>
      <c r="F45" s="31" t="inlineStr"/>
    </row>
    <row r="46">
      <c r="A46" t="inlineStr">
        <is>
          <t>Bear Δ — terminal growth (g)</t>
        </is>
      </c>
      <c r="B46" t="inlineStr">
        <is>
          <t>D57</t>
        </is>
      </c>
      <c r="C46" s="34">
        <f>Dashboard!D57</f>
        <v/>
      </c>
      <c r="D46" t="inlineStr">
        <is>
          <t>seed default</t>
        </is>
      </c>
      <c r="E46" t="inlineStr">
        <is>
          <t>-0.5%</t>
        </is>
      </c>
      <c r="F46" s="31" t="inlineStr"/>
    </row>
  </sheetData>
  <mergeCells count="2">
    <mergeCell ref="A13:F16"/>
    <mergeCell ref="A7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Dashboard!$B$48*Financials!R17</f>
        <v/>
      </c>
    </row>
    <row r="11">
      <c r="A11" s="4" t="inlineStr">
        <is>
          <t>Total debt (D)</t>
        </is>
      </c>
      <c r="B11" s="33">
        <f>Financials!R24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3" t="inlineStr">
        <is>
          <t>$M unless noted</t>
        </is>
      </c>
      <c r="B1" s="39" t="inlineStr">
        <is>
          <t>FY2023A</t>
        </is>
      </c>
      <c r="C1" s="39" t="inlineStr">
        <is>
          <t>FY2024A</t>
        </is>
      </c>
      <c r="D1" s="39" t="inlineStr">
        <is>
          <t>FY2025A</t>
        </is>
      </c>
      <c r="E1" s="39" t="inlineStr">
        <is>
          <t>FY2026A</t>
        </is>
      </c>
      <c r="F1" s="40" t="inlineStr">
        <is>
          <t>FY2027E</t>
        </is>
      </c>
      <c r="G1" s="40" t="inlineStr">
        <is>
          <t>FY2028E</t>
        </is>
      </c>
      <c r="H1" s="40" t="inlineStr">
        <is>
          <t>FY2029E</t>
        </is>
      </c>
      <c r="I1" s="40" t="inlineStr">
        <is>
          <t>FY2030E</t>
        </is>
      </c>
      <c r="J1" s="40" t="inlineStr">
        <is>
          <t>FY2031E</t>
        </is>
      </c>
      <c r="K1" s="40" t="inlineStr">
        <is>
          <t>FY2032E</t>
        </is>
      </c>
      <c r="L1" s="40" t="inlineStr">
        <is>
          <t>FY2033E</t>
        </is>
      </c>
      <c r="M1" s="40" t="inlineStr">
        <is>
          <t>FY2034E</t>
        </is>
      </c>
      <c r="N1" s="40" t="inlineStr">
        <is>
          <t>FY2035E</t>
        </is>
      </c>
      <c r="O1" s="40" t="inlineStr">
        <is>
          <t>FY2036E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4" t="inlineStr">
        <is>
          <t>Total company</t>
        </is>
      </c>
      <c r="B4" s="33">
        <f>SUM(Financials!B3:E3)</f>
        <v/>
      </c>
      <c r="C4" s="33">
        <f>SUM(Financials!F3:I3)</f>
        <v/>
      </c>
      <c r="D4" s="33">
        <f>SUM(Financials!J3:M3)</f>
        <v/>
      </c>
      <c r="E4" s="33">
        <f>SUM(Financials!N3:Q3)</f>
        <v/>
      </c>
      <c r="F4" s="41">
        <f>E4*(1+F5)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11">
        <f>Dashboard!$C$20+(Dashboard!$B$20-Dashboard!$C$20)*((9-0)/9)^Dashboard!$B$49</f>
        <v/>
      </c>
      <c r="G5" s="11">
        <f>Dashboard!$C$20+(Dashboard!$B$20-Dashboard!$C$20)*((9-1)/9)^Dashboard!$B$49</f>
        <v/>
      </c>
      <c r="H5" s="11">
        <f>Dashboard!$C$20+(Dashboard!$B$20-Dashboard!$C$20)*((9-2)/9)^Dashboard!$B$49</f>
        <v/>
      </c>
      <c r="I5" s="11">
        <f>Dashboard!$C$20+(Dashboard!$B$20-Dashboard!$C$20)*((9-3)/9)^Dashboard!$B$49</f>
        <v/>
      </c>
      <c r="J5" s="11">
        <f>Dashboard!$C$20+(Dashboard!$B$20-Dashboard!$C$20)*((9-4)/9)^Dashboard!$B$49</f>
        <v/>
      </c>
      <c r="K5" s="11">
        <f>Dashboard!$C$20+(Dashboard!$B$20-Dashboard!$C$20)*((9-5)/9)^Dashboard!$B$49</f>
        <v/>
      </c>
      <c r="L5" s="11">
        <f>Dashboard!$C$20+(Dashboard!$B$20-Dashboard!$C$20)*((9-6)/9)^Dashboard!$B$49</f>
        <v/>
      </c>
      <c r="M5" s="11">
        <f>Dashboard!$C$20+(Dashboard!$B$20-Dashboard!$C$20)*((9-7)/9)^Dashboard!$B$49</f>
        <v/>
      </c>
      <c r="N5" s="11">
        <f>Dashboard!$C$20+(Dashboard!$B$20-Dashboard!$C$20)*((9-8)/9)^Dashboard!$B$49</f>
        <v/>
      </c>
      <c r="O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4" t="inlineStr">
        <is>
          <t>Cost of revenue</t>
        </is>
      </c>
      <c r="B10" s="33">
        <f>SUM(Financials!B5:E5)</f>
        <v/>
      </c>
      <c r="C10" s="33">
        <f>SUM(Financials!F5:I5)</f>
        <v/>
      </c>
      <c r="D10" s="33">
        <f>SUM(Financials!J5:M5)</f>
        <v/>
      </c>
      <c r="E10" s="33">
        <f>SUM(Financials!N5:Q5)</f>
        <v/>
      </c>
      <c r="F10" s="41">
        <f>F6*F11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15" t="n">
        <v>0.1989658035953748</v>
      </c>
      <c r="G11" s="15" t="n">
        <v>0.1989658035953748</v>
      </c>
      <c r="H11" s="15" t="n">
        <v>0.1989658035953748</v>
      </c>
      <c r="I11" s="15" t="n">
        <v>0.1989658035953748</v>
      </c>
      <c r="J11" s="15" t="n">
        <v>0.1989658035953748</v>
      </c>
      <c r="K11" s="15" t="n">
        <v>0.1989658035953748</v>
      </c>
      <c r="L11" s="15" t="n">
        <v>0.1989658035953748</v>
      </c>
      <c r="M11" s="15" t="n">
        <v>0.1989658035953748</v>
      </c>
      <c r="N11" s="15" t="n">
        <v>0.1989658035953748</v>
      </c>
      <c r="O11" s="15" t="n">
        <v>0.1989658035953748</v>
      </c>
    </row>
    <row r="12">
      <c r="A12" s="4" t="inlineStr">
        <is>
          <t>R&amp;D / Technology</t>
        </is>
      </c>
      <c r="B12" s="33">
        <f>SUM(Financials!B7:E7)</f>
        <v/>
      </c>
      <c r="C12" s="33">
        <f>SUM(Financials!F7:I7)</f>
        <v/>
      </c>
      <c r="D12" s="33">
        <f>SUM(Financials!J7:M7)</f>
        <v/>
      </c>
      <c r="E12" s="33">
        <f>SUM(Financials!N7:Q7)</f>
        <v/>
      </c>
      <c r="F12" s="41">
        <f>F6*F13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15" t="n">
        <v>0.2839116815112701</v>
      </c>
      <c r="G13" s="15" t="n">
        <v>0.2839116815112701</v>
      </c>
      <c r="H13" s="15" t="n">
        <v>0.2839116815112701</v>
      </c>
      <c r="I13" s="15" t="n">
        <v>0.2839116815112701</v>
      </c>
      <c r="J13" s="15" t="n">
        <v>0.2839116815112701</v>
      </c>
      <c r="K13" s="15" t="n">
        <v>0.2839116815112701</v>
      </c>
      <c r="L13" s="15" t="n">
        <v>0.2839116815112701</v>
      </c>
      <c r="M13" s="15" t="n">
        <v>0.2839116815112701</v>
      </c>
      <c r="N13" s="15" t="n">
        <v>0.2839116815112701</v>
      </c>
      <c r="O13" s="15" t="n">
        <v>0.2839116815112701</v>
      </c>
    </row>
    <row r="14">
      <c r="A14" s="4" t="inlineStr">
        <is>
          <t>SG&amp;A</t>
        </is>
      </c>
      <c r="B14" s="33">
        <f>SUM(Financials!B9:E9)</f>
        <v/>
      </c>
      <c r="C14" s="33">
        <f>SUM(Financials!F9:I9)</f>
        <v/>
      </c>
      <c r="D14" s="33">
        <f>SUM(Financials!J9:M9)</f>
        <v/>
      </c>
      <c r="E14" s="33">
        <f>SUM(Financials!N9:Q9)</f>
        <v/>
      </c>
      <c r="F14" s="41">
        <f>F6*F15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15" t="n">
        <v>0.7795585891409377</v>
      </c>
      <c r="G15" s="15" t="n">
        <v>0.7795585891409377</v>
      </c>
      <c r="H15" s="15" t="n">
        <v>0.7795585891409377</v>
      </c>
      <c r="I15" s="15" t="n">
        <v>0.7795585891409377</v>
      </c>
      <c r="J15" s="15" t="n">
        <v>0.7795585891409377</v>
      </c>
      <c r="K15" s="15" t="n">
        <v>0.7795585891409377</v>
      </c>
      <c r="L15" s="15" t="n">
        <v>0.7795585891409377</v>
      </c>
      <c r="M15" s="15" t="n">
        <v>0.7795585891409377</v>
      </c>
      <c r="N15" s="15" t="n">
        <v>0.7795585891409377</v>
      </c>
      <c r="O15" s="15" t="n">
        <v>0.7795585891409377</v>
      </c>
    </row>
    <row r="16">
      <c r="A16" s="4" t="inlineStr">
        <is>
          <t>Other opex (fulfilment, etc.)</t>
        </is>
      </c>
      <c r="B16" s="33">
        <f>B6-(B10+B12+B14)-SUM(Financials!B13:E13)</f>
        <v/>
      </c>
      <c r="C16" s="33">
        <f>C6-(C10+C12+C14)-SUM(Financials!F13:I13)</f>
        <v/>
      </c>
      <c r="D16" s="33">
        <f>D6-(D10+D12+D14)-SUM(Financials!J13:M13)</f>
        <v/>
      </c>
      <c r="E16" s="33">
        <f>E6-(E10+E12+E14)-SUM(Financials!N13:Q13)</f>
        <v/>
      </c>
      <c r="F16" s="33">
        <f>F6*(1-(Dashboard!$B$29+(Dashboard!$B$30-Dashboard!$B$29)*MIN(1,0/4)))-(F10+F12+F14)</f>
        <v/>
      </c>
      <c r="G16" s="33">
        <f>G6*(1-(Dashboard!$B$29+(Dashboard!$B$30-Dashboard!$B$29)*MIN(1,1/4)))-(G10+G12+G14)</f>
        <v/>
      </c>
      <c r="H16" s="33">
        <f>H6*(1-(Dashboard!$B$29+(Dashboard!$B$30-Dashboard!$B$29)*MIN(1,2/4)))-(H10+H12+H14)</f>
        <v/>
      </c>
      <c r="I16" s="33">
        <f>I6*(1-(Dashboard!$B$29+(Dashboard!$B$30-Dashboard!$B$29)*MIN(1,3/4)))-(I10+I12+I14)</f>
        <v/>
      </c>
      <c r="J16" s="33">
        <f>J6*(1-(Dashboard!$B$29+(Dashboard!$B$30-Dashboard!$B$29)*MIN(1,4/4)))-(J10+J12+J14)</f>
        <v/>
      </c>
      <c r="K16" s="33">
        <f>K6*(1-(Dashboard!$B$29+(Dashboard!$B$30-Dashboard!$B$29)*MIN(1,5/4)))-(K10+K12+K14)</f>
        <v/>
      </c>
      <c r="L16" s="33">
        <f>L6*(1-(Dashboard!$B$29+(Dashboard!$B$30-Dashboard!$B$29)*MIN(1,6/4)))-(L10+L12+L14)</f>
        <v/>
      </c>
      <c r="M16" s="33">
        <f>M6*(1-(Dashboard!$B$29+(Dashboard!$B$30-Dashboard!$B$29)*MIN(1,7/4)))-(M10+M12+M14)</f>
        <v/>
      </c>
      <c r="N16" s="33">
        <f>N6*(1-(Dashboard!$B$29+(Dashboard!$B$30-Dashboard!$B$29)*MIN(1,8/4)))-(N10+N12+N14)</f>
        <v/>
      </c>
      <c r="O16" s="33">
        <f>O6*(1-(Dashboard!$B$29+(Dashboard!$B$30-Dashboard!$B$29)*MIN(1,9/4)))-(O10+O12+O14)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</row>
    <row r="24">
      <c r="A24" s="4" t="inlineStr">
        <is>
          <t>+ D&amp;A</t>
        </is>
      </c>
      <c r="B24" s="33">
        <f>SUM(Financials!B27:E27)</f>
        <v/>
      </c>
      <c r="C24" s="33">
        <f>SUM(Financials!F27:I27)</f>
        <v/>
      </c>
      <c r="D24" s="33">
        <f>SUM(Financials!J27:M27)</f>
        <v/>
      </c>
      <c r="E24" s="33">
        <f>SUM(Financials!N27:Q27)</f>
        <v/>
      </c>
      <c r="F24" s="41">
        <f>F6*0.0125</f>
        <v/>
      </c>
      <c r="G24" s="41">
        <f>G6*0.0125</f>
        <v/>
      </c>
      <c r="H24" s="41">
        <f>H6*0.0125</f>
        <v/>
      </c>
      <c r="I24" s="41">
        <f>I6*0.0125</f>
        <v/>
      </c>
      <c r="J24" s="41">
        <f>J6*0.0125</f>
        <v/>
      </c>
      <c r="K24" s="41">
        <f>K6*0.0125</f>
        <v/>
      </c>
      <c r="L24" s="41">
        <f>L6*0.0125</f>
        <v/>
      </c>
      <c r="M24" s="41">
        <f>M6*0.0125</f>
        <v/>
      </c>
      <c r="N24" s="41">
        <f>N6*0.0125</f>
        <v/>
      </c>
      <c r="O24" s="41">
        <f>O6*0.0125</f>
        <v/>
      </c>
    </row>
    <row r="25">
      <c r="A25" s="4" t="inlineStr">
        <is>
          <t>+ SBC (non-cash)</t>
        </is>
      </c>
      <c r="B25" s="33">
        <f>SUM(Financials!B28:E28)</f>
        <v/>
      </c>
      <c r="C25" s="33">
        <f>SUM(Financials!F28:I28)</f>
        <v/>
      </c>
      <c r="D25" s="33">
        <f>SUM(Financials!J28:M28)</f>
        <v/>
      </c>
      <c r="E25" s="33">
        <f>SUM(Financials!N28:Q28)</f>
        <v/>
      </c>
      <c r="F25" s="33">
        <f>F6*(Dashboard!$B$65+(Dashboard!$B$66-Dashboard!$B$65)*0/9)</f>
        <v/>
      </c>
      <c r="G25" s="33">
        <f>G6*(Dashboard!$B$65+(Dashboard!$B$66-Dashboard!$B$65)*1/9)</f>
        <v/>
      </c>
      <c r="H25" s="33">
        <f>H6*(Dashboard!$B$65+(Dashboard!$B$66-Dashboard!$B$65)*2/9)</f>
        <v/>
      </c>
      <c r="I25" s="33">
        <f>I6*(Dashboard!$B$65+(Dashboard!$B$66-Dashboard!$B$65)*3/9)</f>
        <v/>
      </c>
      <c r="J25" s="33">
        <f>J6*(Dashboard!$B$65+(Dashboard!$B$66-Dashboard!$B$65)*4/9)</f>
        <v/>
      </c>
      <c r="K25" s="33">
        <f>K6*(Dashboard!$B$65+(Dashboard!$B$66-Dashboard!$B$65)*5/9)</f>
        <v/>
      </c>
      <c r="L25" s="33">
        <f>L6*(Dashboard!$B$65+(Dashboard!$B$66-Dashboard!$B$65)*6/9)</f>
        <v/>
      </c>
      <c r="M25" s="33">
        <f>M6*(Dashboard!$B$65+(Dashboard!$B$66-Dashboard!$B$65)*7/9)</f>
        <v/>
      </c>
      <c r="N25" s="33">
        <f>N6*(Dashboard!$B$65+(Dashboard!$B$66-Dashboard!$B$65)*8/9)</f>
        <v/>
      </c>
      <c r="O25" s="33">
        <f>O6*(Dashboard!$B$65+(Dashboard!$B$66-Dashboard!$B$65)*9/9)</f>
        <v/>
      </c>
    </row>
    <row r="26">
      <c r="A26" s="4" t="inlineStr">
        <is>
          <t>- dNWC</t>
        </is>
      </c>
      <c r="F26" s="41">
        <f>(F6-E6)*0.0050</f>
        <v/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</row>
    <row r="27">
      <c r="A27" s="4" t="inlineStr">
        <is>
          <t>- Capex</t>
        </is>
      </c>
      <c r="B27" s="33">
        <f>-SUM(Financials!B31:E31)</f>
        <v/>
      </c>
      <c r="C27" s="33">
        <f>-SUM(Financials!F31:I31)</f>
        <v/>
      </c>
      <c r="D27" s="33">
        <f>-SUM(Financials!J31:M31)</f>
        <v/>
      </c>
      <c r="E27" s="33">
        <f>-SUM(Financials!N31:Q31)</f>
        <v/>
      </c>
      <c r="F27" s="41">
        <f>F24*F28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13">
        <f>(Dashboard!$B$34/F24)+(Dashboard!$B$35-(Dashboard!$B$34/F24))*0/9</f>
        <v/>
      </c>
      <c r="G28" s="13">
        <f>(Dashboard!$B$34/F24)+(Dashboard!$B$35-(Dashboard!$B$34/F24))*1/9</f>
        <v/>
      </c>
      <c r="H28" s="13">
        <f>(Dashboard!$B$34/F24)+(Dashboard!$B$35-(Dashboard!$B$34/F24))*2/9</f>
        <v/>
      </c>
      <c r="I28" s="13">
        <f>(Dashboard!$B$34/F24)+(Dashboard!$B$35-(Dashboard!$B$34/F24))*3/9</f>
        <v/>
      </c>
      <c r="J28" s="13">
        <f>(Dashboard!$B$34/F24)+(Dashboard!$B$35-(Dashboard!$B$34/F24))*4/9</f>
        <v/>
      </c>
      <c r="K28" s="13">
        <f>(Dashboard!$B$34/F24)+(Dashboard!$B$35-(Dashboard!$B$34/F24))*5/9</f>
        <v/>
      </c>
      <c r="L28" s="13">
        <f>(Dashboard!$B$34/F24)+(Dashboard!$B$35-(Dashboard!$B$34/F24))*6/9</f>
        <v/>
      </c>
      <c r="M28" s="13">
        <f>(Dashboard!$B$34/F24)+(Dashboard!$B$35-(Dashboard!$B$34/F24))*7/9</f>
        <v/>
      </c>
      <c r="N28" s="13">
        <f>(Dashboard!$B$34/F24)+(Dashboard!$B$35-(Dashboard!$B$34/F24))*8/9</f>
        <v/>
      </c>
      <c r="O28" s="13">
        <f>(Dashboard!$B$34/F24)+(Dashboard!$B$35-(Dashboard!$B$34/F24))*9/9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4" t="inlineStr">
        <is>
          <t>Invested capital (debt + equity - cash)</t>
        </is>
      </c>
      <c r="B34" s="33">
        <f>Financials!E25+Financials!E24-Financials!E19</f>
        <v/>
      </c>
      <c r="C34" s="33">
        <f>Financials!I25+Financials!I24-Financials!I19</f>
        <v/>
      </c>
      <c r="D34" s="33">
        <f>Financials!M25+Financials!M24-Financials!M19</f>
        <v/>
      </c>
      <c r="E34" s="33">
        <f>Financials!Q25+Financials!Q24-Financials!Q19</f>
        <v/>
      </c>
      <c r="F34" s="41">
        <f>E34+F27-F24+F26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</row>
    <row r="35">
      <c r="A35" s="4" t="inlineStr">
        <is>
          <t>Book equity (year-end)</t>
        </is>
      </c>
      <c r="B35" s="33">
        <f>Financials!E25</f>
        <v/>
      </c>
      <c r="C35" s="33">
        <f>Financials!I25</f>
        <v/>
      </c>
      <c r="D35" s="33">
        <f>Financials!M25</f>
        <v/>
      </c>
      <c r="E35" s="33">
        <f>Financials!Q25</f>
        <v/>
      </c>
      <c r="F35" s="41">
        <f>E35+F23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</row>
    <row r="37">
      <c r="A37" s="3" t="inlineStr">
        <is>
          <t xml:space="preserve">  ROE (earnings / beg. equity)</t>
        </is>
      </c>
      <c r="C37" s="11">
        <f>IFERROR(SUM(Financials!F15:I15)/B35,"")</f>
        <v/>
      </c>
      <c r="D37" s="11">
        <f>IFERROR(SUM(Financials!J15:M15)/C35,"")</f>
        <v/>
      </c>
      <c r="E37" s="11">
        <f>IFERROR(SUM(Financials!N15:Q15)/D35,"")</f>
        <v/>
      </c>
      <c r="F37" s="25">
        <f>IFERROR(F23/E35,"")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Line Item ($M)</t>
        </is>
      </c>
      <c r="B1" s="45" t="inlineStr">
        <is>
          <t>Q1 2023</t>
        </is>
      </c>
      <c r="C1" s="45" t="inlineStr">
        <is>
          <t>Q2 2023</t>
        </is>
      </c>
      <c r="D1" s="45" t="inlineStr">
        <is>
          <t>Q3 2023</t>
        </is>
      </c>
      <c r="E1" s="45" t="inlineStr">
        <is>
          <t>Q4 2023</t>
        </is>
      </c>
      <c r="F1" s="45" t="inlineStr">
        <is>
          <t>Q1 2024</t>
        </is>
      </c>
      <c r="G1" s="45" t="inlineStr">
        <is>
          <t>Q2 2024</t>
        </is>
      </c>
      <c r="H1" s="45" t="inlineStr">
        <is>
          <t>Q3 2024</t>
        </is>
      </c>
      <c r="I1" s="45" t="inlineStr">
        <is>
          <t>Q4 2024</t>
        </is>
      </c>
      <c r="J1" s="45" t="inlineStr">
        <is>
          <t>Q1 2025</t>
        </is>
      </c>
      <c r="K1" s="45" t="inlineStr">
        <is>
          <t>Q2 2025</t>
        </is>
      </c>
      <c r="L1" s="45" t="inlineStr">
        <is>
          <t>Q3 2025</t>
        </is>
      </c>
      <c r="M1" s="45" t="inlineStr">
        <is>
          <t>Q4 2025</t>
        </is>
      </c>
      <c r="N1" s="45" t="inlineStr">
        <is>
          <t>Q1 2026</t>
        </is>
      </c>
      <c r="O1" s="45" t="inlineStr">
        <is>
          <t>Q2 2026</t>
        </is>
      </c>
      <c r="P1" s="45" t="inlineStr">
        <is>
          <t>Q3 2026</t>
        </is>
      </c>
      <c r="Q1" s="45" t="inlineStr">
        <is>
          <t>Q4 2026</t>
        </is>
      </c>
      <c r="R1" s="45" t="inlineStr">
        <is>
          <t>Q1 2027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4" t="inlineStr">
        <is>
          <t>Revenue</t>
        </is>
      </c>
      <c r="B3" s="18" t="n">
        <v>132.15</v>
      </c>
      <c r="C3" s="18" t="n">
        <v>167.224</v>
      </c>
      <c r="D3" s="18" t="n">
        <v>164.73</v>
      </c>
      <c r="E3" s="18" t="n">
        <v>135.715</v>
      </c>
      <c r="F3" s="18" t="n">
        <v>135.74</v>
      </c>
      <c r="G3" s="18" t="n">
        <v>151.535</v>
      </c>
      <c r="H3" s="18" t="n">
        <v>165.604</v>
      </c>
      <c r="I3" s="18" t="n">
        <v>175.013</v>
      </c>
      <c r="J3" s="18" t="n">
        <v>187.315</v>
      </c>
      <c r="K3" s="18" t="n">
        <v>204.951</v>
      </c>
      <c r="L3" s="18" t="n">
        <v>236.178</v>
      </c>
      <c r="M3" s="18" t="n">
        <v>258.1</v>
      </c>
      <c r="N3" s="18" t="n">
        <v>278.481</v>
      </c>
      <c r="O3" s="18" t="n">
        <v>309.86</v>
      </c>
      <c r="P3" s="18" t="n">
        <v>350.166</v>
      </c>
      <c r="Q3" s="18" t="n">
        <v>377.684</v>
      </c>
      <c r="R3" s="18" t="n">
        <v>387.068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</row>
    <row r="5">
      <c r="A5" s="4" t="inlineStr">
        <is>
          <t>Cost of Revenue</t>
        </is>
      </c>
      <c r="B5" s="18" t="n">
        <v>40.757</v>
      </c>
      <c r="C5" s="18" t="n">
        <v>49.094</v>
      </c>
      <c r="D5" s="18" t="n">
        <v>54.079</v>
      </c>
      <c r="E5" s="18" t="n">
        <v>38.084</v>
      </c>
      <c r="F5" s="18" t="n">
        <v>35.891</v>
      </c>
      <c r="G5" s="18" t="n">
        <v>35.39</v>
      </c>
      <c r="H5" s="18" t="n">
        <v>33.708</v>
      </c>
      <c r="I5" s="18" t="n">
        <v>39.973</v>
      </c>
      <c r="J5" s="18" t="n">
        <v>95.979</v>
      </c>
      <c r="K5" s="18" t="n">
        <v>55.168</v>
      </c>
      <c r="L5" s="18" t="n">
        <v>56.146</v>
      </c>
      <c r="M5" s="18" t="n">
        <v>58.455</v>
      </c>
      <c r="N5" s="18" t="n">
        <v>60.483</v>
      </c>
      <c r="O5" s="18" t="n">
        <v>63.559</v>
      </c>
      <c r="P5" s="18" t="n">
        <v>65.739</v>
      </c>
      <c r="Q5" s="18" t="n">
        <v>72.096</v>
      </c>
      <c r="R5" s="18" t="n">
        <v>75.288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</row>
    <row r="7">
      <c r="A7" s="4" t="inlineStr">
        <is>
          <t>R&amp;D Expense</t>
        </is>
      </c>
      <c r="B7" s="18" t="n">
        <v>42.409</v>
      </c>
      <c r="C7" s="18" t="n">
        <v>43.778</v>
      </c>
      <c r="D7" s="18" t="n">
        <v>43.411</v>
      </c>
      <c r="E7" s="18" t="n">
        <v>45.459</v>
      </c>
      <c r="F7" s="18" t="n">
        <v>46.266</v>
      </c>
      <c r="G7" s="18" t="n">
        <v>49.762</v>
      </c>
      <c r="H7" s="18" t="n">
        <v>51.372</v>
      </c>
      <c r="I7" s="18" t="n">
        <v>59.127</v>
      </c>
      <c r="J7" s="18" t="n">
        <v>285.379</v>
      </c>
      <c r="K7" s="18" t="n">
        <v>86.22799999999999</v>
      </c>
      <c r="L7" s="18" t="n">
        <v>80.05</v>
      </c>
      <c r="M7" s="18" t="n">
        <v>79.958</v>
      </c>
      <c r="N7" s="18" t="n">
        <v>81.815</v>
      </c>
      <c r="O7" s="18" t="n">
        <v>92.107</v>
      </c>
      <c r="P7" s="18" t="n">
        <v>97.581</v>
      </c>
      <c r="Q7" s="18" t="n">
        <v>102.179</v>
      </c>
      <c r="R7" s="18" t="n">
        <v>114.34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</row>
    <row r="9">
      <c r="A9" s="4" t="inlineStr">
        <is>
          <t>SG&amp;A Expense</t>
        </is>
      </c>
      <c r="B9" s="18" t="n">
        <v>114.519</v>
      </c>
      <c r="C9" s="18" t="n">
        <v>132.491</v>
      </c>
      <c r="D9" s="18" t="n">
        <v>126.402</v>
      </c>
      <c r="E9" s="18" t="n">
        <v>130.883999</v>
      </c>
      <c r="F9" s="18" t="n">
        <v>138.179</v>
      </c>
      <c r="G9" s="18" t="n">
        <v>139.903</v>
      </c>
      <c r="H9" s="18" t="n">
        <v>145.803</v>
      </c>
      <c r="I9" s="18" t="n">
        <v>159.024</v>
      </c>
      <c r="J9" s="18" t="n">
        <v>530.794</v>
      </c>
      <c r="K9" s="18" t="n">
        <v>231.848</v>
      </c>
      <c r="L9" s="18" t="n">
        <v>224.769</v>
      </c>
      <c r="M9" s="18" t="n">
        <v>235.802</v>
      </c>
      <c r="N9" s="18" t="n">
        <v>229.274</v>
      </c>
      <c r="O9" s="18" t="n">
        <v>248.657</v>
      </c>
      <c r="P9" s="18" t="n">
        <v>259.930999</v>
      </c>
      <c r="Q9" s="18" t="n">
        <v>288.186</v>
      </c>
      <c r="R9" s="18" t="n">
        <v>250.08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</row>
    <row r="11">
      <c r="A11" s="4" t="inlineStr">
        <is>
          <t>Gross Profit</t>
        </is>
      </c>
      <c r="B11" s="18" t="n">
        <v>91.393</v>
      </c>
      <c r="C11" s="18" t="n">
        <v>118.13</v>
      </c>
      <c r="D11" s="18" t="n">
        <v>110.651</v>
      </c>
      <c r="E11" s="18" t="n">
        <v>97.631</v>
      </c>
      <c r="F11" s="18" t="n">
        <v>99.849</v>
      </c>
      <c r="G11" s="18" t="n">
        <v>116.145</v>
      </c>
      <c r="H11" s="18" t="n">
        <v>131.895999</v>
      </c>
      <c r="I11" s="18" t="n">
        <v>135.04</v>
      </c>
      <c r="J11" s="18" t="n">
        <v>91.336</v>
      </c>
      <c r="K11" s="18" t="n">
        <v>149.783</v>
      </c>
      <c r="L11" s="18" t="n">
        <v>180.032</v>
      </c>
      <c r="M11" s="18" t="n">
        <v>199.645</v>
      </c>
      <c r="N11" s="18" t="n">
        <v>217.998</v>
      </c>
      <c r="O11" s="18" t="n">
        <v>246.301</v>
      </c>
      <c r="P11" s="18" t="n">
        <v>284.427</v>
      </c>
      <c r="Q11" s="18" t="n">
        <v>305.588</v>
      </c>
      <c r="R11" s="18" t="n">
        <v>311.78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</row>
    <row r="13">
      <c r="A13" s="4" t="inlineStr">
        <is>
          <t>Operating Income</t>
        </is>
      </c>
      <c r="B13" s="18" t="n">
        <v>-65.535</v>
      </c>
      <c r="C13" s="18" t="n">
        <v>-58.139</v>
      </c>
      <c r="D13" s="18" t="n">
        <v>-59.162</v>
      </c>
      <c r="E13" s="18" t="n">
        <v>-78.712</v>
      </c>
      <c r="F13" s="18" t="n">
        <v>-84.596</v>
      </c>
      <c r="G13" s="18" t="n">
        <v>-73.52</v>
      </c>
      <c r="H13" s="18" t="n">
        <v>-65.279</v>
      </c>
      <c r="I13" s="18" t="n">
        <v>-83.111</v>
      </c>
      <c r="J13" s="18" t="n">
        <v>-724.837</v>
      </c>
      <c r="K13" s="18" t="n">
        <v>-168.293</v>
      </c>
      <c r="L13" s="18" t="n">
        <v>-124.787</v>
      </c>
      <c r="M13" s="18" t="n">
        <v>-116.115</v>
      </c>
      <c r="N13" s="18" t="n">
        <v>-93.09099999999999</v>
      </c>
      <c r="O13" s="18" t="n">
        <v>-94.46299999999999</v>
      </c>
      <c r="P13" s="18" t="n">
        <v>-75.483</v>
      </c>
      <c r="Q13" s="18" t="n">
        <v>-82.379</v>
      </c>
      <c r="R13" s="18" t="n">
        <v>-52.634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</row>
    <row r="15">
      <c r="A15" s="4" t="inlineStr">
        <is>
          <t>Net Income</t>
        </is>
      </c>
      <c r="B15" s="18" t="n">
        <v>-64.35899999999999</v>
      </c>
      <c r="C15" s="18" t="n">
        <v>-64.35899999999999</v>
      </c>
      <c r="D15" s="18" t="n">
        <v>-74.514</v>
      </c>
      <c r="E15" s="18" t="n">
        <v>-74.514</v>
      </c>
      <c r="F15" s="18" t="n">
        <v>-89.273</v>
      </c>
      <c r="G15" s="18" t="n">
        <v>-81.121</v>
      </c>
      <c r="H15" s="18" t="n">
        <v>-86.267</v>
      </c>
      <c r="I15" s="18" t="n">
        <v>-97.497</v>
      </c>
      <c r="J15" s="18" t="n">
        <v>-732.091</v>
      </c>
      <c r="K15" s="18" t="n">
        <v>-176.93</v>
      </c>
      <c r="L15" s="18" t="n">
        <v>-130.91</v>
      </c>
      <c r="M15" s="18" t="n">
        <v>-114.889</v>
      </c>
      <c r="N15" s="18" t="n">
        <v>-102.104</v>
      </c>
      <c r="O15" s="18" t="n">
        <v>-95.929</v>
      </c>
      <c r="P15" s="18" t="n">
        <v>-63.829</v>
      </c>
      <c r="Q15" s="18" t="n">
        <v>-86.96599999999999</v>
      </c>
      <c r="R15" s="18" t="n">
        <v>-41.853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</row>
    <row r="17">
      <c r="A17" s="4" t="inlineStr">
        <is>
          <t>Diluted Shares (M)</t>
        </is>
      </c>
      <c r="B17" s="18" t="n">
        <v>175.932212</v>
      </c>
      <c r="C17" s="18" t="n">
        <v>175.932212</v>
      </c>
      <c r="D17" s="18" t="n">
        <v>175.932212</v>
      </c>
      <c r="E17" s="18" t="n">
        <v>175.932212</v>
      </c>
      <c r="F17" s="18" t="n">
        <v>175.932212</v>
      </c>
      <c r="G17" s="18" t="n">
        <v>175.932212</v>
      </c>
      <c r="H17" s="18" t="n">
        <v>175.932212</v>
      </c>
      <c r="I17" s="18" t="n">
        <v>175.932212</v>
      </c>
      <c r="J17" s="18" t="n">
        <v>176.589546</v>
      </c>
      <c r="K17" s="18" t="n">
        <v>179.851</v>
      </c>
      <c r="L17" s="18" t="n">
        <v>183.59</v>
      </c>
      <c r="M17" s="18" t="n">
        <v>188.048</v>
      </c>
      <c r="N17" s="18" t="n">
        <v>191.625</v>
      </c>
      <c r="O17" s="18" t="n">
        <v>194.89</v>
      </c>
      <c r="P17" s="18" t="n">
        <v>198.379</v>
      </c>
      <c r="Q17" s="18" t="n">
        <v>196.468</v>
      </c>
      <c r="R17" s="18" t="n">
        <v>203.668</v>
      </c>
    </row>
    <row r="18">
      <c r="A18" s="5" t="inlineStr">
        <is>
          <t xml:space="preserve">  BALANCE SHEET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4" t="inlineStr">
        <is>
          <t>Cash &amp; ST Investments</t>
        </is>
      </c>
      <c r="D19" s="18" t="n">
        <v>295.913</v>
      </c>
      <c r="E19" s="18" t="n">
        <v>295.913</v>
      </c>
      <c r="G19" s="18" t="n">
        <v>262.225</v>
      </c>
      <c r="H19" s="18" t="n">
        <v>279.251</v>
      </c>
      <c r="I19" s="18" t="n">
        <v>279.251</v>
      </c>
      <c r="J19" s="18" t="n">
        <v>606.3200000000001</v>
      </c>
      <c r="K19" s="18" t="n">
        <v>601.341</v>
      </c>
      <c r="L19" s="18" t="n">
        <v>631.977</v>
      </c>
      <c r="M19" s="18" t="n">
        <v>705.144</v>
      </c>
      <c r="N19" s="18" t="n">
        <v>762.057</v>
      </c>
      <c r="O19" s="18" t="n">
        <v>1523.011</v>
      </c>
      <c r="P19" s="18" t="n">
        <v>1603.007</v>
      </c>
      <c r="Q19" s="18" t="n">
        <v>1675.775</v>
      </c>
      <c r="R19" s="18" t="n">
        <v>1749.4</v>
      </c>
    </row>
    <row r="20">
      <c r="A20" s="4" t="inlineStr">
        <is>
          <t>Total Current Assets</t>
        </is>
      </c>
      <c r="D20" s="18" t="n">
        <v>564.795</v>
      </c>
      <c r="E20" s="18" t="n">
        <v>507.271</v>
      </c>
      <c r="G20" s="18" t="n">
        <v>459.881</v>
      </c>
      <c r="H20" s="18" t="n">
        <v>548.713</v>
      </c>
      <c r="I20" s="18" t="n">
        <v>476.656</v>
      </c>
      <c r="J20" s="18" t="n">
        <v>778.413</v>
      </c>
      <c r="K20" s="18" t="n">
        <v>888.99</v>
      </c>
      <c r="L20" s="18" t="n">
        <v>943.691</v>
      </c>
      <c r="M20" s="18" t="n">
        <v>1077.641</v>
      </c>
      <c r="N20" s="18" t="n">
        <v>1116.895</v>
      </c>
      <c r="O20" s="18" t="n">
        <v>1928.971</v>
      </c>
      <c r="P20" s="18" t="n">
        <v>2066.697</v>
      </c>
      <c r="Q20" s="18" t="n">
        <v>2223.564</v>
      </c>
      <c r="R20" s="18" t="n">
        <v>2224</v>
      </c>
    </row>
    <row r="21">
      <c r="A21" s="4" t="inlineStr">
        <is>
          <t>PP&amp;E (net)</t>
        </is>
      </c>
      <c r="D21" s="18" t="n">
        <v>83.009</v>
      </c>
      <c r="E21" s="18" t="n">
        <v>83.009</v>
      </c>
      <c r="G21" s="18" t="n">
        <v>78.3</v>
      </c>
      <c r="H21" s="18" t="n">
        <v>77.706</v>
      </c>
      <c r="I21" s="18" t="n">
        <v>77.706</v>
      </c>
      <c r="J21" s="18" t="n">
        <v>45.983</v>
      </c>
      <c r="K21" s="18" t="n">
        <v>46.204</v>
      </c>
      <c r="L21" s="18" t="n">
        <v>49.294</v>
      </c>
      <c r="M21" s="18" t="n">
        <v>53.194</v>
      </c>
      <c r="N21" s="18" t="n">
        <v>54.935</v>
      </c>
      <c r="O21" s="18" t="n">
        <v>58.335</v>
      </c>
      <c r="P21" s="18" t="n">
        <v>66.989</v>
      </c>
      <c r="Q21" s="18" t="n">
        <v>83.83</v>
      </c>
      <c r="R21" s="18" t="n">
        <v>83.83</v>
      </c>
    </row>
    <row r="22">
      <c r="A22" s="4" t="inlineStr">
        <is>
          <t>Total Assets</t>
        </is>
      </c>
      <c r="D22" s="18" t="n">
        <v>769.183</v>
      </c>
      <c r="E22" s="18" t="n">
        <v>769.183</v>
      </c>
      <c r="G22" s="18" t="n">
        <v>739.026</v>
      </c>
      <c r="H22" s="18" t="n">
        <v>873.61</v>
      </c>
      <c r="I22" s="18" t="n">
        <v>873.61</v>
      </c>
      <c r="J22" s="18" t="n">
        <v>1166.372</v>
      </c>
      <c r="K22" s="18" t="n">
        <v>1218.204</v>
      </c>
      <c r="L22" s="18" t="n">
        <v>1268.691</v>
      </c>
      <c r="M22" s="18" t="n">
        <v>1422.974</v>
      </c>
      <c r="N22" s="18" t="n">
        <v>1474.606</v>
      </c>
      <c r="O22" s="18" t="n">
        <v>2388.707</v>
      </c>
      <c r="P22" s="18" t="n">
        <v>2548.655</v>
      </c>
      <c r="Q22" s="18" t="n">
        <v>2766.536</v>
      </c>
      <c r="R22" s="18" t="n">
        <v>2768</v>
      </c>
    </row>
    <row r="23">
      <c r="A23" s="4" t="inlineStr">
        <is>
          <t>Total Current Liabilities</t>
        </is>
      </c>
      <c r="D23" s="18" t="n">
        <v>435.404</v>
      </c>
      <c r="E23" s="18" t="n">
        <v>435.404</v>
      </c>
      <c r="G23" s="18" t="n">
        <v>515.5839999999999</v>
      </c>
      <c r="H23" s="18" t="n">
        <v>656.2809999999999</v>
      </c>
      <c r="I23" s="18" t="n">
        <v>656.2809999999999</v>
      </c>
      <c r="J23" s="18" t="n">
        <v>738.045</v>
      </c>
      <c r="K23" s="18" t="n">
        <v>776.715</v>
      </c>
      <c r="L23" s="18" t="n">
        <v>816.556</v>
      </c>
      <c r="M23" s="18" t="n">
        <v>950.176</v>
      </c>
      <c r="N23" s="18" t="n">
        <v>961.289</v>
      </c>
      <c r="O23" s="18" t="n">
        <v>1060.493</v>
      </c>
      <c r="P23" s="18" t="n">
        <v>1162.844</v>
      </c>
      <c r="Q23" s="18" t="n">
        <v>1314.059</v>
      </c>
      <c r="R23" s="18" t="n">
        <v>1280</v>
      </c>
    </row>
    <row r="24">
      <c r="A24" s="4" t="inlineStr">
        <is>
          <t>Long-term Debt</t>
        </is>
      </c>
      <c r="D24" s="18" t="n">
        <v>206.347</v>
      </c>
      <c r="E24" s="18" t="n">
        <v>179.699</v>
      </c>
      <c r="G24" s="18" t="n">
        <v>186.061</v>
      </c>
      <c r="H24" s="18" t="n">
        <v>309.294</v>
      </c>
      <c r="I24" s="18" t="n">
        <v>287.042</v>
      </c>
      <c r="J24" s="18" t="n">
        <v>297.104</v>
      </c>
      <c r="K24" s="18" t="n">
        <v>306.804</v>
      </c>
      <c r="L24" s="18" t="n">
        <v>316.991</v>
      </c>
      <c r="M24" s="18" t="n">
        <v>322.341</v>
      </c>
      <c r="N24" s="18" t="n">
        <v>322.821</v>
      </c>
      <c r="O24" s="18" t="n">
        <v>1128.547</v>
      </c>
      <c r="P24" s="18" t="n">
        <v>1129.627</v>
      </c>
      <c r="Q24" s="18" t="n">
        <v>1130.721</v>
      </c>
      <c r="R24" s="18" t="n">
        <v>1132</v>
      </c>
    </row>
    <row r="25">
      <c r="A25" s="4" t="inlineStr">
        <is>
          <t>Total Equity</t>
        </is>
      </c>
      <c r="D25" s="18" t="n">
        <v>-372.616</v>
      </c>
      <c r="E25" s="18" t="n">
        <v>-372.616</v>
      </c>
      <c r="G25" s="18" t="n">
        <v>-538.515</v>
      </c>
      <c r="H25" s="18" t="n">
        <v>-704.544</v>
      </c>
      <c r="I25" s="18" t="n">
        <v>-704.544</v>
      </c>
      <c r="J25" s="18" t="n">
        <v>-514.598</v>
      </c>
      <c r="K25" s="18" t="n">
        <v>-499.294</v>
      </c>
      <c r="L25" s="18" t="n">
        <v>-521.087</v>
      </c>
      <c r="M25" s="18" t="n">
        <v>-553.734</v>
      </c>
      <c r="N25" s="18" t="n">
        <v>-556.53</v>
      </c>
      <c r="O25" s="18" t="n">
        <v>-564.3440000000001</v>
      </c>
      <c r="P25" s="18" t="n">
        <v>-524.409</v>
      </c>
      <c r="Q25" s="18" t="n">
        <v>-519.562</v>
      </c>
      <c r="R25" s="18" t="n">
        <v>-481.33</v>
      </c>
    </row>
    <row r="26">
      <c r="A26" s="5" t="inlineStr">
        <is>
          <t xml:space="preserve">  CASH FLOW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</row>
    <row r="27">
      <c r="A27" s="4" t="inlineStr">
        <is>
          <t>D&amp;A</t>
        </is>
      </c>
      <c r="B27" s="18" t="n">
        <v>4.071</v>
      </c>
      <c r="C27" s="18" t="n">
        <v>4.071</v>
      </c>
      <c r="D27" s="18" t="n">
        <v>4.062</v>
      </c>
      <c r="E27" s="18" t="n">
        <v>4.062</v>
      </c>
      <c r="F27" s="18" t="n">
        <v>22.017</v>
      </c>
      <c r="G27" s="18" t="n">
        <v>25.615</v>
      </c>
      <c r="H27" s="18" t="n">
        <v>5.1215</v>
      </c>
      <c r="I27" s="18" t="n">
        <v>5.1215</v>
      </c>
      <c r="J27" s="18" t="n">
        <v>27.567</v>
      </c>
      <c r="K27" s="18" t="n">
        <v>29.01</v>
      </c>
      <c r="L27" s="18" t="n">
        <v>7.398</v>
      </c>
      <c r="M27" s="18" t="n">
        <v>7.326</v>
      </c>
      <c r="N27" s="18" t="n">
        <v>8.074999999999999</v>
      </c>
      <c r="O27" s="18" t="n">
        <v>8.419</v>
      </c>
      <c r="P27" s="18" t="n">
        <v>0</v>
      </c>
      <c r="Q27" s="18" t="n">
        <v>0</v>
      </c>
      <c r="R27" s="18" t="n">
        <v>12.08</v>
      </c>
    </row>
    <row r="28">
      <c r="A28" s="4" t="inlineStr">
        <is>
          <t>Stock-based Compensation</t>
        </is>
      </c>
      <c r="B28" s="18" t="n">
        <v>2.452</v>
      </c>
      <c r="C28" s="18" t="n">
        <v>2.452</v>
      </c>
      <c r="D28" s="18" t="n">
        <v>1.025</v>
      </c>
      <c r="E28" s="18" t="n">
        <v>1.025</v>
      </c>
      <c r="F28" s="18" t="n">
        <v>0.428</v>
      </c>
      <c r="G28" s="18" t="n">
        <v>1.204</v>
      </c>
      <c r="H28" s="18" t="n">
        <v>2.0415</v>
      </c>
      <c r="I28" s="18" t="n">
        <v>2.0415</v>
      </c>
      <c r="J28" s="18" t="n">
        <v>630.33</v>
      </c>
      <c r="K28" s="18" t="n">
        <v>105.018</v>
      </c>
      <c r="L28" s="18" t="n">
        <v>92.527</v>
      </c>
      <c r="M28" s="18" t="n">
        <v>86.038</v>
      </c>
      <c r="N28" s="18" t="n">
        <v>73.54000000000001</v>
      </c>
      <c r="O28" s="18" t="n">
        <v>0</v>
      </c>
      <c r="P28" s="18" t="n">
        <v>0</v>
      </c>
      <c r="Q28" s="18" t="n">
        <v>0</v>
      </c>
      <c r="R28" s="18" t="n">
        <v>73.36799999999999</v>
      </c>
    </row>
    <row r="29">
      <c r="A29" s="4" t="inlineStr">
        <is>
          <t>Change in Working Capital</t>
        </is>
      </c>
      <c r="B29" s="18" t="n">
        <v>-41.8575</v>
      </c>
      <c r="C29" s="18" t="n">
        <v>-41.8575</v>
      </c>
      <c r="D29" s="18" t="n">
        <v>-36.5525</v>
      </c>
      <c r="E29" s="18" t="n">
        <v>-36.5525</v>
      </c>
      <c r="F29" s="18" t="n">
        <v>-23.447</v>
      </c>
      <c r="G29" s="18" t="n">
        <v>-41.379</v>
      </c>
      <c r="H29" s="18" t="n">
        <v>-0.021</v>
      </c>
      <c r="I29" s="18" t="n">
        <v>-0.021</v>
      </c>
      <c r="J29" s="18" t="n">
        <v>33.24</v>
      </c>
      <c r="K29" s="18" t="n">
        <v>6.32</v>
      </c>
      <c r="L29" s="18" t="n">
        <v>23.229</v>
      </c>
      <c r="M29" s="18" t="n">
        <v>78.92700000000001</v>
      </c>
      <c r="N29" s="18" t="n">
        <v>35.13</v>
      </c>
      <c r="O29" s="18" t="n">
        <v>31.741</v>
      </c>
      <c r="P29" s="18" t="n">
        <v>26.841</v>
      </c>
      <c r="Q29" s="18" t="n">
        <v>54.465</v>
      </c>
      <c r="R29" s="18" t="n">
        <v>54.465</v>
      </c>
    </row>
    <row r="30">
      <c r="A30" s="4" t="inlineStr">
        <is>
          <t>Operating Cash Flow</t>
        </is>
      </c>
      <c r="B30" s="18" t="n">
        <v>-24.9955</v>
      </c>
      <c r="C30" s="18" t="n">
        <v>-24.9955</v>
      </c>
      <c r="D30" s="18" t="n">
        <v>34.639</v>
      </c>
      <c r="E30" s="18" t="n">
        <v>34.639</v>
      </c>
      <c r="F30" s="18" t="n">
        <v>-17.457</v>
      </c>
      <c r="G30" s="18" t="n">
        <v>-6.748</v>
      </c>
      <c r="H30" s="18" t="n">
        <v>6.917</v>
      </c>
      <c r="I30" s="18" t="n">
        <v>12.77</v>
      </c>
      <c r="J30" s="18" t="n">
        <v>-31.387</v>
      </c>
      <c r="K30" s="18" t="n">
        <v>-27.083</v>
      </c>
      <c r="L30" s="18" t="n">
        <v>23.095</v>
      </c>
      <c r="M30" s="18" t="n">
        <v>83.59699999999999</v>
      </c>
      <c r="N30" s="18" t="n">
        <v>39.655</v>
      </c>
      <c r="O30" s="18" t="n">
        <v>63.543</v>
      </c>
      <c r="P30" s="18" t="n">
        <v>86.66500000000001</v>
      </c>
      <c r="Q30" s="18" t="n">
        <v>94.94799999999999</v>
      </c>
      <c r="R30" s="18" t="n">
        <v>81.69</v>
      </c>
    </row>
    <row r="31">
      <c r="A31" s="4" t="inlineStr">
        <is>
          <t>Capex</t>
        </is>
      </c>
      <c r="B31" s="18" t="n">
        <v>-4.9245</v>
      </c>
      <c r="C31" s="18" t="n">
        <v>-4.9245</v>
      </c>
      <c r="D31" s="18" t="n">
        <v>-7.584</v>
      </c>
      <c r="E31" s="18" t="n">
        <v>-7.584</v>
      </c>
      <c r="F31" s="18" t="n">
        <v>-5.789</v>
      </c>
      <c r="G31" s="18" t="n">
        <v>-6.7</v>
      </c>
      <c r="H31" s="18" t="n">
        <v>-1.468</v>
      </c>
      <c r="I31" s="18" t="n">
        <v>-4.057</v>
      </c>
      <c r="J31" s="18" t="n">
        <v>-5.742</v>
      </c>
      <c r="K31" s="18" t="n">
        <v>-4.929</v>
      </c>
      <c r="L31" s="18" t="n">
        <v>-7.527</v>
      </c>
      <c r="M31" s="18" t="n">
        <v>-5.589</v>
      </c>
      <c r="N31" s="18" t="n">
        <v>-2.85</v>
      </c>
      <c r="O31" s="18" t="n">
        <v>-7.181</v>
      </c>
      <c r="P31" s="18" t="n">
        <v>2.409</v>
      </c>
      <c r="Q31" s="18" t="n">
        <v>-7.54</v>
      </c>
      <c r="R31" s="18" t="n">
        <v>-4.28</v>
      </c>
    </row>
    <row r="32">
      <c r="A32" s="4" t="inlineStr">
        <is>
          <t>Free Cash Flow</t>
        </is>
      </c>
      <c r="B32" s="18" t="n">
        <v>-29.92</v>
      </c>
      <c r="C32" s="18" t="n">
        <v>-29.92</v>
      </c>
      <c r="D32" s="18" t="n">
        <v>27.055</v>
      </c>
      <c r="E32" s="18" t="n">
        <v>27.055</v>
      </c>
      <c r="F32" s="18" t="n">
        <v>-23.246</v>
      </c>
      <c r="G32" s="18" t="n">
        <v>-13.448</v>
      </c>
      <c r="H32" s="18" t="n">
        <v>5.449</v>
      </c>
      <c r="I32" s="18" t="n">
        <v>8.712999999999999</v>
      </c>
      <c r="J32" s="18" t="n">
        <v>-37.129</v>
      </c>
      <c r="K32" s="18" t="n">
        <v>-32.012</v>
      </c>
      <c r="L32" s="18" t="n">
        <v>15.568</v>
      </c>
      <c r="M32" s="18" t="n">
        <v>78.008</v>
      </c>
      <c r="N32" s="18" t="n">
        <v>36.805</v>
      </c>
      <c r="O32" s="18" t="n">
        <v>56.362</v>
      </c>
      <c r="P32" s="18" t="n">
        <v>89.074</v>
      </c>
      <c r="Q32" s="18" t="n">
        <v>87.408</v>
      </c>
      <c r="R32" s="18" t="n">
        <v>87.408</v>
      </c>
    </row>
    <row r="34">
      <c r="A3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2027</v>
      </c>
      <c r="C2" s="45" t="n">
        <v>2028</v>
      </c>
      <c r="D2" s="45" t="n">
        <v>2029</v>
      </c>
      <c r="E2" s="45" t="n">
        <v>2030</v>
      </c>
      <c r="F2" s="45" t="n">
        <v>2031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1606.879342</v>
      </c>
      <c r="C4" s="18" t="n">
        <v>1964.984857</v>
      </c>
      <c r="D4" s="18" t="n">
        <v>2356.581706</v>
      </c>
      <c r="E4" s="18" t="n">
        <v>2722.71675</v>
      </c>
      <c r="F4" s="18" t="n">
        <v>3109.2</v>
      </c>
    </row>
    <row r="5">
      <c r="A5" s="4" t="inlineStr">
        <is>
          <t xml:space="preserve">  model</t>
        </is>
      </c>
      <c r="B5" s="33">
        <f>Model!F6</f>
        <v/>
      </c>
      <c r="C5" s="33">
        <f>Model!G6</f>
        <v/>
      </c>
      <c r="D5" s="33">
        <f>Model!H6</f>
        <v/>
      </c>
      <c r="E5" s="33">
        <f>Model!I6</f>
        <v/>
      </c>
      <c r="F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-644.7032349999999</v>
      </c>
      <c r="C8" s="18" t="n">
        <v>-788.380347</v>
      </c>
      <c r="D8" s="18" t="n">
        <v>-945.494667</v>
      </c>
      <c r="E8" s="18" t="n">
        <v>-1092.393343</v>
      </c>
      <c r="F8" s="18" t="n">
        <v>-1247.456013</v>
      </c>
    </row>
    <row r="9">
      <c r="A9" s="4" t="inlineStr">
        <is>
          <t xml:space="preserve">  model</t>
        </is>
      </c>
      <c r="B9" s="33">
        <f>Model!F19+Model!F24</f>
        <v/>
      </c>
      <c r="C9" s="33">
        <f>Model!G19+Model!G24</f>
        <v/>
      </c>
      <c r="D9" s="33">
        <f>Model!H19+Model!H24</f>
        <v/>
      </c>
      <c r="E9" s="33">
        <f>Model!I19+Model!I24</f>
        <v/>
      </c>
      <c r="F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-854.211153</v>
      </c>
      <c r="C12" s="18" t="n">
        <v>-1044.578728</v>
      </c>
      <c r="D12" s="18" t="n">
        <v>-1252.750174</v>
      </c>
      <c r="E12" s="18" t="n">
        <v>-1447.386218</v>
      </c>
      <c r="F12" s="18" t="n">
        <v>-1652.839293</v>
      </c>
    </row>
    <row r="13">
      <c r="A13" s="4" t="inlineStr">
        <is>
          <t xml:space="preserve">  model</t>
        </is>
      </c>
      <c r="B13" s="33">
        <f>Model!F19</f>
        <v/>
      </c>
      <c r="C13" s="33">
        <f>Model!G19</f>
        <v/>
      </c>
      <c r="D13" s="33">
        <f>Model!H19</f>
        <v/>
      </c>
      <c r="E13" s="33">
        <f>Model!I19</f>
        <v/>
      </c>
      <c r="F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1408.408577</v>
      </c>
      <c r="C16" s="18" t="n">
        <v>1722.283343</v>
      </c>
      <c r="D16" s="18" t="n">
        <v>2065.512823</v>
      </c>
      <c r="E16" s="18" t="n">
        <v>2386.425367</v>
      </c>
      <c r="F16" s="18" t="n">
        <v>2725.172845</v>
      </c>
    </row>
    <row r="17">
      <c r="A17" s="4" t="inlineStr">
        <is>
          <t xml:space="preserve">  model</t>
        </is>
      </c>
      <c r="B17" s="33">
        <f>Model!F14</f>
        <v/>
      </c>
      <c r="C17" s="33">
        <f>Model!G14</f>
        <v/>
      </c>
      <c r="D17" s="33">
        <f>Model!H14</f>
        <v/>
      </c>
      <c r="E17" s="33">
        <f>Model!I14</f>
        <v/>
      </c>
      <c r="F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50.9569225</v>
      </c>
      <c r="C20" s="18" t="n">
        <v>120.2462745</v>
      </c>
      <c r="D20" s="18" t="n">
        <v>-5.34452</v>
      </c>
      <c r="E20" s="18" t="n">
        <v>240.977826</v>
      </c>
      <c r="F20" s="18" t="n">
        <v>312.384121</v>
      </c>
    </row>
    <row r="21">
      <c r="A21" s="4" t="inlineStr">
        <is>
          <t xml:space="preserve">  model</t>
        </is>
      </c>
      <c r="B21" s="33">
        <f>Model!F23</f>
        <v/>
      </c>
      <c r="C21" s="33">
        <f>Model!G23</f>
        <v/>
      </c>
      <c r="D21" s="33">
        <f>Model!H23</f>
        <v/>
      </c>
      <c r="E21" s="33">
        <f>Model!I23</f>
        <v/>
      </c>
      <c r="F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0.17291</v>
      </c>
      <c r="C24" s="47" t="n">
        <v>0.56769</v>
      </c>
      <c r="D24" s="47" t="n">
        <v>1.18621</v>
      </c>
      <c r="E24" s="47" t="n">
        <v>1.22655</v>
      </c>
      <c r="F24" s="47" t="n">
        <v>1.59</v>
      </c>
    </row>
    <row r="25">
      <c r="A25" s="4" t="inlineStr">
        <is>
          <t xml:space="preserve">  model</t>
        </is>
      </c>
      <c r="B25" s="8">
        <f>Model!F23/Financials!R17</f>
        <v/>
      </c>
      <c r="C25" s="8">
        <f>Model!G23/Financials!R17</f>
        <v/>
      </c>
      <c r="D25" s="8">
        <f>Model!H23/Financials!R17</f>
        <v/>
      </c>
      <c r="E25" s="8">
        <f>Model!I23/Financials!R17</f>
        <v/>
      </c>
      <c r="F25" s="8">
        <f>Model!J23/Financials!R17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Rubrik,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2027</v>
      </c>
      <c r="D11" s="45" t="n">
        <v>2028</v>
      </c>
      <c r="E11" s="45" t="n">
        <v>2029</v>
      </c>
      <c r="F11" s="45" t="n">
        <v>2030</v>
      </c>
      <c r="G11" s="45" t="n">
        <v>2031</v>
      </c>
      <c r="H11" s="45" t="n">
        <v>2032</v>
      </c>
      <c r="I11" s="45" t="n">
        <v>2033</v>
      </c>
      <c r="J11" s="45" t="n">
        <v>2034</v>
      </c>
      <c r="K11" s="45" t="n">
        <v>2035</v>
      </c>
      <c r="L11" s="45" t="n">
        <v>2036</v>
      </c>
    </row>
    <row r="12">
      <c r="A12" s="4" t="inlineStr">
        <is>
          <t>FCFF ($M)</t>
        </is>
      </c>
      <c r="C12" s="33">
        <f>Model!F31</f>
        <v/>
      </c>
      <c r="D12" s="33">
        <f>Model!G31</f>
        <v/>
      </c>
      <c r="E12" s="33">
        <f>Model!H31</f>
        <v/>
      </c>
      <c r="F12" s="33">
        <f>Model!I31</f>
        <v/>
      </c>
      <c r="G12" s="33">
        <f>Model!J31</f>
        <v/>
      </c>
      <c r="H12" s="33">
        <f>Model!K31</f>
        <v/>
      </c>
      <c r="I12" s="33">
        <f>Model!L31</f>
        <v/>
      </c>
      <c r="J12" s="33">
        <f>Model!M31</f>
        <v/>
      </c>
      <c r="K12" s="33">
        <f>Model!N31</f>
        <v/>
      </c>
      <c r="L12" s="33">
        <f>Model!O31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Model!O6</f>
        <v/>
      </c>
    </row>
    <row r="21">
      <c r="A21" s="4" t="inlineStr">
        <is>
          <t>Terminal EBIT</t>
        </is>
      </c>
      <c r="B21" s="33">
        <f>Model!O19</f>
        <v/>
      </c>
    </row>
    <row r="22">
      <c r="A22" s="4" t="inlineStr">
        <is>
          <t>Terminal EBITDA (SBC-burdened)</t>
        </is>
      </c>
      <c r="B22" s="33">
        <f>Model!O19+Model!O24-Model!O25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Financials!R19</f>
        <v/>
      </c>
    </row>
    <row r="33">
      <c r="A33" s="4" t="inlineStr">
        <is>
          <t>- Long-term debt</t>
        </is>
      </c>
      <c r="B33" s="33">
        <f>-Financials!R24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Financials!R17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(EV/Sales). Static grid recomputed by every rebuild/refresh — edit the Dashboard, re-run refresh_dcf to update. Shaded = base case; green = above current price.</t>
        </is>
      </c>
    </row>
    <row r="4">
      <c r="A4" s="3" t="inlineStr">
        <is>
          <t>EV/Sales x  \  WACC</t>
        </is>
      </c>
      <c r="B4" s="51" t="n">
        <v>0.07386386226327231</v>
      </c>
      <c r="C4" s="51" t="n">
        <v>0.07886386226327231</v>
      </c>
      <c r="D4" s="51" t="n">
        <v>0.0838638622632723</v>
      </c>
      <c r="E4" s="51" t="n">
        <v>0.08886386226327231</v>
      </c>
      <c r="F4" s="51" t="n">
        <v>0.09386386226327231</v>
      </c>
      <c r="G4" s="51" t="n">
        <v>0.0988638622632723</v>
      </c>
      <c r="H4" s="51" t="n">
        <v>0.1038638622632723</v>
      </c>
    </row>
    <row r="5">
      <c r="A5" s="52" t="n">
        <v>3</v>
      </c>
      <c r="B5" s="53" t="n">
        <v>36.85688985425564</v>
      </c>
      <c r="C5" s="53" t="n">
        <v>35.46296781305249</v>
      </c>
      <c r="D5" s="53" t="n">
        <v>34.13496482948323</v>
      </c>
      <c r="E5" s="53" t="n">
        <v>32.86942676816287</v>
      </c>
      <c r="F5" s="53" t="n">
        <v>31.66309669136801</v>
      </c>
      <c r="G5" s="53" t="n">
        <v>30.51290271899908</v>
      </c>
      <c r="H5" s="53" t="n">
        <v>29.41594668859486</v>
      </c>
    </row>
    <row r="6">
      <c r="A6" s="52" t="n">
        <v>4</v>
      </c>
      <c r="B6" s="53" t="n">
        <v>44.90152873889186</v>
      </c>
      <c r="C6" s="53" t="n">
        <v>43.14245763884553</v>
      </c>
      <c r="D6" s="53" t="n">
        <v>41.46745461048295</v>
      </c>
      <c r="E6" s="53" t="n">
        <v>39.87208589323708</v>
      </c>
      <c r="F6" s="53" t="n">
        <v>38.35217195025609</v>
      </c>
      <c r="G6" s="53" t="n">
        <v>36.9037717693938</v>
      </c>
      <c r="H6" s="53" t="n">
        <v>35.52316820117201</v>
      </c>
    </row>
    <row r="7">
      <c r="A7" s="52" t="n">
        <v>5</v>
      </c>
      <c r="B7" s="53" t="n">
        <v>52.94616762352808</v>
      </c>
      <c r="C7" s="53" t="n">
        <v>50.82194746463858</v>
      </c>
      <c r="D7" s="53" t="n">
        <v>48.79994439148268</v>
      </c>
      <c r="E7" s="53" t="n">
        <v>46.8747450183113</v>
      </c>
      <c r="F7" s="53" t="n">
        <v>45.04124720914416</v>
      </c>
      <c r="G7" s="53" t="n">
        <v>43.29464081978853</v>
      </c>
      <c r="H7" s="53" t="n">
        <v>41.63038971374915</v>
      </c>
    </row>
    <row r="8">
      <c r="A8" s="52" t="n">
        <v>6</v>
      </c>
      <c r="B8" s="53" t="n">
        <v>60.9908065081643</v>
      </c>
      <c r="C8" s="53" t="n">
        <v>58.50143729043162</v>
      </c>
      <c r="D8" s="53" t="n">
        <v>56.13243417248239</v>
      </c>
      <c r="E8" s="54" t="n">
        <v>53.87740414338552</v>
      </c>
      <c r="F8" s="53" t="n">
        <v>51.73032246803223</v>
      </c>
      <c r="G8" s="53" t="n">
        <v>49.68550987018325</v>
      </c>
      <c r="H8" s="53" t="n">
        <v>47.73761122632629</v>
      </c>
    </row>
    <row r="9">
      <c r="A9" s="52" t="n">
        <v>7</v>
      </c>
      <c r="B9" s="53" t="n">
        <v>69.03544539280054</v>
      </c>
      <c r="C9" s="53" t="n">
        <v>66.18092711622468</v>
      </c>
      <c r="D9" s="53" t="n">
        <v>63.46492395348211</v>
      </c>
      <c r="E9" s="53" t="n">
        <v>60.88006326845974</v>
      </c>
      <c r="F9" s="53" t="n">
        <v>58.41939772692031</v>
      </c>
      <c r="G9" s="53" t="n">
        <v>56.07637892057798</v>
      </c>
      <c r="H9" s="53" t="n">
        <v>53.84483273890343</v>
      </c>
    </row>
    <row r="10">
      <c r="A10" s="52" t="n">
        <v>8</v>
      </c>
      <c r="B10" s="53" t="n">
        <v>77.08008427743675</v>
      </c>
      <c r="C10" s="53" t="n">
        <v>73.86041694201772</v>
      </c>
      <c r="D10" s="53" t="n">
        <v>70.79741373448182</v>
      </c>
      <c r="E10" s="53" t="n">
        <v>67.88272239353395</v>
      </c>
      <c r="F10" s="53" t="n">
        <v>65.10847298580839</v>
      </c>
      <c r="G10" s="53" t="n">
        <v>62.4672479709727</v>
      </c>
      <c r="H10" s="53" t="n">
        <v>59.95205425148057</v>
      </c>
    </row>
    <row r="11">
      <c r="A11" s="52" t="n">
        <v>9</v>
      </c>
      <c r="B11" s="8" t="n">
        <v>85.12472316207298</v>
      </c>
      <c r="C11" s="53" t="n">
        <v>81.53990676781078</v>
      </c>
      <c r="D11" s="53" t="n">
        <v>78.12990351548154</v>
      </c>
      <c r="E11" s="53" t="n">
        <v>74.88538151860816</v>
      </c>
      <c r="F11" s="53" t="n">
        <v>71.79754824469646</v>
      </c>
      <c r="G11" s="53" t="n">
        <v>68.85811702136742</v>
      </c>
      <c r="H11" s="53" t="n">
        <v>66.05927576405772</v>
      </c>
    </row>
    <row r="13">
      <c r="A13" s="3" t="inlineStr">
        <is>
          <t>Current price</t>
        </is>
      </c>
      <c r="B13" s="53" t="n">
        <v>84.24500274658203</v>
      </c>
    </row>
    <row r="14">
      <c r="A14" s="3" t="inlineStr">
        <is>
          <t>Base WACC / multiple</t>
        </is>
      </c>
      <c r="B14" s="55" t="n">
        <v>0.08886386226327231</v>
      </c>
      <c r="C14" s="56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Model!E6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Model!E20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0.01253161585210657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0.9575780283739542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(Model!O6/Model!E6)^(1/10)-1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3.550231218938233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Financials!R19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Financials!R24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Financials!R17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2026-07-08T07:04:07Z</dcterms:created>
  <dcterms:modified xmlns:dcterms="http://purl.org/dc/terms/" xmlns:xsi="http://www.w3.org/2001/XMLSchema-instance" xsi:type="dcterms:W3CDTF">2026-07-08T07:04:08Z</dcterms:modified>
</cp:coreProperties>
</file>