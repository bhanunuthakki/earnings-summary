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0" fontId="10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21.0%</t>
      </text>
    </comment>
    <comment ref="C20" authorId="0" shapeId="0">
      <text>
        <t>Opus: 4.0%</t>
      </text>
    </comment>
    <comment ref="B21" authorId="0" shapeId="0">
      <text>
        <t>Opus: 17.0%</t>
      </text>
    </comment>
    <comment ref="C21" authorId="0" shapeId="0">
      <text>
        <t>Opus: 4.0%</t>
      </text>
    </comment>
    <comment ref="B29" authorId="0" shapeId="0">
      <text>
        <t>Opus: 15.0%</t>
      </text>
    </comment>
    <comment ref="B30" authorId="0" shapeId="0">
      <text>
        <t>Opus: 28.0%</t>
      </text>
    </comment>
    <comment ref="B31" authorId="0" shapeId="0">
      <text>
        <t>Opus: 23.0%</t>
      </text>
    </comment>
    <comment ref="B34" authorId="0" shapeId="0">
      <text>
        <t>Opus: —
set from Opus 6%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0.819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User-edited — overridden from Opus 16.0x on 2026-07-07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ServiceNow, Inc. (NOW)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ServiceNow is a category-leading enterprise workflow platform whose subscription base compounds in the high-teens/low-20s near term as Now Assist and agentic-AI ACV expand ARPU among the $1M+ AI customer cohort, with growth fading toward GDP-plus by year 10. GAAP operating margin starts depressed (~15%) by heavy SBC and AI investment, then normalizes toward ~28% as operating leverage on a $30B+ revenue base outpaces reinvestment. Capex stays modest (~6.5% of revenue) and converges to ~1.1x D&amp;A maintenance levels at maturity.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ServiceNow, Inc. (NOW)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License and Service</t>
        </is>
      </c>
      <c r="B20" s="15" t="n">
        <v>0.21</v>
      </c>
      <c r="C20" s="15" t="n">
        <v>0.04</v>
      </c>
      <c r="D20" s="16" t="n">
        <v>0.21</v>
      </c>
      <c r="E20" s="2" t="inlineStr"/>
    </row>
    <row r="21">
      <c r="A21" s="4" t="inlineStr">
        <is>
          <t>Technology Service</t>
        </is>
      </c>
      <c r="B21" s="15" t="n">
        <v>0.17</v>
      </c>
      <c r="C21" s="15" t="n">
        <v>0.04</v>
      </c>
      <c r="D21" s="16" t="n">
        <v>0.17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0.15</v>
      </c>
      <c r="D29" s="16" t="n">
        <v>0.15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0.28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1052.9232298</v>
      </c>
      <c r="D34" s="18" t="n">
        <v>1052.9232298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0.819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18.5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106.5399017333984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88.19762373248106</v>
      </c>
      <c r="C58" s="28" t="n">
        <v>119.9453194515181</v>
      </c>
      <c r="D58" s="28" t="n">
        <v>63.78354967058681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0.1472360295225185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0.08834161771351109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NOW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ServiceNow is a category-leading enterprise workflow platform whose subscription base compounds in the high-teens/low-20s near term as Now Assist and agentic-AI ACV expand ARPU among the $1M+ AI customer cohort, with growth fading toward GDP-plus by year 10. GAAP operating margin starts depressed (~15%) by heavy SBC and AI investment, then normalizes toward ~28% as operating leverage on a $30B+ revenue base outpaces reinvestment. Capex stays modest (~6.5% of revenue) and converges to ~1.1x D&amp;A maintenance levels at maturity.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revenue is anchored to FMP consensus (~22% in 2026 fading to ~15% by 2030), and I use GAAP operating margins rather than the richer non-GAAP figures, so near-term margin (~15%) sits well below the company's ~30% non-GAAP op margin to reflect SBC dilution. Terminal value uses an EV/EBITDA exit because that is how the market prices NOW's blend of growth and FCF; 16x is a defensible mature-software multiple (~5x EV/Sales) consistent with a decelerating, cash-generative compounder rather than the current premium.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License and Service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21.0%</t>
        </is>
      </c>
      <c r="F20" s="31" t="inlineStr"/>
    </row>
    <row r="21">
      <c r="A21" t="inlineStr">
        <is>
          <t>License and Service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Technology Service — near-term growth</t>
        </is>
      </c>
      <c r="B22" t="inlineStr">
        <is>
          <t>B21</t>
        </is>
      </c>
      <c r="C22" s="11">
        <f>Dashboard!B21</f>
        <v/>
      </c>
      <c r="D22" t="inlineStr">
        <is>
          <t>Opus</t>
        </is>
      </c>
      <c r="E22" t="inlineStr">
        <is>
          <t>17.0%</t>
        </is>
      </c>
      <c r="F22" s="31" t="inlineStr"/>
    </row>
    <row r="23">
      <c r="A23" t="inlineStr">
        <is>
          <t>Technology Service — terminal growth</t>
        </is>
      </c>
      <c r="B23" t="inlineStr">
        <is>
          <t>C21</t>
        </is>
      </c>
      <c r="C23" s="11">
        <f>Dashboard!C21</f>
        <v/>
      </c>
      <c r="D23" t="inlineStr">
        <is>
          <t>Opus</t>
        </is>
      </c>
      <c r="E23" t="inlineStr">
        <is>
          <t>4.0%</t>
        </is>
      </c>
      <c r="F23" s="31" t="inlineStr"/>
    </row>
    <row r="24">
      <c r="A24" t="inlineStr">
        <is>
          <t>Near-term operating margin</t>
        </is>
      </c>
      <c r="B24" t="inlineStr">
        <is>
          <t>B29</t>
        </is>
      </c>
      <c r="C24" s="11">
        <f>Dashboard!B29</f>
        <v/>
      </c>
      <c r="D24" t="inlineStr">
        <is>
          <t>Opus</t>
        </is>
      </c>
      <c r="E24" t="inlineStr">
        <is>
          <t>15.0%</t>
        </is>
      </c>
      <c r="F24" s="31" t="inlineStr"/>
    </row>
    <row r="25">
      <c r="A25" t="inlineStr">
        <is>
          <t>Terminal operating margin</t>
        </is>
      </c>
      <c r="B25" t="inlineStr">
        <is>
          <t>B30</t>
        </is>
      </c>
      <c r="C25" s="11">
        <f>Dashboard!B30</f>
        <v/>
      </c>
      <c r="D25" t="inlineStr">
        <is>
          <t>Opus</t>
        </is>
      </c>
      <c r="E25" t="inlineStr">
        <is>
          <t>28.0%</t>
        </is>
      </c>
      <c r="F25" s="31" t="inlineStr"/>
    </row>
    <row r="26">
      <c r="A26" t="inlineStr">
        <is>
          <t>Tax rate</t>
        </is>
      </c>
      <c r="B26" t="inlineStr">
        <is>
          <t>B31</t>
        </is>
      </c>
      <c r="C26" s="11">
        <f>Dashboard!B31</f>
        <v/>
      </c>
      <c r="D26" t="inlineStr">
        <is>
          <t>Opus</t>
        </is>
      </c>
      <c r="E26" t="inlineStr">
        <is>
          <t>23.0%</t>
        </is>
      </c>
      <c r="F26" s="31" t="inlineStr"/>
    </row>
    <row r="27">
      <c r="A27" t="inlineStr">
        <is>
          <t>Terminal capex / D&amp;A</t>
        </is>
      </c>
      <c r="B27" t="inlineStr">
        <is>
          <t>B35</t>
        </is>
      </c>
      <c r="C27" s="13">
        <f>Dashboard!B35</f>
        <v/>
      </c>
      <c r="D27" t="inlineStr">
        <is>
          <t>Opus</t>
        </is>
      </c>
      <c r="E27" t="inlineStr">
        <is>
          <t>1.1x</t>
        </is>
      </c>
      <c r="F27" s="31" t="inlineStr"/>
    </row>
    <row r="28">
      <c r="A28" t="inlineStr">
        <is>
          <t>Risk-free rate (10Y)</t>
        </is>
      </c>
      <c r="B28" t="inlineStr">
        <is>
          <t>B38</t>
        </is>
      </c>
      <c r="C28" s="11">
        <f>Dashboard!B38</f>
        <v/>
      </c>
      <c r="D28" t="inlineStr">
        <is>
          <t>Opus</t>
        </is>
      </c>
      <c r="E28" t="inlineStr">
        <is>
          <t>4.3%</t>
        </is>
      </c>
      <c r="F28" s="31" t="inlineStr"/>
    </row>
    <row r="29">
      <c r="A29" t="inlineStr">
        <is>
          <t>Equity risk premium</t>
        </is>
      </c>
      <c r="B29" t="inlineStr">
        <is>
          <t>B39</t>
        </is>
      </c>
      <c r="C29" s="11">
        <f>Dashboard!B39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Beta (levered)</t>
        </is>
      </c>
      <c r="B30" t="inlineStr">
        <is>
          <t>B40</t>
        </is>
      </c>
      <c r="C30" s="32">
        <f>Dashboard!B40</f>
        <v/>
      </c>
      <c r="D30" t="inlineStr">
        <is>
          <t>Opus</t>
        </is>
      </c>
      <c r="E30" t="inlineStr">
        <is>
          <t>0.819</t>
        </is>
      </c>
      <c r="F30" s="31" t="inlineStr"/>
    </row>
    <row r="31">
      <c r="A31" t="inlineStr">
        <is>
          <t>Pre-tax cost of debt</t>
        </is>
      </c>
      <c r="B31" t="inlineStr">
        <is>
          <t>B41</t>
        </is>
      </c>
      <c r="C31" s="11">
        <f>Dashboard!B41</f>
        <v/>
      </c>
      <c r="D31" t="inlineStr">
        <is>
          <t>Opus</t>
        </is>
      </c>
      <c r="E31" t="inlineStr">
        <is>
          <t>4.5%</t>
        </is>
      </c>
      <c r="F31" s="31" t="inlineStr"/>
    </row>
    <row r="32">
      <c r="A32" t="inlineStr">
        <is>
          <t>Terminal method</t>
        </is>
      </c>
      <c r="B32" t="inlineStr">
        <is>
          <t>B43</t>
        </is>
      </c>
      <c r="C32" s="12">
        <f>Dashboard!B43</f>
        <v/>
      </c>
      <c r="D32" t="inlineStr">
        <is>
          <t>Opus</t>
        </is>
      </c>
      <c r="E32" t="inlineStr">
        <is>
          <t>Exit multiple</t>
        </is>
      </c>
      <c r="F32" s="31" t="inlineStr"/>
    </row>
    <row r="33">
      <c r="A33" t="inlineStr">
        <is>
          <t>Exit basis</t>
        </is>
      </c>
      <c r="B33" t="inlineStr">
        <is>
          <t>B44</t>
        </is>
      </c>
      <c r="C33" s="12">
        <f>Dashboard!B44</f>
        <v/>
      </c>
      <c r="D33" t="inlineStr">
        <is>
          <t>Opus</t>
        </is>
      </c>
      <c r="E33" t="inlineStr">
        <is>
          <t>EV/EBITDA</t>
        </is>
      </c>
      <c r="F33" s="31" t="inlineStr"/>
    </row>
    <row r="34">
      <c r="A34" t="inlineStr">
        <is>
          <t>Exit multiple</t>
        </is>
      </c>
      <c r="B34" t="inlineStr">
        <is>
          <t>B45</t>
        </is>
      </c>
      <c r="C34" s="13">
        <f>Dashboard!B45</f>
        <v/>
      </c>
      <c r="D34" s="33" t="inlineStr">
        <is>
          <t>user-edited</t>
        </is>
      </c>
      <c r="E34" t="inlineStr">
        <is>
          <t>16.0x</t>
        </is>
      </c>
      <c r="F34" s="31" t="inlineStr">
        <is>
          <t>overridden from Opus 16.0x on 2026-07-07</t>
        </is>
      </c>
    </row>
    <row r="35">
      <c r="A35" t="inlineStr">
        <is>
          <t>Terminal growth (g)</t>
        </is>
      </c>
      <c r="B35" t="inlineStr">
        <is>
          <t>B46</t>
        </is>
      </c>
      <c r="C35" s="11">
        <f>Dashboard!B46</f>
        <v/>
      </c>
      <c r="D35" t="inlineStr">
        <is>
          <t>Opus</t>
        </is>
      </c>
      <c r="E35" t="inlineStr">
        <is>
          <t>4.0%</t>
        </is>
      </c>
      <c r="F35" s="31" t="inlineStr"/>
    </row>
    <row r="36">
      <c r="A36" t="inlineStr">
        <is>
          <t>2026 capex ($M)</t>
        </is>
      </c>
      <c r="B36" t="inlineStr">
        <is>
          <t>B34</t>
        </is>
      </c>
      <c r="C36" s="34">
        <f>Dashboard!B34</f>
        <v/>
      </c>
      <c r="D36" t="inlineStr">
        <is>
          <t>Opus</t>
        </is>
      </c>
      <c r="E36" t="inlineStr">
        <is>
          <t>—</t>
        </is>
      </c>
      <c r="F36" s="31" t="inlineStr">
        <is>
          <t>set from Opus 6% of FY1E revenue; edits not tracked (unit differs from the JSON)</t>
        </is>
      </c>
    </row>
    <row r="37">
      <c r="A37" t="inlineStr">
        <is>
          <t>Bull Δ — segment growth, near-term</t>
        </is>
      </c>
      <c r="B37" t="inlineStr">
        <is>
          <t>C52</t>
        </is>
      </c>
      <c r="C37" s="35">
        <f>Dashboard!C52</f>
        <v/>
      </c>
      <c r="D37" t="inlineStr">
        <is>
          <t>seed default</t>
        </is>
      </c>
      <c r="E37" t="inlineStr">
        <is>
          <t>3.0%</t>
        </is>
      </c>
      <c r="F37" s="31" t="inlineStr"/>
    </row>
    <row r="38">
      <c r="A38" t="inlineStr">
        <is>
          <t>Bear Δ — segment growth, near-term</t>
        </is>
      </c>
      <c r="B38" t="inlineStr">
        <is>
          <t>D52</t>
        </is>
      </c>
      <c r="C38" s="35">
        <f>Dashboard!D52</f>
        <v/>
      </c>
      <c r="D38" t="inlineStr">
        <is>
          <t>seed default</t>
        </is>
      </c>
      <c r="E38" t="inlineStr">
        <is>
          <t>-3.0%</t>
        </is>
      </c>
      <c r="F38" s="31" t="inlineStr"/>
    </row>
    <row r="39">
      <c r="A39" t="inlineStr">
        <is>
          <t>Bull Δ — segment growth, terminal</t>
        </is>
      </c>
      <c r="B39" t="inlineStr">
        <is>
          <t>C53</t>
        </is>
      </c>
      <c r="C39" s="35">
        <f>Dashboard!C53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segment growth, terminal</t>
        </is>
      </c>
      <c r="B40" t="inlineStr">
        <is>
          <t>D53</t>
        </is>
      </c>
      <c r="C40" s="35">
        <f>Dashboard!D53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near-term</t>
        </is>
      </c>
      <c r="B41" t="inlineStr">
        <is>
          <t>C54</t>
        </is>
      </c>
      <c r="C41" s="35">
        <f>Dashboard!C54</f>
        <v/>
      </c>
      <c r="D41" t="inlineStr">
        <is>
          <t>seed default</t>
        </is>
      </c>
      <c r="E41" t="inlineStr">
        <is>
          <t>1.0%</t>
        </is>
      </c>
      <c r="F41" s="31" t="inlineStr"/>
    </row>
    <row r="42">
      <c r="A42" t="inlineStr">
        <is>
          <t>Bear Δ — operating margin, near-term</t>
        </is>
      </c>
      <c r="B42" t="inlineStr">
        <is>
          <t>D54</t>
        </is>
      </c>
      <c r="C42" s="35">
        <f>Dashboard!D54</f>
        <v/>
      </c>
      <c r="D42" t="inlineStr">
        <is>
          <t>seed default</t>
        </is>
      </c>
      <c r="E42" t="inlineStr">
        <is>
          <t>-1.0%</t>
        </is>
      </c>
      <c r="F42" s="31" t="inlineStr"/>
    </row>
    <row r="43">
      <c r="A43" t="inlineStr">
        <is>
          <t>Bull Δ — operating margin, terminal</t>
        </is>
      </c>
      <c r="B43" t="inlineStr">
        <is>
          <t>C55</t>
        </is>
      </c>
      <c r="C43" s="35">
        <f>Dashboard!C55</f>
        <v/>
      </c>
      <c r="D43" t="inlineStr">
        <is>
          <t>seed default</t>
        </is>
      </c>
      <c r="E43" t="inlineStr">
        <is>
          <t>2.0%</t>
        </is>
      </c>
      <c r="F43" s="31" t="inlineStr"/>
    </row>
    <row r="44">
      <c r="A44" t="inlineStr">
        <is>
          <t>Bear Δ — operating margin, terminal</t>
        </is>
      </c>
      <c r="B44" t="inlineStr">
        <is>
          <t>D55</t>
        </is>
      </c>
      <c r="C44" s="35">
        <f>Dashboard!D55</f>
        <v/>
      </c>
      <c r="D44" t="inlineStr">
        <is>
          <t>seed default</t>
        </is>
      </c>
      <c r="E44" t="inlineStr">
        <is>
          <t>-2.0%</t>
        </is>
      </c>
      <c r="F44" s="31" t="inlineStr"/>
    </row>
    <row r="45">
      <c r="A45" t="inlineStr">
        <is>
          <t>Bull Δ — exit multiple</t>
        </is>
      </c>
      <c r="B45" t="inlineStr">
        <is>
          <t>C56</t>
        </is>
      </c>
      <c r="C45" s="36">
        <f>Dashboard!C56</f>
        <v/>
      </c>
      <c r="D45" t="inlineStr">
        <is>
          <t>seed default</t>
        </is>
      </c>
      <c r="E45" t="inlineStr">
        <is>
          <t>2.0x</t>
        </is>
      </c>
      <c r="F45" s="31" t="inlineStr"/>
    </row>
    <row r="46">
      <c r="A46" t="inlineStr">
        <is>
          <t>Bear Δ — exit multiple</t>
        </is>
      </c>
      <c r="B46" t="inlineStr">
        <is>
          <t>D56</t>
        </is>
      </c>
      <c r="C46" s="36">
        <f>Dashboard!D56</f>
        <v/>
      </c>
      <c r="D46" t="inlineStr">
        <is>
          <t>seed default</t>
        </is>
      </c>
      <c r="E46" t="inlineStr">
        <is>
          <t>-2.0x</t>
        </is>
      </c>
      <c r="F46" s="31" t="inlineStr"/>
    </row>
    <row r="47">
      <c r="A47" t="inlineStr">
        <is>
          <t>Bull Δ — terminal growth (g)</t>
        </is>
      </c>
      <c r="B47" t="inlineStr">
        <is>
          <t>C57</t>
        </is>
      </c>
      <c r="C47" s="35">
        <f>Dashboard!C57</f>
        <v/>
      </c>
      <c r="D47" t="inlineStr">
        <is>
          <t>seed default</t>
        </is>
      </c>
      <c r="E47" t="inlineStr">
        <is>
          <t>0.5%</t>
        </is>
      </c>
      <c r="F47" s="31" t="inlineStr"/>
    </row>
    <row r="48">
      <c r="A48" t="inlineStr">
        <is>
          <t>Bear Δ — terminal growth (g)</t>
        </is>
      </c>
      <c r="B48" t="inlineStr">
        <is>
          <t>D57</t>
        </is>
      </c>
      <c r="C48" s="35">
        <f>Dashboard!D57</f>
        <v/>
      </c>
      <c r="D48" t="inlineStr">
        <is>
          <t>seed default</t>
        </is>
      </c>
      <c r="E48" t="inlineStr">
        <is>
          <t>-0.5%</t>
        </is>
      </c>
      <c r="F48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License and Service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Technology Service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3">
        <f>B4+B6</f>
        <v/>
      </c>
      <c r="C8" s="43">
        <f>C4+C6</f>
        <v/>
      </c>
      <c r="D8" s="43">
        <f>D4+D6</f>
        <v/>
      </c>
      <c r="E8" s="43">
        <f>E4+E6</f>
        <v/>
      </c>
      <c r="F8" s="43">
        <f>F4+F6</f>
        <v/>
      </c>
      <c r="G8" s="43">
        <f>G4+G6</f>
        <v/>
      </c>
      <c r="H8" s="43">
        <f>H4+H6</f>
        <v/>
      </c>
      <c r="I8" s="43">
        <f>I4+I6</f>
        <v/>
      </c>
      <c r="J8" s="43">
        <f>J4+J6</f>
        <v/>
      </c>
      <c r="K8" s="43">
        <f>K4+K6</f>
        <v/>
      </c>
      <c r="L8" s="43">
        <f>L4+L6</f>
        <v/>
      </c>
      <c r="M8" s="43">
        <f>M4+M6</f>
        <v/>
      </c>
      <c r="N8" s="43">
        <f>N4+N6</f>
        <v/>
      </c>
      <c r="O8" s="43">
        <f>O4+O6</f>
        <v/>
      </c>
      <c r="P8" s="43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4">
        <f>SUM(Financials!I5:L5)</f>
        <v/>
      </c>
      <c r="C12" s="34">
        <f>SUM(Financials!M5:P5)</f>
        <v/>
      </c>
      <c r="D12" s="34">
        <f>SUM(Financials!Q5:T5)</f>
        <v/>
      </c>
      <c r="E12" s="34">
        <f>SUM(Financials!U5:X5)</f>
        <v/>
      </c>
      <c r="F12" s="34">
        <f>SUM(Financials!Y5:AB5)</f>
        <v/>
      </c>
      <c r="G12" s="42">
        <f>G8*G13</f>
        <v/>
      </c>
      <c r="H12" s="42">
        <f>H8*H13</f>
        <v/>
      </c>
      <c r="I12" s="42">
        <f>I8*I13</f>
        <v/>
      </c>
      <c r="J12" s="42">
        <f>J8*J13</f>
        <v/>
      </c>
      <c r="K12" s="42">
        <f>K8*K13</f>
        <v/>
      </c>
      <c r="L12" s="42">
        <f>L8*L13</f>
        <v/>
      </c>
      <c r="M12" s="42">
        <f>M8*M13</f>
        <v/>
      </c>
      <c r="N12" s="42">
        <f>N8*N13</f>
        <v/>
      </c>
      <c r="O12" s="42">
        <f>O8*O13</f>
        <v/>
      </c>
      <c r="P12" s="42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0.22465732791083</v>
      </c>
      <c r="H13" s="15" t="n">
        <v>0.22465732791083</v>
      </c>
      <c r="I13" s="15" t="n">
        <v>0.22465732791083</v>
      </c>
      <c r="J13" s="15" t="n">
        <v>0.22465732791083</v>
      </c>
      <c r="K13" s="15" t="n">
        <v>0.22465732791083</v>
      </c>
      <c r="L13" s="15" t="n">
        <v>0.22465732791083</v>
      </c>
      <c r="M13" s="15" t="n">
        <v>0.22465732791083</v>
      </c>
      <c r="N13" s="15" t="n">
        <v>0.22465732791083</v>
      </c>
      <c r="O13" s="15" t="n">
        <v>0.22465732791083</v>
      </c>
      <c r="P13" s="15" t="n">
        <v>0.22465732791083</v>
      </c>
    </row>
    <row r="14">
      <c r="A14" s="4" t="inlineStr">
        <is>
          <t>R&amp;D / Technology</t>
        </is>
      </c>
      <c r="B14" s="34">
        <f>SUM(Financials!I7:L7)</f>
        <v/>
      </c>
      <c r="C14" s="34">
        <f>SUM(Financials!M7:P7)</f>
        <v/>
      </c>
      <c r="D14" s="34">
        <f>SUM(Financials!Q7:T7)</f>
        <v/>
      </c>
      <c r="E14" s="34">
        <f>SUM(Financials!U7:X7)</f>
        <v/>
      </c>
      <c r="F14" s="34">
        <f>SUM(Financials!Y7:AB7)</f>
        <v/>
      </c>
      <c r="G14" s="42">
        <f>G8*G15</f>
        <v/>
      </c>
      <c r="H14" s="42">
        <f>H8*H15</f>
        <v/>
      </c>
      <c r="I14" s="42">
        <f>I8*I15</f>
        <v/>
      </c>
      <c r="J14" s="42">
        <f>J8*J15</f>
        <v/>
      </c>
      <c r="K14" s="42">
        <f>K8*K15</f>
        <v/>
      </c>
      <c r="L14" s="42">
        <f>L8*L15</f>
        <v/>
      </c>
      <c r="M14" s="42">
        <f>M8*M15</f>
        <v/>
      </c>
      <c r="N14" s="42">
        <f>N8*N15</f>
        <v/>
      </c>
      <c r="O14" s="42">
        <f>O8*O15</f>
        <v/>
      </c>
      <c r="P14" s="42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0.2229251393282121</v>
      </c>
      <c r="H15" s="15" t="n">
        <v>0.2229251393282121</v>
      </c>
      <c r="I15" s="15" t="n">
        <v>0.2229251393282121</v>
      </c>
      <c r="J15" s="15" t="n">
        <v>0.2229251393282121</v>
      </c>
      <c r="K15" s="15" t="n">
        <v>0.2229251393282121</v>
      </c>
      <c r="L15" s="15" t="n">
        <v>0.2229251393282121</v>
      </c>
      <c r="M15" s="15" t="n">
        <v>0.2229251393282121</v>
      </c>
      <c r="N15" s="15" t="n">
        <v>0.2229251393282121</v>
      </c>
      <c r="O15" s="15" t="n">
        <v>0.2229251393282121</v>
      </c>
      <c r="P15" s="15" t="n">
        <v>0.2229251393282121</v>
      </c>
    </row>
    <row r="16">
      <c r="A16" s="4" t="inlineStr">
        <is>
          <t>SG&amp;A</t>
        </is>
      </c>
      <c r="B16" s="34">
        <f>SUM(Financials!I9:L9)</f>
        <v/>
      </c>
      <c r="C16" s="34">
        <f>SUM(Financials!M9:P9)</f>
        <v/>
      </c>
      <c r="D16" s="34">
        <f>SUM(Financials!Q9:T9)</f>
        <v/>
      </c>
      <c r="E16" s="34">
        <f>SUM(Financials!U9:X9)</f>
        <v/>
      </c>
      <c r="F16" s="34">
        <f>SUM(Financials!Y9:AB9)</f>
        <v/>
      </c>
      <c r="G16" s="42">
        <f>G8*G17</f>
        <v/>
      </c>
      <c r="H16" s="42">
        <f>H8*H17</f>
        <v/>
      </c>
      <c r="I16" s="42">
        <f>I8*I17</f>
        <v/>
      </c>
      <c r="J16" s="42">
        <f>J8*J17</f>
        <v/>
      </c>
      <c r="K16" s="42">
        <f>K8*K17</f>
        <v/>
      </c>
      <c r="L16" s="42">
        <f>L8*L17</f>
        <v/>
      </c>
      <c r="M16" s="42">
        <f>M8*M17</f>
        <v/>
      </c>
      <c r="N16" s="42">
        <f>N8*N17</f>
        <v/>
      </c>
      <c r="O16" s="42">
        <f>O8*O17</f>
        <v/>
      </c>
      <c r="P16" s="42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0.4150474469046543</v>
      </c>
      <c r="H17" s="15" t="n">
        <v>0.4150474469046543</v>
      </c>
      <c r="I17" s="15" t="n">
        <v>0.4150474469046543</v>
      </c>
      <c r="J17" s="15" t="n">
        <v>0.4150474469046543</v>
      </c>
      <c r="K17" s="15" t="n">
        <v>0.4150474469046543</v>
      </c>
      <c r="L17" s="15" t="n">
        <v>0.4150474469046543</v>
      </c>
      <c r="M17" s="15" t="n">
        <v>0.4150474469046543</v>
      </c>
      <c r="N17" s="15" t="n">
        <v>0.4150474469046543</v>
      </c>
      <c r="O17" s="15" t="n">
        <v>0.4150474469046543</v>
      </c>
      <c r="P17" s="15" t="n">
        <v>0.4150474469046543</v>
      </c>
    </row>
    <row r="18">
      <c r="A18" s="4" t="inlineStr">
        <is>
          <t>Other opex (fulfilment, etc.)</t>
        </is>
      </c>
      <c r="B18" s="34">
        <f>B8-(B12+B14+B16)-SUM(Financials!I13:L13)</f>
        <v/>
      </c>
      <c r="C18" s="34">
        <f>C8-(C12+C14+C16)-SUM(Financials!M13:P13)</f>
        <v/>
      </c>
      <c r="D18" s="34">
        <f>D8-(D12+D14+D16)-SUM(Financials!Q13:T13)</f>
        <v/>
      </c>
      <c r="E18" s="34">
        <f>E8-(E12+E14+E16)-SUM(Financials!U13:X13)</f>
        <v/>
      </c>
      <c r="F18" s="34">
        <f>F8-(F12+F14+F16)-SUM(Financials!Y13:AB13)</f>
        <v/>
      </c>
      <c r="G18" s="34">
        <f>G8*(1-(Dashboard!$B$29+(Dashboard!$B$30-Dashboard!$B$29)*MIN(1,0/4)))-(G12+G14+G16)</f>
        <v/>
      </c>
      <c r="H18" s="34">
        <f>H8*(1-(Dashboard!$B$29+(Dashboard!$B$30-Dashboard!$B$29)*MIN(1,1/4)))-(H12+H14+H16)</f>
        <v/>
      </c>
      <c r="I18" s="34">
        <f>I8*(1-(Dashboard!$B$29+(Dashboard!$B$30-Dashboard!$B$29)*MIN(1,2/4)))-(I12+I14+I16)</f>
        <v/>
      </c>
      <c r="J18" s="34">
        <f>J8*(1-(Dashboard!$B$29+(Dashboard!$B$30-Dashboard!$B$29)*MIN(1,3/4)))-(J12+J14+J16)</f>
        <v/>
      </c>
      <c r="K18" s="34">
        <f>K8*(1-(Dashboard!$B$29+(Dashboard!$B$30-Dashboard!$B$29)*MIN(1,4/4)))-(K12+K14+K16)</f>
        <v/>
      </c>
      <c r="L18" s="34">
        <f>L8*(1-(Dashboard!$B$29+(Dashboard!$B$30-Dashboard!$B$29)*MIN(1,5/4)))-(L12+L14+L16)</f>
        <v/>
      </c>
      <c r="M18" s="34">
        <f>M8*(1-(Dashboard!$B$29+(Dashboard!$B$30-Dashboard!$B$29)*MIN(1,6/4)))-(M12+M14+M16)</f>
        <v/>
      </c>
      <c r="N18" s="34">
        <f>N8*(1-(Dashboard!$B$29+(Dashboard!$B$30-Dashboard!$B$29)*MIN(1,7/4)))-(N12+N14+N16)</f>
        <v/>
      </c>
      <c r="O18" s="34">
        <f>O8*(1-(Dashboard!$B$29+(Dashboard!$B$30-Dashboard!$B$29)*MIN(1,8/4)))-(O12+O14+O16)</f>
        <v/>
      </c>
      <c r="P18" s="34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3">
        <f>B8-(B12+B14+B16)-B18</f>
        <v/>
      </c>
      <c r="C21" s="43">
        <f>C8-(C12+C14+C16)-C18</f>
        <v/>
      </c>
      <c r="D21" s="43">
        <f>D8-(D12+D14+D16)-D18</f>
        <v/>
      </c>
      <c r="E21" s="43">
        <f>E8-(E12+E14+E16)-E18</f>
        <v/>
      </c>
      <c r="F21" s="43">
        <f>F8-(F12+F14+F16)-F18</f>
        <v/>
      </c>
      <c r="G21" s="43">
        <f>G8-(G12+G14+G16)-G18</f>
        <v/>
      </c>
      <c r="H21" s="43">
        <f>H8-(H12+H14+H16)-H18</f>
        <v/>
      </c>
      <c r="I21" s="43">
        <f>I8-(I12+I14+I16)-I18</f>
        <v/>
      </c>
      <c r="J21" s="43">
        <f>J8-(J12+J14+J16)-J18</f>
        <v/>
      </c>
      <c r="K21" s="43">
        <f>K8-(K12+K14+K16)-K18</f>
        <v/>
      </c>
      <c r="L21" s="43">
        <f>L8-(L12+L14+L16)-L18</f>
        <v/>
      </c>
      <c r="M21" s="43">
        <f>M8-(M12+M14+M16)-M18</f>
        <v/>
      </c>
      <c r="N21" s="43">
        <f>N8-(N12+N14+N16)-N18</f>
        <v/>
      </c>
      <c r="O21" s="43">
        <f>O8-(O12+O14+O16)-O18</f>
        <v/>
      </c>
      <c r="P21" s="43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4">
        <f>B21*(1-Valuation!$B$5)</f>
        <v/>
      </c>
      <c r="C25" s="34">
        <f>C21*(1-Valuation!$B$5)</f>
        <v/>
      </c>
      <c r="D25" s="34">
        <f>D21*(1-Valuation!$B$5)</f>
        <v/>
      </c>
      <c r="E25" s="34">
        <f>E21*(1-Valuation!$B$5)</f>
        <v/>
      </c>
      <c r="F25" s="34">
        <f>F21*(1-Valuation!$B$5)</f>
        <v/>
      </c>
      <c r="G25" s="34">
        <f>G21*(1-Valuation!$B$5)</f>
        <v/>
      </c>
      <c r="H25" s="34">
        <f>H21*(1-Valuation!$B$5)</f>
        <v/>
      </c>
      <c r="I25" s="34">
        <f>I21*(1-Valuation!$B$5)</f>
        <v/>
      </c>
      <c r="J25" s="34">
        <f>J21*(1-Valuation!$B$5)</f>
        <v/>
      </c>
      <c r="K25" s="34">
        <f>K21*(1-Valuation!$B$5)</f>
        <v/>
      </c>
      <c r="L25" s="34">
        <f>L21*(1-Valuation!$B$5)</f>
        <v/>
      </c>
      <c r="M25" s="34">
        <f>M21*(1-Valuation!$B$5)</f>
        <v/>
      </c>
      <c r="N25" s="34">
        <f>N21*(1-Valuation!$B$5)</f>
        <v/>
      </c>
      <c r="O25" s="34">
        <f>O21*(1-Valuation!$B$5)</f>
        <v/>
      </c>
      <c r="P25" s="34">
        <f>P21*(1-Valuation!$B$5)</f>
        <v/>
      </c>
    </row>
    <row r="26">
      <c r="A26" s="4" t="inlineStr">
        <is>
          <t>+ D&amp;A</t>
        </is>
      </c>
      <c r="B26" s="34">
        <f>SUM(Financials!I44:L44)</f>
        <v/>
      </c>
      <c r="C26" s="34">
        <f>SUM(Financials!M44:P44)</f>
        <v/>
      </c>
      <c r="D26" s="34">
        <f>SUM(Financials!Q44:T44)</f>
        <v/>
      </c>
      <c r="E26" s="34">
        <f>SUM(Financials!U44:X44)</f>
        <v/>
      </c>
      <c r="F26" s="34">
        <f>SUM(Financials!Y44:AB44)</f>
        <v/>
      </c>
      <c r="G26" s="42">
        <f>G8*0.0556</f>
        <v/>
      </c>
      <c r="H26" s="42">
        <f>H8*0.0556</f>
        <v/>
      </c>
      <c r="I26" s="42">
        <f>I8*0.0556</f>
        <v/>
      </c>
      <c r="J26" s="42">
        <f>J8*0.0556</f>
        <v/>
      </c>
      <c r="K26" s="42">
        <f>K8*0.0556</f>
        <v/>
      </c>
      <c r="L26" s="42">
        <f>L8*0.0556</f>
        <v/>
      </c>
      <c r="M26" s="42">
        <f>M8*0.0556</f>
        <v/>
      </c>
      <c r="N26" s="42">
        <f>N8*0.0556</f>
        <v/>
      </c>
      <c r="O26" s="42">
        <f>O8*0.0556</f>
        <v/>
      </c>
      <c r="P26" s="42">
        <f>P8*0.0556</f>
        <v/>
      </c>
    </row>
    <row r="27">
      <c r="A27" s="4" t="inlineStr">
        <is>
          <t>+ SBC (non-cash)</t>
        </is>
      </c>
      <c r="B27" s="34">
        <f>SUM(Financials!I45:L45)</f>
        <v/>
      </c>
      <c r="C27" s="34">
        <f>SUM(Financials!M45:P45)</f>
        <v/>
      </c>
      <c r="D27" s="34">
        <f>SUM(Financials!Q45:T45)</f>
        <v/>
      </c>
      <c r="E27" s="34">
        <f>SUM(Financials!U45:X45)</f>
        <v/>
      </c>
      <c r="F27" s="34">
        <f>SUM(Financials!Y45:AB45)</f>
        <v/>
      </c>
      <c r="G27" s="34">
        <f>G8*(Dashboard!$B$65+(Dashboard!$B$66-Dashboard!$B$65)*0/9)</f>
        <v/>
      </c>
      <c r="H27" s="34">
        <f>H8*(Dashboard!$B$65+(Dashboard!$B$66-Dashboard!$B$65)*1/9)</f>
        <v/>
      </c>
      <c r="I27" s="34">
        <f>I8*(Dashboard!$B$65+(Dashboard!$B$66-Dashboard!$B$65)*2/9)</f>
        <v/>
      </c>
      <c r="J27" s="34">
        <f>J8*(Dashboard!$B$65+(Dashboard!$B$66-Dashboard!$B$65)*3/9)</f>
        <v/>
      </c>
      <c r="K27" s="34">
        <f>K8*(Dashboard!$B$65+(Dashboard!$B$66-Dashboard!$B$65)*4/9)</f>
        <v/>
      </c>
      <c r="L27" s="34">
        <f>L8*(Dashboard!$B$65+(Dashboard!$B$66-Dashboard!$B$65)*5/9)</f>
        <v/>
      </c>
      <c r="M27" s="34">
        <f>M8*(Dashboard!$B$65+(Dashboard!$B$66-Dashboard!$B$65)*6/9)</f>
        <v/>
      </c>
      <c r="N27" s="34">
        <f>N8*(Dashboard!$B$65+(Dashboard!$B$66-Dashboard!$B$65)*7/9)</f>
        <v/>
      </c>
      <c r="O27" s="34">
        <f>O8*(Dashboard!$B$65+(Dashboard!$B$66-Dashboard!$B$65)*8/9)</f>
        <v/>
      </c>
      <c r="P27" s="34">
        <f>P8*(Dashboard!$B$65+(Dashboard!$B$66-Dashboard!$B$65)*9/9)</f>
        <v/>
      </c>
    </row>
    <row r="28">
      <c r="A28" s="4" t="inlineStr">
        <is>
          <t>- dNWC</t>
        </is>
      </c>
      <c r="G28" s="42">
        <f>(G8-F8)*0.0050</f>
        <v/>
      </c>
      <c r="H28" s="42">
        <f>(H8-G8)*0.0050</f>
        <v/>
      </c>
      <c r="I28" s="42">
        <f>(I8-H8)*0.0050</f>
        <v/>
      </c>
      <c r="J28" s="42">
        <f>(J8-I8)*0.0050</f>
        <v/>
      </c>
      <c r="K28" s="42">
        <f>(K8-J8)*0.0050</f>
        <v/>
      </c>
      <c r="L28" s="42">
        <f>(L8-K8)*0.0050</f>
        <v/>
      </c>
      <c r="M28" s="42">
        <f>(M8-L8)*0.0050</f>
        <v/>
      </c>
      <c r="N28" s="42">
        <f>(N8-M8)*0.0050</f>
        <v/>
      </c>
      <c r="O28" s="42">
        <f>(O8-N8)*0.0050</f>
        <v/>
      </c>
      <c r="P28" s="42">
        <f>(P8-O8)*0.0050</f>
        <v/>
      </c>
    </row>
    <row r="29">
      <c r="A29" s="4" t="inlineStr">
        <is>
          <t>- Capex</t>
        </is>
      </c>
      <c r="B29" s="34">
        <f>-SUM(Financials!I48:L48)</f>
        <v/>
      </c>
      <c r="C29" s="34">
        <f>-SUM(Financials!M48:P48)</f>
        <v/>
      </c>
      <c r="D29" s="34">
        <f>-SUM(Financials!Q48:T48)</f>
        <v/>
      </c>
      <c r="E29" s="34">
        <f>-SUM(Financials!U48:X48)</f>
        <v/>
      </c>
      <c r="F29" s="34">
        <f>-SUM(Financials!Y48:AB48)</f>
        <v/>
      </c>
      <c r="G29" s="42">
        <f>G26*G30</f>
        <v/>
      </c>
      <c r="H29" s="42">
        <f>H26*H30</f>
        <v/>
      </c>
      <c r="I29" s="42">
        <f>I26*I30</f>
        <v/>
      </c>
      <c r="J29" s="42">
        <f>J26*J30</f>
        <v/>
      </c>
      <c r="K29" s="42">
        <f>K26*K30</f>
        <v/>
      </c>
      <c r="L29" s="42">
        <f>L26*L30</f>
        <v/>
      </c>
      <c r="M29" s="42">
        <f>M26*M30</f>
        <v/>
      </c>
      <c r="N29" s="42">
        <f>N26*N30</f>
        <v/>
      </c>
      <c r="O29" s="42">
        <f>O26*O30</f>
        <v/>
      </c>
      <c r="P29" s="42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3">
        <f>B25+B26+B27-B28-B29</f>
        <v/>
      </c>
      <c r="C32" s="43">
        <f>C25+C26+C27-C28-C29</f>
        <v/>
      </c>
      <c r="D32" s="43">
        <f>D25+D26+D27-D28-D29</f>
        <v/>
      </c>
      <c r="E32" s="43">
        <f>E25+E26+E27-E28-E29</f>
        <v/>
      </c>
      <c r="F32" s="43">
        <f>F25+F26+F27-F28-F29</f>
        <v/>
      </c>
      <c r="G32" s="43">
        <f>G25+G26+G27-G28-G29</f>
        <v/>
      </c>
      <c r="H32" s="43">
        <f>H25+H26+H27-H28-H29</f>
        <v/>
      </c>
      <c r="I32" s="43">
        <f>I25+I26+I27-I28-I29</f>
        <v/>
      </c>
      <c r="J32" s="43">
        <f>J25+J26+J27-J28-J29</f>
        <v/>
      </c>
      <c r="K32" s="43">
        <f>K25+K26+K27-K28-K29</f>
        <v/>
      </c>
      <c r="L32" s="43">
        <f>L25+L26+L27-L28-L29</f>
        <v/>
      </c>
      <c r="M32" s="43">
        <f>M25+M26+M27-M28-M29</f>
        <v/>
      </c>
      <c r="N32" s="43">
        <f>N25+N26+N27-N28-N29</f>
        <v/>
      </c>
      <c r="O32" s="43">
        <f>O25+O26+O27-O28-O29</f>
        <v/>
      </c>
      <c r="P32" s="43">
        <f>P25+P26+P27-P28-P29</f>
        <v/>
      </c>
    </row>
    <row r="33">
      <c r="A33" s="3" t="inlineStr">
        <is>
          <t>Valuation FCF (NOPAT + D&amp;A - dNWC - Capex - after-tax SBC)</t>
        </is>
      </c>
      <c r="B33" s="44">
        <f>B32-B27-B27*(1-Valuation!$B$5)</f>
        <v/>
      </c>
      <c r="C33" s="44">
        <f>C32-C27-C27*(1-Valuation!$B$5)</f>
        <v/>
      </c>
      <c r="D33" s="44">
        <f>D32-D27-D27*(1-Valuation!$B$5)</f>
        <v/>
      </c>
      <c r="E33" s="44">
        <f>E32-E27-E27*(1-Valuation!$B$5)</f>
        <v/>
      </c>
      <c r="F33" s="44">
        <f>F32-F27-F27*(1-Valuation!$B$5)</f>
        <v/>
      </c>
      <c r="G33" s="44">
        <f>G32-G27-G27*(1-Valuation!$B$5)</f>
        <v/>
      </c>
      <c r="H33" s="44">
        <f>H32-H27-H27*(1-Valuation!$B$5)</f>
        <v/>
      </c>
      <c r="I33" s="44">
        <f>I32-I27-I27*(1-Valuation!$B$5)</f>
        <v/>
      </c>
      <c r="J33" s="44">
        <f>J32-J27-J27*(1-Valuation!$B$5)</f>
        <v/>
      </c>
      <c r="K33" s="44">
        <f>K32-K27-K27*(1-Valuation!$B$5)</f>
        <v/>
      </c>
      <c r="L33" s="44">
        <f>L32-L27-L27*(1-Valuation!$B$5)</f>
        <v/>
      </c>
      <c r="M33" s="44">
        <f>M32-M27-M27*(1-Valuation!$B$5)</f>
        <v/>
      </c>
      <c r="N33" s="44">
        <f>N32-N27-N27*(1-Valuation!$B$5)</f>
        <v/>
      </c>
      <c r="O33" s="44">
        <f>O32-O27-O27*(1-Valuation!$B$5)</f>
        <v/>
      </c>
      <c r="P33" s="44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4">
        <f>Financials!L42+Financials!L41-Financials!L36</f>
        <v/>
      </c>
      <c r="C36" s="34">
        <f>Financials!P42+Financials!P41-Financials!P36</f>
        <v/>
      </c>
      <c r="D36" s="34">
        <f>Financials!T42+Financials!T41-Financials!T36</f>
        <v/>
      </c>
      <c r="E36" s="34">
        <f>Financials!X42+Financials!X41-Financials!X36</f>
        <v/>
      </c>
      <c r="F36" s="34">
        <f>Financials!AB42+Financials!AB41-Financials!AB36</f>
        <v/>
      </c>
      <c r="G36" s="42">
        <f>F36+G29-G26+G28</f>
        <v/>
      </c>
      <c r="H36" s="42">
        <f>G36+H29-H26+H28</f>
        <v/>
      </c>
      <c r="I36" s="42">
        <f>H36+I29-I26+I28</f>
        <v/>
      </c>
      <c r="J36" s="42">
        <f>I36+J29-J26+J28</f>
        <v/>
      </c>
      <c r="K36" s="42">
        <f>J36+K29-K26+K28</f>
        <v/>
      </c>
      <c r="L36" s="42">
        <f>K36+L29-L26+L28</f>
        <v/>
      </c>
      <c r="M36" s="42">
        <f>L36+M29-M26+M28</f>
        <v/>
      </c>
      <c r="N36" s="42">
        <f>M36+N29-N26+N28</f>
        <v/>
      </c>
      <c r="O36" s="42">
        <f>N36+O29-O26+O28</f>
        <v/>
      </c>
      <c r="P36" s="42">
        <f>O36+P29-P26+P28</f>
        <v/>
      </c>
    </row>
    <row r="37">
      <c r="A37" s="4" t="inlineStr">
        <is>
          <t>Book equity (year-end)</t>
        </is>
      </c>
      <c r="B37" s="34">
        <f>Financials!L42</f>
        <v/>
      </c>
      <c r="C37" s="34">
        <f>Financials!P42</f>
        <v/>
      </c>
      <c r="D37" s="34">
        <f>Financials!T42</f>
        <v/>
      </c>
      <c r="E37" s="34">
        <f>Financials!X42</f>
        <v/>
      </c>
      <c r="F37" s="34">
        <f>Financials!AB42</f>
        <v/>
      </c>
      <c r="G37" s="42">
        <f>F37+G25</f>
        <v/>
      </c>
      <c r="H37" s="42">
        <f>G37+H25</f>
        <v/>
      </c>
      <c r="I37" s="42">
        <f>H37+I25</f>
        <v/>
      </c>
      <c r="J37" s="42">
        <f>I37+J25</f>
        <v/>
      </c>
      <c r="K37" s="42">
        <f>J37+K25</f>
        <v/>
      </c>
      <c r="L37" s="42">
        <f>K37+L25</f>
        <v/>
      </c>
      <c r="M37" s="42">
        <f>L37+M25</f>
        <v/>
      </c>
      <c r="N37" s="42">
        <f>M37+N25</f>
        <v/>
      </c>
      <c r="O37" s="42">
        <f>N37+O25</f>
        <v/>
      </c>
      <c r="P37" s="42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5">
        <f>IFERROR((C8-B8)/(C36-B36),"")</f>
        <v/>
      </c>
      <c r="D43" s="45">
        <f>IFERROR((D8-C8)/(D36-C36),"")</f>
        <v/>
      </c>
      <c r="E43" s="45">
        <f>IFERROR((E8-D8)/(E36-D36),"")</f>
        <v/>
      </c>
      <c r="F43" s="45">
        <f>IFERROR((F8-E8)/(F36-E36),"")</f>
        <v/>
      </c>
      <c r="G43" s="45">
        <f>IFERROR((G8-F8)/(G36-F36),"")</f>
        <v/>
      </c>
      <c r="H43" s="45">
        <f>IFERROR((H8-G8)/(H36-G36),"")</f>
        <v/>
      </c>
      <c r="I43" s="45">
        <f>IFERROR((I8-H8)/(I36-H36),"")</f>
        <v/>
      </c>
      <c r="J43" s="45">
        <f>IFERROR((J8-I8)/(J36-I36),"")</f>
        <v/>
      </c>
      <c r="K43" s="45">
        <f>IFERROR((K8-J8)/(K36-J36),"")</f>
        <v/>
      </c>
      <c r="L43" s="45">
        <f>IFERROR((L8-K8)/(L36-K36),"")</f>
        <v/>
      </c>
      <c r="M43" s="45">
        <f>IFERROR((M8-L8)/(M36-L36),"")</f>
        <v/>
      </c>
      <c r="N43" s="45">
        <f>IFERROR((N8-M8)/(N36-M36),"")</f>
        <v/>
      </c>
      <c r="O43" s="45">
        <f>IFERROR((O8-N8)/(O36-N36),"")</f>
        <v/>
      </c>
      <c r="P43" s="4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833.904</v>
      </c>
      <c r="C3" s="18" t="n">
        <v>885.833</v>
      </c>
      <c r="D3" s="18" t="n">
        <v>951.774</v>
      </c>
      <c r="E3" s="18" t="n">
        <v>1046.34</v>
      </c>
      <c r="F3" s="18" t="n">
        <v>1070.842</v>
      </c>
      <c r="G3" s="18" t="n">
        <v>1151.972</v>
      </c>
      <c r="H3" s="18" t="n">
        <v>1250.33</v>
      </c>
      <c r="I3" s="18" t="n">
        <v>1360</v>
      </c>
      <c r="J3" s="18" t="n">
        <v>1409</v>
      </c>
      <c r="K3" s="18" t="n">
        <v>1512</v>
      </c>
      <c r="L3" s="18" t="n">
        <v>1614</v>
      </c>
      <c r="M3" s="18" t="n">
        <v>1722</v>
      </c>
      <c r="N3" s="18" t="n">
        <v>1752</v>
      </c>
      <c r="O3" s="18" t="n">
        <v>1831</v>
      </c>
      <c r="P3" s="18" t="n">
        <v>1940</v>
      </c>
      <c r="Q3" s="18" t="n">
        <v>2096</v>
      </c>
      <c r="R3" s="18" t="n">
        <v>2150</v>
      </c>
      <c r="S3" s="18" t="n">
        <v>2288</v>
      </c>
      <c r="T3" s="18" t="n">
        <v>2437</v>
      </c>
      <c r="U3" s="18" t="n">
        <v>2603</v>
      </c>
      <c r="V3" s="18" t="n">
        <v>2627</v>
      </c>
      <c r="W3" s="18" t="n">
        <v>2797</v>
      </c>
      <c r="X3" s="18" t="n">
        <v>2957</v>
      </c>
      <c r="Y3" s="18" t="n">
        <v>3088</v>
      </c>
      <c r="Z3" s="18" t="n">
        <v>3215</v>
      </c>
      <c r="AA3" s="18" t="n">
        <v>3407</v>
      </c>
      <c r="AB3" s="18" t="n">
        <v>3568</v>
      </c>
      <c r="AC3" s="18" t="n">
        <v>3770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198.147</v>
      </c>
      <c r="C5" s="18" t="n">
        <v>200.793</v>
      </c>
      <c r="D5" s="18" t="n">
        <v>211.453</v>
      </c>
      <c r="E5" s="18" t="n">
        <v>223.366</v>
      </c>
      <c r="F5" s="18" t="n">
        <v>232.939</v>
      </c>
      <c r="G5" s="18" t="n">
        <v>251.704</v>
      </c>
      <c r="H5" s="18" t="n">
        <v>279.104</v>
      </c>
      <c r="I5" s="18" t="n">
        <v>299</v>
      </c>
      <c r="J5" s="18" t="n">
        <v>329</v>
      </c>
      <c r="K5" s="18" t="n">
        <v>350</v>
      </c>
      <c r="L5" s="18" t="n">
        <v>375</v>
      </c>
      <c r="M5" s="18" t="n">
        <v>369</v>
      </c>
      <c r="N5" s="18" t="n">
        <v>389</v>
      </c>
      <c r="O5" s="18" t="n">
        <v>400</v>
      </c>
      <c r="P5" s="18" t="n">
        <v>415</v>
      </c>
      <c r="Q5" s="18" t="n">
        <v>438</v>
      </c>
      <c r="R5" s="18" t="n">
        <v>471</v>
      </c>
      <c r="S5" s="18" t="n">
        <v>496</v>
      </c>
      <c r="T5" s="18" t="n">
        <v>516</v>
      </c>
      <c r="U5" s="18" t="n">
        <v>520</v>
      </c>
      <c r="V5" s="18" t="n">
        <v>552</v>
      </c>
      <c r="W5" s="18" t="n">
        <v>584</v>
      </c>
      <c r="X5" s="18" t="n">
        <v>631</v>
      </c>
      <c r="Y5" s="18" t="n">
        <v>651</v>
      </c>
      <c r="Z5" s="18" t="n">
        <v>724</v>
      </c>
      <c r="AA5" s="18" t="n">
        <v>774</v>
      </c>
      <c r="AB5" s="18" t="n">
        <v>834</v>
      </c>
      <c r="AC5" s="18" t="n">
        <v>940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183.42</v>
      </c>
      <c r="C7" s="18" t="n">
        <v>190.099</v>
      </c>
      <c r="D7" s="18" t="n">
        <v>202.328</v>
      </c>
      <c r="E7" s="18" t="n">
        <v>226.657</v>
      </c>
      <c r="F7" s="18" t="n">
        <v>245.081</v>
      </c>
      <c r="G7" s="18" t="n">
        <v>268.292</v>
      </c>
      <c r="H7" s="18" t="n">
        <v>284.297</v>
      </c>
      <c r="I7" s="18" t="n">
        <v>314</v>
      </c>
      <c r="J7" s="18" t="n">
        <v>333</v>
      </c>
      <c r="K7" s="18" t="n">
        <v>358</v>
      </c>
      <c r="L7" s="18" t="n">
        <v>392</v>
      </c>
      <c r="M7" s="18" t="n">
        <v>414</v>
      </c>
      <c r="N7" s="18" t="n">
        <v>444</v>
      </c>
      <c r="O7" s="18" t="n">
        <v>456</v>
      </c>
      <c r="P7" s="18" t="n">
        <v>454</v>
      </c>
      <c r="Q7" s="18" t="n">
        <v>492</v>
      </c>
      <c r="R7" s="18" t="n">
        <v>521</v>
      </c>
      <c r="S7" s="18" t="n">
        <v>549</v>
      </c>
      <c r="T7" s="18" t="n">
        <v>562</v>
      </c>
      <c r="U7" s="18" t="n">
        <v>606</v>
      </c>
      <c r="V7" s="18" t="n">
        <v>643</v>
      </c>
      <c r="W7" s="18" t="n">
        <v>626</v>
      </c>
      <c r="X7" s="18" t="n">
        <v>668</v>
      </c>
      <c r="Y7" s="18" t="n">
        <v>703</v>
      </c>
      <c r="Z7" s="18" t="n">
        <v>734</v>
      </c>
      <c r="AA7" s="18" t="n">
        <v>750</v>
      </c>
      <c r="AB7" s="18" t="n">
        <v>773</v>
      </c>
      <c r="AC7" s="18" t="n">
        <v>823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479.337</v>
      </c>
      <c r="C9" s="18" t="n">
        <v>438.617</v>
      </c>
      <c r="D9" s="18" t="n">
        <v>509.481</v>
      </c>
      <c r="E9" s="18" t="n">
        <v>546.982</v>
      </c>
      <c r="F9" s="18" t="n">
        <v>530.556</v>
      </c>
      <c r="G9" s="18" t="n">
        <v>562.644</v>
      </c>
      <c r="H9" s="18" t="n">
        <v>668.999</v>
      </c>
      <c r="I9" s="18" t="n">
        <v>650</v>
      </c>
      <c r="J9" s="18" t="n">
        <v>696</v>
      </c>
      <c r="K9" s="18" t="n">
        <v>730</v>
      </c>
      <c r="L9" s="18" t="n">
        <v>812</v>
      </c>
      <c r="M9" s="18" t="n">
        <v>852</v>
      </c>
      <c r="N9" s="18" t="n">
        <v>897</v>
      </c>
      <c r="O9" s="18" t="n">
        <v>884</v>
      </c>
      <c r="P9" s="18" t="n">
        <v>916</v>
      </c>
      <c r="Q9" s="18" t="n">
        <v>1022</v>
      </c>
      <c r="R9" s="18" t="n">
        <v>1041</v>
      </c>
      <c r="S9" s="18" t="n">
        <v>1012</v>
      </c>
      <c r="T9" s="18" t="n">
        <v>1089</v>
      </c>
      <c r="U9" s="18" t="n">
        <v>1145</v>
      </c>
      <c r="V9" s="18" t="n">
        <v>1192</v>
      </c>
      <c r="W9" s="18" t="n">
        <v>1169</v>
      </c>
      <c r="X9" s="18" t="n">
        <v>1284</v>
      </c>
      <c r="Y9" s="18" t="n">
        <v>1283</v>
      </c>
      <c r="Z9" s="18" t="n">
        <v>1399</v>
      </c>
      <c r="AA9" s="18" t="n">
        <v>1311</v>
      </c>
      <c r="AB9" s="18" t="n">
        <v>1518</v>
      </c>
      <c r="AC9" s="18" t="n">
        <v>1504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635.7569999999999</v>
      </c>
      <c r="C11" s="18" t="n">
        <v>685.04</v>
      </c>
      <c r="D11" s="18" t="n">
        <v>740.321</v>
      </c>
      <c r="E11" s="18" t="n">
        <v>822.974</v>
      </c>
      <c r="F11" s="18" t="n">
        <v>837.903</v>
      </c>
      <c r="G11" s="18" t="n">
        <v>900.268</v>
      </c>
      <c r="H11" s="18" t="n">
        <v>971.226</v>
      </c>
      <c r="I11" s="18" t="n">
        <v>1061</v>
      </c>
      <c r="J11" s="18" t="n">
        <v>1080</v>
      </c>
      <c r="K11" s="18" t="n">
        <v>1162</v>
      </c>
      <c r="L11" s="18" t="n">
        <v>1239</v>
      </c>
      <c r="M11" s="18" t="n">
        <v>1353</v>
      </c>
      <c r="N11" s="18" t="n">
        <v>1363</v>
      </c>
      <c r="O11" s="18" t="n">
        <v>1431</v>
      </c>
      <c r="P11" s="18" t="n">
        <v>1525</v>
      </c>
      <c r="Q11" s="18" t="n">
        <v>1658</v>
      </c>
      <c r="R11" s="18" t="n">
        <v>1679</v>
      </c>
      <c r="S11" s="18" t="n">
        <v>1792</v>
      </c>
      <c r="T11" s="18" t="n">
        <v>1921</v>
      </c>
      <c r="U11" s="18" t="n">
        <v>2083</v>
      </c>
      <c r="V11" s="18" t="n">
        <v>2075</v>
      </c>
      <c r="W11" s="18" t="n">
        <v>2213</v>
      </c>
      <c r="X11" s="18" t="n">
        <v>2326</v>
      </c>
      <c r="Y11" s="18" t="n">
        <v>2437</v>
      </c>
      <c r="Z11" s="18" t="n">
        <v>2491</v>
      </c>
      <c r="AA11" s="18" t="n">
        <v>2633</v>
      </c>
      <c r="AB11" s="18" t="n">
        <v>2734</v>
      </c>
      <c r="AC11" s="18" t="n">
        <v>2830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-27</v>
      </c>
      <c r="C13" s="18" t="n">
        <v>56.324</v>
      </c>
      <c r="D13" s="18" t="n">
        <v>28.512</v>
      </c>
      <c r="E13" s="18" t="n">
        <v>49.335</v>
      </c>
      <c r="F13" s="18" t="n">
        <v>63</v>
      </c>
      <c r="G13" s="18" t="n">
        <v>69</v>
      </c>
      <c r="H13" s="18" t="n">
        <v>17.93</v>
      </c>
      <c r="I13" s="18" t="n">
        <v>97</v>
      </c>
      <c r="J13" s="18" t="n">
        <v>51</v>
      </c>
      <c r="K13" s="18" t="n">
        <v>74</v>
      </c>
      <c r="L13" s="18" t="n">
        <v>35</v>
      </c>
      <c r="M13" s="18" t="n">
        <v>87</v>
      </c>
      <c r="N13" s="18" t="n">
        <v>22</v>
      </c>
      <c r="O13" s="18" t="n">
        <v>91</v>
      </c>
      <c r="P13" s="18" t="n">
        <v>155</v>
      </c>
      <c r="Q13" s="18" t="n">
        <v>144</v>
      </c>
      <c r="R13" s="18" t="n">
        <v>117</v>
      </c>
      <c r="S13" s="18" t="n">
        <v>231</v>
      </c>
      <c r="T13" s="18" t="n">
        <v>270</v>
      </c>
      <c r="U13" s="18" t="n">
        <v>332</v>
      </c>
      <c r="V13" s="18" t="n">
        <v>240</v>
      </c>
      <c r="W13" s="18" t="n">
        <v>418</v>
      </c>
      <c r="X13" s="18" t="n">
        <v>374</v>
      </c>
      <c r="Y13" s="18" t="n">
        <v>451</v>
      </c>
      <c r="Z13" s="18" t="n">
        <v>358</v>
      </c>
      <c r="AA13" s="18" t="n">
        <v>572</v>
      </c>
      <c r="AB13" s="18" t="n">
        <v>443</v>
      </c>
      <c r="AC13" s="18" t="n">
        <v>503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-11.079</v>
      </c>
      <c r="C15" s="18" t="n">
        <v>40.598</v>
      </c>
      <c r="D15" s="18" t="n">
        <v>598.724</v>
      </c>
      <c r="E15" s="18" t="n">
        <v>48.231</v>
      </c>
      <c r="F15" s="18" t="n">
        <v>40.766</v>
      </c>
      <c r="G15" s="18" t="n">
        <v>13</v>
      </c>
      <c r="H15" s="18" t="n">
        <v>16.648</v>
      </c>
      <c r="I15" s="18" t="n">
        <v>82</v>
      </c>
      <c r="J15" s="18" t="n">
        <v>59</v>
      </c>
      <c r="K15" s="18" t="n">
        <v>63</v>
      </c>
      <c r="L15" s="18" t="n">
        <v>26</v>
      </c>
      <c r="M15" s="18" t="n">
        <v>75</v>
      </c>
      <c r="N15" s="18" t="n">
        <v>20</v>
      </c>
      <c r="O15" s="18" t="n">
        <v>80</v>
      </c>
      <c r="P15" s="18" t="n">
        <v>150</v>
      </c>
      <c r="Q15" s="18" t="n">
        <v>150</v>
      </c>
      <c r="R15" s="18" t="n">
        <v>1044</v>
      </c>
      <c r="S15" s="18" t="n">
        <v>242</v>
      </c>
      <c r="T15" s="18" t="n">
        <v>295</v>
      </c>
      <c r="U15" s="18" t="n">
        <v>347</v>
      </c>
      <c r="V15" s="18" t="n">
        <v>262</v>
      </c>
      <c r="W15" s="18" t="n">
        <v>432</v>
      </c>
      <c r="X15" s="18" t="n">
        <v>384</v>
      </c>
      <c r="Y15" s="18" t="n">
        <v>460</v>
      </c>
      <c r="Z15" s="18" t="n">
        <v>385</v>
      </c>
      <c r="AA15" s="18" t="n">
        <v>502</v>
      </c>
      <c r="AB15" s="18" t="n">
        <v>401</v>
      </c>
      <c r="AC15" s="18" t="n">
        <v>469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933.38811</v>
      </c>
      <c r="C17" s="18" t="n">
        <v>989.391075</v>
      </c>
      <c r="D17" s="18" t="n">
        <v>989.215</v>
      </c>
      <c r="E17" s="18" t="n">
        <v>999.6900000000001</v>
      </c>
      <c r="F17" s="18" t="n">
        <v>1007.265</v>
      </c>
      <c r="G17" s="18" t="n">
        <v>1009.305</v>
      </c>
      <c r="H17" s="18" t="n">
        <v>1012.275</v>
      </c>
      <c r="I17" s="18" t="n">
        <v>1010</v>
      </c>
      <c r="J17" s="18" t="n">
        <v>1010</v>
      </c>
      <c r="K17" s="18" t="n">
        <v>1015</v>
      </c>
      <c r="L17" s="18" t="n">
        <v>1020</v>
      </c>
      <c r="M17" s="18" t="n">
        <v>1015</v>
      </c>
      <c r="N17" s="18" t="n">
        <v>1015</v>
      </c>
      <c r="O17" s="18" t="n">
        <v>1015</v>
      </c>
      <c r="P17" s="18" t="n">
        <v>1015</v>
      </c>
      <c r="Q17" s="18" t="n">
        <v>1021.315</v>
      </c>
      <c r="R17" s="18" t="n">
        <v>1026.755</v>
      </c>
      <c r="S17" s="18" t="n">
        <v>1031.385</v>
      </c>
      <c r="T17" s="18" t="n">
        <v>1035</v>
      </c>
      <c r="U17" s="18" t="n">
        <v>1038.42</v>
      </c>
      <c r="V17" s="18" t="n">
        <v>1038.995</v>
      </c>
      <c r="W17" s="18" t="n">
        <v>1042.76</v>
      </c>
      <c r="X17" s="18" t="n">
        <v>1045</v>
      </c>
      <c r="Y17" s="18" t="n">
        <v>1046.855</v>
      </c>
      <c r="Z17" s="18" t="n">
        <v>1046.61</v>
      </c>
      <c r="AA17" s="18" t="n">
        <v>1050</v>
      </c>
      <c r="AB17" s="18" t="n">
        <v>1047</v>
      </c>
      <c r="AC17" s="18" t="n">
        <v>1039.884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License and Service</t>
        </is>
      </c>
      <c r="Y19" s="18" t="n">
        <v>3005</v>
      </c>
      <c r="Z19" s="18" t="n">
        <v>3113</v>
      </c>
      <c r="AA19" s="18" t="n">
        <v>3299</v>
      </c>
      <c r="AB19" s="18" t="n">
        <v>3466</v>
      </c>
      <c r="AC19" s="18" t="n">
        <v>3671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Technology Service</t>
        </is>
      </c>
      <c r="I22" s="18" t="n">
        <v>67</v>
      </c>
      <c r="J22" s="18" t="n">
        <v>79</v>
      </c>
      <c r="K22" s="18" t="n">
        <v>85</v>
      </c>
      <c r="L22" s="18" t="n">
        <v>92</v>
      </c>
      <c r="M22" s="18" t="n">
        <v>91</v>
      </c>
      <c r="N22" s="18" t="n">
        <v>94</v>
      </c>
      <c r="O22" s="18" t="n">
        <v>89</v>
      </c>
      <c r="P22" s="18" t="n">
        <v>80</v>
      </c>
      <c r="Q22" s="18" t="n">
        <v>72</v>
      </c>
      <c r="R22" s="18" t="n">
        <v>75</v>
      </c>
      <c r="S22" s="18" t="n">
        <v>72</v>
      </c>
      <c r="T22" s="18" t="n">
        <v>72</v>
      </c>
      <c r="U22" s="18" t="n">
        <v>80</v>
      </c>
      <c r="V22" s="18" t="n">
        <v>85</v>
      </c>
      <c r="W22" s="18" t="n">
        <v>82</v>
      </c>
      <c r="X22" s="18" t="n">
        <v>91</v>
      </c>
      <c r="Y22" s="18" t="n">
        <v>83</v>
      </c>
      <c r="Z22" s="18" t="n">
        <v>102</v>
      </c>
      <c r="AA22" s="18" t="n">
        <v>108</v>
      </c>
      <c r="AB22" s="18" t="n">
        <v>102</v>
      </c>
      <c r="AC22" s="18" t="n">
        <v>99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North America</t>
        </is>
      </c>
      <c r="B26" s="18" t="n">
        <v>544.794</v>
      </c>
      <c r="C26" s="18" t="n">
        <v>590.058</v>
      </c>
      <c r="D26" s="18" t="n">
        <v>616.146</v>
      </c>
      <c r="E26" s="18" t="n">
        <v>701.764</v>
      </c>
      <c r="F26" s="18" t="n">
        <v>705.253</v>
      </c>
      <c r="G26" s="18" t="n">
        <v>754.649</v>
      </c>
      <c r="H26" s="18" t="n">
        <v>798.1609999999999</v>
      </c>
      <c r="I26" s="18" t="n">
        <v>883</v>
      </c>
      <c r="J26" s="18" t="n">
        <v>888</v>
      </c>
      <c r="K26" s="18" t="n">
        <v>960</v>
      </c>
      <c r="L26" s="18" t="n">
        <v>1021</v>
      </c>
      <c r="M26" s="18" t="n">
        <v>1116</v>
      </c>
      <c r="N26" s="18" t="n">
        <v>1139</v>
      </c>
      <c r="O26" s="18" t="n">
        <v>1209</v>
      </c>
      <c r="P26" s="18" t="n">
        <v>1259</v>
      </c>
      <c r="Q26" s="18" t="n">
        <v>1344</v>
      </c>
      <c r="R26" s="18" t="n">
        <v>1369</v>
      </c>
      <c r="S26" s="18" t="n">
        <v>1452</v>
      </c>
      <c r="T26" s="18" t="n">
        <v>1537</v>
      </c>
      <c r="U26" s="18" t="n">
        <v>1637</v>
      </c>
      <c r="V26" s="18" t="n">
        <v>1665</v>
      </c>
      <c r="W26" s="18" t="n">
        <v>1778</v>
      </c>
      <c r="X26" s="18" t="n">
        <v>1829</v>
      </c>
      <c r="Y26" s="18" t="n">
        <v>1963</v>
      </c>
      <c r="Z26" s="18" t="n">
        <v>2006</v>
      </c>
      <c r="AA26" s="18" t="n">
        <v>2133</v>
      </c>
      <c r="AB26" s="18" t="n">
        <v>2246</v>
      </c>
      <c r="AC26" s="18" t="n">
        <v>2359</v>
      </c>
    </row>
    <row r="27">
      <c r="A27" s="4" t="inlineStr">
        <is>
          <t xml:space="preserve">    % YoY</t>
        </is>
      </c>
      <c r="F27" s="25">
        <f>IFERROR(F26/B26-1,"")</f>
        <v/>
      </c>
      <c r="G27" s="25">
        <f>IFERROR(G26/C26-1,"")</f>
        <v/>
      </c>
      <c r="H27" s="25">
        <f>IFERROR(H26/D26-1,"")</f>
        <v/>
      </c>
      <c r="I27" s="25">
        <f>IFERROR(I26/E26-1,"")</f>
        <v/>
      </c>
      <c r="J27" s="25">
        <f>IFERROR(J26/F26-1,"")</f>
        <v/>
      </c>
      <c r="K27" s="25">
        <f>IFERROR(K26/G26-1,"")</f>
        <v/>
      </c>
      <c r="L27" s="25">
        <f>IFERROR(L26/H26-1,"")</f>
        <v/>
      </c>
      <c r="M27" s="25">
        <f>IFERROR(M26/I26-1,"")</f>
        <v/>
      </c>
      <c r="N27" s="25">
        <f>IFERROR(N26/J26-1,"")</f>
        <v/>
      </c>
      <c r="O27" s="25">
        <f>IFERROR(O26/K26-1,"")</f>
        <v/>
      </c>
      <c r="P27" s="25">
        <f>IFERROR(P26/L26-1,"")</f>
        <v/>
      </c>
      <c r="Q27" s="25">
        <f>IFERROR(Q26/M26-1,"")</f>
        <v/>
      </c>
      <c r="R27" s="25">
        <f>IFERROR(R26/N26-1,"")</f>
        <v/>
      </c>
      <c r="S27" s="25">
        <f>IFERROR(S26/O26-1,"")</f>
        <v/>
      </c>
      <c r="T27" s="25">
        <f>IFERROR(T26/P26-1,"")</f>
        <v/>
      </c>
      <c r="U27" s="25">
        <f>IFERROR(U26/Q26-1,"")</f>
        <v/>
      </c>
      <c r="V27" s="25">
        <f>IFERROR(V26/R26-1,"")</f>
        <v/>
      </c>
      <c r="W27" s="25">
        <f>IFERROR(W26/S26-1,"")</f>
        <v/>
      </c>
      <c r="X27" s="25">
        <f>IFERROR(X26/T26-1,"")</f>
        <v/>
      </c>
      <c r="Y27" s="25">
        <f>IFERROR(Y26/U26-1,"")</f>
        <v/>
      </c>
      <c r="Z27" s="25">
        <f>IFERROR(Z26/V26-1,"")</f>
        <v/>
      </c>
      <c r="AA27" s="25">
        <f>IFERROR(AA26/W26-1,"")</f>
        <v/>
      </c>
      <c r="AB27" s="25">
        <f>IFERROR(AB26/X26-1,"")</f>
        <v/>
      </c>
      <c r="AC27" s="25">
        <f>IFERROR(AC26/Y26-1,"")</f>
        <v/>
      </c>
    </row>
    <row r="28">
      <c r="A28" s="4" t="inlineStr">
        <is>
          <t xml:space="preserve">    % of revenue</t>
        </is>
      </c>
      <c r="B28" s="25">
        <f>IFERROR(B26/B3,"")</f>
        <v/>
      </c>
      <c r="C28" s="25">
        <f>IFERROR(C26/C3,"")</f>
        <v/>
      </c>
      <c r="D28" s="25">
        <f>IFERROR(D26/D3,"")</f>
        <v/>
      </c>
      <c r="E28" s="25">
        <f>IFERROR(E26/E3,"")</f>
        <v/>
      </c>
      <c r="F28" s="25">
        <f>IFERROR(F26/F3,"")</f>
        <v/>
      </c>
      <c r="G28" s="25">
        <f>IFERROR(G26/G3,"")</f>
        <v/>
      </c>
      <c r="H28" s="25">
        <f>IFERROR(H26/H3,"")</f>
        <v/>
      </c>
      <c r="I28" s="25">
        <f>IFERROR(I26/I3,"")</f>
        <v/>
      </c>
      <c r="J28" s="25">
        <f>IFERROR(J26/J3,"")</f>
        <v/>
      </c>
      <c r="K28" s="25">
        <f>IFERROR(K26/K3,"")</f>
        <v/>
      </c>
      <c r="L28" s="25">
        <f>IFERROR(L26/L3,"")</f>
        <v/>
      </c>
      <c r="M28" s="25">
        <f>IFERROR(M26/M3,"")</f>
        <v/>
      </c>
      <c r="N28" s="25">
        <f>IFERROR(N26/N3,"")</f>
        <v/>
      </c>
      <c r="O28" s="25">
        <f>IFERROR(O26/O3,"")</f>
        <v/>
      </c>
      <c r="P28" s="25">
        <f>IFERROR(P26/P3,"")</f>
        <v/>
      </c>
      <c r="Q28" s="25">
        <f>IFERROR(Q26/Q3,"")</f>
        <v/>
      </c>
      <c r="R28" s="25">
        <f>IFERROR(R26/R3,"")</f>
        <v/>
      </c>
      <c r="S28" s="25">
        <f>IFERROR(S26/S3,"")</f>
        <v/>
      </c>
      <c r="T28" s="25">
        <f>IFERROR(T26/T3,"")</f>
        <v/>
      </c>
      <c r="U28" s="25">
        <f>IFERROR(U26/U3,"")</f>
        <v/>
      </c>
      <c r="V28" s="25">
        <f>IFERROR(V26/V3,"")</f>
        <v/>
      </c>
      <c r="W28" s="25">
        <f>IFERROR(W26/W3,"")</f>
        <v/>
      </c>
      <c r="X28" s="25">
        <f>IFERROR(X26/X3,"")</f>
        <v/>
      </c>
      <c r="Y28" s="25">
        <f>IFERROR(Y26/Y3,"")</f>
        <v/>
      </c>
      <c r="Z28" s="25">
        <f>IFERROR(Z26/Z3,"")</f>
        <v/>
      </c>
      <c r="AA28" s="25">
        <f>IFERROR(AA26/AA3,"")</f>
        <v/>
      </c>
      <c r="AB28" s="25">
        <f>IFERROR(AB26/AB3,"")</f>
        <v/>
      </c>
      <c r="AC28" s="25">
        <f>IFERROR(AC26/AC3,"")</f>
        <v/>
      </c>
    </row>
    <row r="29">
      <c r="A29" s="4" t="inlineStr">
        <is>
          <t>EMEA</t>
        </is>
      </c>
      <c r="B29" s="18" t="n">
        <v>212.606</v>
      </c>
      <c r="C29" s="18" t="n">
        <v>213.355</v>
      </c>
      <c r="D29" s="18" t="n">
        <v>245.868</v>
      </c>
      <c r="E29" s="18" t="n">
        <v>250.831</v>
      </c>
      <c r="F29" s="18" t="n">
        <v>265.133</v>
      </c>
      <c r="G29" s="18" t="n">
        <v>287.23</v>
      </c>
      <c r="H29" s="18" t="n">
        <v>329.223</v>
      </c>
      <c r="I29" s="18" t="n">
        <v>343</v>
      </c>
      <c r="J29" s="18" t="n">
        <v>378</v>
      </c>
      <c r="K29" s="18" t="n">
        <v>401</v>
      </c>
      <c r="L29" s="18" t="n">
        <v>429</v>
      </c>
      <c r="M29" s="18" t="n">
        <v>434</v>
      </c>
      <c r="N29" s="18" t="n">
        <v>433</v>
      </c>
      <c r="O29" s="18" t="n">
        <v>432</v>
      </c>
      <c r="P29" s="18" t="n">
        <v>479</v>
      </c>
      <c r="Q29" s="18" t="n">
        <v>532</v>
      </c>
      <c r="R29" s="18" t="n">
        <v>547</v>
      </c>
      <c r="S29" s="18" t="n">
        <v>585</v>
      </c>
      <c r="T29" s="18" t="n">
        <v>634</v>
      </c>
      <c r="U29" s="18" t="n">
        <v>676</v>
      </c>
      <c r="V29" s="18" t="n">
        <v>661</v>
      </c>
      <c r="W29" s="18" t="n">
        <v>700</v>
      </c>
      <c r="X29" s="18" t="n">
        <v>797</v>
      </c>
      <c r="Y29" s="18" t="n">
        <v>782</v>
      </c>
      <c r="Z29" s="18" t="n">
        <v>834</v>
      </c>
      <c r="AA29" s="18" t="n">
        <v>873</v>
      </c>
      <c r="AB29" s="18" t="n">
        <v>913</v>
      </c>
      <c r="AC29" s="18" t="n">
        <v>979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Asia Pacific And Other</t>
        </is>
      </c>
      <c r="B32" s="18" t="n">
        <v>76.504</v>
      </c>
      <c r="C32" s="18" t="n">
        <v>82.42</v>
      </c>
      <c r="D32" s="18" t="n">
        <v>89.76000000000001</v>
      </c>
      <c r="E32" s="18" t="n">
        <v>93.745</v>
      </c>
      <c r="F32" s="18" t="n">
        <v>100.456</v>
      </c>
      <c r="G32" s="18" t="n">
        <v>110.093</v>
      </c>
      <c r="H32" s="18" t="n">
        <v>122.946</v>
      </c>
      <c r="I32" s="18" t="n">
        <v>134</v>
      </c>
      <c r="J32" s="18" t="n">
        <v>143</v>
      </c>
      <c r="K32" s="18" t="n">
        <v>151</v>
      </c>
      <c r="L32" s="18" t="n">
        <v>165</v>
      </c>
      <c r="M32" s="18" t="n">
        <v>172</v>
      </c>
      <c r="N32" s="18" t="n">
        <v>180</v>
      </c>
      <c r="O32" s="18" t="n">
        <v>190</v>
      </c>
      <c r="P32" s="18" t="n">
        <v>202</v>
      </c>
      <c r="Q32" s="18" t="n">
        <v>220</v>
      </c>
      <c r="R32" s="18" t="n">
        <v>234</v>
      </c>
      <c r="S32" s="18" t="n">
        <v>251</v>
      </c>
      <c r="T32" s="18" t="n">
        <v>266</v>
      </c>
      <c r="U32" s="18" t="n">
        <v>290</v>
      </c>
      <c r="V32" s="18" t="n">
        <v>301</v>
      </c>
      <c r="W32" s="18" t="n">
        <v>319</v>
      </c>
      <c r="X32" s="18" t="n">
        <v>331</v>
      </c>
      <c r="Y32" s="18" t="n">
        <v>343</v>
      </c>
      <c r="Z32" s="18" t="n">
        <v>375</v>
      </c>
      <c r="AA32" s="18" t="n">
        <v>401</v>
      </c>
      <c r="AB32" s="18" t="n">
        <v>409</v>
      </c>
      <c r="AC32" s="18" t="n">
        <v>432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5" t="inlineStr">
        <is>
          <t xml:space="preserve">  BALANCE SHEET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4" t="inlineStr">
        <is>
          <t>Cash &amp; ST Investments</t>
        </is>
      </c>
      <c r="B36" s="18" t="n">
        <v>1653.384</v>
      </c>
      <c r="C36" s="18" t="n">
        <v>1471.073</v>
      </c>
      <c r="D36" s="18" t="n">
        <v>1691.095</v>
      </c>
      <c r="E36" s="18" t="n">
        <v>1858.705</v>
      </c>
      <c r="F36" s="18" t="n">
        <v>2342.671</v>
      </c>
      <c r="G36" s="18" t="n">
        <v>2951.611</v>
      </c>
      <c r="H36" s="18" t="n">
        <v>3092</v>
      </c>
      <c r="I36" s="18" t="n">
        <v>3456</v>
      </c>
      <c r="J36" s="18" t="n">
        <v>2984</v>
      </c>
      <c r="K36" s="18" t="n">
        <v>3031</v>
      </c>
      <c r="L36" s="18" t="n">
        <v>3304</v>
      </c>
      <c r="M36" s="18" t="n">
        <v>4014</v>
      </c>
      <c r="N36" s="18" t="n">
        <v>3834</v>
      </c>
      <c r="O36" s="18" t="n">
        <v>3956</v>
      </c>
      <c r="P36" s="18" t="n">
        <v>4280</v>
      </c>
      <c r="Q36" s="18" t="n">
        <v>4914</v>
      </c>
      <c r="R36" s="18" t="n">
        <v>4747</v>
      </c>
      <c r="S36" s="18" t="n">
        <v>4067</v>
      </c>
      <c r="T36" s="18" t="n">
        <v>4877</v>
      </c>
      <c r="U36" s="18" t="n">
        <v>5110</v>
      </c>
      <c r="V36" s="18" t="n">
        <v>5413</v>
      </c>
      <c r="W36" s="18" t="n">
        <v>5295</v>
      </c>
      <c r="X36" s="18" t="n">
        <v>5762</v>
      </c>
      <c r="Y36" s="18" t="n">
        <v>6597</v>
      </c>
      <c r="Z36" s="18" t="n">
        <v>6141</v>
      </c>
      <c r="AA36" s="18" t="n">
        <v>5411</v>
      </c>
      <c r="AB36" s="18" t="n">
        <v>6284</v>
      </c>
      <c r="AC36" s="18" t="n">
        <v>5182</v>
      </c>
    </row>
    <row r="37">
      <c r="A37" s="4" t="inlineStr">
        <is>
          <t>Total Current Assets</t>
        </is>
      </c>
      <c r="B37" s="18" t="n">
        <v>2442.287</v>
      </c>
      <c r="C37" s="18" t="n">
        <v>2297.213</v>
      </c>
      <c r="D37" s="18" t="n">
        <v>2826.901</v>
      </c>
      <c r="E37" s="18" t="n">
        <v>2805.861</v>
      </c>
      <c r="F37" s="18" t="n">
        <v>3337.122</v>
      </c>
      <c r="G37" s="18" t="n">
        <v>3966.881</v>
      </c>
      <c r="H37" s="18" t="n">
        <v>4522</v>
      </c>
      <c r="I37" s="18" t="n">
        <v>4524</v>
      </c>
      <c r="J37" s="18" t="n">
        <v>4225</v>
      </c>
      <c r="K37" s="18" t="n">
        <v>4288</v>
      </c>
      <c r="L37" s="18" t="n">
        <v>5220</v>
      </c>
      <c r="M37" s="18" t="n">
        <v>5442</v>
      </c>
      <c r="N37" s="18" t="n">
        <v>5332</v>
      </c>
      <c r="O37" s="18" t="n">
        <v>5476</v>
      </c>
      <c r="P37" s="18" t="n">
        <v>6654</v>
      </c>
      <c r="Q37" s="18" t="n">
        <v>6734</v>
      </c>
      <c r="R37" s="18" t="n">
        <v>6603</v>
      </c>
      <c r="S37" s="18" t="n">
        <v>6046</v>
      </c>
      <c r="T37" s="18" t="n">
        <v>7777</v>
      </c>
      <c r="U37" s="18" t="n">
        <v>7372</v>
      </c>
      <c r="V37" s="18" t="n">
        <v>8021</v>
      </c>
      <c r="W37" s="18" t="n">
        <v>7696</v>
      </c>
      <c r="X37" s="18" t="n">
        <v>9187</v>
      </c>
      <c r="Y37" s="18" t="n">
        <v>9270</v>
      </c>
      <c r="Z37" s="18" t="n">
        <v>8724</v>
      </c>
      <c r="AA37" s="18" t="n">
        <v>8364</v>
      </c>
      <c r="AB37" s="18" t="n">
        <v>9881</v>
      </c>
      <c r="AC37" s="18" t="n">
        <v>8435</v>
      </c>
    </row>
    <row r="38">
      <c r="A38" s="4" t="inlineStr">
        <is>
          <t>PP&amp;E (net)</t>
        </is>
      </c>
      <c r="B38" s="18" t="n">
        <v>761.957</v>
      </c>
      <c r="C38" s="18" t="n">
        <v>806.282</v>
      </c>
      <c r="D38" s="18" t="n">
        <v>870.513</v>
      </c>
      <c r="E38" s="18" t="n">
        <v>935.545</v>
      </c>
      <c r="F38" s="18" t="n">
        <v>1010.473</v>
      </c>
      <c r="G38" s="18" t="n">
        <v>1021.733</v>
      </c>
      <c r="H38" s="18" t="n">
        <v>1114</v>
      </c>
      <c r="I38" s="18" t="n">
        <v>1148</v>
      </c>
      <c r="J38" s="18" t="n">
        <v>1198</v>
      </c>
      <c r="K38" s="18" t="n">
        <v>1346</v>
      </c>
      <c r="L38" s="18" t="n">
        <v>1357</v>
      </c>
      <c r="M38" s="18" t="n">
        <v>1381</v>
      </c>
      <c r="N38" s="18" t="n">
        <v>1480</v>
      </c>
      <c r="O38" s="18" t="n">
        <v>1495</v>
      </c>
      <c r="P38" s="18" t="n">
        <v>1735</v>
      </c>
      <c r="Q38" s="18" t="n">
        <v>1799</v>
      </c>
      <c r="R38" s="18" t="n">
        <v>1804</v>
      </c>
      <c r="S38" s="18" t="n">
        <v>1898</v>
      </c>
      <c r="T38" s="18" t="n">
        <v>2073</v>
      </c>
      <c r="U38" s="18" t="n">
        <v>2148</v>
      </c>
      <c r="V38" s="18" t="n">
        <v>2281</v>
      </c>
      <c r="W38" s="18" t="n">
        <v>2379</v>
      </c>
      <c r="X38" s="18" t="n">
        <v>2456</v>
      </c>
      <c r="Y38" s="18" t="n">
        <v>2695</v>
      </c>
      <c r="Z38" s="18" t="n">
        <v>2803</v>
      </c>
      <c r="AA38" s="18" t="n">
        <v>2934</v>
      </c>
      <c r="AB38" s="18" t="n">
        <v>3095</v>
      </c>
      <c r="AC38" s="18" t="n">
        <v>2250</v>
      </c>
    </row>
    <row r="39">
      <c r="A39" s="4" t="inlineStr">
        <is>
          <t>Total Assets</t>
        </is>
      </c>
      <c r="B39" s="18" t="n">
        <v>4602.703</v>
      </c>
      <c r="C39" s="18" t="n">
        <v>4756.808</v>
      </c>
      <c r="D39" s="18" t="n">
        <v>6022.43</v>
      </c>
      <c r="E39" s="18" t="n">
        <v>6197.416</v>
      </c>
      <c r="F39" s="18" t="n">
        <v>6521.309</v>
      </c>
      <c r="G39" s="18" t="n">
        <v>7705.459</v>
      </c>
      <c r="H39" s="18" t="n">
        <v>8715</v>
      </c>
      <c r="I39" s="18" t="n">
        <v>8822</v>
      </c>
      <c r="J39" s="18" t="n">
        <v>9187</v>
      </c>
      <c r="K39" s="18" t="n">
        <v>9478</v>
      </c>
      <c r="L39" s="18" t="n">
        <v>10798</v>
      </c>
      <c r="M39" s="18" t="n">
        <v>10993</v>
      </c>
      <c r="N39" s="18" t="n">
        <v>11102</v>
      </c>
      <c r="O39" s="18" t="n">
        <v>11106</v>
      </c>
      <c r="P39" s="18" t="n">
        <v>13299</v>
      </c>
      <c r="Q39" s="18" t="n">
        <v>13614</v>
      </c>
      <c r="R39" s="18" t="n">
        <v>14923</v>
      </c>
      <c r="S39" s="18" t="n">
        <v>15091</v>
      </c>
      <c r="T39" s="18" t="n">
        <v>17387</v>
      </c>
      <c r="U39" s="18" t="n">
        <v>17544</v>
      </c>
      <c r="V39" s="18" t="n">
        <v>18207</v>
      </c>
      <c r="W39" s="18" t="n">
        <v>18434</v>
      </c>
      <c r="X39" s="18" t="n">
        <v>20383</v>
      </c>
      <c r="Y39" s="18" t="n">
        <v>20972</v>
      </c>
      <c r="Z39" s="18" t="n">
        <v>22051</v>
      </c>
      <c r="AA39" s="18" t="n">
        <v>21789</v>
      </c>
      <c r="AB39" s="18" t="n">
        <v>26038</v>
      </c>
      <c r="AC39" s="18" t="n">
        <v>24381</v>
      </c>
    </row>
    <row r="40">
      <c r="A40" s="4" t="inlineStr">
        <is>
          <t>Total Current Liabilities</t>
        </is>
      </c>
      <c r="B40" s="18" t="n">
        <v>2224.979</v>
      </c>
      <c r="C40" s="18" t="n">
        <v>2192.561</v>
      </c>
      <c r="D40" s="18" t="n">
        <v>2752.785</v>
      </c>
      <c r="E40" s="18" t="n">
        <v>2721.061</v>
      </c>
      <c r="F40" s="18" t="n">
        <v>2848.871</v>
      </c>
      <c r="G40" s="18" t="n">
        <v>2835.947</v>
      </c>
      <c r="H40" s="18" t="n">
        <v>3737</v>
      </c>
      <c r="I40" s="18" t="n">
        <v>3664</v>
      </c>
      <c r="J40" s="18" t="n">
        <v>3908</v>
      </c>
      <c r="K40" s="18" t="n">
        <v>3792</v>
      </c>
      <c r="L40" s="18" t="n">
        <v>4949</v>
      </c>
      <c r="M40" s="18" t="n">
        <v>4852</v>
      </c>
      <c r="N40" s="18" t="n">
        <v>4743</v>
      </c>
      <c r="O40" s="18" t="n">
        <v>4432</v>
      </c>
      <c r="P40" s="18" t="n">
        <v>6005</v>
      </c>
      <c r="Q40" s="18" t="n">
        <v>5761</v>
      </c>
      <c r="R40" s="18" t="n">
        <v>5767</v>
      </c>
      <c r="S40" s="18" t="n">
        <v>5601</v>
      </c>
      <c r="T40" s="18" t="n">
        <v>7365</v>
      </c>
      <c r="U40" s="18" t="n">
        <v>7033</v>
      </c>
      <c r="V40" s="18" t="n">
        <v>7172</v>
      </c>
      <c r="W40" s="18" t="n">
        <v>6786</v>
      </c>
      <c r="X40" s="18" t="n">
        <v>8358</v>
      </c>
      <c r="Y40" s="18" t="n">
        <v>8258</v>
      </c>
      <c r="Z40" s="18" t="n">
        <v>8495</v>
      </c>
      <c r="AA40" s="18" t="n">
        <v>7867</v>
      </c>
      <c r="AB40" s="18" t="n">
        <v>10443</v>
      </c>
      <c r="AC40" s="18" t="n">
        <v>9955</v>
      </c>
    </row>
    <row r="41">
      <c r="A41" s="4" t="inlineStr">
        <is>
          <t>Long-term Debt</t>
        </is>
      </c>
      <c r="B41" s="18" t="n">
        <v>678.145</v>
      </c>
      <c r="C41" s="18" t="n">
        <v>686.516</v>
      </c>
      <c r="D41" s="18" t="n">
        <v>694.981</v>
      </c>
      <c r="E41" s="18" t="n">
        <v>701.288</v>
      </c>
      <c r="F41" s="18" t="n">
        <v>696.123</v>
      </c>
      <c r="G41" s="18" t="n">
        <v>1705.533</v>
      </c>
      <c r="H41" s="18" t="n">
        <v>1640</v>
      </c>
      <c r="I41" s="18" t="n">
        <v>1611</v>
      </c>
      <c r="J41" s="18" t="n">
        <v>1483</v>
      </c>
      <c r="K41" s="18" t="n">
        <v>1484</v>
      </c>
      <c r="L41" s="18" t="n">
        <v>1484</v>
      </c>
      <c r="M41" s="18" t="n">
        <v>1484</v>
      </c>
      <c r="N41" s="18" t="n">
        <v>1485</v>
      </c>
      <c r="O41" s="18" t="n">
        <v>1485</v>
      </c>
      <c r="P41" s="18" t="n">
        <v>1486</v>
      </c>
      <c r="Q41" s="18" t="n">
        <v>1486</v>
      </c>
      <c r="R41" s="18" t="n">
        <v>1487</v>
      </c>
      <c r="S41" s="18" t="n">
        <v>1487</v>
      </c>
      <c r="T41" s="18" t="n">
        <v>1488</v>
      </c>
      <c r="U41" s="18" t="n">
        <v>1488</v>
      </c>
      <c r="V41" s="18" t="n">
        <v>1488</v>
      </c>
      <c r="W41" s="18" t="n">
        <v>1489</v>
      </c>
      <c r="X41" s="18" t="n">
        <v>1489</v>
      </c>
      <c r="Y41" s="18" t="n">
        <v>1490</v>
      </c>
      <c r="Z41" s="18" t="n">
        <v>1490</v>
      </c>
      <c r="AA41" s="18" t="n">
        <v>1491</v>
      </c>
      <c r="AB41" s="18" t="n">
        <v>2291</v>
      </c>
      <c r="AC41" s="18" t="n">
        <v>1491</v>
      </c>
    </row>
    <row r="42">
      <c r="A42" s="4" t="inlineStr">
        <is>
          <t>Total Equity</t>
        </is>
      </c>
      <c r="B42" s="18" t="n">
        <v>1260.946</v>
      </c>
      <c r="C42" s="18" t="n">
        <v>1429.473</v>
      </c>
      <c r="D42" s="18" t="n">
        <v>2127.941</v>
      </c>
      <c r="E42" s="18" t="n">
        <v>2266.095</v>
      </c>
      <c r="F42" s="18" t="n">
        <v>2478.806</v>
      </c>
      <c r="G42" s="18" t="n">
        <v>2673.716</v>
      </c>
      <c r="H42" s="18" t="n">
        <v>2834</v>
      </c>
      <c r="I42" s="18" t="n">
        <v>3037</v>
      </c>
      <c r="J42" s="18" t="n">
        <v>3275</v>
      </c>
      <c r="K42" s="18" t="n">
        <v>3534</v>
      </c>
      <c r="L42" s="18" t="n">
        <v>3695</v>
      </c>
      <c r="M42" s="18" t="n">
        <v>3997</v>
      </c>
      <c r="N42" s="18" t="n">
        <v>4194</v>
      </c>
      <c r="O42" s="18" t="n">
        <v>4523</v>
      </c>
      <c r="P42" s="18" t="n">
        <v>5032</v>
      </c>
      <c r="Q42" s="18" t="n">
        <v>5600</v>
      </c>
      <c r="R42" s="18" t="n">
        <v>6926</v>
      </c>
      <c r="S42" s="18" t="n">
        <v>7182</v>
      </c>
      <c r="T42" s="18" t="n">
        <v>7628</v>
      </c>
      <c r="U42" s="18" t="n">
        <v>8107</v>
      </c>
      <c r="V42" s="18" t="n">
        <v>8666</v>
      </c>
      <c r="W42" s="18" t="n">
        <v>9290</v>
      </c>
      <c r="X42" s="18" t="n">
        <v>9609</v>
      </c>
      <c r="Y42" s="18" t="n">
        <v>10139</v>
      </c>
      <c r="Z42" s="18" t="n">
        <v>10932</v>
      </c>
      <c r="AA42" s="18" t="n">
        <v>11301</v>
      </c>
      <c r="AB42" s="18" t="n">
        <v>12964</v>
      </c>
      <c r="AC42" s="18" t="n">
        <v>11728</v>
      </c>
    </row>
    <row r="43">
      <c r="A43" s="5" t="inlineStr">
        <is>
          <t xml:space="preserve">  CASH FLOW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4" t="inlineStr">
        <is>
          <t>D&amp;A</t>
        </is>
      </c>
      <c r="B44" s="18" t="n">
        <v>60.328</v>
      </c>
      <c r="C44" s="18" t="n">
        <v>64.006</v>
      </c>
      <c r="D44" s="18" t="n">
        <v>72.331</v>
      </c>
      <c r="E44" s="18" t="n">
        <v>76.238</v>
      </c>
      <c r="F44" s="18" t="n">
        <v>82.39</v>
      </c>
      <c r="G44" s="18" t="n">
        <v>84.72</v>
      </c>
      <c r="H44" s="18" t="n">
        <v>93.033</v>
      </c>
      <c r="I44" s="18" t="n">
        <v>106</v>
      </c>
      <c r="J44" s="18" t="n">
        <v>115</v>
      </c>
      <c r="K44" s="18" t="n">
        <v>125</v>
      </c>
      <c r="L44" s="18" t="n">
        <v>126</v>
      </c>
      <c r="M44" s="18" t="n">
        <v>101</v>
      </c>
      <c r="N44" s="18" t="n">
        <v>105</v>
      </c>
      <c r="O44" s="18" t="n">
        <v>109</v>
      </c>
      <c r="P44" s="18" t="n">
        <v>118</v>
      </c>
      <c r="Q44" s="18" t="n">
        <v>126</v>
      </c>
      <c r="R44" s="18" t="n">
        <v>136</v>
      </c>
      <c r="S44" s="18" t="n">
        <v>146</v>
      </c>
      <c r="T44" s="18" t="n">
        <v>154</v>
      </c>
      <c r="U44" s="18" t="n">
        <v>130</v>
      </c>
      <c r="V44" s="18" t="n">
        <v>136</v>
      </c>
      <c r="W44" s="18" t="n">
        <v>144</v>
      </c>
      <c r="X44" s="18" t="n">
        <v>154</v>
      </c>
      <c r="Y44" s="18" t="n">
        <v>160</v>
      </c>
      <c r="Z44" s="18" t="n">
        <v>145</v>
      </c>
      <c r="AA44" s="18" t="n">
        <v>221</v>
      </c>
      <c r="AB44" s="18" t="n">
        <v>212</v>
      </c>
      <c r="AC44" s="18" t="n">
        <v>258</v>
      </c>
    </row>
    <row r="45">
      <c r="A45" s="4" t="inlineStr">
        <is>
          <t>Stock-based Compensation</t>
        </is>
      </c>
      <c r="B45" s="18" t="n">
        <v>171.76</v>
      </c>
      <c r="C45" s="18" t="n">
        <v>162.934</v>
      </c>
      <c r="D45" s="18" t="n">
        <v>170.051</v>
      </c>
      <c r="E45" s="18" t="n">
        <v>188.285</v>
      </c>
      <c r="F45" s="18" t="n">
        <v>216.84</v>
      </c>
      <c r="G45" s="18" t="n">
        <v>219.929</v>
      </c>
      <c r="H45" s="18" t="n">
        <v>245.399</v>
      </c>
      <c r="I45" s="18" t="n">
        <v>256</v>
      </c>
      <c r="J45" s="18" t="n">
        <v>281</v>
      </c>
      <c r="K45" s="18" t="n">
        <v>291</v>
      </c>
      <c r="L45" s="18" t="n">
        <v>302</v>
      </c>
      <c r="M45" s="18" t="n">
        <v>325</v>
      </c>
      <c r="N45" s="18" t="n">
        <v>352</v>
      </c>
      <c r="O45" s="18" t="n">
        <v>361</v>
      </c>
      <c r="P45" s="18" t="n">
        <v>363</v>
      </c>
      <c r="Q45" s="18" t="n">
        <v>381</v>
      </c>
      <c r="R45" s="18" t="n">
        <v>397</v>
      </c>
      <c r="S45" s="18" t="n">
        <v>413</v>
      </c>
      <c r="T45" s="18" t="n">
        <v>413</v>
      </c>
      <c r="U45" s="18" t="n">
        <v>422</v>
      </c>
      <c r="V45" s="18" t="n">
        <v>444</v>
      </c>
      <c r="W45" s="18" t="n">
        <v>426</v>
      </c>
      <c r="X45" s="18" t="n">
        <v>454</v>
      </c>
      <c r="Y45" s="18" t="n">
        <v>470</v>
      </c>
      <c r="Z45" s="18" t="n">
        <v>499</v>
      </c>
      <c r="AA45" s="18" t="n">
        <v>492</v>
      </c>
      <c r="AB45" s="18" t="n">
        <v>494</v>
      </c>
      <c r="AC45" s="18" t="n">
        <v>547</v>
      </c>
    </row>
    <row r="46">
      <c r="A46" s="4" t="inlineStr">
        <is>
          <t>Change in Working Capital</t>
        </is>
      </c>
      <c r="B46" s="18" t="n">
        <v>-19.877</v>
      </c>
      <c r="C46" s="18" t="n">
        <v>-107.359</v>
      </c>
      <c r="D46" s="18" t="n">
        <v>103.065</v>
      </c>
      <c r="E46" s="18" t="n">
        <v>120.301</v>
      </c>
      <c r="F46" s="18" t="n">
        <v>-25.908</v>
      </c>
      <c r="G46" s="18" t="n">
        <v>-110.102</v>
      </c>
      <c r="H46" s="18" t="n">
        <v>297.183</v>
      </c>
      <c r="I46" s="18" t="n">
        <v>206</v>
      </c>
      <c r="J46" s="18" t="n">
        <v>-207</v>
      </c>
      <c r="K46" s="18" t="n">
        <v>-242</v>
      </c>
      <c r="L46" s="18" t="n">
        <v>301</v>
      </c>
      <c r="M46" s="18" t="n">
        <v>266</v>
      </c>
      <c r="N46" s="18" t="n">
        <v>-133</v>
      </c>
      <c r="O46" s="18" t="n">
        <v>-367</v>
      </c>
      <c r="P46" s="18" t="n">
        <v>408</v>
      </c>
      <c r="Q46" s="18" t="n">
        <v>131</v>
      </c>
      <c r="R46" s="18" t="n">
        <v>-195</v>
      </c>
      <c r="S46" s="18" t="n">
        <v>-624</v>
      </c>
      <c r="T46" s="18" t="n">
        <v>587</v>
      </c>
      <c r="U46" s="18" t="n">
        <v>301</v>
      </c>
      <c r="V46" s="18" t="n">
        <v>-371</v>
      </c>
      <c r="W46" s="18" t="n">
        <v>-460</v>
      </c>
      <c r="X46" s="18" t="n">
        <v>465</v>
      </c>
      <c r="Y46" s="18" t="n">
        <v>406</v>
      </c>
      <c r="Z46" s="18" t="n">
        <v>-562</v>
      </c>
      <c r="AA46" s="18" t="n">
        <v>-641</v>
      </c>
      <c r="AB46" s="18" t="n">
        <v>826</v>
      </c>
      <c r="AC46" s="18" t="n">
        <v>-142</v>
      </c>
    </row>
    <row r="47">
      <c r="A47" s="4" t="inlineStr">
        <is>
          <t>Operating Cash Flow</t>
        </is>
      </c>
      <c r="B47" s="18" t="n">
        <v>243.735</v>
      </c>
      <c r="C47" s="18" t="n">
        <v>210.178</v>
      </c>
      <c r="D47" s="18" t="n">
        <v>421.211</v>
      </c>
      <c r="E47" s="18" t="n">
        <v>491.568</v>
      </c>
      <c r="F47" s="18" t="n">
        <v>368.054</v>
      </c>
      <c r="G47" s="18" t="n">
        <v>241.452</v>
      </c>
      <c r="H47" s="18" t="n">
        <v>685.525</v>
      </c>
      <c r="I47" s="18" t="n">
        <v>727</v>
      </c>
      <c r="J47" s="18" t="n">
        <v>300</v>
      </c>
      <c r="K47" s="18" t="n">
        <v>320</v>
      </c>
      <c r="L47" s="18" t="n">
        <v>844</v>
      </c>
      <c r="M47" s="18" t="n">
        <v>863</v>
      </c>
      <c r="N47" s="18" t="n">
        <v>433</v>
      </c>
      <c r="O47" s="18" t="n">
        <v>265</v>
      </c>
      <c r="P47" s="18" t="n">
        <v>1162</v>
      </c>
      <c r="Q47" s="18" t="n">
        <v>902</v>
      </c>
      <c r="R47" s="18" t="n">
        <v>580</v>
      </c>
      <c r="S47" s="18" t="n">
        <v>311</v>
      </c>
      <c r="T47" s="18" t="n">
        <v>1605</v>
      </c>
      <c r="U47" s="18" t="n">
        <v>1341</v>
      </c>
      <c r="V47" s="18" t="n">
        <v>620</v>
      </c>
      <c r="W47" s="18" t="n">
        <v>671</v>
      </c>
      <c r="X47" s="18" t="n">
        <v>1635</v>
      </c>
      <c r="Y47" s="18" t="n">
        <v>1677</v>
      </c>
      <c r="Z47" s="18" t="n">
        <v>716</v>
      </c>
      <c r="AA47" s="18" t="n">
        <v>813</v>
      </c>
      <c r="AB47" s="18" t="n">
        <v>2238</v>
      </c>
      <c r="AC47" s="18" t="n">
        <v>1670</v>
      </c>
    </row>
    <row r="48">
      <c r="A48" s="4" t="inlineStr">
        <is>
          <t>Capex</t>
        </is>
      </c>
      <c r="B48" s="18" t="n">
        <v>-86.056</v>
      </c>
      <c r="C48" s="18" t="n">
        <v>-90.069</v>
      </c>
      <c r="D48" s="18" t="n">
        <v>-114.332</v>
      </c>
      <c r="E48" s="18" t="n">
        <v>-83.20699999999999</v>
      </c>
      <c r="F48" s="18" t="n">
        <v>-116.964</v>
      </c>
      <c r="G48" s="18" t="n">
        <v>-91.65600000000001</v>
      </c>
      <c r="H48" s="18" t="n">
        <v>-140.69</v>
      </c>
      <c r="I48" s="18" t="n">
        <v>-107</v>
      </c>
      <c r="J48" s="18" t="n">
        <v>-91</v>
      </c>
      <c r="K48" s="18" t="n">
        <v>-94</v>
      </c>
      <c r="L48" s="18" t="n">
        <v>-107</v>
      </c>
      <c r="M48" s="18" t="n">
        <v>-93</v>
      </c>
      <c r="N48" s="18" t="n">
        <v>-151</v>
      </c>
      <c r="O48" s="18" t="n">
        <v>-162</v>
      </c>
      <c r="P48" s="18" t="n">
        <v>-144</v>
      </c>
      <c r="Q48" s="18" t="n">
        <v>-165</v>
      </c>
      <c r="R48" s="18" t="n">
        <v>-132</v>
      </c>
      <c r="S48" s="18" t="n">
        <v>-136</v>
      </c>
      <c r="T48" s="18" t="n">
        <v>-261</v>
      </c>
      <c r="U48" s="18" t="n">
        <v>-156</v>
      </c>
      <c r="V48" s="18" t="n">
        <v>-271</v>
      </c>
      <c r="W48" s="18" t="n">
        <v>-202</v>
      </c>
      <c r="X48" s="18" t="n">
        <v>-253</v>
      </c>
      <c r="Y48" s="18" t="n">
        <v>-205</v>
      </c>
      <c r="Z48" s="18" t="n">
        <v>-190</v>
      </c>
      <c r="AA48" s="18" t="n">
        <v>-235</v>
      </c>
      <c r="AB48" s="18" t="n">
        <v>-238</v>
      </c>
      <c r="AC48" s="18" t="n">
        <v>-141</v>
      </c>
    </row>
    <row r="49">
      <c r="A49" s="4" t="inlineStr">
        <is>
          <t>Free Cash Flow</t>
        </is>
      </c>
      <c r="B49" s="18" t="n">
        <v>157.679</v>
      </c>
      <c r="C49" s="18" t="n">
        <v>120.109</v>
      </c>
      <c r="D49" s="18" t="n">
        <v>306.879</v>
      </c>
      <c r="E49" s="18" t="n">
        <v>408.361</v>
      </c>
      <c r="F49" s="18" t="n">
        <v>251.09</v>
      </c>
      <c r="G49" s="18" t="n">
        <v>149.796</v>
      </c>
      <c r="H49" s="18" t="n">
        <v>544.835</v>
      </c>
      <c r="I49" s="18" t="n">
        <v>620</v>
      </c>
      <c r="J49" s="18" t="n">
        <v>209</v>
      </c>
      <c r="K49" s="18" t="n">
        <v>226</v>
      </c>
      <c r="L49" s="18" t="n">
        <v>737</v>
      </c>
      <c r="M49" s="18" t="n">
        <v>770</v>
      </c>
      <c r="N49" s="18" t="n">
        <v>282</v>
      </c>
      <c r="O49" s="18" t="n">
        <v>103</v>
      </c>
      <c r="P49" s="18" t="n">
        <v>1018</v>
      </c>
      <c r="Q49" s="18" t="n">
        <v>737</v>
      </c>
      <c r="R49" s="18" t="n">
        <v>448</v>
      </c>
      <c r="S49" s="18" t="n">
        <v>175</v>
      </c>
      <c r="T49" s="18" t="n">
        <v>1344</v>
      </c>
      <c r="U49" s="18" t="n">
        <v>1185</v>
      </c>
      <c r="V49" s="18" t="n">
        <v>349</v>
      </c>
      <c r="W49" s="18" t="n">
        <v>469</v>
      </c>
      <c r="X49" s="18" t="n">
        <v>1382</v>
      </c>
      <c r="Y49" s="18" t="n">
        <v>1472</v>
      </c>
      <c r="Z49" s="18" t="n">
        <v>526</v>
      </c>
      <c r="AA49" s="18" t="n">
        <v>578</v>
      </c>
      <c r="AB49" s="18" t="n">
        <v>2000</v>
      </c>
      <c r="AC49" s="18" t="n">
        <v>1529</v>
      </c>
    </row>
    <row r="51">
      <c r="A5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16198.81892</v>
      </c>
      <c r="C4" s="18" t="n">
        <v>19196.718583</v>
      </c>
      <c r="D4" s="18" t="n">
        <v>22804.726449</v>
      </c>
      <c r="E4" s="18" t="n">
        <v>26387.476258</v>
      </c>
      <c r="F4" s="18" t="n">
        <v>30432.162075</v>
      </c>
    </row>
    <row r="5">
      <c r="A5" s="4" t="inlineStr">
        <is>
          <t xml:space="preserve">  model</t>
        </is>
      </c>
      <c r="B5" s="34">
        <f>Model!G8</f>
        <v/>
      </c>
      <c r="C5" s="34">
        <f>Model!H8</f>
        <v/>
      </c>
      <c r="D5" s="34">
        <f>Model!I8</f>
        <v/>
      </c>
      <c r="E5" s="34">
        <f>Model!J8</f>
        <v/>
      </c>
      <c r="F5" s="34">
        <f>Model!K8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  <c r="F6" s="47">
        <f>IFERROR(F5/F4-1,"")</f>
        <v/>
      </c>
    </row>
    <row r="8">
      <c r="A8" s="3" t="inlineStr">
        <is>
          <t>EBITDA* — consensus</t>
        </is>
      </c>
      <c r="B8" s="18" t="n">
        <v>5737.336679</v>
      </c>
      <c r="C8" s="18" t="n">
        <v>6799.139998</v>
      </c>
      <c r="D8" s="18" t="n">
        <v>8077.032909</v>
      </c>
      <c r="E8" s="18" t="n">
        <v>9345.979861</v>
      </c>
      <c r="F8" s="18" t="n">
        <v>10778.53642</v>
      </c>
    </row>
    <row r="9">
      <c r="A9" s="4" t="inlineStr">
        <is>
          <t xml:space="preserve">  model</t>
        </is>
      </c>
      <c r="B9" s="34">
        <f>Model!G21+Model!G26</f>
        <v/>
      </c>
      <c r="C9" s="34">
        <f>Model!H21+Model!H26</f>
        <v/>
      </c>
      <c r="D9" s="34">
        <f>Model!I21+Model!I26</f>
        <v/>
      </c>
      <c r="E9" s="34">
        <f>Model!J21+Model!J26</f>
        <v/>
      </c>
      <c r="F9" s="34">
        <f>Model!K21+Model!K26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  <c r="F10" s="47">
        <f>IFERROR(F9/F8-1,"")</f>
        <v/>
      </c>
    </row>
    <row r="12">
      <c r="A12" s="3" t="inlineStr">
        <is>
          <t>EBIT* — consensus</t>
        </is>
      </c>
      <c r="B12" s="18" t="n">
        <v>5185.586791</v>
      </c>
      <c r="C12" s="18" t="n">
        <v>6145.278296</v>
      </c>
      <c r="D12" s="18" t="n">
        <v>7300.278424</v>
      </c>
      <c r="E12" s="18" t="n">
        <v>8447.192911</v>
      </c>
      <c r="F12" s="18" t="n">
        <v>9741.982948000001</v>
      </c>
    </row>
    <row r="13">
      <c r="A13" s="4" t="inlineStr">
        <is>
          <t xml:space="preserve">  model</t>
        </is>
      </c>
      <c r="B13" s="34">
        <f>Model!G21</f>
        <v/>
      </c>
      <c r="C13" s="34">
        <f>Model!H21</f>
        <v/>
      </c>
      <c r="D13" s="34">
        <f>Model!I21</f>
        <v/>
      </c>
      <c r="E13" s="34">
        <f>Model!J21</f>
        <v/>
      </c>
      <c r="F13" s="34">
        <f>Model!K21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  <c r="F14" s="47">
        <f>IFERROR(F13/F12-1,"")</f>
        <v/>
      </c>
    </row>
    <row r="16">
      <c r="A16" s="3" t="inlineStr">
        <is>
          <t>SG&amp;A — consensus</t>
        </is>
      </c>
      <c r="B16" s="18" t="n">
        <v>7435.73378</v>
      </c>
      <c r="C16" s="18" t="n">
        <v>8811.857798999999</v>
      </c>
      <c r="D16" s="18" t="n">
        <v>10468.039408</v>
      </c>
      <c r="E16" s="18" t="n">
        <v>12112.626826</v>
      </c>
      <c r="F16" s="18" t="n">
        <v>13969.256442</v>
      </c>
    </row>
    <row r="17">
      <c r="A17" s="4" t="inlineStr">
        <is>
          <t xml:space="preserve">  model</t>
        </is>
      </c>
      <c r="B17" s="34">
        <f>Model!G16</f>
        <v/>
      </c>
      <c r="C17" s="34">
        <f>Model!H16</f>
        <v/>
      </c>
      <c r="D17" s="34">
        <f>Model!I16</f>
        <v/>
      </c>
      <c r="E17" s="34">
        <f>Model!J16</f>
        <v/>
      </c>
      <c r="F17" s="34">
        <f>Model!K16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  <c r="F18" s="47">
        <f>IFERROR(F17/F16-1,"")</f>
        <v/>
      </c>
    </row>
    <row r="20">
      <c r="A20" s="3" t="inlineStr">
        <is>
          <t>Net income (NOPAT) — consensus</t>
        </is>
      </c>
      <c r="B20" s="18" t="n">
        <v>4202.1292685</v>
      </c>
      <c r="C20" s="18" t="n">
        <v>5017.0198395</v>
      </c>
      <c r="D20" s="18" t="n">
        <v>6074.0239255</v>
      </c>
      <c r="E20" s="18" t="n">
        <v>7561.528237</v>
      </c>
      <c r="F20" s="18" t="n">
        <v>9548.011809</v>
      </c>
    </row>
    <row r="21">
      <c r="A21" s="4" t="inlineStr">
        <is>
          <t xml:space="preserve">  model</t>
        </is>
      </c>
      <c r="B21" s="34">
        <f>Model!G25</f>
        <v/>
      </c>
      <c r="C21" s="34">
        <f>Model!H25</f>
        <v/>
      </c>
      <c r="D21" s="34">
        <f>Model!I25</f>
        <v/>
      </c>
      <c r="E21" s="34">
        <f>Model!J25</f>
        <v/>
      </c>
      <c r="F21" s="34">
        <f>Model!K25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  <c r="F22" s="47">
        <f>IFERROR(F21/F20-1,"")</f>
        <v/>
      </c>
    </row>
    <row r="24">
      <c r="A24" s="3" t="inlineStr">
        <is>
          <t>EPS — consensus</t>
        </is>
      </c>
      <c r="B24" s="48" t="n">
        <v>4.15397</v>
      </c>
      <c r="C24" s="48" t="n">
        <v>5.05942</v>
      </c>
      <c r="D24" s="48" t="n">
        <v>6.20297</v>
      </c>
      <c r="E24" s="48" t="n">
        <v>7.22209</v>
      </c>
      <c r="F24" s="48" t="n">
        <v>9.119400000000001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  <c r="F26" s="4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ServiceNow,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Model!G33</f>
        <v/>
      </c>
      <c r="D12" s="34">
        <f>Model!H33</f>
        <v/>
      </c>
      <c r="E12" s="34">
        <f>Model!I33</f>
        <v/>
      </c>
      <c r="F12" s="34">
        <f>Model!J33</f>
        <v/>
      </c>
      <c r="G12" s="34">
        <f>Model!K33</f>
        <v/>
      </c>
      <c r="H12" s="34">
        <f>Model!L33</f>
        <v/>
      </c>
      <c r="I12" s="34">
        <f>Model!M33</f>
        <v/>
      </c>
      <c r="J12" s="34">
        <f>Model!N33</f>
        <v/>
      </c>
      <c r="K12" s="34">
        <f>Model!O33</f>
        <v/>
      </c>
      <c r="L12" s="34">
        <f>Model!P33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Model!P8</f>
        <v/>
      </c>
    </row>
    <row r="21">
      <c r="A21" s="4" t="inlineStr">
        <is>
          <t>Terminal EBIT</t>
        </is>
      </c>
      <c r="B21" s="34">
        <f>Model!P21</f>
        <v/>
      </c>
    </row>
    <row r="22">
      <c r="A22" s="4" t="inlineStr">
        <is>
          <t>Terminal EBITDA (SBC-burdened)</t>
        </is>
      </c>
      <c r="B22" s="34">
        <f>Model!P21+Model!P26-Model!P27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Financials!AC36</f>
        <v/>
      </c>
    </row>
    <row r="33">
      <c r="A33" s="4" t="inlineStr">
        <is>
          <t>- Long-term debt</t>
        </is>
      </c>
      <c r="B33" s="34">
        <f>-Financials!AC41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0.06425470990866453</v>
      </c>
      <c r="C4" s="52" t="n">
        <v>0.06925470990866453</v>
      </c>
      <c r="D4" s="52" t="n">
        <v>0.07425470990866452</v>
      </c>
      <c r="E4" s="52" t="n">
        <v>0.07925470990866453</v>
      </c>
      <c r="F4" s="52" t="n">
        <v>0.08425470990866453</v>
      </c>
      <c r="G4" s="52" t="n">
        <v>0.08925470990866452</v>
      </c>
      <c r="H4" s="52" t="n">
        <v>0.09425470990866452</v>
      </c>
    </row>
    <row r="5">
      <c r="A5" s="53" t="n">
        <v>15.5</v>
      </c>
      <c r="B5" s="54" t="n">
        <v>87.23109104828568</v>
      </c>
      <c r="C5" s="54" t="n">
        <v>83.63077242939318</v>
      </c>
      <c r="D5" s="54" t="n">
        <v>80.20521205727881</v>
      </c>
      <c r="E5" s="54" t="n">
        <v>76.94507773872843</v>
      </c>
      <c r="F5" s="54" t="n">
        <v>73.84157827312768</v>
      </c>
      <c r="G5" s="54" t="n">
        <v>70.88642970360065</v>
      </c>
      <c r="H5" s="54" t="n">
        <v>68.07182381902254</v>
      </c>
    </row>
    <row r="6">
      <c r="A6" s="53" t="n">
        <v>16.5</v>
      </c>
      <c r="B6" s="54" t="n">
        <v>91.54542004281869</v>
      </c>
      <c r="C6" s="54" t="n">
        <v>87.74754948872901</v>
      </c>
      <c r="D6" s="54" t="n">
        <v>84.13434210556711</v>
      </c>
      <c r="E6" s="54" t="n">
        <v>80.69592640331265</v>
      </c>
      <c r="F6" s="54" t="n">
        <v>77.42300355059908</v>
      </c>
      <c r="G6" s="54" t="n">
        <v>74.30681163251423</v>
      </c>
      <c r="H6" s="54" t="n">
        <v>71.33909229311176</v>
      </c>
    </row>
    <row r="7">
      <c r="A7" s="53" t="n">
        <v>17.5</v>
      </c>
      <c r="B7" s="54" t="n">
        <v>95.85974903735175</v>
      </c>
      <c r="C7" s="54" t="n">
        <v>91.86432654806484</v>
      </c>
      <c r="D7" s="54" t="n">
        <v>88.0634721538554</v>
      </c>
      <c r="E7" s="54" t="n">
        <v>84.44677506789685</v>
      </c>
      <c r="F7" s="54" t="n">
        <v>81.00442882807046</v>
      </c>
      <c r="G7" s="54" t="n">
        <v>77.72719356142781</v>
      </c>
      <c r="H7" s="54" t="n">
        <v>74.60636076720098</v>
      </c>
    </row>
    <row r="8">
      <c r="A8" s="53" t="n">
        <v>18.5</v>
      </c>
      <c r="B8" s="54" t="n">
        <v>100.1740780318848</v>
      </c>
      <c r="C8" s="54" t="n">
        <v>95.98110360740067</v>
      </c>
      <c r="D8" s="54" t="n">
        <v>91.9926022021437</v>
      </c>
      <c r="E8" s="55" t="n">
        <v>88.19762373248106</v>
      </c>
      <c r="F8" s="54" t="n">
        <v>84.58585410554187</v>
      </c>
      <c r="G8" s="54" t="n">
        <v>81.14757549034138</v>
      </c>
      <c r="H8" s="54" t="n">
        <v>77.8736292412902</v>
      </c>
    </row>
    <row r="9">
      <c r="A9" s="53" t="n">
        <v>19.5</v>
      </c>
      <c r="B9" s="54" t="n">
        <v>104.4884070264178</v>
      </c>
      <c r="C9" s="54" t="n">
        <v>100.0978806667365</v>
      </c>
      <c r="D9" s="54" t="n">
        <v>95.92173225043202</v>
      </c>
      <c r="E9" s="54" t="n">
        <v>91.9484723970653</v>
      </c>
      <c r="F9" s="54" t="n">
        <v>88.16727938301327</v>
      </c>
      <c r="G9" s="54" t="n">
        <v>84.56795741925498</v>
      </c>
      <c r="H9" s="54" t="n">
        <v>81.14089771537942</v>
      </c>
    </row>
    <row r="10">
      <c r="A10" s="53" t="n">
        <v>20.5</v>
      </c>
      <c r="B10" s="8" t="n">
        <v>108.8027360209508</v>
      </c>
      <c r="C10" s="54" t="n">
        <v>104.2146577260724</v>
      </c>
      <c r="D10" s="54" t="n">
        <v>99.8508622987203</v>
      </c>
      <c r="E10" s="54" t="n">
        <v>95.69932106164951</v>
      </c>
      <c r="F10" s="54" t="n">
        <v>91.74870466048468</v>
      </c>
      <c r="G10" s="54" t="n">
        <v>87.98833934816857</v>
      </c>
      <c r="H10" s="54" t="n">
        <v>84.40816618946864</v>
      </c>
    </row>
    <row r="11">
      <c r="A11" s="53" t="n">
        <v>21.5</v>
      </c>
      <c r="B11" s="8" t="n">
        <v>113.1170650154839</v>
      </c>
      <c r="C11" s="8" t="n">
        <v>108.3314347854082</v>
      </c>
      <c r="D11" s="54" t="n">
        <v>103.7799923470086</v>
      </c>
      <c r="E11" s="54" t="n">
        <v>99.45016972623372</v>
      </c>
      <c r="F11" s="54" t="n">
        <v>95.33012993795607</v>
      </c>
      <c r="G11" s="54" t="n">
        <v>91.40872127708214</v>
      </c>
      <c r="H11" s="54" t="n">
        <v>87.67543466355787</v>
      </c>
    </row>
    <row r="13">
      <c r="A13" s="3" t="inlineStr">
        <is>
          <t>Current price</t>
        </is>
      </c>
      <c r="B13" s="54" t="n">
        <v>106.5399017333984</v>
      </c>
    </row>
    <row r="14">
      <c r="A14" s="3" t="inlineStr">
        <is>
          <t>Base WACC / multiple</t>
        </is>
      </c>
      <c r="B14" s="56" t="n">
        <v>0.07925470990866453</v>
      </c>
      <c r="C14" s="57" t="n">
        <v>18.5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0.05558065973791233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1.169471544715447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0.012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0.7326267767093528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2026-07-08T07:03:58Z</dcterms:created>
  <dcterms:modified xmlns:dcterms="http://purl.org/dc/terms/" xmlns:xsi="http://www.w3.org/2001/XMLSchema-instance" xsi:type="dcterms:W3CDTF">2026-07-08T07:03:58Z</dcterms:modified>
</cp:coreProperties>
</file>