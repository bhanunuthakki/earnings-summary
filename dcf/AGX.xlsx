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17.0%</t>
      </text>
    </comment>
    <comment ref="C20" authorId="0" shapeId="0">
      <text>
        <t>Opus: 5.0%</t>
      </text>
    </comment>
    <comment ref="B21" authorId="0" shapeId="0">
      <text>
        <t>Opus: 9.8%</t>
      </text>
    </comment>
    <comment ref="C21" authorId="0" shapeId="0">
      <text>
        <t>Opus: 5.0%</t>
      </text>
    </comment>
    <comment ref="B29" authorId="0" shapeId="0">
      <text>
        <t>Opus: 15.7%</t>
      </text>
    </comment>
    <comment ref="B30" authorId="0" shapeId="0">
      <text>
        <t>Opus: 14.1%</t>
      </text>
    </comment>
    <comment ref="B31" authorId="0" shapeId="0">
      <text>
        <t>Opus: 24.0%</t>
      </text>
    </comment>
    <comment ref="B34" authorId="0" shapeId="0">
      <text>
        <t>workbook (synced) — last-year capex +10% unless set to guidance; edits not tracked</t>
      </text>
    </comment>
    <comment ref="B35" authorId="0" shapeId="0">
      <text>
        <t>Opus: 1.1x</t>
      </text>
    </comment>
    <comment ref="B38" authorId="0" shapeId="0">
      <text>
        <t>workbook (synced) — no Opus pass — value synced from this workbook</t>
      </text>
    </comment>
    <comment ref="B39" authorId="0" shapeId="0">
      <text>
        <t>workbook (synced) — no Opus pass — value synced from this workbook</t>
      </text>
    </comment>
    <comment ref="B40" authorId="0" shapeId="0">
      <text>
        <t>Opus: 0.564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Opus: 12.0x</t>
      </text>
    </comment>
    <comment ref="B46" authorId="0" shapeId="0">
      <text>
        <t>Opus: 4.5%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Argan, Inc. (AGX)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Q4 2026</t>
        </is>
      </c>
    </row>
    <row r="6">
      <c r="A6" s="3" t="inlineStr">
        <is>
          <t>Assumptions by</t>
        </is>
      </c>
      <c r="B6" s="4" t="inlineStr">
        <is>
          <t>Opus 4.8 — values as of 2026-07-04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Argan, Inc. (AGX)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IF(Model!F36&lt;=0,"n/a (neg. capital)",Model!G38-WACC!B15)</f>
        <v/>
      </c>
      <c r="C15" s="10">
        <f>IF(Model!F36&lt;=0,"n/a",IF(Model!G38-WACC!B15&lt;0,"!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Power Industry Services</t>
        </is>
      </c>
      <c r="B20" s="15" t="n">
        <v>0.1698509698761148</v>
      </c>
      <c r="C20" s="15" t="n">
        <v>0.05</v>
      </c>
      <c r="D20" s="16" t="n">
        <v>0.1698509698761148</v>
      </c>
      <c r="E20" s="2" t="inlineStr"/>
    </row>
    <row r="21">
      <c r="A21" s="4" t="inlineStr">
        <is>
          <t>Industrial Fabrication And Field Services</t>
        </is>
      </c>
      <c r="B21" s="15" t="n">
        <v>0.09829851718868857</v>
      </c>
      <c r="C21" s="15" t="n">
        <v>0.05</v>
      </c>
      <c r="D21" s="16" t="n">
        <v>0.09829851718868857</v>
      </c>
      <c r="E21" s="2" t="inlineStr"/>
    </row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0.1567952476652494</v>
      </c>
      <c r="D29" s="16" t="n">
        <v>0.1567952476652494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0.1411933651210918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4.2647</v>
      </c>
      <c r="D34" s="18" t="n">
        <v>4.2647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0.5639999999999999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706.1500244140625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300.9847882208026</v>
      </c>
      <c r="C58" s="28" t="n">
        <v>413.9368294254063</v>
      </c>
      <c r="D58" s="28" t="n">
        <v>220.500913471891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0.008328340069828057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0.004997004041896833</v>
      </c>
      <c r="E66" s="2" t="inlineStr">
        <is>
          <t>fades near-&gt;terminal; also burdens the exit-multiple EBITDA</t>
        </is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AGX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2026-07-04 from the synced assumptions block (pass predates provenance tracking — may already include your edits)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Power Industry Services — near-term growth</t>
        </is>
      </c>
      <c r="B8" t="inlineStr">
        <is>
          <t>B20</t>
        </is>
      </c>
      <c r="C8" s="11">
        <f>Dashboard!B20</f>
        <v/>
      </c>
      <c r="D8" t="inlineStr">
        <is>
          <t>Opus</t>
        </is>
      </c>
      <c r="E8" t="inlineStr">
        <is>
          <t>17.0%</t>
        </is>
      </c>
      <c r="F8" s="31" t="inlineStr"/>
    </row>
    <row r="9">
      <c r="A9" t="inlineStr">
        <is>
          <t>Power Industry Services — terminal growth</t>
        </is>
      </c>
      <c r="B9" t="inlineStr">
        <is>
          <t>C20</t>
        </is>
      </c>
      <c r="C9" s="11">
        <f>Dashboard!C20</f>
        <v/>
      </c>
      <c r="D9" t="inlineStr">
        <is>
          <t>Opus</t>
        </is>
      </c>
      <c r="E9" t="inlineStr">
        <is>
          <t>5.0%</t>
        </is>
      </c>
      <c r="F9" s="31" t="inlineStr"/>
    </row>
    <row r="10">
      <c r="A10" t="inlineStr">
        <is>
          <t>Industrial Fabrication And Field Services — near-term growth</t>
        </is>
      </c>
      <c r="B10" t="inlineStr">
        <is>
          <t>B21</t>
        </is>
      </c>
      <c r="C10" s="11">
        <f>Dashboard!B21</f>
        <v/>
      </c>
      <c r="D10" t="inlineStr">
        <is>
          <t>Opus</t>
        </is>
      </c>
      <c r="E10" t="inlineStr">
        <is>
          <t>9.8%</t>
        </is>
      </c>
      <c r="F10" s="31" t="inlineStr"/>
    </row>
    <row r="11">
      <c r="A11" t="inlineStr">
        <is>
          <t>Industrial Fabrication And Field Services — terminal growth</t>
        </is>
      </c>
      <c r="B11" t="inlineStr">
        <is>
          <t>C21</t>
        </is>
      </c>
      <c r="C11" s="11">
        <f>Dashboard!C21</f>
        <v/>
      </c>
      <c r="D11" t="inlineStr">
        <is>
          <t>Opus</t>
        </is>
      </c>
      <c r="E11" t="inlineStr">
        <is>
          <t>5.0%</t>
        </is>
      </c>
      <c r="F11" s="31" t="inlineStr"/>
    </row>
    <row r="12">
      <c r="A12" t="inlineStr">
        <is>
          <t>Near-term operating margin</t>
        </is>
      </c>
      <c r="B12" t="inlineStr">
        <is>
          <t>B29</t>
        </is>
      </c>
      <c r="C12" s="11">
        <f>Dashboard!B29</f>
        <v/>
      </c>
      <c r="D12" t="inlineStr">
        <is>
          <t>Opus</t>
        </is>
      </c>
      <c r="E12" t="inlineStr">
        <is>
          <t>15.7%</t>
        </is>
      </c>
      <c r="F12" s="31" t="inlineStr"/>
    </row>
    <row r="13">
      <c r="A13" t="inlineStr">
        <is>
          <t>Terminal operating margin</t>
        </is>
      </c>
      <c r="B13" t="inlineStr">
        <is>
          <t>B30</t>
        </is>
      </c>
      <c r="C13" s="11">
        <f>Dashboard!B30</f>
        <v/>
      </c>
      <c r="D13" t="inlineStr">
        <is>
          <t>Opus</t>
        </is>
      </c>
      <c r="E13" t="inlineStr">
        <is>
          <t>14.1%</t>
        </is>
      </c>
      <c r="F13" s="31" t="inlineStr"/>
    </row>
    <row r="14">
      <c r="A14" t="inlineStr">
        <is>
          <t>Tax rate</t>
        </is>
      </c>
      <c r="B14" t="inlineStr">
        <is>
          <t>B31</t>
        </is>
      </c>
      <c r="C14" s="11">
        <f>Dashboard!B31</f>
        <v/>
      </c>
      <c r="D14" t="inlineStr">
        <is>
          <t>Opus</t>
        </is>
      </c>
      <c r="E14" t="inlineStr">
        <is>
          <t>24.0%</t>
        </is>
      </c>
      <c r="F14" s="31" t="inlineStr"/>
    </row>
    <row r="15">
      <c r="A15" t="inlineStr">
        <is>
          <t>Terminal capex / D&amp;A</t>
        </is>
      </c>
      <c r="B15" t="inlineStr">
        <is>
          <t>B35</t>
        </is>
      </c>
      <c r="C15" s="13">
        <f>Dashboard!B35</f>
        <v/>
      </c>
      <c r="D15" t="inlineStr">
        <is>
          <t>Opus</t>
        </is>
      </c>
      <c r="E15" t="inlineStr">
        <is>
          <t>1.1x</t>
        </is>
      </c>
      <c r="F15" s="31" t="inlineStr"/>
    </row>
    <row r="16">
      <c r="A16" t="inlineStr">
        <is>
          <t>Risk-free rate (10Y)</t>
        </is>
      </c>
      <c r="B16" t="inlineStr">
        <is>
          <t>B38</t>
        </is>
      </c>
      <c r="C16" s="11">
        <f>Dashboard!B38</f>
        <v/>
      </c>
      <c r="D16" t="inlineStr">
        <is>
          <t>workbook (synced)</t>
        </is>
      </c>
      <c r="E16" t="inlineStr">
        <is>
          <t>—</t>
        </is>
      </c>
      <c r="F16" s="31" t="inlineStr">
        <is>
          <t>no Opus pass — value synced from this workbook</t>
        </is>
      </c>
    </row>
    <row r="17">
      <c r="A17" t="inlineStr">
        <is>
          <t>Equity risk premium</t>
        </is>
      </c>
      <c r="B17" t="inlineStr">
        <is>
          <t>B39</t>
        </is>
      </c>
      <c r="C17" s="11">
        <f>Dashboard!B39</f>
        <v/>
      </c>
      <c r="D17" t="inlineStr">
        <is>
          <t>workbook (synced)</t>
        </is>
      </c>
      <c r="E17" t="inlineStr">
        <is>
          <t>—</t>
        </is>
      </c>
      <c r="F17" s="31" t="inlineStr">
        <is>
          <t>no Opus pass — value synced from this workbook</t>
        </is>
      </c>
    </row>
    <row r="18">
      <c r="A18" t="inlineStr">
        <is>
          <t>Beta (levered)</t>
        </is>
      </c>
      <c r="B18" t="inlineStr">
        <is>
          <t>B40</t>
        </is>
      </c>
      <c r="C18" s="32">
        <f>Dashboard!B40</f>
        <v/>
      </c>
      <c r="D18" t="inlineStr">
        <is>
          <t>Opus</t>
        </is>
      </c>
      <c r="E18" t="inlineStr">
        <is>
          <t>0.564</t>
        </is>
      </c>
      <c r="F18" s="31" t="inlineStr"/>
    </row>
    <row r="19">
      <c r="A19" t="inlineStr">
        <is>
          <t>Pre-tax cost of debt</t>
        </is>
      </c>
      <c r="B19" t="inlineStr">
        <is>
          <t>B41</t>
        </is>
      </c>
      <c r="C19" s="11">
        <f>Dashboard!B41</f>
        <v/>
      </c>
      <c r="D19" t="inlineStr">
        <is>
          <t>Opus</t>
        </is>
      </c>
      <c r="E19" t="inlineStr">
        <is>
          <t>4.5%</t>
        </is>
      </c>
      <c r="F19" s="31" t="inlineStr"/>
    </row>
    <row r="20">
      <c r="A20" t="inlineStr">
        <is>
          <t>Terminal method</t>
        </is>
      </c>
      <c r="B20" t="inlineStr">
        <is>
          <t>B43</t>
        </is>
      </c>
      <c r="C20" s="12">
        <f>Dashboard!B43</f>
        <v/>
      </c>
      <c r="D20" t="inlineStr">
        <is>
          <t>Opus</t>
        </is>
      </c>
      <c r="E20" t="inlineStr">
        <is>
          <t>Exit multiple</t>
        </is>
      </c>
      <c r="F20" s="31" t="inlineStr"/>
    </row>
    <row r="21">
      <c r="A21" t="inlineStr">
        <is>
          <t>Exit basis</t>
        </is>
      </c>
      <c r="B21" t="inlineStr">
        <is>
          <t>B44</t>
        </is>
      </c>
      <c r="C21" s="12">
        <f>Dashboard!B44</f>
        <v/>
      </c>
      <c r="D21" t="inlineStr">
        <is>
          <t>Opus</t>
        </is>
      </c>
      <c r="E21" t="inlineStr">
        <is>
          <t>EV/EBITDA</t>
        </is>
      </c>
      <c r="F21" s="31" t="inlineStr"/>
    </row>
    <row r="22">
      <c r="A22" t="inlineStr">
        <is>
          <t>Exit multiple</t>
        </is>
      </c>
      <c r="B22" t="inlineStr">
        <is>
          <t>B45</t>
        </is>
      </c>
      <c r="C22" s="13">
        <f>Dashboard!B45</f>
        <v/>
      </c>
      <c r="D22" t="inlineStr">
        <is>
          <t>Opus</t>
        </is>
      </c>
      <c r="E22" t="inlineStr">
        <is>
          <t>12.0x</t>
        </is>
      </c>
      <c r="F22" s="31" t="inlineStr"/>
    </row>
    <row r="23">
      <c r="A23" t="inlineStr">
        <is>
          <t>Terminal growth (g)</t>
        </is>
      </c>
      <c r="B23" t="inlineStr">
        <is>
          <t>B46</t>
        </is>
      </c>
      <c r="C23" s="11">
        <f>Dashboard!B46</f>
        <v/>
      </c>
      <c r="D23" t="inlineStr">
        <is>
          <t>Opus</t>
        </is>
      </c>
      <c r="E23" t="inlineStr">
        <is>
          <t>4.5%</t>
        </is>
      </c>
      <c r="F23" s="31" t="inlineStr"/>
    </row>
    <row r="24">
      <c r="A24" t="inlineStr">
        <is>
          <t>2026 capex ($M)</t>
        </is>
      </c>
      <c r="B24" t="inlineStr">
        <is>
          <t>B34</t>
        </is>
      </c>
      <c r="C24" s="33">
        <f>Dashboard!B34</f>
        <v/>
      </c>
      <c r="D24" t="inlineStr">
        <is>
          <t>workbook (synced)</t>
        </is>
      </c>
      <c r="E24" t="inlineStr">
        <is>
          <t>—</t>
        </is>
      </c>
      <c r="F24" s="31" t="inlineStr">
        <is>
          <t>last-year capex +10% unless set to guidance; edits not tracked</t>
        </is>
      </c>
    </row>
    <row r="25">
      <c r="A25" t="inlineStr">
        <is>
          <t>Bull Δ — segment growth, near-term</t>
        </is>
      </c>
      <c r="B25" t="inlineStr">
        <is>
          <t>C52</t>
        </is>
      </c>
      <c r="C25" s="34">
        <f>Dashboard!C52</f>
        <v/>
      </c>
      <c r="D25" t="inlineStr">
        <is>
          <t>seed default</t>
        </is>
      </c>
      <c r="E25" t="inlineStr">
        <is>
          <t>3.0%</t>
        </is>
      </c>
      <c r="F25" s="31" t="inlineStr"/>
    </row>
    <row r="26">
      <c r="A26" t="inlineStr">
        <is>
          <t>Bear Δ — segment growth, near-term</t>
        </is>
      </c>
      <c r="B26" t="inlineStr">
        <is>
          <t>D52</t>
        </is>
      </c>
      <c r="C26" s="34">
        <f>Dashboard!D52</f>
        <v/>
      </c>
      <c r="D26" t="inlineStr">
        <is>
          <t>seed default</t>
        </is>
      </c>
      <c r="E26" t="inlineStr">
        <is>
          <t>-3.0%</t>
        </is>
      </c>
      <c r="F26" s="31" t="inlineStr"/>
    </row>
    <row r="27">
      <c r="A27" t="inlineStr">
        <is>
          <t>Bull Δ — segment growth, terminal</t>
        </is>
      </c>
      <c r="B27" t="inlineStr">
        <is>
          <t>C53</t>
        </is>
      </c>
      <c r="C27" s="34">
        <f>Dashboard!C53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segment growth, terminal</t>
        </is>
      </c>
      <c r="B28" t="inlineStr">
        <is>
          <t>D53</t>
        </is>
      </c>
      <c r="C28" s="34">
        <f>Dashboard!D53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near-term</t>
        </is>
      </c>
      <c r="B29" t="inlineStr">
        <is>
          <t>C54</t>
        </is>
      </c>
      <c r="C29" s="34">
        <f>Dashboard!C54</f>
        <v/>
      </c>
      <c r="D29" t="inlineStr">
        <is>
          <t>seed default</t>
        </is>
      </c>
      <c r="E29" t="inlineStr">
        <is>
          <t>1.0%</t>
        </is>
      </c>
      <c r="F29" s="31" t="inlineStr"/>
    </row>
    <row r="30">
      <c r="A30" t="inlineStr">
        <is>
          <t>Bear Δ — operating margin, near-term</t>
        </is>
      </c>
      <c r="B30" t="inlineStr">
        <is>
          <t>D54</t>
        </is>
      </c>
      <c r="C30" s="34">
        <f>Dashboard!D54</f>
        <v/>
      </c>
      <c r="D30" t="inlineStr">
        <is>
          <t>seed default</t>
        </is>
      </c>
      <c r="E30" t="inlineStr">
        <is>
          <t>-1.0%</t>
        </is>
      </c>
      <c r="F30" s="31" t="inlineStr"/>
    </row>
    <row r="31">
      <c r="A31" t="inlineStr">
        <is>
          <t>Bull Δ — operating margin, terminal</t>
        </is>
      </c>
      <c r="B31" t="inlineStr">
        <is>
          <t>C55</t>
        </is>
      </c>
      <c r="C31" s="34">
        <f>Dashboard!C55</f>
        <v/>
      </c>
      <c r="D31" t="inlineStr">
        <is>
          <t>seed default</t>
        </is>
      </c>
      <c r="E31" t="inlineStr">
        <is>
          <t>2.0%</t>
        </is>
      </c>
      <c r="F31" s="31" t="inlineStr"/>
    </row>
    <row r="32">
      <c r="A32" t="inlineStr">
        <is>
          <t>Bear Δ — operating margin, terminal</t>
        </is>
      </c>
      <c r="B32" t="inlineStr">
        <is>
          <t>D55</t>
        </is>
      </c>
      <c r="C32" s="34">
        <f>Dashboard!D55</f>
        <v/>
      </c>
      <c r="D32" t="inlineStr">
        <is>
          <t>seed default</t>
        </is>
      </c>
      <c r="E32" t="inlineStr">
        <is>
          <t>-2.0%</t>
        </is>
      </c>
      <c r="F32" s="31" t="inlineStr"/>
    </row>
    <row r="33">
      <c r="A33" t="inlineStr">
        <is>
          <t>Bull Δ — exit multiple</t>
        </is>
      </c>
      <c r="B33" t="inlineStr">
        <is>
          <t>C56</t>
        </is>
      </c>
      <c r="C33" s="35">
        <f>Dashboard!C56</f>
        <v/>
      </c>
      <c r="D33" t="inlineStr">
        <is>
          <t>seed default</t>
        </is>
      </c>
      <c r="E33" t="inlineStr">
        <is>
          <t>2.0x</t>
        </is>
      </c>
      <c r="F33" s="31" t="inlineStr"/>
    </row>
    <row r="34">
      <c r="A34" t="inlineStr">
        <is>
          <t>Bear Δ — exit multiple</t>
        </is>
      </c>
      <c r="B34" t="inlineStr">
        <is>
          <t>D56</t>
        </is>
      </c>
      <c r="C34" s="35">
        <f>Dashboard!D56</f>
        <v/>
      </c>
      <c r="D34" t="inlineStr">
        <is>
          <t>seed default</t>
        </is>
      </c>
      <c r="E34" t="inlineStr">
        <is>
          <t>-2.0x</t>
        </is>
      </c>
      <c r="F34" s="31" t="inlineStr"/>
    </row>
    <row r="35">
      <c r="A35" t="inlineStr">
        <is>
          <t>Bull Δ — terminal growth (g)</t>
        </is>
      </c>
      <c r="B35" t="inlineStr">
        <is>
          <t>C57</t>
        </is>
      </c>
      <c r="C35" s="34">
        <f>Dashboard!C57</f>
        <v/>
      </c>
      <c r="D35" t="inlineStr">
        <is>
          <t>seed default</t>
        </is>
      </c>
      <c r="E35" t="inlineStr">
        <is>
          <t>0.5%</t>
        </is>
      </c>
      <c r="F35" s="31" t="inlineStr"/>
    </row>
    <row r="36">
      <c r="A36" t="inlineStr">
        <is>
          <t>Bear Δ — terminal growth (g)</t>
        </is>
      </c>
      <c r="B36" t="inlineStr">
        <is>
          <t>D57</t>
        </is>
      </c>
      <c r="C36" s="34">
        <f>Dashboard!D57</f>
        <v/>
      </c>
      <c r="D36" t="inlineStr">
        <is>
          <t>seed default</t>
        </is>
      </c>
      <c r="E36" t="inlineStr">
        <is>
          <t>-0.5%</t>
        </is>
      </c>
      <c r="F36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Financials!AC41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FY2022A</t>
        </is>
      </c>
      <c r="C1" s="39" t="inlineStr">
        <is>
          <t>FY2023A</t>
        </is>
      </c>
      <c r="D1" s="39" t="inlineStr">
        <is>
          <t>FY2024A</t>
        </is>
      </c>
      <c r="E1" s="39" t="inlineStr">
        <is>
          <t>FY2025A</t>
        </is>
      </c>
      <c r="F1" s="39" t="inlineStr">
        <is>
          <t>FY2026A</t>
        </is>
      </c>
      <c r="G1" s="40" t="inlineStr">
        <is>
          <t>FY2027E</t>
        </is>
      </c>
      <c r="H1" s="40" t="inlineStr">
        <is>
          <t>FY2028E</t>
        </is>
      </c>
      <c r="I1" s="40" t="inlineStr">
        <is>
          <t>FY2029E</t>
        </is>
      </c>
      <c r="J1" s="40" t="inlineStr">
        <is>
          <t>FY2030E</t>
        </is>
      </c>
      <c r="K1" s="40" t="inlineStr">
        <is>
          <t>FY2031E</t>
        </is>
      </c>
      <c r="L1" s="40" t="inlineStr">
        <is>
          <t>FY2032E</t>
        </is>
      </c>
      <c r="M1" s="40" t="inlineStr">
        <is>
          <t>FY2033E</t>
        </is>
      </c>
      <c r="N1" s="40" t="inlineStr">
        <is>
          <t>FY2034E</t>
        </is>
      </c>
      <c r="O1" s="40" t="inlineStr">
        <is>
          <t>FY2035E</t>
        </is>
      </c>
      <c r="P1" s="40" t="inlineStr">
        <is>
          <t>FY2036E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Power Industry Services</t>
        </is>
      </c>
      <c r="B4" s="33">
        <f>SUM(Financials!J19:M19)</f>
        <v/>
      </c>
      <c r="C4" s="33">
        <f>SUM(Financials!N19:Q19)</f>
        <v/>
      </c>
      <c r="D4" s="33">
        <f>SUM(Financials!R19:U19)</f>
        <v/>
      </c>
      <c r="E4" s="33">
        <f>SUM(Financials!V19:Y19)</f>
        <v/>
      </c>
      <c r="F4" s="33">
        <f>SUM(Financials!Z19:AC19)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Industrial Fabrication And Field Services</t>
        </is>
      </c>
      <c r="B6" s="33">
        <f>SUM(Financials!J22:M22)</f>
        <v/>
      </c>
      <c r="C6" s="33">
        <f>SUM(Financials!N22:Q22)</f>
        <v/>
      </c>
      <c r="D6" s="33">
        <f>SUM(Financials!R22:U22)</f>
        <v/>
      </c>
      <c r="E6" s="33">
        <f>SUM(Financials!V22:Y22)</f>
        <v/>
      </c>
      <c r="F6" s="33">
        <f>SUM(Financials!Z22:AC22)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3" t="inlineStr">
        <is>
          <t>Total revenue</t>
        </is>
      </c>
      <c r="B8" s="42">
        <f>B4+B6</f>
        <v/>
      </c>
      <c r="C8" s="42">
        <f>C4+C6</f>
        <v/>
      </c>
      <c r="D8" s="42">
        <f>D4+D6</f>
        <v/>
      </c>
      <c r="E8" s="42">
        <f>E4+E6</f>
        <v/>
      </c>
      <c r="F8" s="42">
        <f>F4+F6</f>
        <v/>
      </c>
      <c r="G8" s="42">
        <f>G4+G6</f>
        <v/>
      </c>
      <c r="H8" s="42">
        <f>H4+H6</f>
        <v/>
      </c>
      <c r="I8" s="42">
        <f>I4+I6</f>
        <v/>
      </c>
      <c r="J8" s="42">
        <f>J4+J6</f>
        <v/>
      </c>
      <c r="K8" s="42">
        <f>K4+K6</f>
        <v/>
      </c>
      <c r="L8" s="42">
        <f>L4+L6</f>
        <v/>
      </c>
      <c r="M8" s="42">
        <f>M4+M6</f>
        <v/>
      </c>
      <c r="N8" s="42">
        <f>N4+N6</f>
        <v/>
      </c>
      <c r="O8" s="42">
        <f>O4+O6</f>
        <v/>
      </c>
      <c r="P8" s="42">
        <f>P4+P6</f>
        <v/>
      </c>
    </row>
    <row r="9">
      <c r="A9" s="4" t="inlineStr">
        <is>
          <t xml:space="preserve">    growth %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25">
        <f>IFERROR(G8/F8-1,"")</f>
        <v/>
      </c>
      <c r="H9" s="25">
        <f>IFERROR(H8/G8-1,"")</f>
        <v/>
      </c>
      <c r="I9" s="25">
        <f>IFERROR(I8/H8-1,"")</f>
        <v/>
      </c>
      <c r="J9" s="25">
        <f>IFERROR(J8/I8-1,"")</f>
        <v/>
      </c>
      <c r="K9" s="25">
        <f>IFERROR(K8/J8-1,"")</f>
        <v/>
      </c>
      <c r="L9" s="25">
        <f>IFERROR(L8/K8-1,"")</f>
        <v/>
      </c>
      <c r="M9" s="25">
        <f>IFERROR(M8/L8-1,"")</f>
        <v/>
      </c>
      <c r="N9" s="25">
        <f>IFERROR(N8/M8-1,"")</f>
        <v/>
      </c>
      <c r="O9" s="25">
        <f>IFERROR(O8/N8-1,"")</f>
        <v/>
      </c>
      <c r="P9" s="25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33">
        <f>SUM(Financials!J5:M5)</f>
        <v/>
      </c>
      <c r="C12" s="33">
        <f>SUM(Financials!N5:Q5)</f>
        <v/>
      </c>
      <c r="D12" s="33">
        <f>SUM(Financials!R5:U5)</f>
        <v/>
      </c>
      <c r="E12" s="33">
        <f>SUM(Financials!V5:Y5)</f>
        <v/>
      </c>
      <c r="F12" s="33">
        <f>SUM(Financials!Z5:AC5)</f>
        <v/>
      </c>
      <c r="G12" s="41">
        <f>G8*G13</f>
        <v/>
      </c>
      <c r="H12" s="41">
        <f>H8*H13</f>
        <v/>
      </c>
      <c r="I12" s="41">
        <f>I8*I13</f>
        <v/>
      </c>
      <c r="J12" s="41">
        <f>J8*J13</f>
        <v/>
      </c>
      <c r="K12" s="41">
        <f>K8*K13</f>
        <v/>
      </c>
      <c r="L12" s="41">
        <f>L8*L13</f>
        <v/>
      </c>
      <c r="M12" s="41">
        <f>M8*M13</f>
        <v/>
      </c>
      <c r="N12" s="41">
        <f>N8*N13</f>
        <v/>
      </c>
      <c r="O12" s="41">
        <f>O8*O13</f>
        <v/>
      </c>
      <c r="P12" s="41">
        <f>P8*P13</f>
        <v/>
      </c>
    </row>
    <row r="13">
      <c r="A13" s="4" t="inlineStr">
        <is>
          <t xml:space="preserve">    % of revenue</t>
        </is>
      </c>
      <c r="B13" s="25">
        <f>IFERROR(B12/B8,"")</f>
        <v/>
      </c>
      <c r="C13" s="25">
        <f>IFERROR(C12/C8,"")</f>
        <v/>
      </c>
      <c r="D13" s="25">
        <f>IFERROR(D12/D8,"")</f>
        <v/>
      </c>
      <c r="E13" s="25">
        <f>IFERROR(E12/E8,"")</f>
        <v/>
      </c>
      <c r="F13" s="25">
        <f>IFERROR(F12/F8,"")</f>
        <v/>
      </c>
      <c r="G13" s="15" t="n">
        <v>0.7949642496448256</v>
      </c>
      <c r="H13" s="15" t="n">
        <v>0.7949642496448256</v>
      </c>
      <c r="I13" s="15" t="n">
        <v>0.7949642496448256</v>
      </c>
      <c r="J13" s="15" t="n">
        <v>0.7949642496448256</v>
      </c>
      <c r="K13" s="15" t="n">
        <v>0.7949642496448256</v>
      </c>
      <c r="L13" s="15" t="n">
        <v>0.7949642496448256</v>
      </c>
      <c r="M13" s="15" t="n">
        <v>0.7949642496448256</v>
      </c>
      <c r="N13" s="15" t="n">
        <v>0.7949642496448256</v>
      </c>
      <c r="O13" s="15" t="n">
        <v>0.7949642496448256</v>
      </c>
      <c r="P13" s="15" t="n">
        <v>0.7949642496448256</v>
      </c>
    </row>
    <row r="14">
      <c r="A14" s="4" t="inlineStr">
        <is>
          <t>R&amp;D / Technology</t>
        </is>
      </c>
      <c r="B14" s="33">
        <f>SUM(Financials!J7:M7)</f>
        <v/>
      </c>
      <c r="C14" s="33">
        <f>SUM(Financials!N7:Q7)</f>
        <v/>
      </c>
      <c r="D14" s="33">
        <f>SUM(Financials!R7:U7)</f>
        <v/>
      </c>
      <c r="E14" s="33">
        <f>SUM(Financials!V7:Y7)</f>
        <v/>
      </c>
      <c r="F14" s="33">
        <f>SUM(Financials!Z7:AC7)</f>
        <v/>
      </c>
      <c r="G14" s="41">
        <f>G8*G15</f>
        <v/>
      </c>
      <c r="H14" s="41">
        <f>H8*H15</f>
        <v/>
      </c>
      <c r="I14" s="41">
        <f>I8*I15</f>
        <v/>
      </c>
      <c r="J14" s="41">
        <f>J8*J15</f>
        <v/>
      </c>
      <c r="K14" s="41">
        <f>K8*K15</f>
        <v/>
      </c>
      <c r="L14" s="41">
        <f>L8*L15</f>
        <v/>
      </c>
      <c r="M14" s="41">
        <f>M8*M15</f>
        <v/>
      </c>
      <c r="N14" s="41">
        <f>N8*N15</f>
        <v/>
      </c>
      <c r="O14" s="41">
        <f>O8*O15</f>
        <v/>
      </c>
      <c r="P14" s="41">
        <f>P8*P15</f>
        <v/>
      </c>
    </row>
    <row r="15">
      <c r="A15" s="4" t="inlineStr">
        <is>
          <t xml:space="preserve">    % of revenue</t>
        </is>
      </c>
      <c r="B15" s="25">
        <f>IFERROR(B14/B8,"")</f>
        <v/>
      </c>
      <c r="C15" s="25">
        <f>IFERROR(C14/C8,"")</f>
        <v/>
      </c>
      <c r="D15" s="25">
        <f>IFERROR(D14/D8,"")</f>
        <v/>
      </c>
      <c r="E15" s="25">
        <f>IFERROR(E14/E8,"")</f>
        <v/>
      </c>
      <c r="F15" s="25">
        <f>IFERROR(F14/F8,"")</f>
        <v/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</row>
    <row r="16">
      <c r="A16" s="4" t="inlineStr">
        <is>
          <t>SG&amp;A</t>
        </is>
      </c>
      <c r="B16" s="33">
        <f>SUM(Financials!J9:M9)</f>
        <v/>
      </c>
      <c r="C16" s="33">
        <f>SUM(Financials!N9:Q9)</f>
        <v/>
      </c>
      <c r="D16" s="33">
        <f>SUM(Financials!R9:U9)</f>
        <v/>
      </c>
      <c r="E16" s="33">
        <f>SUM(Financials!V9:Y9)</f>
        <v/>
      </c>
      <c r="F16" s="33">
        <f>SUM(Financials!Z9:AC9)</f>
        <v/>
      </c>
      <c r="G16" s="41">
        <f>G8*G17</f>
        <v/>
      </c>
      <c r="H16" s="41">
        <f>H8*H17</f>
        <v/>
      </c>
      <c r="I16" s="41">
        <f>I8*I17</f>
        <v/>
      </c>
      <c r="J16" s="41">
        <f>J8*J17</f>
        <v/>
      </c>
      <c r="K16" s="41">
        <f>K8*K17</f>
        <v/>
      </c>
      <c r="L16" s="41">
        <f>L8*L17</f>
        <v/>
      </c>
      <c r="M16" s="41">
        <f>M8*M17</f>
        <v/>
      </c>
      <c r="N16" s="41">
        <f>N8*N17</f>
        <v/>
      </c>
      <c r="O16" s="41">
        <f>O8*O17</f>
        <v/>
      </c>
      <c r="P16" s="41">
        <f>P8*P17</f>
        <v/>
      </c>
    </row>
    <row r="17">
      <c r="A17" s="4" t="inlineStr">
        <is>
          <t xml:space="preserve">    % of revenue</t>
        </is>
      </c>
      <c r="B17" s="25">
        <f>IFERROR(B16/B8,"")</f>
        <v/>
      </c>
      <c r="C17" s="25">
        <f>IFERROR(C16/C8,"")</f>
        <v/>
      </c>
      <c r="D17" s="25">
        <f>IFERROR(D16/D8,"")</f>
        <v/>
      </c>
      <c r="E17" s="25">
        <f>IFERROR(E16/E8,"")</f>
        <v/>
      </c>
      <c r="F17" s="25">
        <f>IFERROR(F16/F8,"")</f>
        <v/>
      </c>
      <c r="G17" s="15" t="n">
        <v>0.06243555514150874</v>
      </c>
      <c r="H17" s="15" t="n">
        <v>0.06243555514150874</v>
      </c>
      <c r="I17" s="15" t="n">
        <v>0.06243555514150874</v>
      </c>
      <c r="J17" s="15" t="n">
        <v>0.06243555514150874</v>
      </c>
      <c r="K17" s="15" t="n">
        <v>0.06243555514150874</v>
      </c>
      <c r="L17" s="15" t="n">
        <v>0.06243555514150874</v>
      </c>
      <c r="M17" s="15" t="n">
        <v>0.06243555514150874</v>
      </c>
      <c r="N17" s="15" t="n">
        <v>0.06243555514150874</v>
      </c>
      <c r="O17" s="15" t="n">
        <v>0.06243555514150874</v>
      </c>
      <c r="P17" s="15" t="n">
        <v>0.06243555514150874</v>
      </c>
    </row>
    <row r="18">
      <c r="A18" s="4" t="inlineStr">
        <is>
          <t>Other opex (fulfilment, etc.)</t>
        </is>
      </c>
      <c r="B18" s="33">
        <f>B8-(B12+B14+B16)-SUM(Financials!J13:M13)</f>
        <v/>
      </c>
      <c r="C18" s="33">
        <f>C8-(C12+C14+C16)-SUM(Financials!N13:Q13)</f>
        <v/>
      </c>
      <c r="D18" s="33">
        <f>D8-(D12+D14+D16)-SUM(Financials!R13:U13)</f>
        <v/>
      </c>
      <c r="E18" s="33">
        <f>E8-(E12+E14+E16)-SUM(Financials!V13:Y13)</f>
        <v/>
      </c>
      <c r="F18" s="33">
        <f>F8-(F12+F14+F16)-SUM(Financials!Z13:AC13)</f>
        <v/>
      </c>
      <c r="G18" s="33">
        <f>G8*(1-(Dashboard!$B$29+(Dashboard!$B$30-Dashboard!$B$29)*MIN(1,0/4)))-(G12+G14+G16)</f>
        <v/>
      </c>
      <c r="H18" s="33">
        <f>H8*(1-(Dashboard!$B$29+(Dashboard!$B$30-Dashboard!$B$29)*MIN(1,1/4)))-(H12+H14+H16)</f>
        <v/>
      </c>
      <c r="I18" s="33">
        <f>I8*(1-(Dashboard!$B$29+(Dashboard!$B$30-Dashboard!$B$29)*MIN(1,2/4)))-(I12+I14+I16)</f>
        <v/>
      </c>
      <c r="J18" s="33">
        <f>J8*(1-(Dashboard!$B$29+(Dashboard!$B$30-Dashboard!$B$29)*MIN(1,3/4)))-(J12+J14+J16)</f>
        <v/>
      </c>
      <c r="K18" s="33">
        <f>K8*(1-(Dashboard!$B$29+(Dashboard!$B$30-Dashboard!$B$29)*MIN(1,4/4)))-(K12+K14+K16)</f>
        <v/>
      </c>
      <c r="L18" s="33">
        <f>L8*(1-(Dashboard!$B$29+(Dashboard!$B$30-Dashboard!$B$29)*MIN(1,5/4)))-(L12+L14+L16)</f>
        <v/>
      </c>
      <c r="M18" s="33">
        <f>M8*(1-(Dashboard!$B$29+(Dashboard!$B$30-Dashboard!$B$29)*MIN(1,6/4)))-(M12+M14+M16)</f>
        <v/>
      </c>
      <c r="N18" s="33">
        <f>N8*(1-(Dashboard!$B$29+(Dashboard!$B$30-Dashboard!$B$29)*MIN(1,7/4)))-(N12+N14+N16)</f>
        <v/>
      </c>
      <c r="O18" s="33">
        <f>O8*(1-(Dashboard!$B$29+(Dashboard!$B$30-Dashboard!$B$29)*MIN(1,8/4)))-(O12+O14+O16)</f>
        <v/>
      </c>
      <c r="P18" s="33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25">
        <f>IFERROR(B18/B8,"")</f>
        <v/>
      </c>
      <c r="C19" s="25">
        <f>IFERROR(C18/C8,"")</f>
        <v/>
      </c>
      <c r="D19" s="25">
        <f>IFERROR(D18/D8,"")</f>
        <v/>
      </c>
      <c r="E19" s="25">
        <f>IFERROR(E18/E8,"")</f>
        <v/>
      </c>
      <c r="F19" s="25">
        <f>IFERROR(F18/F8,"")</f>
        <v/>
      </c>
      <c r="G19" s="25">
        <f>IFERROR(G18/G8,"")</f>
        <v/>
      </c>
      <c r="H19" s="25">
        <f>IFERROR(H18/H8,"")</f>
        <v/>
      </c>
      <c r="I19" s="25">
        <f>IFERROR(I18/I8,"")</f>
        <v/>
      </c>
      <c r="J19" s="25">
        <f>IFERROR(J18/J8,"")</f>
        <v/>
      </c>
      <c r="K19" s="25">
        <f>IFERROR(K18/K8,"")</f>
        <v/>
      </c>
      <c r="L19" s="25">
        <f>IFERROR(L18/L8,"")</f>
        <v/>
      </c>
      <c r="M19" s="25">
        <f>IFERROR(M18/M8,"")</f>
        <v/>
      </c>
      <c r="N19" s="25">
        <f>IFERROR(N18/N8,"")</f>
        <v/>
      </c>
      <c r="O19" s="25">
        <f>IFERROR(O18/O8,"")</f>
        <v/>
      </c>
      <c r="P19" s="25">
        <f>IFERROR(P18/P8,"")</f>
        <v/>
      </c>
    </row>
    <row r="21">
      <c r="A21" s="3" t="inlineStr">
        <is>
          <t>Operating income (EBIT)</t>
        </is>
      </c>
      <c r="B21" s="42">
        <f>B8-(B12+B14+B16)-B18</f>
        <v/>
      </c>
      <c r="C21" s="42">
        <f>C8-(C12+C14+C16)-C18</f>
        <v/>
      </c>
      <c r="D21" s="42">
        <f>D8-(D12+D14+D16)-D18</f>
        <v/>
      </c>
      <c r="E21" s="42">
        <f>E8-(E12+E14+E16)-E18</f>
        <v/>
      </c>
      <c r="F21" s="42">
        <f>F8-(F12+F14+F16)-F18</f>
        <v/>
      </c>
      <c r="G21" s="42">
        <f>G8-(G12+G14+G16)-G18</f>
        <v/>
      </c>
      <c r="H21" s="42">
        <f>H8-(H12+H14+H16)-H18</f>
        <v/>
      </c>
      <c r="I21" s="42">
        <f>I8-(I12+I14+I16)-I18</f>
        <v/>
      </c>
      <c r="J21" s="42">
        <f>J8-(J12+J14+J16)-J18</f>
        <v/>
      </c>
      <c r="K21" s="42">
        <f>K8-(K12+K14+K16)-K18</f>
        <v/>
      </c>
      <c r="L21" s="42">
        <f>L8-(L12+L14+L16)-L18</f>
        <v/>
      </c>
      <c r="M21" s="42">
        <f>M8-(M12+M14+M16)-M18</f>
        <v/>
      </c>
      <c r="N21" s="42">
        <f>N8-(N12+N14+N16)-N18</f>
        <v/>
      </c>
      <c r="O21" s="42">
        <f>O8-(O12+O14+O16)-O18</f>
        <v/>
      </c>
      <c r="P21" s="42">
        <f>P8-(P12+P14+P16)-P18</f>
        <v/>
      </c>
    </row>
    <row r="22">
      <c r="A22" s="4" t="inlineStr">
        <is>
          <t xml:space="preserve">    operating margin</t>
        </is>
      </c>
      <c r="B22" s="25">
        <f>IFERROR(B21/B8,"")</f>
        <v/>
      </c>
      <c r="C22" s="25">
        <f>IFERROR(C21/C8,"")</f>
        <v/>
      </c>
      <c r="D22" s="25">
        <f>IFERROR(D21/D8,"")</f>
        <v/>
      </c>
      <c r="E22" s="25">
        <f>IFERROR(E21/E8,"")</f>
        <v/>
      </c>
      <c r="F22" s="25">
        <f>IFERROR(F21/F8,"")</f>
        <v/>
      </c>
      <c r="G22" s="25">
        <f>IFERROR(G21/G8,"")</f>
        <v/>
      </c>
      <c r="H22" s="25">
        <f>IFERROR(H21/H8,"")</f>
        <v/>
      </c>
      <c r="I22" s="25">
        <f>IFERROR(I21/I8,"")</f>
        <v/>
      </c>
      <c r="J22" s="25">
        <f>IFERROR(J21/J8,"")</f>
        <v/>
      </c>
      <c r="K22" s="25">
        <f>IFERROR(K21/K8,"")</f>
        <v/>
      </c>
      <c r="L22" s="25">
        <f>IFERROR(L21/L8,"")</f>
        <v/>
      </c>
      <c r="M22" s="25">
        <f>IFERROR(M21/M8,"")</f>
        <v/>
      </c>
      <c r="N22" s="25">
        <f>IFERROR(N21/N8,"")</f>
        <v/>
      </c>
      <c r="O22" s="25">
        <f>IFERROR(O21/O8,"")</f>
        <v/>
      </c>
      <c r="P22" s="25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33">
        <f>B21*(1-Valuation!$B$5)</f>
        <v/>
      </c>
      <c r="C25" s="33">
        <f>C21*(1-Valuation!$B$5)</f>
        <v/>
      </c>
      <c r="D25" s="33">
        <f>D21*(1-Valuation!$B$5)</f>
        <v/>
      </c>
      <c r="E25" s="33">
        <f>E21*(1-Valuation!$B$5)</f>
        <v/>
      </c>
      <c r="F25" s="33">
        <f>F21*(1-Valuation!$B$5)</f>
        <v/>
      </c>
      <c r="G25" s="33">
        <f>G21*(1-Valuation!$B$5)</f>
        <v/>
      </c>
      <c r="H25" s="33">
        <f>H21*(1-Valuation!$B$5)</f>
        <v/>
      </c>
      <c r="I25" s="33">
        <f>I21*(1-Valuation!$B$5)</f>
        <v/>
      </c>
      <c r="J25" s="33">
        <f>J21*(1-Valuation!$B$5)</f>
        <v/>
      </c>
      <c r="K25" s="33">
        <f>K21*(1-Valuation!$B$5)</f>
        <v/>
      </c>
      <c r="L25" s="33">
        <f>L21*(1-Valuation!$B$5)</f>
        <v/>
      </c>
      <c r="M25" s="33">
        <f>M21*(1-Valuation!$B$5)</f>
        <v/>
      </c>
      <c r="N25" s="33">
        <f>N21*(1-Valuation!$B$5)</f>
        <v/>
      </c>
      <c r="O25" s="33">
        <f>O21*(1-Valuation!$B$5)</f>
        <v/>
      </c>
      <c r="P25" s="33">
        <f>P21*(1-Valuation!$B$5)</f>
        <v/>
      </c>
    </row>
    <row r="26">
      <c r="A26" s="4" t="inlineStr">
        <is>
          <t>+ D&amp;A</t>
        </is>
      </c>
      <c r="B26" s="33">
        <f>SUM(Financials!J44:M44)</f>
        <v/>
      </c>
      <c r="C26" s="33">
        <f>SUM(Financials!N44:Q44)</f>
        <v/>
      </c>
      <c r="D26" s="33">
        <f>SUM(Financials!R44:U44)</f>
        <v/>
      </c>
      <c r="E26" s="33">
        <f>SUM(Financials!V44:Y44)</f>
        <v/>
      </c>
      <c r="F26" s="33">
        <f>SUM(Financials!Z44:AC44)</f>
        <v/>
      </c>
      <c r="G26" s="41">
        <f>G8*0.0020</f>
        <v/>
      </c>
      <c r="H26" s="41">
        <f>H8*0.0020</f>
        <v/>
      </c>
      <c r="I26" s="41">
        <f>I8*0.0020</f>
        <v/>
      </c>
      <c r="J26" s="41">
        <f>J8*0.0020</f>
        <v/>
      </c>
      <c r="K26" s="41">
        <f>K8*0.0020</f>
        <v/>
      </c>
      <c r="L26" s="41">
        <f>L8*0.0020</f>
        <v/>
      </c>
      <c r="M26" s="41">
        <f>M8*0.0020</f>
        <v/>
      </c>
      <c r="N26" s="41">
        <f>N8*0.0020</f>
        <v/>
      </c>
      <c r="O26" s="41">
        <f>O8*0.0020</f>
        <v/>
      </c>
      <c r="P26" s="41">
        <f>P8*0.0020</f>
        <v/>
      </c>
    </row>
    <row r="27">
      <c r="A27" s="4" t="inlineStr">
        <is>
          <t>+ SBC (non-cash)</t>
        </is>
      </c>
      <c r="B27" s="33">
        <f>SUM(Financials!J45:M45)</f>
        <v/>
      </c>
      <c r="C27" s="33">
        <f>SUM(Financials!N45:Q45)</f>
        <v/>
      </c>
      <c r="D27" s="33">
        <f>SUM(Financials!R45:U45)</f>
        <v/>
      </c>
      <c r="E27" s="33">
        <f>SUM(Financials!V45:Y45)</f>
        <v/>
      </c>
      <c r="F27" s="33">
        <f>SUM(Financials!Z45:AC45)</f>
        <v/>
      </c>
      <c r="G27" s="33">
        <f>G8*(Dashboard!$B$65+(Dashboard!$B$66-Dashboard!$B$65)*0/9)</f>
        <v/>
      </c>
      <c r="H27" s="33">
        <f>H8*(Dashboard!$B$65+(Dashboard!$B$66-Dashboard!$B$65)*1/9)</f>
        <v/>
      </c>
      <c r="I27" s="33">
        <f>I8*(Dashboard!$B$65+(Dashboard!$B$66-Dashboard!$B$65)*2/9)</f>
        <v/>
      </c>
      <c r="J27" s="33">
        <f>J8*(Dashboard!$B$65+(Dashboard!$B$66-Dashboard!$B$65)*3/9)</f>
        <v/>
      </c>
      <c r="K27" s="33">
        <f>K8*(Dashboard!$B$65+(Dashboard!$B$66-Dashboard!$B$65)*4/9)</f>
        <v/>
      </c>
      <c r="L27" s="33">
        <f>L8*(Dashboard!$B$65+(Dashboard!$B$66-Dashboard!$B$65)*5/9)</f>
        <v/>
      </c>
      <c r="M27" s="33">
        <f>M8*(Dashboard!$B$65+(Dashboard!$B$66-Dashboard!$B$65)*6/9)</f>
        <v/>
      </c>
      <c r="N27" s="33">
        <f>N8*(Dashboard!$B$65+(Dashboard!$B$66-Dashboard!$B$65)*7/9)</f>
        <v/>
      </c>
      <c r="O27" s="33">
        <f>O8*(Dashboard!$B$65+(Dashboard!$B$66-Dashboard!$B$65)*8/9)</f>
        <v/>
      </c>
      <c r="P27" s="33">
        <f>P8*(Dashboard!$B$65+(Dashboard!$B$66-Dashboard!$B$65)*9/9)</f>
        <v/>
      </c>
    </row>
    <row r="28">
      <c r="A28" s="4" t="inlineStr">
        <is>
          <t>- dNWC</t>
        </is>
      </c>
      <c r="G28" s="41">
        <f>(G8-F8)*0.0050</f>
        <v/>
      </c>
      <c r="H28" s="41">
        <f>(H8-G8)*0.0050</f>
        <v/>
      </c>
      <c r="I28" s="41">
        <f>(I8-H8)*0.0050</f>
        <v/>
      </c>
      <c r="J28" s="41">
        <f>(J8-I8)*0.0050</f>
        <v/>
      </c>
      <c r="K28" s="41">
        <f>(K8-J8)*0.0050</f>
        <v/>
      </c>
      <c r="L28" s="41">
        <f>(L8-K8)*0.0050</f>
        <v/>
      </c>
      <c r="M28" s="41">
        <f>(M8-L8)*0.0050</f>
        <v/>
      </c>
      <c r="N28" s="41">
        <f>(N8-M8)*0.0050</f>
        <v/>
      </c>
      <c r="O28" s="41">
        <f>(O8-N8)*0.0050</f>
        <v/>
      </c>
      <c r="P28" s="41">
        <f>(P8-O8)*0.0050</f>
        <v/>
      </c>
    </row>
    <row r="29">
      <c r="A29" s="4" t="inlineStr">
        <is>
          <t>- Capex</t>
        </is>
      </c>
      <c r="B29" s="33">
        <f>-SUM(Financials!J48:M48)</f>
        <v/>
      </c>
      <c r="C29" s="33">
        <f>-SUM(Financials!N48:Q48)</f>
        <v/>
      </c>
      <c r="D29" s="33">
        <f>-SUM(Financials!R48:U48)</f>
        <v/>
      </c>
      <c r="E29" s="33">
        <f>-SUM(Financials!V48:Y48)</f>
        <v/>
      </c>
      <c r="F29" s="33">
        <f>-SUM(Financials!Z48:AC48)</f>
        <v/>
      </c>
      <c r="G29" s="41">
        <f>G26*G30</f>
        <v/>
      </c>
      <c r="H29" s="41">
        <f>H26*H30</f>
        <v/>
      </c>
      <c r="I29" s="41">
        <f>I26*I30</f>
        <v/>
      </c>
      <c r="J29" s="41">
        <f>J26*J30</f>
        <v/>
      </c>
      <c r="K29" s="41">
        <f>K26*K30</f>
        <v/>
      </c>
      <c r="L29" s="41">
        <f>L26*L30</f>
        <v/>
      </c>
      <c r="M29" s="41">
        <f>M26*M30</f>
        <v/>
      </c>
      <c r="N29" s="41">
        <f>N26*N30</f>
        <v/>
      </c>
      <c r="O29" s="41">
        <f>O26*O30</f>
        <v/>
      </c>
      <c r="P29" s="41">
        <f>P26*P30</f>
        <v/>
      </c>
    </row>
    <row r="30">
      <c r="A30" s="4" t="inlineStr">
        <is>
          <t xml:space="preserve">    Capex / D&amp;A  (from Dashboard: $cap'26 -&gt; terminal)</t>
        </is>
      </c>
      <c r="B30" s="26">
        <f>IFERROR(B29/B26,"")</f>
        <v/>
      </c>
      <c r="C30" s="26">
        <f>IFERROR(C29/C26,"")</f>
        <v/>
      </c>
      <c r="D30" s="26">
        <f>IFERROR(D29/D26,"")</f>
        <v/>
      </c>
      <c r="E30" s="26">
        <f>IFERROR(E29/E26,"")</f>
        <v/>
      </c>
      <c r="F30" s="26">
        <f>IFERROR(F29/F26,"")</f>
        <v/>
      </c>
      <c r="G30" s="13">
        <f>(Dashboard!$B$34/G26)+(Dashboard!$B$35-(Dashboard!$B$34/G26))*0/9</f>
        <v/>
      </c>
      <c r="H30" s="13">
        <f>(Dashboard!$B$34/G26)+(Dashboard!$B$35-(Dashboard!$B$34/G26))*1/9</f>
        <v/>
      </c>
      <c r="I30" s="13">
        <f>(Dashboard!$B$34/G26)+(Dashboard!$B$35-(Dashboard!$B$34/G26))*2/9</f>
        <v/>
      </c>
      <c r="J30" s="13">
        <f>(Dashboard!$B$34/G26)+(Dashboard!$B$35-(Dashboard!$B$34/G26))*3/9</f>
        <v/>
      </c>
      <c r="K30" s="13">
        <f>(Dashboard!$B$34/G26)+(Dashboard!$B$35-(Dashboard!$B$34/G26))*4/9</f>
        <v/>
      </c>
      <c r="L30" s="13">
        <f>(Dashboard!$B$34/G26)+(Dashboard!$B$35-(Dashboard!$B$34/G26))*5/9</f>
        <v/>
      </c>
      <c r="M30" s="13">
        <f>(Dashboard!$B$34/G26)+(Dashboard!$B$35-(Dashboard!$B$34/G26))*6/9</f>
        <v/>
      </c>
      <c r="N30" s="13">
        <f>(Dashboard!$B$34/G26)+(Dashboard!$B$35-(Dashboard!$B$34/G26))*7/9</f>
        <v/>
      </c>
      <c r="O30" s="13">
        <f>(Dashboard!$B$34/G26)+(Dashboard!$B$35-(Dashboard!$B$34/G26))*8/9</f>
        <v/>
      </c>
      <c r="P30" s="13">
        <f>(Dashboard!$B$34/G26)+(Dashboard!$B$35-(Dashboard!$B$34/G26))*9/9</f>
        <v/>
      </c>
    </row>
    <row r="32">
      <c r="A32" s="3" t="inlineStr">
        <is>
          <t>FCFF (firm)</t>
        </is>
      </c>
      <c r="B32" s="42">
        <f>B25+B26+B27-B28-B29</f>
        <v/>
      </c>
      <c r="C32" s="42">
        <f>C25+C26+C27-C28-C29</f>
        <v/>
      </c>
      <c r="D32" s="42">
        <f>D25+D26+D27-D28-D29</f>
        <v/>
      </c>
      <c r="E32" s="42">
        <f>E25+E26+E27-E28-E29</f>
        <v/>
      </c>
      <c r="F32" s="42">
        <f>F25+F26+F27-F28-F29</f>
        <v/>
      </c>
      <c r="G32" s="42">
        <f>G25+G26+G27-G28-G29</f>
        <v/>
      </c>
      <c r="H32" s="42">
        <f>H25+H26+H27-H28-H29</f>
        <v/>
      </c>
      <c r="I32" s="42">
        <f>I25+I26+I27-I28-I29</f>
        <v/>
      </c>
      <c r="J32" s="42">
        <f>J25+J26+J27-J28-J29</f>
        <v/>
      </c>
      <c r="K32" s="42">
        <f>K25+K26+K27-K28-K29</f>
        <v/>
      </c>
      <c r="L32" s="42">
        <f>L25+L26+L27-L28-L29</f>
        <v/>
      </c>
      <c r="M32" s="42">
        <f>M25+M26+M27-M28-M29</f>
        <v/>
      </c>
      <c r="N32" s="42">
        <f>N25+N26+N27-N28-N29</f>
        <v/>
      </c>
      <c r="O32" s="42">
        <f>O25+O26+O27-O28-O29</f>
        <v/>
      </c>
      <c r="P32" s="42">
        <f>P25+P26+P27-P28-P29</f>
        <v/>
      </c>
    </row>
    <row r="33">
      <c r="A33" s="3" t="inlineStr">
        <is>
          <t>Valuation FCF (NOPAT + D&amp;A - dNWC - Capex - after-tax SBC)</t>
        </is>
      </c>
      <c r="B33" s="43">
        <f>B32-B27-B27*(1-Valuation!$B$5)</f>
        <v/>
      </c>
      <c r="C33" s="43">
        <f>C32-C27-C27*(1-Valuation!$B$5)</f>
        <v/>
      </c>
      <c r="D33" s="43">
        <f>D32-D27-D27*(1-Valuation!$B$5)</f>
        <v/>
      </c>
      <c r="E33" s="43">
        <f>E32-E27-E27*(1-Valuation!$B$5)</f>
        <v/>
      </c>
      <c r="F33" s="43">
        <f>F32-F27-F27*(1-Valuation!$B$5)</f>
        <v/>
      </c>
      <c r="G33" s="43">
        <f>G32-G27-G27*(1-Valuation!$B$5)</f>
        <v/>
      </c>
      <c r="H33" s="43">
        <f>H32-H27-H27*(1-Valuation!$B$5)</f>
        <v/>
      </c>
      <c r="I33" s="43">
        <f>I32-I27-I27*(1-Valuation!$B$5)</f>
        <v/>
      </c>
      <c r="J33" s="43">
        <f>J32-J27-J27*(1-Valuation!$B$5)</f>
        <v/>
      </c>
      <c r="K33" s="43">
        <f>K32-K27-K27*(1-Valuation!$B$5)</f>
        <v/>
      </c>
      <c r="L33" s="43">
        <f>L32-L27-L27*(1-Valuation!$B$5)</f>
        <v/>
      </c>
      <c r="M33" s="43">
        <f>M32-M27-M27*(1-Valuation!$B$5)</f>
        <v/>
      </c>
      <c r="N33" s="43">
        <f>N32-N27-N27*(1-Valuation!$B$5)</f>
        <v/>
      </c>
      <c r="O33" s="43">
        <f>O32-O27-O27*(1-Valuation!$B$5)</f>
        <v/>
      </c>
      <c r="P33" s="43">
        <f>P32-P27-P27*(1-Valuation!$B$5)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33">
        <f>Financials!M42+Financials!M41-Financials!M36</f>
        <v/>
      </c>
      <c r="C36" s="33">
        <f>Financials!Q42+Financials!Q41-Financials!Q36</f>
        <v/>
      </c>
      <c r="D36" s="33">
        <f>Financials!U42+Financials!U41-Financials!U36</f>
        <v/>
      </c>
      <c r="E36" s="33">
        <f>Financials!Y42+Financials!Y41-Financials!Y36</f>
        <v/>
      </c>
      <c r="F36" s="33">
        <f>Financials!AC42+Financials!AC41-Financials!AC36</f>
        <v/>
      </c>
      <c r="G36" s="41">
        <f>F36+G29-G26+G28</f>
        <v/>
      </c>
      <c r="H36" s="41">
        <f>G36+H29-H26+H28</f>
        <v/>
      </c>
      <c r="I36" s="41">
        <f>H36+I29-I26+I28</f>
        <v/>
      </c>
      <c r="J36" s="41">
        <f>I36+J29-J26+J28</f>
        <v/>
      </c>
      <c r="K36" s="41">
        <f>J36+K29-K26+K28</f>
        <v/>
      </c>
      <c r="L36" s="41">
        <f>K36+L29-L26+L28</f>
        <v/>
      </c>
      <c r="M36" s="41">
        <f>L36+M29-M26+M28</f>
        <v/>
      </c>
      <c r="N36" s="41">
        <f>M36+N29-N26+N28</f>
        <v/>
      </c>
      <c r="O36" s="41">
        <f>N36+O29-O26+O28</f>
        <v/>
      </c>
      <c r="P36" s="41">
        <f>O36+P29-P26+P28</f>
        <v/>
      </c>
    </row>
    <row r="37">
      <c r="A37" s="4" t="inlineStr">
        <is>
          <t>Book equity (year-end)</t>
        </is>
      </c>
      <c r="B37" s="33">
        <f>Financials!M42</f>
        <v/>
      </c>
      <c r="C37" s="33">
        <f>Financials!Q42</f>
        <v/>
      </c>
      <c r="D37" s="33">
        <f>Financials!U42</f>
        <v/>
      </c>
      <c r="E37" s="33">
        <f>Financials!Y42</f>
        <v/>
      </c>
      <c r="F37" s="33">
        <f>Financials!AC42</f>
        <v/>
      </c>
      <c r="G37" s="41">
        <f>F37+G25</f>
        <v/>
      </c>
      <c r="H37" s="41">
        <f>G37+H25</f>
        <v/>
      </c>
      <c r="I37" s="41">
        <f>H37+I25</f>
        <v/>
      </c>
      <c r="J37" s="41">
        <f>I37+J25</f>
        <v/>
      </c>
      <c r="K37" s="41">
        <f>J37+K25</f>
        <v/>
      </c>
      <c r="L37" s="41">
        <f>K37+L25</f>
        <v/>
      </c>
      <c r="M37" s="41">
        <f>L37+M25</f>
        <v/>
      </c>
      <c r="N37" s="41">
        <f>M37+N25</f>
        <v/>
      </c>
      <c r="O37" s="41">
        <f>N37+O25</f>
        <v/>
      </c>
      <c r="P37" s="41">
        <f>O37+P25</f>
        <v/>
      </c>
    </row>
    <row r="38">
      <c r="A38" s="3" t="inlineStr">
        <is>
          <t xml:space="preserve">  ROIC (NOPAT / beg. invested capital)</t>
        </is>
      </c>
      <c r="C38" s="25">
        <f>IFERROR(C25/B36,"")</f>
        <v/>
      </c>
      <c r="D38" s="25">
        <f>IFERROR(D25/C36,"")</f>
        <v/>
      </c>
      <c r="E38" s="25">
        <f>IFERROR(E25/D36,"")</f>
        <v/>
      </c>
      <c r="F38" s="25">
        <f>IFERROR(F25/E36,"")</f>
        <v/>
      </c>
      <c r="G38" s="25">
        <f>IFERROR(G25/F36,"")</f>
        <v/>
      </c>
      <c r="H38" s="25">
        <f>IFERROR(H25/G36,"")</f>
        <v/>
      </c>
      <c r="I38" s="25">
        <f>IFERROR(I25/H36,"")</f>
        <v/>
      </c>
      <c r="J38" s="25">
        <f>IFERROR(J25/I36,"")</f>
        <v/>
      </c>
      <c r="K38" s="25">
        <f>IFERROR(K25/J36,"")</f>
        <v/>
      </c>
      <c r="L38" s="25">
        <f>IFERROR(L25/K36,"")</f>
        <v/>
      </c>
      <c r="M38" s="25">
        <f>IFERROR(M25/L36,"")</f>
        <v/>
      </c>
      <c r="N38" s="25">
        <f>IFERROR(N25/M36,"")</f>
        <v/>
      </c>
      <c r="O38" s="25">
        <f>IFERROR(O25/N36,"")</f>
        <v/>
      </c>
      <c r="P38" s="25">
        <f>IFERROR(P25/O36,"")</f>
        <v/>
      </c>
    </row>
    <row r="39">
      <c r="A39" s="3" t="inlineStr">
        <is>
          <t xml:space="preserve">  ROE (earnings / beg. equity)</t>
        </is>
      </c>
      <c r="C39" s="11">
        <f>IFERROR(SUM(Financials!N15:Q15)/B37,"")</f>
        <v/>
      </c>
      <c r="D39" s="11">
        <f>IFERROR(SUM(Financials!R15:U15)/C37,"")</f>
        <v/>
      </c>
      <c r="E39" s="11">
        <f>IFERROR(SUM(Financials!V15:Y15)/D37,"")</f>
        <v/>
      </c>
      <c r="F39" s="11">
        <f>IFERROR(SUM(Financials!Z15:AC15)/E37,"")</f>
        <v/>
      </c>
      <c r="G39" s="25">
        <f>IFERROR(G25/F37,"")</f>
        <v/>
      </c>
      <c r="H39" s="25">
        <f>IFERROR(H25/G37,"")</f>
        <v/>
      </c>
      <c r="I39" s="25">
        <f>IFERROR(I25/H37,"")</f>
        <v/>
      </c>
      <c r="J39" s="25">
        <f>IFERROR(J25/I37,"")</f>
        <v/>
      </c>
      <c r="K39" s="25">
        <f>IFERROR(K25/J37,"")</f>
        <v/>
      </c>
      <c r="L39" s="25">
        <f>IFERROR(L25/K37,"")</f>
        <v/>
      </c>
      <c r="M39" s="25">
        <f>IFERROR(M25/L37,"")</f>
        <v/>
      </c>
      <c r="N39" s="25">
        <f>IFERROR(N25/M37,"")</f>
        <v/>
      </c>
      <c r="O39" s="25">
        <f>IFERROR(O25/N37,"")</f>
        <v/>
      </c>
      <c r="P39" s="25">
        <f>IFERROR(P25/O37,"")</f>
        <v/>
      </c>
    </row>
    <row r="40">
      <c r="A40" s="4" t="inlineStr">
        <is>
          <t xml:space="preserve">  ROIC - WACC spread (value created)</t>
        </is>
      </c>
      <c r="C40" s="11">
        <f>IFERROR(C38-WACC!$B$15,"")</f>
        <v/>
      </c>
      <c r="D40" s="11">
        <f>IFERROR(D38-WACC!$B$15,"")</f>
        <v/>
      </c>
      <c r="E40" s="11">
        <f>IFERROR(E38-WACC!$B$15,"")</f>
        <v/>
      </c>
      <c r="F40" s="11">
        <f>IFERROR(F38-WACC!$B$15,"")</f>
        <v/>
      </c>
      <c r="G40" s="11">
        <f>IFERROR(G38-WACC!$B$15,"")</f>
        <v/>
      </c>
      <c r="H40" s="11">
        <f>IFERROR(H38-WACC!$B$15,"")</f>
        <v/>
      </c>
      <c r="I40" s="11">
        <f>IFERROR(I38-WACC!$B$15,"")</f>
        <v/>
      </c>
      <c r="J40" s="11">
        <f>IFERROR(J38-WACC!$B$15,"")</f>
        <v/>
      </c>
      <c r="K40" s="11">
        <f>IFERROR(K38-WACC!$B$15,"")</f>
        <v/>
      </c>
      <c r="L40" s="11">
        <f>IFERROR(L38-WACC!$B$15,"")</f>
        <v/>
      </c>
      <c r="M40" s="11">
        <f>IFERROR(M38-WACC!$B$15,"")</f>
        <v/>
      </c>
      <c r="N40" s="11">
        <f>IFERROR(N38-WACC!$B$15,"")</f>
        <v/>
      </c>
      <c r="O40" s="11">
        <f>IFERROR(O38-WACC!$B$15,"")</f>
        <v/>
      </c>
      <c r="P40" s="11">
        <f>IFERROR(P38-WACC!$B$15,"")</f>
        <v/>
      </c>
    </row>
    <row r="41">
      <c r="A41" s="4" t="inlineStr">
        <is>
          <t xml:space="preserve">  Incremental op margin (ΔEBIT / ΔRev)</t>
        </is>
      </c>
      <c r="C41" s="25">
        <f>IFERROR((C21-B21)/(C8-B8),"")</f>
        <v/>
      </c>
      <c r="D41" s="25">
        <f>IFERROR((D21-C21)/(D8-C8),"")</f>
        <v/>
      </c>
      <c r="E41" s="25">
        <f>IFERROR((E21-D21)/(E8-D8),"")</f>
        <v/>
      </c>
      <c r="F41" s="25">
        <f>IFERROR((F21-E21)/(F8-E8),"")</f>
        <v/>
      </c>
      <c r="G41" s="25">
        <f>IFERROR((G21-F21)/(G8-F8),"")</f>
        <v/>
      </c>
      <c r="H41" s="25">
        <f>IFERROR((H21-G21)/(H8-G8),"")</f>
        <v/>
      </c>
      <c r="I41" s="25">
        <f>IFERROR((I21-H21)/(I8-H8),"")</f>
        <v/>
      </c>
      <c r="J41" s="25">
        <f>IFERROR((J21-I21)/(J8-I8),"")</f>
        <v/>
      </c>
      <c r="K41" s="25">
        <f>IFERROR((K21-J21)/(K8-J8),"")</f>
        <v/>
      </c>
      <c r="L41" s="25">
        <f>IFERROR((L21-K21)/(L8-K8),"")</f>
        <v/>
      </c>
      <c r="M41" s="25">
        <f>IFERROR((M21-L21)/(M8-L8),"")</f>
        <v/>
      </c>
      <c r="N41" s="25">
        <f>IFERROR((N21-M21)/(N8-M8),"")</f>
        <v/>
      </c>
      <c r="O41" s="25">
        <f>IFERROR((O21-N21)/(O8-N8),"")</f>
        <v/>
      </c>
      <c r="P41" s="25">
        <f>IFERROR((P21-O21)/(P8-O8),"")</f>
        <v/>
      </c>
    </row>
    <row r="42">
      <c r="A42" s="3" t="inlineStr">
        <is>
          <t xml:space="preserve">  ROIIC (ΔNOPAT / ΔInvested capital)</t>
        </is>
      </c>
      <c r="C42" s="25">
        <f>IFERROR((C25-B25)/(C36-B36),"")</f>
        <v/>
      </c>
      <c r="D42" s="25">
        <f>IFERROR((D25-C25)/(D36-C36),"")</f>
        <v/>
      </c>
      <c r="E42" s="25">
        <f>IFERROR((E25-D25)/(E36-D36),"")</f>
        <v/>
      </c>
      <c r="F42" s="25">
        <f>IFERROR((F25-E25)/(F36-E36),"")</f>
        <v/>
      </c>
      <c r="G42" s="25">
        <f>IFERROR((G25-F25)/(G36-F36),"")</f>
        <v/>
      </c>
      <c r="H42" s="25">
        <f>IFERROR((H25-G25)/(H36-G36),"")</f>
        <v/>
      </c>
      <c r="I42" s="25">
        <f>IFERROR((I25-H25)/(I36-H36),"")</f>
        <v/>
      </c>
      <c r="J42" s="25">
        <f>IFERROR((J25-I25)/(J36-I36),"")</f>
        <v/>
      </c>
      <c r="K42" s="25">
        <f>IFERROR((K25-J25)/(K36-J36),"")</f>
        <v/>
      </c>
      <c r="L42" s="25">
        <f>IFERROR((L25-K25)/(L36-K36),"")</f>
        <v/>
      </c>
      <c r="M42" s="25">
        <f>IFERROR((M25-L25)/(M36-L36),"")</f>
        <v/>
      </c>
      <c r="N42" s="25">
        <f>IFERROR((N25-M25)/(N36-M36),"")</f>
        <v/>
      </c>
      <c r="O42" s="25">
        <f>IFERROR((O25-N25)/(O36-N36),"")</f>
        <v/>
      </c>
      <c r="P42" s="25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44">
        <f>IFERROR((C8-B8)/(C36-B36),"")</f>
        <v/>
      </c>
      <c r="D43" s="44">
        <f>IFERROR((D8-C8)/(D36-C36),"")</f>
        <v/>
      </c>
      <c r="E43" s="44">
        <f>IFERROR((E8-D8)/(E36-D36),"")</f>
        <v/>
      </c>
      <c r="F43" s="44">
        <f>IFERROR((F8-E8)/(F36-E36),"")</f>
        <v/>
      </c>
      <c r="G43" s="44">
        <f>IFERROR((G8-F8)/(G36-F36),"")</f>
        <v/>
      </c>
      <c r="H43" s="44">
        <f>IFERROR((H8-G8)/(H36-G36),"")</f>
        <v/>
      </c>
      <c r="I43" s="44">
        <f>IFERROR((I8-H8)/(I36-H36),"")</f>
        <v/>
      </c>
      <c r="J43" s="44">
        <f>IFERROR((J8-I8)/(J36-I36),"")</f>
        <v/>
      </c>
      <c r="K43" s="44">
        <f>IFERROR((K8-J8)/(K36-J36),"")</f>
        <v/>
      </c>
      <c r="L43" s="44">
        <f>IFERROR((L8-K8)/(L36-K36),"")</f>
        <v/>
      </c>
      <c r="M43" s="44">
        <f>IFERROR((M8-L8)/(M36-L36),"")</f>
        <v/>
      </c>
      <c r="N43" s="44">
        <f>IFERROR((N8-M8)/(N36-M36),"")</f>
        <v/>
      </c>
      <c r="O43" s="44">
        <f>IFERROR((O8-N8)/(O36-N36),"")</f>
        <v/>
      </c>
      <c r="P43" s="44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25">
        <f>IFERROR((C36-B36)/C25,"")</f>
        <v/>
      </c>
      <c r="D44" s="25">
        <f>IFERROR((D36-C36)/D25,"")</f>
        <v/>
      </c>
      <c r="E44" s="25">
        <f>IFERROR((E36-D36)/E25,"")</f>
        <v/>
      </c>
      <c r="F44" s="25">
        <f>IFERROR((F36-E36)/F25,"")</f>
        <v/>
      </c>
      <c r="G44" s="25">
        <f>IFERROR((G36-F36)/G25,"")</f>
        <v/>
      </c>
      <c r="H44" s="25">
        <f>IFERROR((H36-G36)/H25,"")</f>
        <v/>
      </c>
      <c r="I44" s="25">
        <f>IFERROR((I36-H36)/I25,"")</f>
        <v/>
      </c>
      <c r="J44" s="25">
        <f>IFERROR((J36-I36)/J25,"")</f>
        <v/>
      </c>
      <c r="K44" s="25">
        <f>IFERROR((K36-J36)/K25,"")</f>
        <v/>
      </c>
      <c r="L44" s="25">
        <f>IFERROR((L36-K36)/L25,"")</f>
        <v/>
      </c>
      <c r="M44" s="25">
        <f>IFERROR((M36-L36)/M25,"")</f>
        <v/>
      </c>
      <c r="N44" s="25">
        <f>IFERROR((N36-M36)/N25,"")</f>
        <v/>
      </c>
      <c r="O44" s="25">
        <f>IFERROR((O36-N36)/O25,"")</f>
        <v/>
      </c>
      <c r="P44" s="25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Q1 2020</t>
        </is>
      </c>
      <c r="C1" s="45" t="inlineStr">
        <is>
          <t>Q2 2020</t>
        </is>
      </c>
      <c r="D1" s="45" t="inlineStr">
        <is>
          <t>Q3 2020</t>
        </is>
      </c>
      <c r="E1" s="45" t="inlineStr">
        <is>
          <t>Q4 2020</t>
        </is>
      </c>
      <c r="F1" s="45" t="inlineStr">
        <is>
          <t>Q1 2021</t>
        </is>
      </c>
      <c r="G1" s="45" t="inlineStr">
        <is>
          <t>Q2 2021</t>
        </is>
      </c>
      <c r="H1" s="45" t="inlineStr">
        <is>
          <t>Q3 2021</t>
        </is>
      </c>
      <c r="I1" s="45" t="inlineStr">
        <is>
          <t>Q4 2021</t>
        </is>
      </c>
      <c r="J1" s="45" t="inlineStr">
        <is>
          <t>Q1 2022</t>
        </is>
      </c>
      <c r="K1" s="45" t="inlineStr">
        <is>
          <t>Q2 2022</t>
        </is>
      </c>
      <c r="L1" s="45" t="inlineStr">
        <is>
          <t>Q3 2022</t>
        </is>
      </c>
      <c r="M1" s="45" t="inlineStr">
        <is>
          <t>Q4 2022</t>
        </is>
      </c>
      <c r="N1" s="45" t="inlineStr">
        <is>
          <t>Q1 2023</t>
        </is>
      </c>
      <c r="O1" s="45" t="inlineStr">
        <is>
          <t>Q2 2023</t>
        </is>
      </c>
      <c r="P1" s="45" t="inlineStr">
        <is>
          <t>Q3 2023</t>
        </is>
      </c>
      <c r="Q1" s="45" t="inlineStr">
        <is>
          <t>Q4 2023</t>
        </is>
      </c>
      <c r="R1" s="45" t="inlineStr">
        <is>
          <t>Q1 2024</t>
        </is>
      </c>
      <c r="S1" s="45" t="inlineStr">
        <is>
          <t>Q2 2024</t>
        </is>
      </c>
      <c r="T1" s="45" t="inlineStr">
        <is>
          <t>Q3 2024</t>
        </is>
      </c>
      <c r="U1" s="45" t="inlineStr">
        <is>
          <t>Q4 2024</t>
        </is>
      </c>
      <c r="V1" s="45" t="inlineStr">
        <is>
          <t>Q1 2025</t>
        </is>
      </c>
      <c r="W1" s="45" t="inlineStr">
        <is>
          <t>Q2 2025</t>
        </is>
      </c>
      <c r="X1" s="45" t="inlineStr">
        <is>
          <t>Q3 2025</t>
        </is>
      </c>
      <c r="Y1" s="45" t="inlineStr">
        <is>
          <t>Q4 2025</t>
        </is>
      </c>
      <c r="Z1" s="45" t="inlineStr">
        <is>
          <t>Q1 2026</t>
        </is>
      </c>
      <c r="AA1" s="45" t="inlineStr">
        <is>
          <t>Q2 2026</t>
        </is>
      </c>
      <c r="AB1" s="45" t="inlineStr">
        <is>
          <t>Q3 2026</t>
        </is>
      </c>
      <c r="AC1" s="45" t="inlineStr">
        <is>
          <t>Q4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49.544</v>
      </c>
      <c r="C3" s="18" t="n">
        <v>63.059</v>
      </c>
      <c r="D3" s="18" t="n">
        <v>58.406</v>
      </c>
      <c r="E3" s="18" t="n">
        <v>67.988</v>
      </c>
      <c r="F3" s="18" t="n">
        <v>60.148</v>
      </c>
      <c r="G3" s="18" t="n">
        <v>87.492</v>
      </c>
      <c r="H3" s="18" t="n">
        <v>127.331</v>
      </c>
      <c r="I3" s="18" t="n">
        <v>117.235</v>
      </c>
      <c r="J3" s="18" t="n">
        <v>126.341</v>
      </c>
      <c r="K3" s="18" t="n">
        <v>133.008</v>
      </c>
      <c r="L3" s="18" t="n">
        <v>124.451</v>
      </c>
      <c r="M3" s="18" t="n">
        <v>125.57</v>
      </c>
      <c r="N3" s="18" t="n">
        <v>100.277</v>
      </c>
      <c r="O3" s="18" t="n">
        <v>118.11</v>
      </c>
      <c r="P3" s="18" t="n">
        <v>117.875</v>
      </c>
      <c r="Q3" s="18" t="n">
        <v>118.778</v>
      </c>
      <c r="R3" s="18" t="n">
        <v>103.675</v>
      </c>
      <c r="S3" s="18" t="n">
        <v>141.349</v>
      </c>
      <c r="T3" s="18" t="n">
        <v>163.755</v>
      </c>
      <c r="U3" s="18" t="n">
        <v>164.554</v>
      </c>
      <c r="V3" s="18" t="n">
        <v>157.682</v>
      </c>
      <c r="W3" s="18" t="n">
        <v>227.015</v>
      </c>
      <c r="X3" s="18" t="n">
        <v>257.008</v>
      </c>
      <c r="Y3" s="18" t="n">
        <v>232.474</v>
      </c>
      <c r="Z3" s="18" t="n">
        <v>193.66</v>
      </c>
      <c r="AA3" s="18" t="n">
        <v>237.743</v>
      </c>
      <c r="AB3" s="18" t="n">
        <v>251.153</v>
      </c>
      <c r="AC3" s="18" t="n">
        <v>262.05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70.56999999999999</v>
      </c>
      <c r="C5" s="18" t="n">
        <v>60.094</v>
      </c>
      <c r="D5" s="18" t="n">
        <v>52.414</v>
      </c>
      <c r="E5" s="18" t="n">
        <v>62.739</v>
      </c>
      <c r="F5" s="18" t="n">
        <v>56.139</v>
      </c>
      <c r="G5" s="18" t="n">
        <v>71.86199999999999</v>
      </c>
      <c r="H5" s="18" t="n">
        <v>106.988</v>
      </c>
      <c r="I5" s="18" t="n">
        <v>95.15000000000001</v>
      </c>
      <c r="J5" s="18" t="n">
        <v>102.627</v>
      </c>
      <c r="K5" s="18" t="n">
        <v>105.356</v>
      </c>
      <c r="L5" s="18" t="n">
        <v>98.316</v>
      </c>
      <c r="M5" s="18" t="n">
        <v>103.339</v>
      </c>
      <c r="N5" s="18" t="n">
        <v>80.539</v>
      </c>
      <c r="O5" s="18" t="n">
        <v>93.723</v>
      </c>
      <c r="P5" s="18" t="n">
        <v>95.667</v>
      </c>
      <c r="Q5" s="18" t="n">
        <v>98.75</v>
      </c>
      <c r="R5" s="18" t="n">
        <v>89.45099999999999</v>
      </c>
      <c r="S5" s="18" t="n">
        <v>117.607</v>
      </c>
      <c r="T5" s="18" t="n">
        <v>144.52</v>
      </c>
      <c r="U5" s="18" t="n">
        <v>141.41</v>
      </c>
      <c r="V5" s="18" t="n">
        <v>140.218</v>
      </c>
      <c r="W5" s="18" t="n">
        <v>195.91</v>
      </c>
      <c r="X5" s="18" t="n">
        <v>212.681</v>
      </c>
      <c r="Y5" s="18" t="n">
        <v>184.861</v>
      </c>
      <c r="Z5" s="18" t="n">
        <v>156.797</v>
      </c>
      <c r="AA5" s="18" t="n">
        <v>193.476</v>
      </c>
      <c r="AB5" s="18" t="n">
        <v>204.204</v>
      </c>
      <c r="AC5" s="18" t="n">
        <v>196.451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9.587999999999999</v>
      </c>
      <c r="C9" s="18" t="n">
        <v>10.038</v>
      </c>
      <c r="D9" s="18" t="n">
        <v>12.135</v>
      </c>
      <c r="E9" s="18" t="n">
        <v>12.364</v>
      </c>
      <c r="F9" s="18" t="n">
        <v>10.344</v>
      </c>
      <c r="G9" s="18" t="n">
        <v>9.085000000000001</v>
      </c>
      <c r="H9" s="18" t="n">
        <v>9.398</v>
      </c>
      <c r="I9" s="18" t="n">
        <v>10.214</v>
      </c>
      <c r="J9" s="18" t="n">
        <v>9.891999999999999</v>
      </c>
      <c r="K9" s="18" t="n">
        <v>10.331</v>
      </c>
      <c r="L9" s="18" t="n">
        <v>11.59</v>
      </c>
      <c r="M9" s="18" t="n">
        <v>15.508</v>
      </c>
      <c r="N9" s="18" t="n">
        <v>10.575</v>
      </c>
      <c r="O9" s="18" t="n">
        <v>10.984</v>
      </c>
      <c r="P9" s="18" t="n">
        <v>12.667</v>
      </c>
      <c r="Q9" s="18" t="n">
        <v>10.466</v>
      </c>
      <c r="R9" s="18" t="n">
        <v>10.591</v>
      </c>
      <c r="S9" s="18" t="n">
        <v>10.501</v>
      </c>
      <c r="T9" s="18" t="n">
        <v>11.375</v>
      </c>
      <c r="U9" s="18" t="n">
        <v>11.42</v>
      </c>
      <c r="V9" s="18" t="n">
        <v>10.945</v>
      </c>
      <c r="W9" s="18" t="n">
        <v>12.428</v>
      </c>
      <c r="X9" s="18" t="n">
        <v>13.995</v>
      </c>
      <c r="Y9" s="18" t="n">
        <v>14.946</v>
      </c>
      <c r="Z9" s="18" t="n">
        <v>12.521</v>
      </c>
      <c r="AA9" s="18" t="n">
        <v>14.212</v>
      </c>
      <c r="AB9" s="18" t="n">
        <v>14.316</v>
      </c>
      <c r="AC9" s="18" t="n">
        <v>17.928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-21.026</v>
      </c>
      <c r="C11" s="18" t="n">
        <v>2.965</v>
      </c>
      <c r="D11" s="18" t="n">
        <v>5.992</v>
      </c>
      <c r="E11" s="18" t="n">
        <v>5.249</v>
      </c>
      <c r="F11" s="18" t="n">
        <v>4.009</v>
      </c>
      <c r="G11" s="18" t="n">
        <v>15.63</v>
      </c>
      <c r="H11" s="18" t="n">
        <v>20.343</v>
      </c>
      <c r="I11" s="18" t="n">
        <v>22.085</v>
      </c>
      <c r="J11" s="18" t="n">
        <v>23.714</v>
      </c>
      <c r="K11" s="18" t="n">
        <v>27.652</v>
      </c>
      <c r="L11" s="18" t="n">
        <v>26.135</v>
      </c>
      <c r="M11" s="18" t="n">
        <v>22.231</v>
      </c>
      <c r="N11" s="18" t="n">
        <v>19.738</v>
      </c>
      <c r="O11" s="18" t="n">
        <v>24.387</v>
      </c>
      <c r="P11" s="18" t="n">
        <v>22.208</v>
      </c>
      <c r="Q11" s="18" t="n">
        <v>20.028</v>
      </c>
      <c r="R11" s="18" t="n">
        <v>14.224</v>
      </c>
      <c r="S11" s="18" t="n">
        <v>23.742</v>
      </c>
      <c r="T11" s="18" t="n">
        <v>19.235</v>
      </c>
      <c r="U11" s="18" t="n">
        <v>23.144</v>
      </c>
      <c r="V11" s="18" t="n">
        <v>17.464</v>
      </c>
      <c r="W11" s="18" t="n">
        <v>31.105</v>
      </c>
      <c r="X11" s="18" t="n">
        <v>44.327</v>
      </c>
      <c r="Y11" s="18" t="n">
        <v>47.613</v>
      </c>
      <c r="Z11" s="18" t="n">
        <v>36.863</v>
      </c>
      <c r="AA11" s="18" t="n">
        <v>44.267</v>
      </c>
      <c r="AB11" s="18" t="n">
        <v>46.949</v>
      </c>
      <c r="AC11" s="18" t="n">
        <v>65.599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-32.686</v>
      </c>
      <c r="C13" s="18" t="n">
        <v>-7.073</v>
      </c>
      <c r="D13" s="18" t="n">
        <v>-6.143</v>
      </c>
      <c r="E13" s="18" t="n">
        <v>-9.938000000000001</v>
      </c>
      <c r="F13" s="18" t="n">
        <v>-6.335</v>
      </c>
      <c r="G13" s="18" t="n">
        <v>6.545</v>
      </c>
      <c r="H13" s="18" t="n">
        <v>10.945</v>
      </c>
      <c r="I13" s="18" t="n">
        <v>11.871</v>
      </c>
      <c r="J13" s="18" t="n">
        <v>13.822</v>
      </c>
      <c r="K13" s="18" t="n">
        <v>17.321</v>
      </c>
      <c r="L13" s="18" t="n">
        <v>14.545</v>
      </c>
      <c r="M13" s="18" t="n">
        <v>-1.178</v>
      </c>
      <c r="N13" s="18" t="n">
        <v>9.163</v>
      </c>
      <c r="O13" s="18" t="n">
        <v>13.403</v>
      </c>
      <c r="P13" s="18" t="n">
        <v>9.541</v>
      </c>
      <c r="Q13" s="18" t="n">
        <v>9.561999999999999</v>
      </c>
      <c r="R13" s="18" t="n">
        <v>3.633</v>
      </c>
      <c r="S13" s="18" t="n">
        <v>13.241</v>
      </c>
      <c r="T13" s="18" t="n">
        <v>7.86</v>
      </c>
      <c r="U13" s="18" t="n">
        <v>11.724</v>
      </c>
      <c r="V13" s="18" t="n">
        <v>6.519</v>
      </c>
      <c r="W13" s="18" t="n">
        <v>18.677</v>
      </c>
      <c r="X13" s="18" t="n">
        <v>30.332</v>
      </c>
      <c r="Y13" s="18" t="n">
        <v>32.667</v>
      </c>
      <c r="Z13" s="18" t="n">
        <v>24.342</v>
      </c>
      <c r="AA13" s="18" t="n">
        <v>30.055</v>
      </c>
      <c r="AB13" s="18" t="n">
        <v>32.633</v>
      </c>
      <c r="AC13" s="18" t="n">
        <v>47.671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-29.8</v>
      </c>
      <c r="C15" s="18" t="n">
        <v>1.154</v>
      </c>
      <c r="D15" s="18" t="n">
        <v>-6.855</v>
      </c>
      <c r="E15" s="18" t="n">
        <v>-7.188</v>
      </c>
      <c r="F15" s="18" t="n">
        <v>-0.763</v>
      </c>
      <c r="G15" s="18" t="n">
        <v>5.609</v>
      </c>
      <c r="H15" s="18" t="n">
        <v>9.454000000000001</v>
      </c>
      <c r="I15" s="18" t="n">
        <v>9.551</v>
      </c>
      <c r="J15" s="18" t="n">
        <v>10.766</v>
      </c>
      <c r="K15" s="18" t="n">
        <v>12.87</v>
      </c>
      <c r="L15" s="18" t="n">
        <v>12.393</v>
      </c>
      <c r="M15" s="18" t="n">
        <v>2.215</v>
      </c>
      <c r="N15" s="18" t="n">
        <v>7.485</v>
      </c>
      <c r="O15" s="18" t="n">
        <v>4.222</v>
      </c>
      <c r="P15" s="18" t="n">
        <v>7.758</v>
      </c>
      <c r="Q15" s="18" t="n">
        <v>13.633</v>
      </c>
      <c r="R15" s="18" t="n">
        <v>2.109</v>
      </c>
      <c r="S15" s="18" t="n">
        <v>12.767</v>
      </c>
      <c r="T15" s="18" t="n">
        <v>5.464</v>
      </c>
      <c r="U15" s="18" t="n">
        <v>12.018</v>
      </c>
      <c r="V15" s="18" t="n">
        <v>7.882</v>
      </c>
      <c r="W15" s="18" t="n">
        <v>18.198</v>
      </c>
      <c r="X15" s="18" t="n">
        <v>28.01</v>
      </c>
      <c r="Y15" s="18" t="n">
        <v>31.369</v>
      </c>
      <c r="Z15" s="18" t="n">
        <v>22.55</v>
      </c>
      <c r="AA15" s="18" t="n">
        <v>35.275</v>
      </c>
      <c r="AB15" s="18" t="n">
        <v>30.737</v>
      </c>
      <c r="AC15" s="18" t="n">
        <v>49.212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15.583</v>
      </c>
      <c r="C17" s="18" t="n">
        <v>15.757</v>
      </c>
      <c r="D17" s="18" t="n">
        <v>15.633</v>
      </c>
      <c r="E17" s="18" t="n">
        <v>15.634</v>
      </c>
      <c r="F17" s="18" t="n">
        <v>15.643</v>
      </c>
      <c r="G17" s="18" t="n">
        <v>15.788</v>
      </c>
      <c r="H17" s="18" t="n">
        <v>15.833</v>
      </c>
      <c r="I17" s="18" t="n">
        <v>15.88</v>
      </c>
      <c r="J17" s="18" t="n">
        <v>15.961</v>
      </c>
      <c r="K17" s="18" t="n">
        <v>15.982</v>
      </c>
      <c r="L17" s="18" t="n">
        <v>15.963</v>
      </c>
      <c r="M17" s="18" t="n">
        <v>15.713</v>
      </c>
      <c r="N17" s="18" t="n">
        <v>14.992</v>
      </c>
      <c r="O17" s="18" t="n">
        <v>14.247</v>
      </c>
      <c r="P17" s="18" t="n">
        <v>13.812</v>
      </c>
      <c r="Q17" s="18" t="n">
        <v>13.625</v>
      </c>
      <c r="R17" s="18" t="n">
        <v>13.546</v>
      </c>
      <c r="S17" s="18" t="n">
        <v>13.542</v>
      </c>
      <c r="T17" s="18" t="n">
        <v>13.559</v>
      </c>
      <c r="U17" s="18" t="n">
        <v>13.548</v>
      </c>
      <c r="V17" s="18" t="n">
        <v>13.572</v>
      </c>
      <c r="W17" s="18" t="n">
        <v>13.88</v>
      </c>
      <c r="X17" s="18" t="n">
        <v>14.034</v>
      </c>
      <c r="Y17" s="18" t="n">
        <v>14.135</v>
      </c>
      <c r="Z17" s="18" t="n">
        <v>14.112</v>
      </c>
      <c r="AA17" s="18" t="n">
        <v>14.131</v>
      </c>
      <c r="AB17" s="18" t="n">
        <v>14.157</v>
      </c>
      <c r="AC17" s="18" t="n">
        <v>14.182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Power Industry Services</t>
        </is>
      </c>
      <c r="B19" s="18" t="n">
        <v>20.203</v>
      </c>
      <c r="C19" s="18" t="n">
        <v>27.89</v>
      </c>
      <c r="D19" s="18" t="n">
        <v>35.848</v>
      </c>
      <c r="E19" s="18" t="n">
        <v>51.788</v>
      </c>
      <c r="F19" s="18" t="n">
        <v>48.612</v>
      </c>
      <c r="G19" s="18" t="n">
        <v>69.039</v>
      </c>
      <c r="H19" s="18" t="n">
        <v>109.712</v>
      </c>
      <c r="I19" s="18" t="n">
        <v>91.98999999999999</v>
      </c>
      <c r="J19" s="18" t="n">
        <v>97.172</v>
      </c>
      <c r="K19" s="18" t="n">
        <v>99.004</v>
      </c>
      <c r="L19" s="18" t="n">
        <v>99.56</v>
      </c>
      <c r="M19" s="18" t="n">
        <v>102.353</v>
      </c>
      <c r="N19" s="18" t="n">
        <v>73.949</v>
      </c>
      <c r="O19" s="18" t="n">
        <v>91.327</v>
      </c>
      <c r="P19" s="18" t="n">
        <v>90.682</v>
      </c>
      <c r="Q19" s="18" t="n">
        <v>90.075</v>
      </c>
      <c r="R19" s="18" t="n">
        <v>70.176</v>
      </c>
      <c r="S19" s="18" t="n">
        <v>105.345</v>
      </c>
      <c r="T19" s="18" t="n">
        <v>121.3</v>
      </c>
      <c r="U19" s="18" t="n">
        <v>119.46</v>
      </c>
      <c r="V19" s="18" t="n">
        <v>110.266</v>
      </c>
      <c r="W19" s="18" t="n">
        <v>173.76</v>
      </c>
      <c r="X19" s="18" t="n">
        <v>212.096</v>
      </c>
      <c r="Y19" s="18" t="n">
        <v>196.914</v>
      </c>
      <c r="Z19" s="18" t="n">
        <v>160.356</v>
      </c>
      <c r="AA19" s="18" t="n">
        <v>196.948</v>
      </c>
      <c r="AB19" s="18" t="n">
        <v>195.507</v>
      </c>
      <c r="AC19" s="18" t="n">
        <v>203.688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Industrial Fabrication And Field Services</t>
        </is>
      </c>
      <c r="B22" s="18" t="n">
        <v>27.069</v>
      </c>
      <c r="C22" s="18" t="n">
        <v>33.23</v>
      </c>
      <c r="D22" s="18" t="n">
        <v>20.143</v>
      </c>
      <c r="E22" s="18" t="n">
        <v>14.24</v>
      </c>
      <c r="F22" s="18" t="n">
        <v>9.744</v>
      </c>
      <c r="G22" s="18" t="n">
        <v>16.689</v>
      </c>
      <c r="H22" s="18" t="n">
        <v>15.73</v>
      </c>
      <c r="I22" s="18" t="n">
        <v>23.1</v>
      </c>
      <c r="J22" s="18" t="n">
        <v>26.658</v>
      </c>
      <c r="K22" s="18" t="n">
        <v>30.153</v>
      </c>
      <c r="L22" s="18" t="n">
        <v>21.402</v>
      </c>
      <c r="M22" s="18" t="n">
        <v>19.677</v>
      </c>
      <c r="N22" s="18" t="n">
        <v>22.501</v>
      </c>
      <c r="O22" s="18" t="n">
        <v>23.022</v>
      </c>
      <c r="P22" s="18" t="n">
        <v>22.137</v>
      </c>
      <c r="Q22" s="18" t="n">
        <v>25.114</v>
      </c>
      <c r="R22" s="18" t="n">
        <v>30.307</v>
      </c>
      <c r="S22" s="18" t="n">
        <v>32.756</v>
      </c>
      <c r="T22" s="18" t="n">
        <v>38.434</v>
      </c>
      <c r="U22" s="18" t="n">
        <v>41.304</v>
      </c>
      <c r="V22" s="18" t="n">
        <v>43.699</v>
      </c>
      <c r="W22" s="18" t="n">
        <v>49.642</v>
      </c>
      <c r="X22" s="18" t="n">
        <v>41.337</v>
      </c>
      <c r="Y22" s="18" t="n">
        <v>32.946</v>
      </c>
      <c r="Z22" s="18" t="n">
        <v>29.184</v>
      </c>
      <c r="AA22" s="18" t="n">
        <v>36.065</v>
      </c>
      <c r="AB22" s="18" t="n">
        <v>49.361</v>
      </c>
      <c r="AC22" s="18" t="n">
        <v>52.943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5" t="inlineStr">
        <is>
          <t xml:space="preserve">  REVENUE BY SEGMENT — GEOGRAPHY (% YoY, % of revenue)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U [S]</t>
        </is>
      </c>
      <c r="L26" s="18" t="n">
        <v>110.196</v>
      </c>
      <c r="M26" s="18" t="n">
        <v>300.392</v>
      </c>
      <c r="N26" s="18" t="n">
        <v>80.273</v>
      </c>
      <c r="O26" s="18" t="n">
        <v>93.949</v>
      </c>
      <c r="P26" s="18" t="n">
        <v>81.81</v>
      </c>
      <c r="Q26" s="18" t="n">
        <v>72.818</v>
      </c>
      <c r="R26" s="18" t="n">
        <v>65.244</v>
      </c>
      <c r="S26" s="18" t="n">
        <v>80.28100000000001</v>
      </c>
      <c r="T26" s="18" t="n">
        <v>92.066</v>
      </c>
      <c r="U26" s="18" t="n">
        <v>96.65300000000001</v>
      </c>
      <c r="V26" s="18" t="n">
        <v>124.331</v>
      </c>
      <c r="W26" s="18" t="n">
        <v>195.249</v>
      </c>
      <c r="X26" s="18" t="n">
        <v>239.489</v>
      </c>
      <c r="Y26" s="18" t="n">
        <v>224.038</v>
      </c>
      <c r="Z26" s="18" t="n">
        <v>181.106</v>
      </c>
      <c r="AA26" s="18" t="n">
        <v>214.195</v>
      </c>
      <c r="AB26" s="18" t="n">
        <v>222.637</v>
      </c>
      <c r="AC26" s="18" t="n">
        <v>234.274</v>
      </c>
    </row>
    <row r="27">
      <c r="A27" s="4" t="inlineStr">
        <is>
          <t xml:space="preserve">    % YoY</t>
        </is>
      </c>
      <c r="F27" s="25">
        <f>IFERROR(F26/B26-1,"")</f>
        <v/>
      </c>
      <c r="G27" s="25">
        <f>IFERROR(G26/C26-1,"")</f>
        <v/>
      </c>
      <c r="H27" s="25">
        <f>IFERROR(H26/D26-1,"")</f>
        <v/>
      </c>
      <c r="I27" s="25">
        <f>IFERROR(I26/E26-1,"")</f>
        <v/>
      </c>
      <c r="J27" s="25">
        <f>IFERROR(J26/F26-1,"")</f>
        <v/>
      </c>
      <c r="K27" s="25">
        <f>IFERROR(K26/G26-1,"")</f>
        <v/>
      </c>
      <c r="L27" s="25">
        <f>IFERROR(L26/H26-1,"")</f>
        <v/>
      </c>
      <c r="M27" s="25">
        <f>IFERROR(M26/I26-1,"")</f>
        <v/>
      </c>
      <c r="N27" s="25">
        <f>IFERROR(N26/J26-1,"")</f>
        <v/>
      </c>
      <c r="O27" s="25">
        <f>IFERROR(O26/K26-1,"")</f>
        <v/>
      </c>
      <c r="P27" s="25">
        <f>IFERROR(P26/L26-1,"")</f>
        <v/>
      </c>
      <c r="Q27" s="25">
        <f>IFERROR(Q26/M26-1,"")</f>
        <v/>
      </c>
      <c r="R27" s="25">
        <f>IFERROR(R26/N26-1,"")</f>
        <v/>
      </c>
      <c r="S27" s="25">
        <f>IFERROR(S26/O26-1,"")</f>
        <v/>
      </c>
      <c r="T27" s="25">
        <f>IFERROR(T26/P26-1,"")</f>
        <v/>
      </c>
      <c r="U27" s="25">
        <f>IFERROR(U26/Q26-1,"")</f>
        <v/>
      </c>
      <c r="V27" s="25">
        <f>IFERROR(V26/R26-1,"")</f>
        <v/>
      </c>
      <c r="W27" s="25">
        <f>IFERROR(W26/S26-1,"")</f>
        <v/>
      </c>
      <c r="X27" s="25">
        <f>IFERROR(X26/T26-1,"")</f>
        <v/>
      </c>
      <c r="Y27" s="25">
        <f>IFERROR(Y26/U26-1,"")</f>
        <v/>
      </c>
      <c r="Z27" s="25">
        <f>IFERROR(Z26/V26-1,"")</f>
        <v/>
      </c>
      <c r="AA27" s="25">
        <f>IFERROR(AA26/W26-1,"")</f>
        <v/>
      </c>
      <c r="AB27" s="25">
        <f>IFERROR(AB26/X26-1,"")</f>
        <v/>
      </c>
      <c r="AC27" s="25">
        <f>IFERROR(AC26/Y26-1,"")</f>
        <v/>
      </c>
    </row>
    <row r="28">
      <c r="A28" s="4" t="inlineStr">
        <is>
          <t xml:space="preserve">    % of revenue</t>
        </is>
      </c>
      <c r="B28" s="25">
        <f>IFERROR(B26/B3,"")</f>
        <v/>
      </c>
      <c r="C28" s="25">
        <f>IFERROR(C26/C3,"")</f>
        <v/>
      </c>
      <c r="D28" s="25">
        <f>IFERROR(D26/D3,"")</f>
        <v/>
      </c>
      <c r="E28" s="25">
        <f>IFERROR(E26/E3,"")</f>
        <v/>
      </c>
      <c r="F28" s="25">
        <f>IFERROR(F26/F3,"")</f>
        <v/>
      </c>
      <c r="G28" s="25">
        <f>IFERROR(G26/G3,"")</f>
        <v/>
      </c>
      <c r="H28" s="25">
        <f>IFERROR(H26/H3,"")</f>
        <v/>
      </c>
      <c r="I28" s="25">
        <f>IFERROR(I26/I3,"")</f>
        <v/>
      </c>
      <c r="J28" s="25">
        <f>IFERROR(J26/J3,"")</f>
        <v/>
      </c>
      <c r="K28" s="25">
        <f>IFERROR(K26/K3,"")</f>
        <v/>
      </c>
      <c r="L28" s="25">
        <f>IFERROR(L26/L3,"")</f>
        <v/>
      </c>
      <c r="M28" s="25">
        <f>IFERROR(M26/M3,"")</f>
        <v/>
      </c>
      <c r="N28" s="25">
        <f>IFERROR(N26/N3,"")</f>
        <v/>
      </c>
      <c r="O28" s="25">
        <f>IFERROR(O26/O3,"")</f>
        <v/>
      </c>
      <c r="P28" s="25">
        <f>IFERROR(P26/P3,"")</f>
        <v/>
      </c>
      <c r="Q28" s="25">
        <f>IFERROR(Q26/Q3,"")</f>
        <v/>
      </c>
      <c r="R28" s="25">
        <f>IFERROR(R26/R3,"")</f>
        <v/>
      </c>
      <c r="S28" s="25">
        <f>IFERROR(S26/S3,"")</f>
        <v/>
      </c>
      <c r="T28" s="25">
        <f>IFERROR(T26/T3,"")</f>
        <v/>
      </c>
      <c r="U28" s="25">
        <f>IFERROR(U26/U3,"")</f>
        <v/>
      </c>
      <c r="V28" s="25">
        <f>IFERROR(V26/V3,"")</f>
        <v/>
      </c>
      <c r="W28" s="25">
        <f>IFERROR(W26/W3,"")</f>
        <v/>
      </c>
      <c r="X28" s="25">
        <f>IFERROR(X26/X3,"")</f>
        <v/>
      </c>
      <c r="Y28" s="25">
        <f>IFERROR(Y26/Y3,"")</f>
        <v/>
      </c>
      <c r="Z28" s="25">
        <f>IFERROR(Z26/Z3,"")</f>
        <v/>
      </c>
      <c r="AA28" s="25">
        <f>IFERROR(AA26/AA3,"")</f>
        <v/>
      </c>
      <c r="AB28" s="25">
        <f>IFERROR(AB26/AB3,"")</f>
        <v/>
      </c>
      <c r="AC28" s="25">
        <f>IFERROR(AC26/AC3,"")</f>
        <v/>
      </c>
    </row>
    <row r="29">
      <c r="A29" s="4" t="inlineStr">
        <is>
          <t>I [E]</t>
        </is>
      </c>
      <c r="L29" s="18" t="n">
        <v>9.698</v>
      </c>
      <c r="M29" s="18" t="n">
        <v>12.655</v>
      </c>
      <c r="N29" s="18" t="n">
        <v>9.653</v>
      </c>
      <c r="O29" s="18" t="n">
        <v>15.532</v>
      </c>
      <c r="P29" s="18" t="n">
        <v>21.833</v>
      </c>
      <c r="Q29" s="18" t="n">
        <v>21.224</v>
      </c>
      <c r="R29" s="18" t="n">
        <v>24.856</v>
      </c>
      <c r="S29" s="18" t="n">
        <v>48.075</v>
      </c>
      <c r="T29" s="18" t="n">
        <v>68.35899999999999</v>
      </c>
      <c r="U29" s="18" t="n">
        <v>57.411</v>
      </c>
      <c r="V29" s="18" t="n">
        <v>28.891</v>
      </c>
      <c r="W29" s="18" t="n">
        <v>28.167</v>
      </c>
      <c r="X29" s="18" t="n">
        <v>16.981</v>
      </c>
      <c r="Y29" s="18" t="n">
        <v>7.317</v>
      </c>
      <c r="Z29" s="18" t="n">
        <v>9.888</v>
      </c>
      <c r="AA29" s="18" t="n">
        <v>17.244</v>
      </c>
      <c r="AB29" s="18" t="n">
        <v>19.303</v>
      </c>
      <c r="AC29" s="18" t="n">
        <v>18.574</v>
      </c>
    </row>
    <row r="30">
      <c r="A30" s="4" t="inlineStr">
        <is>
          <t xml:space="preserve">    % YoY</t>
        </is>
      </c>
      <c r="F30" s="25">
        <f>IFERROR(F29/B29-1,"")</f>
        <v/>
      </c>
      <c r="G30" s="25">
        <f>IFERROR(G29/C29-1,"")</f>
        <v/>
      </c>
      <c r="H30" s="25">
        <f>IFERROR(H29/D29-1,"")</f>
        <v/>
      </c>
      <c r="I30" s="25">
        <f>IFERROR(I29/E29-1,"")</f>
        <v/>
      </c>
      <c r="J30" s="25">
        <f>IFERROR(J29/F29-1,"")</f>
        <v/>
      </c>
      <c r="K30" s="25">
        <f>IFERROR(K29/G29-1,"")</f>
        <v/>
      </c>
      <c r="L30" s="25">
        <f>IFERROR(L29/H29-1,"")</f>
        <v/>
      </c>
      <c r="M30" s="25">
        <f>IFERROR(M29/I29-1,"")</f>
        <v/>
      </c>
      <c r="N30" s="25">
        <f>IFERROR(N29/J29-1,"")</f>
        <v/>
      </c>
      <c r="O30" s="25">
        <f>IFERROR(O29/K29-1,"")</f>
        <v/>
      </c>
      <c r="P30" s="25">
        <f>IFERROR(P29/L29-1,"")</f>
        <v/>
      </c>
      <c r="Q30" s="25">
        <f>IFERROR(Q29/M29-1,"")</f>
        <v/>
      </c>
      <c r="R30" s="25">
        <f>IFERROR(R29/N29-1,"")</f>
        <v/>
      </c>
      <c r="S30" s="25">
        <f>IFERROR(S29/O29-1,"")</f>
        <v/>
      </c>
      <c r="T30" s="25">
        <f>IFERROR(T29/P29-1,"")</f>
        <v/>
      </c>
      <c r="U30" s="25">
        <f>IFERROR(U29/Q29-1,"")</f>
        <v/>
      </c>
      <c r="V30" s="25">
        <f>IFERROR(V29/R29-1,"")</f>
        <v/>
      </c>
      <c r="W30" s="25">
        <f>IFERROR(W29/S29-1,"")</f>
        <v/>
      </c>
      <c r="X30" s="25">
        <f>IFERROR(X29/T29-1,"")</f>
        <v/>
      </c>
      <c r="Y30" s="25">
        <f>IFERROR(Y29/U29-1,"")</f>
        <v/>
      </c>
      <c r="Z30" s="25">
        <f>IFERROR(Z29/V29-1,"")</f>
        <v/>
      </c>
      <c r="AA30" s="25">
        <f>IFERROR(AA29/W29-1,"")</f>
        <v/>
      </c>
      <c r="AB30" s="25">
        <f>IFERROR(AB29/X29-1,"")</f>
        <v/>
      </c>
      <c r="AC30" s="25">
        <f>IFERROR(AC29/Y29-1,"")</f>
        <v/>
      </c>
    </row>
    <row r="31">
      <c r="A31" s="4" t="inlineStr">
        <is>
          <t xml:space="preserve">    % of revenue</t>
        </is>
      </c>
      <c r="B31" s="25">
        <f>IFERROR(B29/B3,"")</f>
        <v/>
      </c>
      <c r="C31" s="25">
        <f>IFERROR(C29/C3,"")</f>
        <v/>
      </c>
      <c r="D31" s="25">
        <f>IFERROR(D29/D3,"")</f>
        <v/>
      </c>
      <c r="E31" s="25">
        <f>IFERROR(E29/E3,"")</f>
        <v/>
      </c>
      <c r="F31" s="25">
        <f>IFERROR(F29/F3,"")</f>
        <v/>
      </c>
      <c r="G31" s="25">
        <f>IFERROR(G29/G3,"")</f>
        <v/>
      </c>
      <c r="H31" s="25">
        <f>IFERROR(H29/H3,"")</f>
        <v/>
      </c>
      <c r="I31" s="25">
        <f>IFERROR(I29/I3,"")</f>
        <v/>
      </c>
      <c r="J31" s="25">
        <f>IFERROR(J29/J3,"")</f>
        <v/>
      </c>
      <c r="K31" s="25">
        <f>IFERROR(K29/K3,"")</f>
        <v/>
      </c>
      <c r="L31" s="25">
        <f>IFERROR(L29/L3,"")</f>
        <v/>
      </c>
      <c r="M31" s="25">
        <f>IFERROR(M29/M3,"")</f>
        <v/>
      </c>
      <c r="N31" s="25">
        <f>IFERROR(N29/N3,"")</f>
        <v/>
      </c>
      <c r="O31" s="25">
        <f>IFERROR(O29/O3,"")</f>
        <v/>
      </c>
      <c r="P31" s="25">
        <f>IFERROR(P29/P3,"")</f>
        <v/>
      </c>
      <c r="Q31" s="25">
        <f>IFERROR(Q29/Q3,"")</f>
        <v/>
      </c>
      <c r="R31" s="25">
        <f>IFERROR(R29/R3,"")</f>
        <v/>
      </c>
      <c r="S31" s="25">
        <f>IFERROR(S29/S3,"")</f>
        <v/>
      </c>
      <c r="T31" s="25">
        <f>IFERROR(T29/T3,"")</f>
        <v/>
      </c>
      <c r="U31" s="25">
        <f>IFERROR(U29/U3,"")</f>
        <v/>
      </c>
      <c r="V31" s="25">
        <f>IFERROR(V29/V3,"")</f>
        <v/>
      </c>
      <c r="W31" s="25">
        <f>IFERROR(W29/W3,"")</f>
        <v/>
      </c>
      <c r="X31" s="25">
        <f>IFERROR(X29/X3,"")</f>
        <v/>
      </c>
      <c r="Y31" s="25">
        <f>IFERROR(Y29/Y3,"")</f>
        <v/>
      </c>
      <c r="Z31" s="25">
        <f>IFERROR(Z29/Z3,"")</f>
        <v/>
      </c>
      <c r="AA31" s="25">
        <f>IFERROR(AA29/AA3,"")</f>
        <v/>
      </c>
      <c r="AB31" s="25">
        <f>IFERROR(AB29/AB3,"")</f>
        <v/>
      </c>
      <c r="AC31" s="25">
        <f>IFERROR(AC29/AC3,"")</f>
        <v/>
      </c>
    </row>
    <row r="32">
      <c r="A32" s="4" t="inlineStr">
        <is>
          <t>G [B]</t>
        </is>
      </c>
      <c r="L32" s="18" t="n">
        <v>4.496</v>
      </c>
      <c r="N32" s="18" t="n">
        <v>10.351</v>
      </c>
      <c r="O32" s="18" t="n">
        <v>8.629</v>
      </c>
      <c r="P32" s="18" t="n">
        <v>14.232</v>
      </c>
      <c r="Q32" s="18" t="n">
        <v>24.736</v>
      </c>
      <c r="R32" s="18" t="n">
        <v>13.575</v>
      </c>
      <c r="S32" s="18" t="n">
        <v>12.993</v>
      </c>
      <c r="T32" s="18" t="n">
        <v>3.33</v>
      </c>
      <c r="U32" s="18" t="n">
        <v>10.49</v>
      </c>
      <c r="V32" s="18" t="n">
        <v>4.46</v>
      </c>
      <c r="W32" s="18" t="n">
        <v>3.599</v>
      </c>
      <c r="X32" s="18" t="n">
        <v>0.538</v>
      </c>
      <c r="Y32" s="18" t="n">
        <v>1.119</v>
      </c>
      <c r="Z32" s="18" t="n">
        <v>2.666</v>
      </c>
      <c r="AA32" s="18" t="n">
        <v>6.304</v>
      </c>
      <c r="AB32" s="18" t="n">
        <v>9.212999999999999</v>
      </c>
      <c r="AC32" s="18" t="n">
        <v>9.202</v>
      </c>
    </row>
    <row r="33">
      <c r="A33" s="4" t="inlineStr">
        <is>
          <t xml:space="preserve">    % YoY</t>
        </is>
      </c>
      <c r="F33" s="25">
        <f>IFERROR(F32/B32-1,"")</f>
        <v/>
      </c>
      <c r="G33" s="25">
        <f>IFERROR(G32/C32-1,"")</f>
        <v/>
      </c>
      <c r="H33" s="25">
        <f>IFERROR(H32/D32-1,"")</f>
        <v/>
      </c>
      <c r="I33" s="25">
        <f>IFERROR(I32/E32-1,"")</f>
        <v/>
      </c>
      <c r="J33" s="25">
        <f>IFERROR(J32/F32-1,"")</f>
        <v/>
      </c>
      <c r="K33" s="25">
        <f>IFERROR(K32/G32-1,"")</f>
        <v/>
      </c>
      <c r="L33" s="25">
        <f>IFERROR(L32/H32-1,"")</f>
        <v/>
      </c>
      <c r="M33" s="25">
        <f>IFERROR(M32/I32-1,"")</f>
        <v/>
      </c>
      <c r="N33" s="25">
        <f>IFERROR(N32/J32-1,"")</f>
        <v/>
      </c>
      <c r="O33" s="25">
        <f>IFERROR(O32/K32-1,"")</f>
        <v/>
      </c>
      <c r="P33" s="25">
        <f>IFERROR(P32/L32-1,"")</f>
        <v/>
      </c>
      <c r="Q33" s="25">
        <f>IFERROR(Q32/M32-1,"")</f>
        <v/>
      </c>
      <c r="R33" s="25">
        <f>IFERROR(R32/N32-1,"")</f>
        <v/>
      </c>
      <c r="S33" s="25">
        <f>IFERROR(S32/O32-1,"")</f>
        <v/>
      </c>
      <c r="T33" s="25">
        <f>IFERROR(T32/P32-1,"")</f>
        <v/>
      </c>
      <c r="U33" s="25">
        <f>IFERROR(U32/Q32-1,"")</f>
        <v/>
      </c>
      <c r="V33" s="25">
        <f>IFERROR(V32/R32-1,"")</f>
        <v/>
      </c>
      <c r="W33" s="25">
        <f>IFERROR(W32/S32-1,"")</f>
        <v/>
      </c>
      <c r="X33" s="25">
        <f>IFERROR(X32/T32-1,"")</f>
        <v/>
      </c>
      <c r="Y33" s="25">
        <f>IFERROR(Y32/U32-1,"")</f>
        <v/>
      </c>
      <c r="Z33" s="25">
        <f>IFERROR(Z32/V32-1,"")</f>
        <v/>
      </c>
      <c r="AA33" s="25">
        <f>IFERROR(AA32/W32-1,"")</f>
        <v/>
      </c>
      <c r="AB33" s="25">
        <f>IFERROR(AB32/X32-1,"")</f>
        <v/>
      </c>
      <c r="AC33" s="25">
        <f>IFERROR(AC32/Y32-1,"")</f>
        <v/>
      </c>
    </row>
    <row r="34">
      <c r="A34" s="4" t="inlineStr">
        <is>
          <t xml:space="preserve">    % of revenue</t>
        </is>
      </c>
      <c r="B34" s="25">
        <f>IFERROR(B32/B3,"")</f>
        <v/>
      </c>
      <c r="C34" s="25">
        <f>IFERROR(C32/C3,"")</f>
        <v/>
      </c>
      <c r="D34" s="25">
        <f>IFERROR(D32/D3,"")</f>
        <v/>
      </c>
      <c r="E34" s="25">
        <f>IFERROR(E32/E3,"")</f>
        <v/>
      </c>
      <c r="F34" s="25">
        <f>IFERROR(F32/F3,"")</f>
        <v/>
      </c>
      <c r="G34" s="25">
        <f>IFERROR(G32/G3,"")</f>
        <v/>
      </c>
      <c r="H34" s="25">
        <f>IFERROR(H32/H3,"")</f>
        <v/>
      </c>
      <c r="I34" s="25">
        <f>IFERROR(I32/I3,"")</f>
        <v/>
      </c>
      <c r="J34" s="25">
        <f>IFERROR(J32/J3,"")</f>
        <v/>
      </c>
      <c r="K34" s="25">
        <f>IFERROR(K32/K3,"")</f>
        <v/>
      </c>
      <c r="L34" s="25">
        <f>IFERROR(L32/L3,"")</f>
        <v/>
      </c>
      <c r="M34" s="25">
        <f>IFERROR(M32/M3,"")</f>
        <v/>
      </c>
      <c r="N34" s="25">
        <f>IFERROR(N32/N3,"")</f>
        <v/>
      </c>
      <c r="O34" s="25">
        <f>IFERROR(O32/O3,"")</f>
        <v/>
      </c>
      <c r="P34" s="25">
        <f>IFERROR(P32/P3,"")</f>
        <v/>
      </c>
      <c r="Q34" s="25">
        <f>IFERROR(Q32/Q3,"")</f>
        <v/>
      </c>
      <c r="R34" s="25">
        <f>IFERROR(R32/R3,"")</f>
        <v/>
      </c>
      <c r="S34" s="25">
        <f>IFERROR(S32/S3,"")</f>
        <v/>
      </c>
      <c r="T34" s="25">
        <f>IFERROR(T32/T3,"")</f>
        <v/>
      </c>
      <c r="U34" s="25">
        <f>IFERROR(U32/U3,"")</f>
        <v/>
      </c>
      <c r="V34" s="25">
        <f>IFERROR(V32/V3,"")</f>
        <v/>
      </c>
      <c r="W34" s="25">
        <f>IFERROR(W32/W3,"")</f>
        <v/>
      </c>
      <c r="X34" s="25">
        <f>IFERROR(X32/X3,"")</f>
        <v/>
      </c>
      <c r="Y34" s="25">
        <f>IFERROR(Y32/Y3,"")</f>
        <v/>
      </c>
      <c r="Z34" s="25">
        <f>IFERROR(Z32/Z3,"")</f>
        <v/>
      </c>
      <c r="AA34" s="25">
        <f>IFERROR(AA32/AA3,"")</f>
        <v/>
      </c>
      <c r="AB34" s="25">
        <f>IFERROR(AB32/AB3,"")</f>
        <v/>
      </c>
      <c r="AC34" s="25">
        <f>IFERROR(AC32/AC3,"")</f>
        <v/>
      </c>
    </row>
    <row r="35">
      <c r="A35" s="5" t="inlineStr">
        <is>
          <t xml:space="preserve">  BALANCE SHEET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4" t="inlineStr">
        <is>
          <t>Cash &amp; ST Investments</t>
        </is>
      </c>
      <c r="B36" s="18" t="n">
        <v>255.764</v>
      </c>
      <c r="C36" s="18" t="n">
        <v>233.624</v>
      </c>
      <c r="D36" s="18" t="n">
        <v>294.589</v>
      </c>
      <c r="E36" s="18" t="n">
        <v>327.862</v>
      </c>
      <c r="F36" s="18" t="n">
        <v>363.544</v>
      </c>
      <c r="G36" s="18" t="n">
        <v>407.628</v>
      </c>
      <c r="H36" s="18" t="n">
        <v>443.23</v>
      </c>
      <c r="I36" s="18" t="n">
        <v>456.726</v>
      </c>
      <c r="J36" s="18" t="n">
        <v>466.75</v>
      </c>
      <c r="K36" s="18" t="n">
        <v>491.48</v>
      </c>
      <c r="L36" s="18" t="n">
        <v>481.564</v>
      </c>
      <c r="M36" s="18" t="n">
        <v>440.498</v>
      </c>
      <c r="N36" s="18" t="n">
        <v>367.484</v>
      </c>
      <c r="O36" s="18" t="n">
        <v>318.987</v>
      </c>
      <c r="P36" s="18" t="n">
        <v>286.631</v>
      </c>
      <c r="Q36" s="18" t="n">
        <v>325.458</v>
      </c>
      <c r="R36" s="18" t="n">
        <v>316.937</v>
      </c>
      <c r="S36" s="18" t="n">
        <v>346.415</v>
      </c>
      <c r="T36" s="18" t="n">
        <v>397.515</v>
      </c>
      <c r="U36" s="18" t="n">
        <v>412.405</v>
      </c>
      <c r="V36" s="18" t="n">
        <v>416.356</v>
      </c>
      <c r="W36" s="18" t="n">
        <v>484.682</v>
      </c>
      <c r="X36" s="18" t="n">
        <v>506.282</v>
      </c>
      <c r="Y36" s="18" t="n">
        <v>525.1369999999999</v>
      </c>
      <c r="Z36" s="18" t="n">
        <v>546.457</v>
      </c>
      <c r="AA36" s="18" t="n">
        <v>572.1900000000001</v>
      </c>
      <c r="AB36" s="18" t="n">
        <v>726.821</v>
      </c>
      <c r="AC36" s="18" t="n">
        <v>894.981</v>
      </c>
    </row>
    <row r="37">
      <c r="A37" s="4" t="inlineStr">
        <is>
          <t>Total Current Assets</t>
        </is>
      </c>
      <c r="B37" s="18" t="n">
        <v>373.161</v>
      </c>
      <c r="C37" s="18" t="n">
        <v>353.137</v>
      </c>
      <c r="D37" s="18" t="n">
        <v>405.9</v>
      </c>
      <c r="E37" s="18" t="n">
        <v>421.755</v>
      </c>
      <c r="F37" s="18" t="n">
        <v>455.736</v>
      </c>
      <c r="G37" s="18" t="n">
        <v>503.456</v>
      </c>
      <c r="H37" s="18" t="n">
        <v>538.8200000000001</v>
      </c>
      <c r="I37" s="18" t="n">
        <v>546.22</v>
      </c>
      <c r="J37" s="18" t="n">
        <v>559.0309999999999</v>
      </c>
      <c r="K37" s="18" t="n">
        <v>597.6559999999999</v>
      </c>
      <c r="L37" s="18" t="n">
        <v>559.7190000000001</v>
      </c>
      <c r="M37" s="18" t="n">
        <v>507.284</v>
      </c>
      <c r="N37" s="18" t="n">
        <v>447.591</v>
      </c>
      <c r="O37" s="18" t="n">
        <v>378.193</v>
      </c>
      <c r="P37" s="18" t="n">
        <v>364.965</v>
      </c>
      <c r="Q37" s="18" t="n">
        <v>438.702</v>
      </c>
      <c r="R37" s="18" t="n">
        <v>425.001</v>
      </c>
      <c r="S37" s="18" t="n">
        <v>455.132</v>
      </c>
      <c r="T37" s="18" t="n">
        <v>514.071</v>
      </c>
      <c r="U37" s="18" t="n">
        <v>547.179</v>
      </c>
      <c r="V37" s="18" t="n">
        <v>574.326</v>
      </c>
      <c r="W37" s="18" t="n">
        <v>674.954</v>
      </c>
      <c r="X37" s="18" t="n">
        <v>717.141</v>
      </c>
      <c r="Y37" s="18" t="n">
        <v>781.3</v>
      </c>
      <c r="Z37" s="18" t="n">
        <v>738.077</v>
      </c>
      <c r="AA37" s="18" t="n">
        <v>828.784</v>
      </c>
      <c r="AB37" s="18" t="n">
        <v>997.171</v>
      </c>
      <c r="AC37" s="18" t="n">
        <v>1132.257</v>
      </c>
    </row>
    <row r="38">
      <c r="A38" s="4" t="inlineStr">
        <is>
          <t>PP&amp;E (net)</t>
        </is>
      </c>
      <c r="B38" s="18" t="n">
        <v>22.036</v>
      </c>
      <c r="C38" s="18" t="n">
        <v>21.946</v>
      </c>
      <c r="D38" s="18" t="n">
        <v>24.549</v>
      </c>
      <c r="E38" s="18" t="n">
        <v>24.947</v>
      </c>
      <c r="F38" s="18" t="n">
        <v>24.509</v>
      </c>
      <c r="G38" s="18" t="n">
        <v>25.158</v>
      </c>
      <c r="H38" s="18" t="n">
        <v>24.413</v>
      </c>
      <c r="I38" s="18" t="n">
        <v>24.121</v>
      </c>
      <c r="J38" s="18" t="n">
        <v>27.129</v>
      </c>
      <c r="K38" s="18" t="n">
        <v>22.746</v>
      </c>
      <c r="L38" s="18" t="n">
        <v>22.074</v>
      </c>
      <c r="M38" s="18" t="n">
        <v>14.489</v>
      </c>
      <c r="N38" s="18" t="n">
        <v>14.011</v>
      </c>
      <c r="O38" s="18" t="n">
        <v>13.903</v>
      </c>
      <c r="P38" s="18" t="n">
        <v>15.175</v>
      </c>
      <c r="Q38" s="18" t="n">
        <v>16.454</v>
      </c>
      <c r="R38" s="18" t="n">
        <v>16.543</v>
      </c>
      <c r="S38" s="18" t="n">
        <v>16.22</v>
      </c>
      <c r="T38" s="18" t="n">
        <v>16.101</v>
      </c>
      <c r="U38" s="18" t="n">
        <v>18.541</v>
      </c>
      <c r="V38" s="18" t="n">
        <v>17.624</v>
      </c>
      <c r="W38" s="18" t="n">
        <v>19.928</v>
      </c>
      <c r="X38" s="18" t="n">
        <v>20.512</v>
      </c>
      <c r="Y38" s="18" t="n">
        <v>24.516</v>
      </c>
      <c r="Z38" s="18" t="n">
        <v>24.317</v>
      </c>
      <c r="AA38" s="18" t="n">
        <v>24.257</v>
      </c>
      <c r="AB38" s="18" t="n">
        <v>21.633</v>
      </c>
      <c r="AC38" s="18" t="n">
        <v>24.614</v>
      </c>
    </row>
    <row r="39">
      <c r="A39" s="4" t="inlineStr">
        <is>
          <t>Total Assets</t>
        </is>
      </c>
      <c r="B39" s="18" t="n">
        <v>433.161</v>
      </c>
      <c r="C39" s="18" t="n">
        <v>419.724</v>
      </c>
      <c r="D39" s="18" t="n">
        <v>472.717</v>
      </c>
      <c r="E39" s="18" t="n">
        <v>487.54</v>
      </c>
      <c r="F39" s="18" t="n">
        <v>512.9640000000001</v>
      </c>
      <c r="G39" s="18" t="n">
        <v>561.107</v>
      </c>
      <c r="H39" s="18" t="n">
        <v>595.5</v>
      </c>
      <c r="I39" s="18" t="n">
        <v>602.63</v>
      </c>
      <c r="J39" s="18" t="n">
        <v>617.972</v>
      </c>
      <c r="K39" s="18" t="n">
        <v>651.989</v>
      </c>
      <c r="L39" s="18" t="n">
        <v>613.153</v>
      </c>
      <c r="M39" s="18" t="n">
        <v>553.585</v>
      </c>
      <c r="N39" s="18" t="n">
        <v>492.81</v>
      </c>
      <c r="O39" s="18" t="n">
        <v>423.07</v>
      </c>
      <c r="P39" s="18" t="n">
        <v>410.903</v>
      </c>
      <c r="Q39" s="18" t="n">
        <v>489.487</v>
      </c>
      <c r="R39" s="18" t="n">
        <v>475.694</v>
      </c>
      <c r="S39" s="18" t="n">
        <v>505.708</v>
      </c>
      <c r="T39" s="18" t="n">
        <v>563.652</v>
      </c>
      <c r="U39" s="18" t="n">
        <v>598.229</v>
      </c>
      <c r="V39" s="18" t="n">
        <v>624.408</v>
      </c>
      <c r="W39" s="18" t="n">
        <v>726.574</v>
      </c>
      <c r="X39" s="18" t="n">
        <v>768.864</v>
      </c>
      <c r="Y39" s="18" t="n">
        <v>836.227</v>
      </c>
      <c r="Z39" s="18" t="n">
        <v>792.155</v>
      </c>
      <c r="AA39" s="18" t="n">
        <v>882.704</v>
      </c>
      <c r="AB39" s="18" t="n">
        <v>1050.869</v>
      </c>
      <c r="AC39" s="18" t="n">
        <v>1186.354</v>
      </c>
    </row>
    <row r="40">
      <c r="A40" s="4" t="inlineStr">
        <is>
          <t>Total Current Liabilities</t>
        </is>
      </c>
      <c r="B40" s="18" t="n">
        <v>71.026</v>
      </c>
      <c r="C40" s="18" t="n">
        <v>58.714</v>
      </c>
      <c r="D40" s="18" t="n">
        <v>118.957</v>
      </c>
      <c r="E40" s="18" t="n">
        <v>144.034</v>
      </c>
      <c r="F40" s="18" t="n">
        <v>173.106</v>
      </c>
      <c r="G40" s="18" t="n">
        <v>233.435</v>
      </c>
      <c r="H40" s="18" t="n">
        <v>261.03</v>
      </c>
      <c r="I40" s="18" t="n">
        <v>276.087</v>
      </c>
      <c r="J40" s="18" t="n">
        <v>283.065</v>
      </c>
      <c r="K40" s="18" t="n">
        <v>307.347</v>
      </c>
      <c r="L40" s="18" t="n">
        <v>259.045</v>
      </c>
      <c r="M40" s="18" t="n">
        <v>223.027</v>
      </c>
      <c r="N40" s="18" t="n">
        <v>186.274</v>
      </c>
      <c r="O40" s="18" t="n">
        <v>142.012</v>
      </c>
      <c r="P40" s="18" t="n">
        <v>134.542</v>
      </c>
      <c r="Q40" s="18" t="n">
        <v>202.503</v>
      </c>
      <c r="R40" s="18" t="n">
        <v>192.397</v>
      </c>
      <c r="S40" s="18" t="n">
        <v>215.606</v>
      </c>
      <c r="T40" s="18" t="n">
        <v>273.894</v>
      </c>
      <c r="U40" s="18" t="n">
        <v>302.26</v>
      </c>
      <c r="V40" s="18" t="n">
        <v>327.598</v>
      </c>
      <c r="W40" s="18" t="n">
        <v>415.127</v>
      </c>
      <c r="X40" s="18" t="n">
        <v>436.164</v>
      </c>
      <c r="Y40" s="18" t="n">
        <v>479.857</v>
      </c>
      <c r="Z40" s="18" t="n">
        <v>422.95</v>
      </c>
      <c r="AA40" s="18" t="n">
        <v>484.322</v>
      </c>
      <c r="AB40" s="18" t="n">
        <v>619.86</v>
      </c>
      <c r="AC40" s="18" t="n">
        <v>706.495</v>
      </c>
    </row>
    <row r="41">
      <c r="A41" s="4" t="inlineStr">
        <is>
          <t>Long-term Debt</t>
        </is>
      </c>
      <c r="B41" s="18" t="n">
        <v>0</v>
      </c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0</v>
      </c>
      <c r="M41" s="18" t="n">
        <v>0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0</v>
      </c>
      <c r="S41" s="18" t="n">
        <v>0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0</v>
      </c>
      <c r="Z41" s="18" t="n">
        <v>0</v>
      </c>
      <c r="AA41" s="18" t="n">
        <v>0</v>
      </c>
      <c r="AB41" s="18" t="n">
        <v>0</v>
      </c>
      <c r="AC41" s="18" t="n">
        <v>0</v>
      </c>
    </row>
    <row r="42">
      <c r="A42" s="4" t="inlineStr">
        <is>
          <t>Total Equity</t>
        </is>
      </c>
      <c r="B42" s="18" t="n">
        <v>361.799</v>
      </c>
      <c r="C42" s="18" t="n">
        <v>359.552</v>
      </c>
      <c r="D42" s="18" t="n">
        <v>349.607</v>
      </c>
      <c r="E42" s="18" t="n">
        <v>339.249</v>
      </c>
      <c r="F42" s="18" t="n">
        <v>335.149</v>
      </c>
      <c r="G42" s="18" t="n">
        <v>322.406</v>
      </c>
      <c r="H42" s="18" t="n">
        <v>328.923</v>
      </c>
      <c r="I42" s="18" t="n">
        <v>320.667</v>
      </c>
      <c r="J42" s="18" t="n">
        <v>329.075</v>
      </c>
      <c r="K42" s="18" t="n">
        <v>338.794</v>
      </c>
      <c r="L42" s="18" t="n">
        <v>348.054</v>
      </c>
      <c r="M42" s="18" t="n">
        <v>326.392</v>
      </c>
      <c r="N42" s="18" t="n">
        <v>302.81</v>
      </c>
      <c r="O42" s="18" t="n">
        <v>277.833</v>
      </c>
      <c r="P42" s="18" t="n">
        <v>272.537</v>
      </c>
      <c r="Q42" s="18" t="n">
        <v>280.897</v>
      </c>
      <c r="R42" s="18" t="n">
        <v>277.949</v>
      </c>
      <c r="S42" s="18" t="n">
        <v>285.036</v>
      </c>
      <c r="T42" s="18" t="n">
        <v>284.833</v>
      </c>
      <c r="U42" s="18" t="n">
        <v>290.939</v>
      </c>
      <c r="V42" s="18" t="n">
        <v>293.155</v>
      </c>
      <c r="W42" s="18" t="n">
        <v>308.068</v>
      </c>
      <c r="X42" s="18" t="n">
        <v>328.704</v>
      </c>
      <c r="Y42" s="18" t="n">
        <v>351.857</v>
      </c>
      <c r="Z42" s="18" t="n">
        <v>363.895</v>
      </c>
      <c r="AA42" s="18" t="n">
        <v>393.176</v>
      </c>
      <c r="AB42" s="18" t="n">
        <v>419.71</v>
      </c>
      <c r="AC42" s="18" t="n">
        <v>462.262</v>
      </c>
    </row>
    <row r="43">
      <c r="A43" s="5" t="inlineStr">
        <is>
          <t xml:space="preserve">  CASH FLOW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</row>
    <row r="44">
      <c r="A44" s="4" t="inlineStr">
        <is>
          <t>D&amp;A</t>
        </is>
      </c>
      <c r="B44" s="18" t="n">
        <v>1.128</v>
      </c>
      <c r="C44" s="18" t="n">
        <v>1.175</v>
      </c>
      <c r="D44" s="18" t="n">
        <v>1.171</v>
      </c>
      <c r="E44" s="18" t="n">
        <v>1.175</v>
      </c>
      <c r="F44" s="18" t="n">
        <v>1.162</v>
      </c>
      <c r="G44" s="18" t="n">
        <v>1.147</v>
      </c>
      <c r="H44" s="18" t="n">
        <v>1.166</v>
      </c>
      <c r="I44" s="18" t="n">
        <v>1.144</v>
      </c>
      <c r="J44" s="18" t="n">
        <v>1.11</v>
      </c>
      <c r="K44" s="18" t="n">
        <v>1.084</v>
      </c>
      <c r="L44" s="18" t="n">
        <v>1.046</v>
      </c>
      <c r="M44" s="18" t="n">
        <v>0.997</v>
      </c>
      <c r="N44" s="18" t="n">
        <v>0.975</v>
      </c>
      <c r="O44" s="18" t="n">
        <v>0.98</v>
      </c>
      <c r="P44" s="18" t="n">
        <v>0.952</v>
      </c>
      <c r="Q44" s="18" t="n">
        <v>0.8080000000000001</v>
      </c>
      <c r="R44" s="18" t="n">
        <v>0.645</v>
      </c>
      <c r="S44" s="18" t="n">
        <v>0.586</v>
      </c>
      <c r="T44" s="18" t="n">
        <v>0.587</v>
      </c>
      <c r="U44" s="18" t="n">
        <v>0.587</v>
      </c>
      <c r="V44" s="18" t="n">
        <v>0.577</v>
      </c>
      <c r="W44" s="18" t="n">
        <v>0.5610000000000001</v>
      </c>
      <c r="X44" s="18" t="n">
        <v>0.531</v>
      </c>
      <c r="Y44" s="18" t="n">
        <v>3.991</v>
      </c>
      <c r="Z44" s="18" t="n">
        <v>1.588</v>
      </c>
      <c r="AA44" s="18" t="n">
        <v>1.469</v>
      </c>
      <c r="AB44" s="18" t="n">
        <v>-1.646</v>
      </c>
      <c r="AC44" s="18" t="n">
        <v>0.501</v>
      </c>
    </row>
    <row r="45">
      <c r="A45" s="4" t="inlineStr">
        <is>
          <t>Stock-based Compensation</t>
        </is>
      </c>
      <c r="B45" s="18" t="n">
        <v>0.413</v>
      </c>
      <c r="C45" s="18" t="n">
        <v>0.513</v>
      </c>
      <c r="D45" s="18" t="n">
        <v>0.586</v>
      </c>
      <c r="E45" s="18" t="n">
        <v>0.619</v>
      </c>
      <c r="F45" s="18" t="n">
        <v>0.642</v>
      </c>
      <c r="G45" s="18" t="n">
        <v>0.772</v>
      </c>
      <c r="H45" s="18" t="n">
        <v>0.785</v>
      </c>
      <c r="I45" s="18" t="n">
        <v>0.739</v>
      </c>
      <c r="J45" s="18" t="n">
        <v>0.679</v>
      </c>
      <c r="K45" s="18" t="n">
        <v>0.93</v>
      </c>
      <c r="L45" s="18" t="n">
        <v>0.912</v>
      </c>
      <c r="M45" s="18" t="n">
        <v>0.9379999999999999</v>
      </c>
      <c r="N45" s="18" t="n">
        <v>0.92</v>
      </c>
      <c r="O45" s="18" t="n">
        <v>1.059</v>
      </c>
      <c r="P45" s="18" t="n">
        <v>1.1</v>
      </c>
      <c r="Q45" s="18" t="n">
        <v>0.903</v>
      </c>
      <c r="R45" s="18" t="n">
        <v>1.034</v>
      </c>
      <c r="S45" s="18" t="n">
        <v>1.2</v>
      </c>
      <c r="T45" s="18" t="n">
        <v>1.2</v>
      </c>
      <c r="U45" s="18" t="n">
        <v>1.039</v>
      </c>
      <c r="V45" s="18" t="n">
        <v>1.211</v>
      </c>
      <c r="W45" s="18" t="n">
        <v>1.004</v>
      </c>
      <c r="X45" s="18" t="n">
        <v>1.175</v>
      </c>
      <c r="Y45" s="18" t="n">
        <v>1.07</v>
      </c>
      <c r="Z45" s="18" t="n">
        <v>1.188</v>
      </c>
      <c r="AA45" s="18" t="n">
        <v>2.265</v>
      </c>
      <c r="AB45" s="18" t="n">
        <v>1.86</v>
      </c>
      <c r="AC45" s="18" t="n">
        <v>2.554</v>
      </c>
    </row>
    <row r="46">
      <c r="A46" s="4" t="inlineStr">
        <is>
          <t>Change in Working Capital</t>
        </is>
      </c>
      <c r="B46" s="18" t="n">
        <v>-10.212</v>
      </c>
      <c r="C46" s="18" t="n">
        <v>-13.248</v>
      </c>
      <c r="D46" s="18" t="n">
        <v>68.687</v>
      </c>
      <c r="E46" s="18" t="n">
        <v>42.122</v>
      </c>
      <c r="F46" s="18" t="n">
        <v>30.634</v>
      </c>
      <c r="G46" s="18" t="n">
        <v>54.01</v>
      </c>
      <c r="H46" s="18" t="n">
        <v>27.705</v>
      </c>
      <c r="I46" s="18" t="n">
        <v>20.857</v>
      </c>
      <c r="J46" s="18" t="n">
        <v>3.53</v>
      </c>
      <c r="K46" s="18" t="n">
        <v>13.047</v>
      </c>
      <c r="L46" s="18" t="n">
        <v>-20.458</v>
      </c>
      <c r="M46" s="18" t="n">
        <v>-24.995</v>
      </c>
      <c r="N46" s="18" t="n">
        <v>-49.488</v>
      </c>
      <c r="O46" s="18" t="n">
        <v>-22.942</v>
      </c>
      <c r="P46" s="18" t="n">
        <v>-25.765</v>
      </c>
      <c r="Q46" s="18" t="n">
        <v>29.184</v>
      </c>
      <c r="R46" s="18" t="n">
        <v>-6.76</v>
      </c>
      <c r="S46" s="18" t="n">
        <v>22.479</v>
      </c>
      <c r="T46" s="18" t="n">
        <v>50.727</v>
      </c>
      <c r="U46" s="18" t="n">
        <v>11.526</v>
      </c>
      <c r="V46" s="18" t="n">
        <v>3.6</v>
      </c>
      <c r="W46" s="18" t="n">
        <v>52.553</v>
      </c>
      <c r="X46" s="18" t="n">
        <v>-56.153</v>
      </c>
      <c r="Y46" s="18" t="n">
        <v>11.546</v>
      </c>
      <c r="Z46" s="18" t="n">
        <v>9.375999999999999</v>
      </c>
      <c r="AA46" s="18" t="n">
        <v>-4.086999</v>
      </c>
      <c r="AB46" s="18" t="n">
        <v>133.22</v>
      </c>
      <c r="AC46" s="18" t="n">
        <v>118.884</v>
      </c>
    </row>
    <row r="47">
      <c r="A47" s="4" t="inlineStr">
        <is>
          <t>Operating Cash Flow</t>
        </is>
      </c>
      <c r="B47" s="18" t="n">
        <v>-36.382</v>
      </c>
      <c r="C47" s="18" t="n">
        <v>-16.782</v>
      </c>
      <c r="D47" s="18" t="n">
        <v>69.065</v>
      </c>
      <c r="E47" s="18" t="n">
        <v>37.664</v>
      </c>
      <c r="F47" s="18" t="n">
        <v>40.187</v>
      </c>
      <c r="G47" s="18" t="n">
        <v>62.714</v>
      </c>
      <c r="H47" s="18" t="n">
        <v>39.659</v>
      </c>
      <c r="I47" s="18" t="n">
        <v>32.12</v>
      </c>
      <c r="J47" s="18" t="n">
        <v>17.346</v>
      </c>
      <c r="K47" s="18" t="n">
        <v>29.838</v>
      </c>
      <c r="L47" s="18" t="n">
        <v>-5.485</v>
      </c>
      <c r="M47" s="18" t="n">
        <v>-13.284</v>
      </c>
      <c r="N47" s="18" t="n">
        <v>-39.73</v>
      </c>
      <c r="O47" s="18" t="n">
        <v>-17.046</v>
      </c>
      <c r="P47" s="18" t="n">
        <v>-16.212</v>
      </c>
      <c r="Q47" s="18" t="n">
        <v>42.927</v>
      </c>
      <c r="R47" s="18" t="n">
        <v>-1.248</v>
      </c>
      <c r="S47" s="18" t="n">
        <v>35.801</v>
      </c>
      <c r="T47" s="18" t="n">
        <v>57.71</v>
      </c>
      <c r="U47" s="18" t="n">
        <v>24.595</v>
      </c>
      <c r="V47" s="18" t="n">
        <v>17.686</v>
      </c>
      <c r="W47" s="18" t="n">
        <v>73.495</v>
      </c>
      <c r="X47" s="18" t="n">
        <v>31.779</v>
      </c>
      <c r="Y47" s="18" t="n">
        <v>44.624</v>
      </c>
      <c r="Z47" s="18" t="n">
        <v>35.293</v>
      </c>
      <c r="AA47" s="18" t="n">
        <v>34.602</v>
      </c>
      <c r="AB47" s="18" t="n">
        <v>172.493</v>
      </c>
      <c r="AC47" s="18" t="n">
        <v>172.33</v>
      </c>
    </row>
    <row r="48">
      <c r="A48" s="4" t="inlineStr">
        <is>
          <t>Capex</t>
        </is>
      </c>
      <c r="B48" s="18" t="n">
        <v>-1.985</v>
      </c>
      <c r="C48" s="18" t="n">
        <v>-1.058</v>
      </c>
      <c r="D48" s="18" t="n">
        <v>-3.265</v>
      </c>
      <c r="E48" s="18" t="n">
        <v>-0.75</v>
      </c>
      <c r="F48" s="18" t="n">
        <v>-0.6840000000000001</v>
      </c>
      <c r="G48" s="18" t="n">
        <v>-0.449</v>
      </c>
      <c r="H48" s="18" t="n">
        <v>-0.279</v>
      </c>
      <c r="I48" s="18" t="n">
        <v>-0.285</v>
      </c>
      <c r="J48" s="18" t="n">
        <v>-0.844</v>
      </c>
      <c r="K48" s="18" t="n">
        <v>-0.167</v>
      </c>
      <c r="L48" s="18" t="n">
        <v>-0.112</v>
      </c>
      <c r="M48" s="18" t="n">
        <v>-0.299</v>
      </c>
      <c r="N48" s="18" t="n">
        <v>-0.238</v>
      </c>
      <c r="O48" s="18" t="n">
        <v>-0.4</v>
      </c>
      <c r="P48" s="18" t="n">
        <v>-1.944</v>
      </c>
      <c r="Q48" s="18" t="n">
        <v>-0.79</v>
      </c>
      <c r="R48" s="18" t="n">
        <v>-0.645</v>
      </c>
      <c r="S48" s="18" t="n">
        <v>-0.386</v>
      </c>
      <c r="T48" s="18" t="n">
        <v>-1.112</v>
      </c>
      <c r="U48" s="18" t="n">
        <v>-0.613</v>
      </c>
      <c r="V48" s="18" t="n">
        <v>-0.322</v>
      </c>
      <c r="W48" s="18" t="n">
        <v>-2.349</v>
      </c>
      <c r="X48" s="18" t="n">
        <v>-2.547</v>
      </c>
      <c r="Y48" s="18" t="n">
        <v>-1.365</v>
      </c>
      <c r="Z48" s="18" t="n">
        <v>-0.395</v>
      </c>
      <c r="AA48" s="18" t="n">
        <v>-1.694</v>
      </c>
      <c r="AB48" s="18" t="n">
        <v>-0.583</v>
      </c>
      <c r="AC48" s="18" t="n">
        <v>-1.205</v>
      </c>
    </row>
    <row r="49">
      <c r="A49" s="4" t="inlineStr">
        <is>
          <t>Free Cash Flow</t>
        </is>
      </c>
      <c r="B49" s="18" t="n">
        <v>-38.367</v>
      </c>
      <c r="C49" s="18" t="n">
        <v>-17.84</v>
      </c>
      <c r="D49" s="18" t="n">
        <v>65.8</v>
      </c>
      <c r="E49" s="18" t="n">
        <v>36.914</v>
      </c>
      <c r="F49" s="18" t="n">
        <v>39.503</v>
      </c>
      <c r="G49" s="18" t="n">
        <v>62.265</v>
      </c>
      <c r="H49" s="18" t="n">
        <v>39.38</v>
      </c>
      <c r="I49" s="18" t="n">
        <v>31.835</v>
      </c>
      <c r="J49" s="18" t="n">
        <v>16.502</v>
      </c>
      <c r="K49" s="18" t="n">
        <v>29.671</v>
      </c>
      <c r="L49" s="18" t="n">
        <v>-5.597</v>
      </c>
      <c r="M49" s="18" t="n">
        <v>-13.583</v>
      </c>
      <c r="N49" s="18" t="n">
        <v>-39.968</v>
      </c>
      <c r="O49" s="18" t="n">
        <v>-17.446</v>
      </c>
      <c r="P49" s="18" t="n">
        <v>-18.156</v>
      </c>
      <c r="Q49" s="18" t="n">
        <v>42.137</v>
      </c>
      <c r="R49" s="18" t="n">
        <v>-1.893</v>
      </c>
      <c r="S49" s="18" t="n">
        <v>35.415</v>
      </c>
      <c r="T49" s="18" t="n">
        <v>56.598</v>
      </c>
      <c r="U49" s="18" t="n">
        <v>23.982</v>
      </c>
      <c r="V49" s="18" t="n">
        <v>17.364</v>
      </c>
      <c r="W49" s="18" t="n">
        <v>71.146</v>
      </c>
      <c r="X49" s="18" t="n">
        <v>29.232</v>
      </c>
      <c r="Y49" s="18" t="n">
        <v>43.259</v>
      </c>
      <c r="Z49" s="18" t="n">
        <v>34.898</v>
      </c>
      <c r="AA49" s="18" t="n">
        <v>32.908</v>
      </c>
      <c r="AB49" s="18" t="n">
        <v>171.91</v>
      </c>
      <c r="AC49" s="18" t="n">
        <v>171.125</v>
      </c>
    </row>
    <row r="51">
      <c r="A51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2027</v>
      </c>
      <c r="C2" s="45" t="n">
        <v>2028</v>
      </c>
      <c r="D2" s="45" t="n">
        <v>2029</v>
      </c>
      <c r="E2" s="45" t="n">
        <v>2030</v>
      </c>
      <c r="F2" s="45" t="n">
        <v>2031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1251.8062</v>
      </c>
      <c r="C4" s="18" t="n">
        <v>1513.3922</v>
      </c>
      <c r="D4" s="18" t="n">
        <v>1653.03475</v>
      </c>
      <c r="E4" s="18" t="n">
        <v>1791</v>
      </c>
      <c r="F4" s="18" t="n">
        <v>1882</v>
      </c>
    </row>
    <row r="5">
      <c r="A5" s="4" t="inlineStr">
        <is>
          <t xml:space="preserve">  model</t>
        </is>
      </c>
      <c r="B5" s="33">
        <f>Model!G8</f>
        <v/>
      </c>
      <c r="C5" s="33">
        <f>Model!H8</f>
        <v/>
      </c>
      <c r="D5" s="33">
        <f>Model!I8</f>
        <v/>
      </c>
      <c r="E5" s="33">
        <f>Model!J8</f>
        <v/>
      </c>
      <c r="F5" s="33">
        <f>Model!K8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132.971481</v>
      </c>
      <c r="C8" s="18" t="n">
        <v>160.758113</v>
      </c>
      <c r="D8" s="18" t="n">
        <v>175.591461</v>
      </c>
      <c r="E8" s="18" t="n">
        <v>190.24664</v>
      </c>
      <c r="F8" s="18" t="n">
        <v>199.912996</v>
      </c>
    </row>
    <row r="9">
      <c r="A9" s="4" t="inlineStr">
        <is>
          <t xml:space="preserve">  model</t>
        </is>
      </c>
      <c r="B9" s="33">
        <f>Model!G21+Model!G26</f>
        <v/>
      </c>
      <c r="C9" s="33">
        <f>Model!H21+Model!H26</f>
        <v/>
      </c>
      <c r="D9" s="33">
        <f>Model!I21+Model!I26</f>
        <v/>
      </c>
      <c r="E9" s="33">
        <f>Model!J21+Model!J26</f>
        <v/>
      </c>
      <c r="F9" s="33">
        <f>Model!K21+Model!K26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125.567341</v>
      </c>
      <c r="C12" s="18" t="n">
        <v>151.806753</v>
      </c>
      <c r="D12" s="18" t="n">
        <v>165.814148</v>
      </c>
      <c r="E12" s="18" t="n">
        <v>179.653295</v>
      </c>
      <c r="F12" s="18" t="n">
        <v>188.781408</v>
      </c>
    </row>
    <row r="13">
      <c r="A13" s="4" t="inlineStr">
        <is>
          <t xml:space="preserve">  model</t>
        </is>
      </c>
      <c r="B13" s="33">
        <f>Model!G21</f>
        <v/>
      </c>
      <c r="C13" s="33">
        <f>Model!H21</f>
        <v/>
      </c>
      <c r="D13" s="33">
        <f>Model!I21</f>
        <v/>
      </c>
      <c r="E13" s="33">
        <f>Model!J21</f>
        <v/>
      </c>
      <c r="F13" s="33">
        <f>Model!K21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97.97757900000001</v>
      </c>
      <c r="C16" s="18" t="n">
        <v>118.451646</v>
      </c>
      <c r="D16" s="18" t="n">
        <v>129.381324</v>
      </c>
      <c r="E16" s="18" t="n">
        <v>140.179722</v>
      </c>
      <c r="F16" s="18" t="n">
        <v>147.302198</v>
      </c>
    </row>
    <row r="17">
      <c r="A17" s="4" t="inlineStr">
        <is>
          <t xml:space="preserve">  model</t>
        </is>
      </c>
      <c r="B17" s="33">
        <f>Model!G16</f>
        <v/>
      </c>
      <c r="C17" s="33">
        <f>Model!H16</f>
        <v/>
      </c>
      <c r="D17" s="33">
        <f>Model!I16</f>
        <v/>
      </c>
      <c r="E17" s="33">
        <f>Model!J16</f>
        <v/>
      </c>
      <c r="F17" s="33">
        <f>Model!K16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149.17072</v>
      </c>
      <c r="C20" s="18" t="n">
        <v>195.7693</v>
      </c>
      <c r="D20" s="18" t="n">
        <v>224.50275</v>
      </c>
      <c r="E20" s="18" t="n">
        <v>192.733393</v>
      </c>
      <c r="F20" s="18" t="n">
        <v>201.951694</v>
      </c>
    </row>
    <row r="21">
      <c r="A21" s="4" t="inlineStr">
        <is>
          <t xml:space="preserve">  model</t>
        </is>
      </c>
      <c r="B21" s="33">
        <f>Model!G25</f>
        <v/>
      </c>
      <c r="C21" s="33">
        <f>Model!H25</f>
        <v/>
      </c>
      <c r="D21" s="33">
        <f>Model!I25</f>
        <v/>
      </c>
      <c r="E21" s="33">
        <f>Model!J25</f>
        <v/>
      </c>
      <c r="F21" s="33">
        <f>Model!K25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11.036</v>
      </c>
      <c r="C24" s="47" t="n">
        <v>14.376</v>
      </c>
      <c r="D24" s="47" t="n">
        <v>16.6375</v>
      </c>
      <c r="E24" s="47" t="n">
        <v>13.59</v>
      </c>
      <c r="F24" s="47" t="n">
        <v>14.24</v>
      </c>
    </row>
    <row r="25">
      <c r="A25" s="4" t="inlineStr">
        <is>
          <t xml:space="preserve">  model</t>
        </is>
      </c>
      <c r="B25" s="8">
        <f>Model!G25/Financials!AC17</f>
        <v/>
      </c>
      <c r="C25" s="8">
        <f>Model!H25/Financials!AC17</f>
        <v/>
      </c>
      <c r="D25" s="8">
        <f>Model!I25/Financials!AC17</f>
        <v/>
      </c>
      <c r="E25" s="8">
        <f>Model!J25/Financials!AC17</f>
        <v/>
      </c>
      <c r="F25" s="8">
        <f>Model!K25/Financials!AC17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Argan,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2027</v>
      </c>
      <c r="D11" s="45" t="n">
        <v>2028</v>
      </c>
      <c r="E11" s="45" t="n">
        <v>2029</v>
      </c>
      <c r="F11" s="45" t="n">
        <v>2030</v>
      </c>
      <c r="G11" s="45" t="n">
        <v>2031</v>
      </c>
      <c r="H11" s="45" t="n">
        <v>2032</v>
      </c>
      <c r="I11" s="45" t="n">
        <v>2033</v>
      </c>
      <c r="J11" s="45" t="n">
        <v>2034</v>
      </c>
      <c r="K11" s="45" t="n">
        <v>2035</v>
      </c>
      <c r="L11" s="45" t="n">
        <v>2036</v>
      </c>
    </row>
    <row r="12">
      <c r="A12" s="4" t="inlineStr">
        <is>
          <t>FCFF ($M)</t>
        </is>
      </c>
      <c r="C12" s="33">
        <f>Model!G33</f>
        <v/>
      </c>
      <c r="D12" s="33">
        <f>Model!H33</f>
        <v/>
      </c>
      <c r="E12" s="33">
        <f>Model!I33</f>
        <v/>
      </c>
      <c r="F12" s="33">
        <f>Model!J33</f>
        <v/>
      </c>
      <c r="G12" s="33">
        <f>Model!K33</f>
        <v/>
      </c>
      <c r="H12" s="33">
        <f>Model!L33</f>
        <v/>
      </c>
      <c r="I12" s="33">
        <f>Model!M33</f>
        <v/>
      </c>
      <c r="J12" s="33">
        <f>Model!N33</f>
        <v/>
      </c>
      <c r="K12" s="33">
        <f>Model!O33</f>
        <v/>
      </c>
      <c r="L12" s="33">
        <f>Model!P33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Model!P8</f>
        <v/>
      </c>
    </row>
    <row r="21">
      <c r="A21" s="4" t="inlineStr">
        <is>
          <t>Terminal EBIT</t>
        </is>
      </c>
      <c r="B21" s="33">
        <f>Model!P21</f>
        <v/>
      </c>
    </row>
    <row r="22">
      <c r="A22" s="4" t="inlineStr">
        <is>
          <t>Terminal EBITDA (SBC-burdened)</t>
        </is>
      </c>
      <c r="B22" s="33">
        <f>Model!P21+Model!P26-Model!P27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Financials!AC36</f>
        <v/>
      </c>
    </row>
    <row r="33">
      <c r="A33" s="4" t="inlineStr">
        <is>
          <t>- Long-term debt</t>
        </is>
      </c>
      <c r="B33" s="33">
        <f>-Financials!AC41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0.05338</v>
      </c>
      <c r="C4" s="51" t="n">
        <v>0.05837999999999999</v>
      </c>
      <c r="D4" s="51" t="n">
        <v>0.06337999999999999</v>
      </c>
      <c r="E4" s="51" t="n">
        <v>0.06838</v>
      </c>
      <c r="F4" s="51" t="n">
        <v>0.07338</v>
      </c>
      <c r="G4" s="51" t="n">
        <v>0.07837999999999999</v>
      </c>
      <c r="H4" s="51" t="n">
        <v>0.08338</v>
      </c>
    </row>
    <row r="5">
      <c r="A5" s="52" t="n">
        <v>9</v>
      </c>
      <c r="B5" s="53" t="n">
        <v>288.0976526633838</v>
      </c>
      <c r="C5" s="53" t="n">
        <v>279.5454115478839</v>
      </c>
      <c r="D5" s="53" t="n">
        <v>271.3930235823748</v>
      </c>
      <c r="E5" s="53" t="n">
        <v>263.6194455907557</v>
      </c>
      <c r="F5" s="53" t="n">
        <v>256.2048479234111</v>
      </c>
      <c r="G5" s="53" t="n">
        <v>249.1305387890354</v>
      </c>
      <c r="H5" s="53" t="n">
        <v>242.3788936446738</v>
      </c>
    </row>
    <row r="6">
      <c r="A6" s="52" t="n">
        <v>10</v>
      </c>
      <c r="B6" s="53" t="n">
        <v>302.4444355214347</v>
      </c>
      <c r="C6" s="53" t="n">
        <v>293.2286521674528</v>
      </c>
      <c r="D6" s="53" t="n">
        <v>284.4463239082892</v>
      </c>
      <c r="E6" s="53" t="n">
        <v>276.0745598007713</v>
      </c>
      <c r="F6" s="53" t="n">
        <v>268.0917920002559</v>
      </c>
      <c r="G6" s="53" t="n">
        <v>260.4776931269291</v>
      </c>
      <c r="H6" s="53" t="n">
        <v>253.2130991626022</v>
      </c>
    </row>
    <row r="7">
      <c r="A7" s="52" t="n">
        <v>11</v>
      </c>
      <c r="B7" s="53" t="n">
        <v>316.7912183794857</v>
      </c>
      <c r="C7" s="53" t="n">
        <v>306.9118927870217</v>
      </c>
      <c r="D7" s="53" t="n">
        <v>297.4996242342035</v>
      </c>
      <c r="E7" s="53" t="n">
        <v>288.5296740107869</v>
      </c>
      <c r="F7" s="53" t="n">
        <v>279.9787360771006</v>
      </c>
      <c r="G7" s="53" t="n">
        <v>271.8248474648228</v>
      </c>
      <c r="H7" s="53" t="n">
        <v>264.0473046805307</v>
      </c>
    </row>
    <row r="8">
      <c r="A8" s="52" t="n">
        <v>12</v>
      </c>
      <c r="B8" s="53" t="n">
        <v>331.1380012375366</v>
      </c>
      <c r="C8" s="53" t="n">
        <v>320.5951334065907</v>
      </c>
      <c r="D8" s="53" t="n">
        <v>310.5529245601178</v>
      </c>
      <c r="E8" s="54" t="n">
        <v>300.9847882208026</v>
      </c>
      <c r="F8" s="53" t="n">
        <v>291.8656801539453</v>
      </c>
      <c r="G8" s="53" t="n">
        <v>283.1720018027165</v>
      </c>
      <c r="H8" s="53" t="n">
        <v>274.8815101984592</v>
      </c>
    </row>
    <row r="9">
      <c r="A9" s="52" t="n">
        <v>13</v>
      </c>
      <c r="B9" s="53" t="n">
        <v>345.4847840955875</v>
      </c>
      <c r="C9" s="53" t="n">
        <v>334.2783740261596</v>
      </c>
      <c r="D9" s="53" t="n">
        <v>323.606224886032</v>
      </c>
      <c r="E9" s="53" t="n">
        <v>313.4399024308183</v>
      </c>
      <c r="F9" s="53" t="n">
        <v>303.7526242307901</v>
      </c>
      <c r="G9" s="53" t="n">
        <v>294.5191561406101</v>
      </c>
      <c r="H9" s="53" t="n">
        <v>285.7157157163877</v>
      </c>
    </row>
    <row r="10">
      <c r="A10" s="52" t="n">
        <v>14</v>
      </c>
      <c r="B10" s="53" t="n">
        <v>359.8315669536385</v>
      </c>
      <c r="C10" s="53" t="n">
        <v>347.9616146457286</v>
      </c>
      <c r="D10" s="53" t="n">
        <v>336.6595252119464</v>
      </c>
      <c r="E10" s="53" t="n">
        <v>325.8950166408339</v>
      </c>
      <c r="F10" s="53" t="n">
        <v>315.6395683076349</v>
      </c>
      <c r="G10" s="53" t="n">
        <v>305.8663104785037</v>
      </c>
      <c r="H10" s="53" t="n">
        <v>296.5499212343162</v>
      </c>
    </row>
    <row r="11">
      <c r="A11" s="52" t="n">
        <v>15</v>
      </c>
      <c r="B11" s="53" t="n">
        <v>374.1783498116894</v>
      </c>
      <c r="C11" s="53" t="n">
        <v>361.6448552652975</v>
      </c>
      <c r="D11" s="53" t="n">
        <v>349.7128255378607</v>
      </c>
      <c r="E11" s="53" t="n">
        <v>338.3501308508496</v>
      </c>
      <c r="F11" s="53" t="n">
        <v>327.5265123844796</v>
      </c>
      <c r="G11" s="53" t="n">
        <v>317.2134648163974</v>
      </c>
      <c r="H11" s="53" t="n">
        <v>307.3841267522446</v>
      </c>
    </row>
    <row r="13">
      <c r="A13" s="3" t="inlineStr">
        <is>
          <t>Current price</t>
        </is>
      </c>
      <c r="B13" s="53" t="n">
        <v>706.1500244140625</v>
      </c>
    </row>
    <row r="14">
      <c r="A14" s="3" t="inlineStr">
        <is>
          <t>Base WACC / multiple</t>
        </is>
      </c>
      <c r="B14" s="55" t="n">
        <v>0.06838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0.002024124343906349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1.683116586534944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(Model!P8/Model!F8)^(1/10)-1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0.02581667458102947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0.9968457020240553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Financials!AC36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Financials!AC41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2026-07-06T20:34:11Z</dcterms:created>
  <dcterms:modified xmlns:dcterms="http://purl.org/dc/terms/" xmlns:xsi="http://www.w3.org/2001/XMLSchema-instance" xsi:type="dcterms:W3CDTF">2026-07-06T20:34:11Z</dcterms:modified>
</cp:coreProperties>
</file>