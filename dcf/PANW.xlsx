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0" fillId="0" borderId="0" pivotButton="0" quotePrefix="0" xfId="0"/>
    <xf numFmtId="169" fontId="0" fillId="3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workbook (synced) — no Opus pass — value synced from this workbook</t>
      </text>
    </comment>
    <comment ref="C20" authorId="0" shapeId="0">
      <text>
        <t>workbook (synced) — no Opus pass — value synced from this workbook</t>
      </text>
    </comment>
    <comment ref="B21" authorId="0" shapeId="0">
      <text>
        <t>workbook (synced) — no Opus pass — value synced from this workbook</t>
      </text>
    </comment>
    <comment ref="C21" authorId="0" shapeId="0">
      <text>
        <t>workbook (synced) — no Opus pass — value synced from this workbook</t>
      </text>
    </comment>
    <comment ref="B22" authorId="0" shapeId="0">
      <text>
        <t>workbook (synced) — no Opus pass — value synced from this workbook</t>
      </text>
    </comment>
    <comment ref="C22" authorId="0" shapeId="0">
      <text>
        <t>workbook (synced) — no Opus pass — value synced from this workbook</t>
      </text>
    </comment>
    <comment ref="B29" authorId="0" shapeId="0">
      <text>
        <t>workbook (synced) — no Opus pass — value synced from this workbook</t>
      </text>
    </comment>
    <comment ref="B30" authorId="0" shapeId="0">
      <text>
        <t>workbook (synced) — no Opus pass — value synced from this workbook</t>
      </text>
    </comment>
    <comment ref="B31" authorId="0" shapeId="0">
      <text>
        <t>workbook (synced) — no Opus pass — value synced from this workbook</t>
      </text>
    </comment>
    <comment ref="B34" authorId="0" shapeId="0">
      <text>
        <t>workbook (synced) — last-year capex +10% unless set to guidance; edits not tracked</t>
      </text>
    </comment>
    <comment ref="B35" authorId="0" shapeId="0">
      <text>
        <t>workbook (synced) — no Opus pass — value synced from this workbook</t>
      </text>
    </comment>
    <comment ref="B38" authorId="0" shapeId="0">
      <text>
        <t>workbook (synced) — no Opus pass — value synced from this workbook</t>
      </text>
    </comment>
    <comment ref="B39" authorId="0" shapeId="0">
      <text>
        <t>workbook (synced) — no Opus pass — value synced from this workbook</t>
      </text>
    </comment>
    <comment ref="B40" authorId="0" shapeId="0">
      <text>
        <t>workbook (synced) — no Opus pass — value synced from this workbook</t>
      </text>
    </comment>
    <comment ref="B41" authorId="0" shapeId="0">
      <text>
        <t>workbook (synced) — no Opus pass — value synced from this workbook</t>
      </text>
    </comment>
    <comment ref="B43" authorId="0" shapeId="0">
      <text>
        <t>workbook (synced) — no Opus pass — value synced from this workbook</t>
      </text>
    </comment>
    <comment ref="B44" authorId="0" shapeId="0">
      <text>
        <t>workbook (synced) — no Opus pass — value synced from this workbook</t>
      </text>
    </comment>
    <comment ref="B45" authorId="0" shapeId="0">
      <text>
        <t>Opus: 14.3x</t>
      </text>
    </comment>
    <comment ref="B46" authorId="0" shapeId="0">
      <text>
        <t>workbook (synced) — no Opus pass — value synced from this workbook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Palo Alto Networks, Inc. (PANW)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2026-07-06</t>
        </is>
      </c>
    </row>
    <row r="5">
      <c r="A5" s="3" t="inlineStr">
        <is>
          <t>Data pulled (FMP)</t>
        </is>
      </c>
      <c r="B5" s="4" t="inlineStr">
        <is>
          <t>Q2 2026</t>
        </is>
      </c>
    </row>
    <row r="6">
      <c r="A6" s="3" t="inlineStr">
        <is>
          <t>Assumptions by</t>
        </is>
      </c>
      <c r="B6" s="4" t="inlineStr">
        <is>
          <t>Opus 4.8 — values as of 2026-07-06 (provenance seeded)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(Opus narrative)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Palo Alto Networks, Inc. (PANW)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IF(Model!F38&lt;=0,"n/a (neg. capital)",Model!G40-WACC!B15)</f>
        <v/>
      </c>
      <c r="C15" s="10">
        <f>IF(Model!F38&lt;=0,"n/a",IF(Model!G40-WACC!B15&lt;0,"!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Subscription</t>
        </is>
      </c>
      <c r="B20" s="15" t="n">
        <v>0.1902559044768962</v>
      </c>
      <c r="C20" s="15" t="n">
        <v>0.05</v>
      </c>
      <c r="D20" s="16" t="n">
        <v>0.1902559044768962</v>
      </c>
      <c r="E20" s="2" t="inlineStr"/>
    </row>
    <row r="21">
      <c r="A21" s="4" t="inlineStr">
        <is>
          <t>Support</t>
        </is>
      </c>
      <c r="B21" s="15" t="n">
        <v>0.11720224387912</v>
      </c>
      <c r="C21" s="15" t="n">
        <v>0.05</v>
      </c>
      <c r="D21" s="16" t="n">
        <v>0.11720224387912</v>
      </c>
      <c r="E21" s="2" t="inlineStr"/>
    </row>
    <row r="22">
      <c r="A22" s="4" t="inlineStr">
        <is>
          <t>Product</t>
        </is>
      </c>
      <c r="B22" s="15" t="n">
        <v>0.1406622383738268</v>
      </c>
      <c r="C22" s="15" t="n">
        <v>0.05</v>
      </c>
      <c r="D22" s="16" t="n">
        <v>0.1406622383738268</v>
      </c>
      <c r="E22" s="2" t="inlineStr"/>
    </row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0.3098390432247535</v>
      </c>
      <c r="D29" s="16" t="n">
        <v>0.3098390432247535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0.2634322744461061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0.24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3.126388037344441e-14</v>
      </c>
      <c r="D34" s="18" t="n">
        <v>3.126388037344441e-14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0.77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14.3</v>
      </c>
    </row>
    <row r="46">
      <c r="A46" s="4" t="inlineStr">
        <is>
          <t>Terminal growth (g)</t>
        </is>
      </c>
      <c r="B46" s="15" t="n">
        <v>0.045</v>
      </c>
    </row>
    <row r="47">
      <c r="A47" s="4" t="inlineStr">
        <is>
          <t>Country risk premium</t>
        </is>
      </c>
      <c r="B47" s="15" t="n">
        <v>0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348.0599975585938</v>
      </c>
    </row>
    <row r="49">
      <c r="A49" s="4" t="inlineStr">
        <is>
          <t>Growth fade curvature</t>
        </is>
      </c>
      <c r="B49" s="20" t="n">
        <v>1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79.34509144280111</v>
      </c>
      <c r="C58" s="28" t="n">
        <v>109.4365782375633</v>
      </c>
      <c r="D58" s="28" t="n">
        <v>57.18820422515071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0.5</v>
      </c>
      <c r="C62" s="30" t="n">
        <v>0.25</v>
      </c>
      <c r="D62" s="30" t="n">
        <v>0.25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0.1404404827743257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0.08426428966459544</v>
      </c>
      <c r="E66" s="2" t="inlineStr">
        <is>
          <t>fades near-&gt;terminal; also burdens the exit-multiple EBITDA</t>
        </is>
      </c>
    </row>
  </sheetData>
  <conditionalFormatting sqref="B20:B22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PANW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seeded 2026-07-06 from the synced assumptions block (pass predates provenance tracking — may already include your edits)</t>
        </is>
      </c>
    </row>
    <row r="6">
      <c r="A6" s="5" t="inlineStr">
        <is>
          <t xml:space="preserve">  DASHBOARD INPUTS — value · source · reasoning</t>
        </is>
      </c>
      <c r="B6" s="6" t="n"/>
      <c r="C6" s="6" t="n"/>
      <c r="D6" s="6" t="n"/>
      <c r="E6" s="6" t="n"/>
      <c r="F6" s="6" t="n"/>
    </row>
    <row r="7">
      <c r="A7" s="3" t="inlineStr">
        <is>
          <t>Input</t>
        </is>
      </c>
      <c r="B7" s="3" t="inlineStr">
        <is>
          <t>Cell</t>
        </is>
      </c>
      <c r="C7" s="3" t="inlineStr">
        <is>
          <t>Current</t>
        </is>
      </c>
      <c r="D7" s="3" t="inlineStr">
        <is>
          <t>Source</t>
        </is>
      </c>
      <c r="E7" s="3" t="inlineStr">
        <is>
          <t>Opus value</t>
        </is>
      </c>
      <c r="F7" s="3" t="inlineStr">
        <is>
          <t>Note</t>
        </is>
      </c>
    </row>
    <row r="8">
      <c r="A8" t="inlineStr">
        <is>
          <t>Subscription — near-term growth</t>
        </is>
      </c>
      <c r="B8" t="inlineStr">
        <is>
          <t>B20</t>
        </is>
      </c>
      <c r="C8" s="11">
        <f>Dashboard!B20</f>
        <v/>
      </c>
      <c r="D8" t="inlineStr">
        <is>
          <t>workbook (synced)</t>
        </is>
      </c>
      <c r="E8" t="inlineStr">
        <is>
          <t>—</t>
        </is>
      </c>
      <c r="F8" s="31" t="inlineStr">
        <is>
          <t>no Opus pass — value synced from this workbook</t>
        </is>
      </c>
    </row>
    <row r="9">
      <c r="A9" t="inlineStr">
        <is>
          <t>Subscription — terminal growth</t>
        </is>
      </c>
      <c r="B9" t="inlineStr">
        <is>
          <t>C20</t>
        </is>
      </c>
      <c r="C9" s="11">
        <f>Dashboard!C20</f>
        <v/>
      </c>
      <c r="D9" t="inlineStr">
        <is>
          <t>workbook (synced)</t>
        </is>
      </c>
      <c r="E9" t="inlineStr">
        <is>
          <t>—</t>
        </is>
      </c>
      <c r="F9" s="31" t="inlineStr">
        <is>
          <t>no Opus pass — value synced from this workbook</t>
        </is>
      </c>
    </row>
    <row r="10">
      <c r="A10" t="inlineStr">
        <is>
          <t>Support — near-term growth</t>
        </is>
      </c>
      <c r="B10" t="inlineStr">
        <is>
          <t>B21</t>
        </is>
      </c>
      <c r="C10" s="11">
        <f>Dashboard!B21</f>
        <v/>
      </c>
      <c r="D10" t="inlineStr">
        <is>
          <t>workbook (synced)</t>
        </is>
      </c>
      <c r="E10" t="inlineStr">
        <is>
          <t>—</t>
        </is>
      </c>
      <c r="F10" s="31" t="inlineStr">
        <is>
          <t>no Opus pass — value synced from this workbook</t>
        </is>
      </c>
    </row>
    <row r="11">
      <c r="A11" t="inlineStr">
        <is>
          <t>Support — terminal growth</t>
        </is>
      </c>
      <c r="B11" t="inlineStr">
        <is>
          <t>C21</t>
        </is>
      </c>
      <c r="C11" s="11">
        <f>Dashboard!C21</f>
        <v/>
      </c>
      <c r="D11" t="inlineStr">
        <is>
          <t>workbook (synced)</t>
        </is>
      </c>
      <c r="E11" t="inlineStr">
        <is>
          <t>—</t>
        </is>
      </c>
      <c r="F11" s="31" t="inlineStr">
        <is>
          <t>no Opus pass — value synced from this workbook</t>
        </is>
      </c>
    </row>
    <row r="12">
      <c r="A12" t="inlineStr">
        <is>
          <t>Product — near-term growth</t>
        </is>
      </c>
      <c r="B12" t="inlineStr">
        <is>
          <t>B22</t>
        </is>
      </c>
      <c r="C12" s="11">
        <f>Dashboard!B22</f>
        <v/>
      </c>
      <c r="D12" t="inlineStr">
        <is>
          <t>workbook (synced)</t>
        </is>
      </c>
      <c r="E12" t="inlineStr">
        <is>
          <t>—</t>
        </is>
      </c>
      <c r="F12" s="31" t="inlineStr">
        <is>
          <t>no Opus pass — value synced from this workbook</t>
        </is>
      </c>
    </row>
    <row r="13">
      <c r="A13" t="inlineStr">
        <is>
          <t>Product — terminal growth</t>
        </is>
      </c>
      <c r="B13" t="inlineStr">
        <is>
          <t>C22</t>
        </is>
      </c>
      <c r="C13" s="11">
        <f>Dashboard!C22</f>
        <v/>
      </c>
      <c r="D13" t="inlineStr">
        <is>
          <t>workbook (synced)</t>
        </is>
      </c>
      <c r="E13" t="inlineStr">
        <is>
          <t>—</t>
        </is>
      </c>
      <c r="F13" s="31" t="inlineStr">
        <is>
          <t>no Opus pass — value synced from this workbook</t>
        </is>
      </c>
    </row>
    <row r="14">
      <c r="A14" t="inlineStr">
        <is>
          <t>Near-term operating margin</t>
        </is>
      </c>
      <c r="B14" t="inlineStr">
        <is>
          <t>B29</t>
        </is>
      </c>
      <c r="C14" s="11">
        <f>Dashboard!B29</f>
        <v/>
      </c>
      <c r="D14" t="inlineStr">
        <is>
          <t>workbook (synced)</t>
        </is>
      </c>
      <c r="E14" t="inlineStr">
        <is>
          <t>—</t>
        </is>
      </c>
      <c r="F14" s="31" t="inlineStr">
        <is>
          <t>no Opus pass — value synced from this workbook</t>
        </is>
      </c>
    </row>
    <row r="15">
      <c r="A15" t="inlineStr">
        <is>
          <t>Terminal operating margin</t>
        </is>
      </c>
      <c r="B15" t="inlineStr">
        <is>
          <t>B30</t>
        </is>
      </c>
      <c r="C15" s="11">
        <f>Dashboard!B30</f>
        <v/>
      </c>
      <c r="D15" t="inlineStr">
        <is>
          <t>workbook (synced)</t>
        </is>
      </c>
      <c r="E15" t="inlineStr">
        <is>
          <t>—</t>
        </is>
      </c>
      <c r="F15" s="31" t="inlineStr">
        <is>
          <t>no Opus pass — value synced from this workbook</t>
        </is>
      </c>
    </row>
    <row r="16">
      <c r="A16" t="inlineStr">
        <is>
          <t>Tax rate</t>
        </is>
      </c>
      <c r="B16" t="inlineStr">
        <is>
          <t>B31</t>
        </is>
      </c>
      <c r="C16" s="11">
        <f>Dashboard!B31</f>
        <v/>
      </c>
      <c r="D16" t="inlineStr">
        <is>
          <t>workbook (synced)</t>
        </is>
      </c>
      <c r="E16" t="inlineStr">
        <is>
          <t>—</t>
        </is>
      </c>
      <c r="F16" s="31" t="inlineStr">
        <is>
          <t>no Opus pass — value synced from this workbook</t>
        </is>
      </c>
    </row>
    <row r="17">
      <c r="A17" t="inlineStr">
        <is>
          <t>Terminal capex / D&amp;A</t>
        </is>
      </c>
      <c r="B17" t="inlineStr">
        <is>
          <t>B35</t>
        </is>
      </c>
      <c r="C17" s="13">
        <f>Dashboard!B35</f>
        <v/>
      </c>
      <c r="D17" t="inlineStr">
        <is>
          <t>workbook (synced)</t>
        </is>
      </c>
      <c r="E17" t="inlineStr">
        <is>
          <t>—</t>
        </is>
      </c>
      <c r="F17" s="31" t="inlineStr">
        <is>
          <t>no Opus pass — value synced from this workbook</t>
        </is>
      </c>
    </row>
    <row r="18">
      <c r="A18" t="inlineStr">
        <is>
          <t>Risk-free rate (10Y)</t>
        </is>
      </c>
      <c r="B18" t="inlineStr">
        <is>
          <t>B38</t>
        </is>
      </c>
      <c r="C18" s="11">
        <f>Dashboard!B38</f>
        <v/>
      </c>
      <c r="D18" t="inlineStr">
        <is>
          <t>workbook (synced)</t>
        </is>
      </c>
      <c r="E18" t="inlineStr">
        <is>
          <t>—</t>
        </is>
      </c>
      <c r="F18" s="31" t="inlineStr">
        <is>
          <t>no Opus pass — value synced from this workbook</t>
        </is>
      </c>
    </row>
    <row r="19">
      <c r="A19" t="inlineStr">
        <is>
          <t>Equity risk premium</t>
        </is>
      </c>
      <c r="B19" t="inlineStr">
        <is>
          <t>B39</t>
        </is>
      </c>
      <c r="C19" s="11">
        <f>Dashboard!B39</f>
        <v/>
      </c>
      <c r="D19" t="inlineStr">
        <is>
          <t>workbook (synced)</t>
        </is>
      </c>
      <c r="E19" t="inlineStr">
        <is>
          <t>—</t>
        </is>
      </c>
      <c r="F19" s="31" t="inlineStr">
        <is>
          <t>no Opus pass — value synced from this workbook</t>
        </is>
      </c>
    </row>
    <row r="20">
      <c r="A20" t="inlineStr">
        <is>
          <t>Beta (levered)</t>
        </is>
      </c>
      <c r="B20" t="inlineStr">
        <is>
          <t>B40</t>
        </is>
      </c>
      <c r="C20" s="32">
        <f>Dashboard!B40</f>
        <v/>
      </c>
      <c r="D20" t="inlineStr">
        <is>
          <t>workbook (synced)</t>
        </is>
      </c>
      <c r="E20" t="inlineStr">
        <is>
          <t>—</t>
        </is>
      </c>
      <c r="F20" s="31" t="inlineStr">
        <is>
          <t>no Opus pass — value synced from this workbook</t>
        </is>
      </c>
    </row>
    <row r="21">
      <c r="A21" t="inlineStr">
        <is>
          <t>Pre-tax cost of debt</t>
        </is>
      </c>
      <c r="B21" t="inlineStr">
        <is>
          <t>B41</t>
        </is>
      </c>
      <c r="C21" s="11">
        <f>Dashboard!B41</f>
        <v/>
      </c>
      <c r="D21" t="inlineStr">
        <is>
          <t>workbook (synced)</t>
        </is>
      </c>
      <c r="E21" t="inlineStr">
        <is>
          <t>—</t>
        </is>
      </c>
      <c r="F21" s="31" t="inlineStr">
        <is>
          <t>no Opus pass — value synced from this workbook</t>
        </is>
      </c>
    </row>
    <row r="22">
      <c r="A22" t="inlineStr">
        <is>
          <t>Terminal method</t>
        </is>
      </c>
      <c r="B22" t="inlineStr">
        <is>
          <t>B43</t>
        </is>
      </c>
      <c r="C22" s="12">
        <f>Dashboard!B43</f>
        <v/>
      </c>
      <c r="D22" t="inlineStr">
        <is>
          <t>workbook (synced)</t>
        </is>
      </c>
      <c r="E22" t="inlineStr">
        <is>
          <t>—</t>
        </is>
      </c>
      <c r="F22" s="31" t="inlineStr">
        <is>
          <t>no Opus pass — value synced from this workbook</t>
        </is>
      </c>
    </row>
    <row r="23">
      <c r="A23" t="inlineStr">
        <is>
          <t>Exit basis</t>
        </is>
      </c>
      <c r="B23" t="inlineStr">
        <is>
          <t>B44</t>
        </is>
      </c>
      <c r="C23" s="12">
        <f>Dashboard!B44</f>
        <v/>
      </c>
      <c r="D23" t="inlineStr">
        <is>
          <t>workbook (synced)</t>
        </is>
      </c>
      <c r="E23" t="inlineStr">
        <is>
          <t>—</t>
        </is>
      </c>
      <c r="F23" s="31" t="inlineStr">
        <is>
          <t>no Opus pass — value synced from this workbook</t>
        </is>
      </c>
    </row>
    <row r="24">
      <c r="A24" t="inlineStr">
        <is>
          <t>Exit multiple</t>
        </is>
      </c>
      <c r="B24" t="inlineStr">
        <is>
          <t>B45</t>
        </is>
      </c>
      <c r="C24" s="13">
        <f>Dashboard!B45</f>
        <v/>
      </c>
      <c r="D24" t="inlineStr">
        <is>
          <t>Opus</t>
        </is>
      </c>
      <c r="E24" t="inlineStr">
        <is>
          <t>14.3x</t>
        </is>
      </c>
      <c r="F24" s="31" t="inlineStr"/>
    </row>
    <row r="25">
      <c r="A25" t="inlineStr">
        <is>
          <t>Terminal growth (g)</t>
        </is>
      </c>
      <c r="B25" t="inlineStr">
        <is>
          <t>B46</t>
        </is>
      </c>
      <c r="C25" s="11">
        <f>Dashboard!B46</f>
        <v/>
      </c>
      <c r="D25" t="inlineStr">
        <is>
          <t>workbook (synced)</t>
        </is>
      </c>
      <c r="E25" t="inlineStr">
        <is>
          <t>—</t>
        </is>
      </c>
      <c r="F25" s="31" t="inlineStr">
        <is>
          <t>no Opus pass — value synced from this workbook</t>
        </is>
      </c>
    </row>
    <row r="26">
      <c r="A26" t="inlineStr">
        <is>
          <t>2026 capex ($M)</t>
        </is>
      </c>
      <c r="B26" t="inlineStr">
        <is>
          <t>B34</t>
        </is>
      </c>
      <c r="C26" s="33">
        <f>Dashboard!B34</f>
        <v/>
      </c>
      <c r="D26" t="inlineStr">
        <is>
          <t>workbook (synced)</t>
        </is>
      </c>
      <c r="E26" t="inlineStr">
        <is>
          <t>—</t>
        </is>
      </c>
      <c r="F26" s="31" t="inlineStr">
        <is>
          <t>last-year capex +10% unless set to guidance; edits not tracked</t>
        </is>
      </c>
    </row>
    <row r="27">
      <c r="A27" t="inlineStr">
        <is>
          <t>Bull Δ — segment growth, near-term</t>
        </is>
      </c>
      <c r="B27" t="inlineStr">
        <is>
          <t>C52</t>
        </is>
      </c>
      <c r="C27" s="34">
        <f>Dashboard!C52</f>
        <v/>
      </c>
      <c r="D27" t="inlineStr">
        <is>
          <t>seed default</t>
        </is>
      </c>
      <c r="E27" t="inlineStr">
        <is>
          <t>3.0%</t>
        </is>
      </c>
      <c r="F27" s="31" t="inlineStr"/>
    </row>
    <row r="28">
      <c r="A28" t="inlineStr">
        <is>
          <t>Bear Δ — segment growth, near-term</t>
        </is>
      </c>
      <c r="B28" t="inlineStr">
        <is>
          <t>D52</t>
        </is>
      </c>
      <c r="C28" s="34">
        <f>Dashboard!D52</f>
        <v/>
      </c>
      <c r="D28" t="inlineStr">
        <is>
          <t>seed default</t>
        </is>
      </c>
      <c r="E28" t="inlineStr">
        <is>
          <t>-3.0%</t>
        </is>
      </c>
      <c r="F28" s="31" t="inlineStr"/>
    </row>
    <row r="29">
      <c r="A29" t="inlineStr">
        <is>
          <t>Bull Δ — segment growth, terminal</t>
        </is>
      </c>
      <c r="B29" t="inlineStr">
        <is>
          <t>C53</t>
        </is>
      </c>
      <c r="C29" s="34">
        <f>Dashboard!C53</f>
        <v/>
      </c>
      <c r="D29" t="inlineStr">
        <is>
          <t>seed default</t>
        </is>
      </c>
      <c r="E29" t="inlineStr">
        <is>
          <t>1.0%</t>
        </is>
      </c>
      <c r="F29" s="31" t="inlineStr"/>
    </row>
    <row r="30">
      <c r="A30" t="inlineStr">
        <is>
          <t>Bear Δ — segment growth, terminal</t>
        </is>
      </c>
      <c r="B30" t="inlineStr">
        <is>
          <t>D53</t>
        </is>
      </c>
      <c r="C30" s="34">
        <f>Dashboard!D53</f>
        <v/>
      </c>
      <c r="D30" t="inlineStr">
        <is>
          <t>seed default</t>
        </is>
      </c>
      <c r="E30" t="inlineStr">
        <is>
          <t>-1.0%</t>
        </is>
      </c>
      <c r="F30" s="31" t="inlineStr"/>
    </row>
    <row r="31">
      <c r="A31" t="inlineStr">
        <is>
          <t>Bull Δ — operating margin, near-term</t>
        </is>
      </c>
      <c r="B31" t="inlineStr">
        <is>
          <t>C54</t>
        </is>
      </c>
      <c r="C31" s="34">
        <f>Dashboard!C54</f>
        <v/>
      </c>
      <c r="D31" t="inlineStr">
        <is>
          <t>seed default</t>
        </is>
      </c>
      <c r="E31" t="inlineStr">
        <is>
          <t>1.0%</t>
        </is>
      </c>
      <c r="F31" s="31" t="inlineStr"/>
    </row>
    <row r="32">
      <c r="A32" t="inlineStr">
        <is>
          <t>Bear Δ — operating margin, near-term</t>
        </is>
      </c>
      <c r="B32" t="inlineStr">
        <is>
          <t>D54</t>
        </is>
      </c>
      <c r="C32" s="34">
        <f>Dashboard!D54</f>
        <v/>
      </c>
      <c r="D32" t="inlineStr">
        <is>
          <t>seed default</t>
        </is>
      </c>
      <c r="E32" t="inlineStr">
        <is>
          <t>-1.0%</t>
        </is>
      </c>
      <c r="F32" s="31" t="inlineStr"/>
    </row>
    <row r="33">
      <c r="A33" t="inlineStr">
        <is>
          <t>Bull Δ — operating margin, terminal</t>
        </is>
      </c>
      <c r="B33" t="inlineStr">
        <is>
          <t>C55</t>
        </is>
      </c>
      <c r="C33" s="34">
        <f>Dashboard!C55</f>
        <v/>
      </c>
      <c r="D33" t="inlineStr">
        <is>
          <t>seed default</t>
        </is>
      </c>
      <c r="E33" t="inlineStr">
        <is>
          <t>2.0%</t>
        </is>
      </c>
      <c r="F33" s="31" t="inlineStr"/>
    </row>
    <row r="34">
      <c r="A34" t="inlineStr">
        <is>
          <t>Bear Δ — operating margin, terminal</t>
        </is>
      </c>
      <c r="B34" t="inlineStr">
        <is>
          <t>D55</t>
        </is>
      </c>
      <c r="C34" s="34">
        <f>Dashboard!D55</f>
        <v/>
      </c>
      <c r="D34" t="inlineStr">
        <is>
          <t>seed default</t>
        </is>
      </c>
      <c r="E34" t="inlineStr">
        <is>
          <t>-2.0%</t>
        </is>
      </c>
      <c r="F34" s="31" t="inlineStr"/>
    </row>
    <row r="35">
      <c r="A35" t="inlineStr">
        <is>
          <t>Bull Δ — exit multiple</t>
        </is>
      </c>
      <c r="B35" t="inlineStr">
        <is>
          <t>C56</t>
        </is>
      </c>
      <c r="C35" s="35">
        <f>Dashboard!C56</f>
        <v/>
      </c>
      <c r="D35" t="inlineStr">
        <is>
          <t>seed default</t>
        </is>
      </c>
      <c r="E35" t="inlineStr">
        <is>
          <t>2.0x</t>
        </is>
      </c>
      <c r="F35" s="31" t="inlineStr"/>
    </row>
    <row r="36">
      <c r="A36" t="inlineStr">
        <is>
          <t>Bear Δ — exit multiple</t>
        </is>
      </c>
      <c r="B36" t="inlineStr">
        <is>
          <t>D56</t>
        </is>
      </c>
      <c r="C36" s="35">
        <f>Dashboard!D56</f>
        <v/>
      </c>
      <c r="D36" t="inlineStr">
        <is>
          <t>seed default</t>
        </is>
      </c>
      <c r="E36" t="inlineStr">
        <is>
          <t>-2.0x</t>
        </is>
      </c>
      <c r="F36" s="31" t="inlineStr"/>
    </row>
    <row r="37">
      <c r="A37" t="inlineStr">
        <is>
          <t>Bull Δ — terminal growth (g)</t>
        </is>
      </c>
      <c r="B37" t="inlineStr">
        <is>
          <t>C57</t>
        </is>
      </c>
      <c r="C37" s="34">
        <f>Dashboard!C57</f>
        <v/>
      </c>
      <c r="D37" t="inlineStr">
        <is>
          <t>seed default</t>
        </is>
      </c>
      <c r="E37" t="inlineStr">
        <is>
          <t>0.5%</t>
        </is>
      </c>
      <c r="F37" s="31" t="inlineStr"/>
    </row>
    <row r="38">
      <c r="A38" t="inlineStr">
        <is>
          <t>Bear Δ — terminal growth (g)</t>
        </is>
      </c>
      <c r="B38" t="inlineStr">
        <is>
          <t>D57</t>
        </is>
      </c>
      <c r="C38" s="34">
        <f>Dashboard!D57</f>
        <v/>
      </c>
      <c r="D38" t="inlineStr">
        <is>
          <t>seed default</t>
        </is>
      </c>
      <c r="E38" t="inlineStr">
        <is>
          <t>-0.5%</t>
        </is>
      </c>
      <c r="F38" s="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6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7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2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3">
        <f>Dashboard!$B$48*Financials!AC17</f>
        <v/>
      </c>
    </row>
    <row r="11">
      <c r="A11" s="4" t="inlineStr">
        <is>
          <t>Total debt (D)</t>
        </is>
      </c>
      <c r="B11" s="33">
        <f>Financials!AC44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8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9" t="inlineStr">
        <is>
          <t>FY2021A</t>
        </is>
      </c>
      <c r="C1" s="39" t="inlineStr">
        <is>
          <t>FY2022A</t>
        </is>
      </c>
      <c r="D1" s="39" t="inlineStr">
        <is>
          <t>FY2023A</t>
        </is>
      </c>
      <c r="E1" s="39" t="inlineStr">
        <is>
          <t>FY2024A</t>
        </is>
      </c>
      <c r="F1" s="39" t="inlineStr">
        <is>
          <t>FY2025A</t>
        </is>
      </c>
      <c r="G1" s="40" t="inlineStr">
        <is>
          <t>FY2026E</t>
        </is>
      </c>
      <c r="H1" s="40" t="inlineStr">
        <is>
          <t>FY2027E</t>
        </is>
      </c>
      <c r="I1" s="40" t="inlineStr">
        <is>
          <t>FY2028E</t>
        </is>
      </c>
      <c r="J1" s="40" t="inlineStr">
        <is>
          <t>FY2029E</t>
        </is>
      </c>
      <c r="K1" s="40" t="inlineStr">
        <is>
          <t>FY2030E</t>
        </is>
      </c>
      <c r="L1" s="40" t="inlineStr">
        <is>
          <t>FY2031E</t>
        </is>
      </c>
      <c r="M1" s="40" t="inlineStr">
        <is>
          <t>FY2032E</t>
        </is>
      </c>
      <c r="N1" s="40" t="inlineStr">
        <is>
          <t>FY2033E</t>
        </is>
      </c>
      <c r="O1" s="40" t="inlineStr">
        <is>
          <t>FY2034E</t>
        </is>
      </c>
      <c r="P1" s="40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Subscription</t>
        </is>
      </c>
      <c r="B4" s="33">
        <f>SUM(Financials!H19:K19)</f>
        <v/>
      </c>
      <c r="C4" s="33">
        <f>SUM(Financials!L19:O19)</f>
        <v/>
      </c>
      <c r="D4" s="33">
        <f>SUM(Financials!P19:S19)</f>
        <v/>
      </c>
      <c r="E4" s="33">
        <f>SUM(Financials!T19:W19)</f>
        <v/>
      </c>
      <c r="F4" s="33">
        <f>SUM(Financials!X19:AA19)</f>
        <v/>
      </c>
      <c r="G4" s="41">
        <f>F4*(1+G5)</f>
        <v/>
      </c>
      <c r="H4" s="41">
        <f>G4*(1+H5)</f>
        <v/>
      </c>
      <c r="I4" s="41">
        <f>H4*(1+I5)</f>
        <v/>
      </c>
      <c r="J4" s="41">
        <f>I4*(1+J5)</f>
        <v/>
      </c>
      <c r="K4" s="41">
        <f>J4*(1+K5)</f>
        <v/>
      </c>
      <c r="L4" s="41">
        <f>K4*(1+L5)</f>
        <v/>
      </c>
      <c r="M4" s="41">
        <f>L4*(1+M5)</f>
        <v/>
      </c>
      <c r="N4" s="41">
        <f>M4*(1+N5)</f>
        <v/>
      </c>
      <c r="O4" s="41">
        <f>N4*(1+O5)</f>
        <v/>
      </c>
      <c r="P4" s="41">
        <f>O4*(1+P5)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25">
        <f>IFERROR(D4/C4-1,"")</f>
        <v/>
      </c>
      <c r="E5" s="25">
        <f>IFERROR(E4/D4-1,"")</f>
        <v/>
      </c>
      <c r="F5" s="25">
        <f>IFERROR(F4/E4-1,"")</f>
        <v/>
      </c>
      <c r="G5" s="11">
        <f>Dashboard!$C$20+(Dashboard!$B$20-Dashboard!$C$20)*((9-0)/9)^Dashboard!$B$49</f>
        <v/>
      </c>
      <c r="H5" s="11">
        <f>Dashboard!$C$20+(Dashboard!$B$20-Dashboard!$C$20)*((9-1)/9)^Dashboard!$B$49</f>
        <v/>
      </c>
      <c r="I5" s="11">
        <f>Dashboard!$C$20+(Dashboard!$B$20-Dashboard!$C$20)*((9-2)/9)^Dashboard!$B$49</f>
        <v/>
      </c>
      <c r="J5" s="11">
        <f>Dashboard!$C$20+(Dashboard!$B$20-Dashboard!$C$20)*((9-3)/9)^Dashboard!$B$49</f>
        <v/>
      </c>
      <c r="K5" s="11">
        <f>Dashboard!$C$20+(Dashboard!$B$20-Dashboard!$C$20)*((9-4)/9)^Dashboard!$B$49</f>
        <v/>
      </c>
      <c r="L5" s="11">
        <f>Dashboard!$C$20+(Dashboard!$B$20-Dashboard!$C$20)*((9-5)/9)^Dashboard!$B$49</f>
        <v/>
      </c>
      <c r="M5" s="11">
        <f>Dashboard!$C$20+(Dashboard!$B$20-Dashboard!$C$20)*((9-6)/9)^Dashboard!$B$49</f>
        <v/>
      </c>
      <c r="N5" s="11">
        <f>Dashboard!$C$20+(Dashboard!$B$20-Dashboard!$C$20)*((9-7)/9)^Dashboard!$B$49</f>
        <v/>
      </c>
      <c r="O5" s="11">
        <f>Dashboard!$C$20+(Dashboard!$B$20-Dashboard!$C$20)*((9-8)/9)^Dashboard!$B$49</f>
        <v/>
      </c>
      <c r="P5" s="11">
        <f>Dashboard!$C$20+(Dashboard!$B$20-Dashboard!$C$20)*((9-9)/9)^Dashboard!$B$49</f>
        <v/>
      </c>
    </row>
    <row r="6">
      <c r="A6" s="4" t="inlineStr">
        <is>
          <t>Support</t>
        </is>
      </c>
      <c r="B6" s="33">
        <f>SUM(Financials!H22:K22)</f>
        <v/>
      </c>
      <c r="C6" s="33">
        <f>SUM(Financials!L22:O22)</f>
        <v/>
      </c>
      <c r="D6" s="33">
        <f>SUM(Financials!P22:S22)</f>
        <v/>
      </c>
      <c r="E6" s="33">
        <f>SUM(Financials!T22:W22)</f>
        <v/>
      </c>
      <c r="F6" s="33">
        <f>SUM(Financials!X22:AA22)</f>
        <v/>
      </c>
      <c r="G6" s="41">
        <f>F6*(1+G7)</f>
        <v/>
      </c>
      <c r="H6" s="41">
        <f>G6*(1+H7)</f>
        <v/>
      </c>
      <c r="I6" s="41">
        <f>H6*(1+I7)</f>
        <v/>
      </c>
      <c r="J6" s="41">
        <f>I6*(1+J7)</f>
        <v/>
      </c>
      <c r="K6" s="41">
        <f>J6*(1+K7)</f>
        <v/>
      </c>
      <c r="L6" s="41">
        <f>K6*(1+L7)</f>
        <v/>
      </c>
      <c r="M6" s="41">
        <f>L6*(1+M7)</f>
        <v/>
      </c>
      <c r="N6" s="41">
        <f>M6*(1+N7)</f>
        <v/>
      </c>
      <c r="O6" s="41">
        <f>N6*(1+O7)</f>
        <v/>
      </c>
      <c r="P6" s="41">
        <f>O6*(1+P7)</f>
        <v/>
      </c>
    </row>
    <row r="7">
      <c r="A7" s="4" t="inlineStr">
        <is>
          <t xml:space="preserve">    growth % (convex fade; curvature from Dashboard)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11">
        <f>Dashboard!$C$21+(Dashboard!$B$21-Dashboard!$C$21)*((9-0)/9)^Dashboard!$B$49</f>
        <v/>
      </c>
      <c r="H7" s="11">
        <f>Dashboard!$C$21+(Dashboard!$B$21-Dashboard!$C$21)*((9-1)/9)^Dashboard!$B$49</f>
        <v/>
      </c>
      <c r="I7" s="11">
        <f>Dashboard!$C$21+(Dashboard!$B$21-Dashboard!$C$21)*((9-2)/9)^Dashboard!$B$49</f>
        <v/>
      </c>
      <c r="J7" s="11">
        <f>Dashboard!$C$21+(Dashboard!$B$21-Dashboard!$C$21)*((9-3)/9)^Dashboard!$B$49</f>
        <v/>
      </c>
      <c r="K7" s="11">
        <f>Dashboard!$C$21+(Dashboard!$B$21-Dashboard!$C$21)*((9-4)/9)^Dashboard!$B$49</f>
        <v/>
      </c>
      <c r="L7" s="11">
        <f>Dashboard!$C$21+(Dashboard!$B$21-Dashboard!$C$21)*((9-5)/9)^Dashboard!$B$49</f>
        <v/>
      </c>
      <c r="M7" s="11">
        <f>Dashboard!$C$21+(Dashboard!$B$21-Dashboard!$C$21)*((9-6)/9)^Dashboard!$B$49</f>
        <v/>
      </c>
      <c r="N7" s="11">
        <f>Dashboard!$C$21+(Dashboard!$B$21-Dashboard!$C$21)*((9-7)/9)^Dashboard!$B$49</f>
        <v/>
      </c>
      <c r="O7" s="11">
        <f>Dashboard!$C$21+(Dashboard!$B$21-Dashboard!$C$21)*((9-8)/9)^Dashboard!$B$49</f>
        <v/>
      </c>
      <c r="P7" s="11">
        <f>Dashboard!$C$21+(Dashboard!$B$21-Dashboard!$C$21)*((9-9)/9)^Dashboard!$B$49</f>
        <v/>
      </c>
    </row>
    <row r="8">
      <c r="A8" s="4" t="inlineStr">
        <is>
          <t>Product</t>
        </is>
      </c>
      <c r="B8" s="33">
        <f>SUM(Financials!H25:K25)</f>
        <v/>
      </c>
      <c r="C8" s="33">
        <f>SUM(Financials!L25:O25)</f>
        <v/>
      </c>
      <c r="D8" s="33">
        <f>SUM(Financials!P25:S25)</f>
        <v/>
      </c>
      <c r="E8" s="33">
        <f>SUM(Financials!T25:W25)</f>
        <v/>
      </c>
      <c r="F8" s="33">
        <f>SUM(Financials!X25:AA25)</f>
        <v/>
      </c>
      <c r="G8" s="41">
        <f>F8*(1+G9)</f>
        <v/>
      </c>
      <c r="H8" s="41">
        <f>G8*(1+H9)</f>
        <v/>
      </c>
      <c r="I8" s="41">
        <f>H8*(1+I9)</f>
        <v/>
      </c>
      <c r="J8" s="41">
        <f>I8*(1+J9)</f>
        <v/>
      </c>
      <c r="K8" s="41">
        <f>J8*(1+K9)</f>
        <v/>
      </c>
      <c r="L8" s="41">
        <f>K8*(1+L9)</f>
        <v/>
      </c>
      <c r="M8" s="41">
        <f>L8*(1+M9)</f>
        <v/>
      </c>
      <c r="N8" s="41">
        <f>M8*(1+N9)</f>
        <v/>
      </c>
      <c r="O8" s="41">
        <f>N8*(1+O9)</f>
        <v/>
      </c>
      <c r="P8" s="41">
        <f>O8*(1+P9)</f>
        <v/>
      </c>
    </row>
    <row r="9">
      <c r="A9" s="4" t="inlineStr">
        <is>
          <t xml:space="preserve">    growth % (convex fade; curvature from Dashboard)</t>
        </is>
      </c>
      <c r="C9" s="25">
        <f>IFERROR(C8/B8-1,"")</f>
        <v/>
      </c>
      <c r="D9" s="25">
        <f>IFERROR(D8/C8-1,"")</f>
        <v/>
      </c>
      <c r="E9" s="25">
        <f>IFERROR(E8/D8-1,"")</f>
        <v/>
      </c>
      <c r="F9" s="25">
        <f>IFERROR(F8/E8-1,"")</f>
        <v/>
      </c>
      <c r="G9" s="11">
        <f>Dashboard!$C$22+(Dashboard!$B$22-Dashboard!$C$22)*((9-0)/9)^Dashboard!$B$49</f>
        <v/>
      </c>
      <c r="H9" s="11">
        <f>Dashboard!$C$22+(Dashboard!$B$22-Dashboard!$C$22)*((9-1)/9)^Dashboard!$B$49</f>
        <v/>
      </c>
      <c r="I9" s="11">
        <f>Dashboard!$C$22+(Dashboard!$B$22-Dashboard!$C$22)*((9-2)/9)^Dashboard!$B$49</f>
        <v/>
      </c>
      <c r="J9" s="11">
        <f>Dashboard!$C$22+(Dashboard!$B$22-Dashboard!$C$22)*((9-3)/9)^Dashboard!$B$49</f>
        <v/>
      </c>
      <c r="K9" s="11">
        <f>Dashboard!$C$22+(Dashboard!$B$22-Dashboard!$C$22)*((9-4)/9)^Dashboard!$B$49</f>
        <v/>
      </c>
      <c r="L9" s="11">
        <f>Dashboard!$C$22+(Dashboard!$B$22-Dashboard!$C$22)*((9-5)/9)^Dashboard!$B$49</f>
        <v/>
      </c>
      <c r="M9" s="11">
        <f>Dashboard!$C$22+(Dashboard!$B$22-Dashboard!$C$22)*((9-6)/9)^Dashboard!$B$49</f>
        <v/>
      </c>
      <c r="N9" s="11">
        <f>Dashboard!$C$22+(Dashboard!$B$22-Dashboard!$C$22)*((9-7)/9)^Dashboard!$B$49</f>
        <v/>
      </c>
      <c r="O9" s="11">
        <f>Dashboard!$C$22+(Dashboard!$B$22-Dashboard!$C$22)*((9-8)/9)^Dashboard!$B$49</f>
        <v/>
      </c>
      <c r="P9" s="11">
        <f>Dashboard!$C$22+(Dashboard!$B$22-Dashboard!$C$22)*((9-9)/9)^Dashboard!$B$49</f>
        <v/>
      </c>
    </row>
    <row r="10">
      <c r="A10" s="3" t="inlineStr">
        <is>
          <t>Total revenue</t>
        </is>
      </c>
      <c r="B10" s="42">
        <f>B4+B6+B8</f>
        <v/>
      </c>
      <c r="C10" s="42">
        <f>C4+C6+C8</f>
        <v/>
      </c>
      <c r="D10" s="42">
        <f>D4+D6+D8</f>
        <v/>
      </c>
      <c r="E10" s="42">
        <f>E4+E6+E8</f>
        <v/>
      </c>
      <c r="F10" s="42">
        <f>F4+F6+F8</f>
        <v/>
      </c>
      <c r="G10" s="42">
        <f>G4+G6+G8</f>
        <v/>
      </c>
      <c r="H10" s="42">
        <f>H4+H6+H8</f>
        <v/>
      </c>
      <c r="I10" s="42">
        <f>I4+I6+I8</f>
        <v/>
      </c>
      <c r="J10" s="42">
        <f>J4+J6+J8</f>
        <v/>
      </c>
      <c r="K10" s="42">
        <f>K4+K6+K8</f>
        <v/>
      </c>
      <c r="L10" s="42">
        <f>L4+L6+L8</f>
        <v/>
      </c>
      <c r="M10" s="42">
        <f>M4+M6+M8</f>
        <v/>
      </c>
      <c r="N10" s="42">
        <f>N4+N6+N8</f>
        <v/>
      </c>
      <c r="O10" s="42">
        <f>O4+O6+O8</f>
        <v/>
      </c>
      <c r="P10" s="42">
        <f>P4+P6+P8</f>
        <v/>
      </c>
    </row>
    <row r="11">
      <c r="A11" s="4" t="inlineStr">
        <is>
          <t xml:space="preserve">    growth %</t>
        </is>
      </c>
      <c r="C11" s="25">
        <f>IFERROR(C10/B10-1,"")</f>
        <v/>
      </c>
      <c r="D11" s="25">
        <f>IFERROR(D10/C10-1,"")</f>
        <v/>
      </c>
      <c r="E11" s="25">
        <f>IFERROR(E10/D10-1,"")</f>
        <v/>
      </c>
      <c r="F11" s="25">
        <f>IFERROR(F10/E10-1,"")</f>
        <v/>
      </c>
      <c r="G11" s="25">
        <f>IFERROR(G10/F10-1,"")</f>
        <v/>
      </c>
      <c r="H11" s="25">
        <f>IFERROR(H10/G10-1,"")</f>
        <v/>
      </c>
      <c r="I11" s="25">
        <f>IFERROR(I10/H10-1,"")</f>
        <v/>
      </c>
      <c r="J11" s="25">
        <f>IFERROR(J10/I10-1,"")</f>
        <v/>
      </c>
      <c r="K11" s="25">
        <f>IFERROR(K10/J10-1,"")</f>
        <v/>
      </c>
      <c r="L11" s="25">
        <f>IFERROR(L10/K10-1,"")</f>
        <v/>
      </c>
      <c r="M11" s="25">
        <f>IFERROR(M10/L10-1,"")</f>
        <v/>
      </c>
      <c r="N11" s="25">
        <f>IFERROR(N10/M10-1,"")</f>
        <v/>
      </c>
      <c r="O11" s="25">
        <f>IFERROR(O10/N10-1,"")</f>
        <v/>
      </c>
      <c r="P11" s="25">
        <f>IFERROR(P10/O10-1,"")</f>
        <v/>
      </c>
    </row>
    <row r="13">
      <c r="A13" s="5" t="inlineStr">
        <is>
          <t xml:space="preserve">  COST STRUCTURE (yellow = % of revenue)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</row>
    <row r="14">
      <c r="A14" s="4" t="inlineStr">
        <is>
          <t>Cost of revenue</t>
        </is>
      </c>
      <c r="B14" s="33">
        <f>SUM(Financials!H5:K5)</f>
        <v/>
      </c>
      <c r="C14" s="33">
        <f>SUM(Financials!L5:O5)</f>
        <v/>
      </c>
      <c r="D14" s="33">
        <f>SUM(Financials!P5:S5)</f>
        <v/>
      </c>
      <c r="E14" s="33">
        <f>SUM(Financials!T5:W5)</f>
        <v/>
      </c>
      <c r="F14" s="33">
        <f>SUM(Financials!X5:AA5)</f>
        <v/>
      </c>
      <c r="G14" s="41">
        <f>G10*G15</f>
        <v/>
      </c>
      <c r="H14" s="41">
        <f>H10*H15</f>
        <v/>
      </c>
      <c r="I14" s="41">
        <f>I10*I15</f>
        <v/>
      </c>
      <c r="J14" s="41">
        <f>J10*J15</f>
        <v/>
      </c>
      <c r="K14" s="41">
        <f>K10*K15</f>
        <v/>
      </c>
      <c r="L14" s="41">
        <f>L10*L15</f>
        <v/>
      </c>
      <c r="M14" s="41">
        <f>M10*M15</f>
        <v/>
      </c>
      <c r="N14" s="41">
        <f>N10*N15</f>
        <v/>
      </c>
      <c r="O14" s="41">
        <f>O10*O15</f>
        <v/>
      </c>
      <c r="P14" s="41">
        <f>P10*P15</f>
        <v/>
      </c>
    </row>
    <row r="15">
      <c r="A15" s="4" t="inlineStr">
        <is>
          <t xml:space="preserve">    % of revenue</t>
        </is>
      </c>
      <c r="B15" s="25">
        <f>IFERROR(B14/B10,"")</f>
        <v/>
      </c>
      <c r="C15" s="25">
        <f>IFERROR(C14/C10,"")</f>
        <v/>
      </c>
      <c r="D15" s="25">
        <f>IFERROR(D14/D10,"")</f>
        <v/>
      </c>
      <c r="E15" s="25">
        <f>IFERROR(E14/E10,"")</f>
        <v/>
      </c>
      <c r="F15" s="25">
        <f>IFERROR(F14/F10,"")</f>
        <v/>
      </c>
      <c r="G15" s="15" t="n">
        <v>0.2658403548152726</v>
      </c>
      <c r="H15" s="15" t="n">
        <v>0.2658403548152726</v>
      </c>
      <c r="I15" s="15" t="n">
        <v>0.2658403548152726</v>
      </c>
      <c r="J15" s="15" t="n">
        <v>0.2658403548152726</v>
      </c>
      <c r="K15" s="15" t="n">
        <v>0.2658403548152726</v>
      </c>
      <c r="L15" s="15" t="n">
        <v>0.2658403548152726</v>
      </c>
      <c r="M15" s="15" t="n">
        <v>0.2658403548152726</v>
      </c>
      <c r="N15" s="15" t="n">
        <v>0.2658403548152726</v>
      </c>
      <c r="O15" s="15" t="n">
        <v>0.2658403548152726</v>
      </c>
      <c r="P15" s="15" t="n">
        <v>0.2658403548152726</v>
      </c>
    </row>
    <row r="16">
      <c r="A16" s="4" t="inlineStr">
        <is>
          <t>R&amp;D / Technology</t>
        </is>
      </c>
      <c r="B16" s="33">
        <f>SUM(Financials!H7:K7)</f>
        <v/>
      </c>
      <c r="C16" s="33">
        <f>SUM(Financials!L7:O7)</f>
        <v/>
      </c>
      <c r="D16" s="33">
        <f>SUM(Financials!P7:S7)</f>
        <v/>
      </c>
      <c r="E16" s="33">
        <f>SUM(Financials!T7:W7)</f>
        <v/>
      </c>
      <c r="F16" s="33">
        <f>SUM(Financials!X7:AA7)</f>
        <v/>
      </c>
      <c r="G16" s="41">
        <f>G10*G17</f>
        <v/>
      </c>
      <c r="H16" s="41">
        <f>H10*H17</f>
        <v/>
      </c>
      <c r="I16" s="41">
        <f>I10*I17</f>
        <v/>
      </c>
      <c r="J16" s="41">
        <f>J10*J17</f>
        <v/>
      </c>
      <c r="K16" s="41">
        <f>K10*K17</f>
        <v/>
      </c>
      <c r="L16" s="41">
        <f>L10*L17</f>
        <v/>
      </c>
      <c r="M16" s="41">
        <f>M10*M17</f>
        <v/>
      </c>
      <c r="N16" s="41">
        <f>N10*N17</f>
        <v/>
      </c>
      <c r="O16" s="41">
        <f>O10*O17</f>
        <v/>
      </c>
      <c r="P16" s="41">
        <f>P10*P17</f>
        <v/>
      </c>
    </row>
    <row r="17">
      <c r="A17" s="4" t="inlineStr">
        <is>
          <t xml:space="preserve">    % of revenue</t>
        </is>
      </c>
      <c r="B17" s="25">
        <f>IFERROR(B16/B10,"")</f>
        <v/>
      </c>
      <c r="C17" s="25">
        <f>IFERROR(C16/C10,"")</f>
        <v/>
      </c>
      <c r="D17" s="25">
        <f>IFERROR(D16/D10,"")</f>
        <v/>
      </c>
      <c r="E17" s="25">
        <f>IFERROR(E16/E10,"")</f>
        <v/>
      </c>
      <c r="F17" s="25">
        <f>IFERROR(F16/F10,"")</f>
        <v/>
      </c>
      <c r="G17" s="15" t="n">
        <v>0.2152206209267272</v>
      </c>
      <c r="H17" s="15" t="n">
        <v>0.2152206209267272</v>
      </c>
      <c r="I17" s="15" t="n">
        <v>0.2152206209267272</v>
      </c>
      <c r="J17" s="15" t="n">
        <v>0.2152206209267272</v>
      </c>
      <c r="K17" s="15" t="n">
        <v>0.2152206209267272</v>
      </c>
      <c r="L17" s="15" t="n">
        <v>0.2152206209267272</v>
      </c>
      <c r="M17" s="15" t="n">
        <v>0.2152206209267272</v>
      </c>
      <c r="N17" s="15" t="n">
        <v>0.2152206209267272</v>
      </c>
      <c r="O17" s="15" t="n">
        <v>0.2152206209267272</v>
      </c>
      <c r="P17" s="15" t="n">
        <v>0.2152206209267272</v>
      </c>
    </row>
    <row r="18">
      <c r="A18" s="4" t="inlineStr">
        <is>
          <t>SG&amp;A</t>
        </is>
      </c>
      <c r="B18" s="33">
        <f>SUM(Financials!H9:K9)</f>
        <v/>
      </c>
      <c r="C18" s="33">
        <f>SUM(Financials!L9:O9)</f>
        <v/>
      </c>
      <c r="D18" s="33">
        <f>SUM(Financials!P9:S9)</f>
        <v/>
      </c>
      <c r="E18" s="33">
        <f>SUM(Financials!T9:W9)</f>
        <v/>
      </c>
      <c r="F18" s="33">
        <f>SUM(Financials!X9:AA9)</f>
        <v/>
      </c>
      <c r="G18" s="41">
        <f>G10*G19</f>
        <v/>
      </c>
      <c r="H18" s="41">
        <f>H10*H19</f>
        <v/>
      </c>
      <c r="I18" s="41">
        <f>I10*I19</f>
        <v/>
      </c>
      <c r="J18" s="41">
        <f>J10*J19</f>
        <v/>
      </c>
      <c r="K18" s="41">
        <f>K10*K19</f>
        <v/>
      </c>
      <c r="L18" s="41">
        <f>L10*L19</f>
        <v/>
      </c>
      <c r="M18" s="41">
        <f>M10*M19</f>
        <v/>
      </c>
      <c r="N18" s="41">
        <f>N10*N19</f>
        <v/>
      </c>
      <c r="O18" s="41">
        <f>O10*O19</f>
        <v/>
      </c>
      <c r="P18" s="41">
        <f>P10*P19</f>
        <v/>
      </c>
    </row>
    <row r="19">
      <c r="A19" s="4" t="inlineStr">
        <is>
          <t xml:space="preserve">    % of revenue</t>
        </is>
      </c>
      <c r="B19" s="25">
        <f>IFERROR(B18/B10,"")</f>
        <v/>
      </c>
      <c r="C19" s="25">
        <f>IFERROR(C18/C10,"")</f>
        <v/>
      </c>
      <c r="D19" s="25">
        <f>IFERROR(D18/D10,"")</f>
        <v/>
      </c>
      <c r="E19" s="25">
        <f>IFERROR(E18/E10,"")</f>
        <v/>
      </c>
      <c r="F19" s="25">
        <f>IFERROR(F18/F10,"")</f>
        <v/>
      </c>
      <c r="G19" s="15" t="n">
        <v>0.3842133229231052</v>
      </c>
      <c r="H19" s="15" t="n">
        <v>0.3842133229231052</v>
      </c>
      <c r="I19" s="15" t="n">
        <v>0.3842133229231052</v>
      </c>
      <c r="J19" s="15" t="n">
        <v>0.3842133229231052</v>
      </c>
      <c r="K19" s="15" t="n">
        <v>0.3842133229231052</v>
      </c>
      <c r="L19" s="15" t="n">
        <v>0.3842133229231052</v>
      </c>
      <c r="M19" s="15" t="n">
        <v>0.3842133229231052</v>
      </c>
      <c r="N19" s="15" t="n">
        <v>0.3842133229231052</v>
      </c>
      <c r="O19" s="15" t="n">
        <v>0.3842133229231052</v>
      </c>
      <c r="P19" s="15" t="n">
        <v>0.3842133229231052</v>
      </c>
    </row>
    <row r="20">
      <c r="A20" s="4" t="inlineStr">
        <is>
          <t>Other opex (fulfilment, etc.)</t>
        </is>
      </c>
      <c r="B20" s="33">
        <f>B10-(B14+B16+B18)-SUM(Financials!H13:K13)</f>
        <v/>
      </c>
      <c r="C20" s="33">
        <f>C10-(C14+C16+C18)-SUM(Financials!L13:O13)</f>
        <v/>
      </c>
      <c r="D20" s="33">
        <f>D10-(D14+D16+D18)-SUM(Financials!P13:S13)</f>
        <v/>
      </c>
      <c r="E20" s="33">
        <f>E10-(E14+E16+E18)-SUM(Financials!T13:W13)</f>
        <v/>
      </c>
      <c r="F20" s="33">
        <f>F10-(F14+F16+F18)-SUM(Financials!X13:AA13)</f>
        <v/>
      </c>
      <c r="G20" s="33">
        <f>G10*(1-(Dashboard!$B$29+(Dashboard!$B$30-Dashboard!$B$29)*MIN(1,0/4)))-(G14+G16+G18)</f>
        <v/>
      </c>
      <c r="H20" s="33">
        <f>H10*(1-(Dashboard!$B$29+(Dashboard!$B$30-Dashboard!$B$29)*MIN(1,1/4)))-(H14+H16+H18)</f>
        <v/>
      </c>
      <c r="I20" s="33">
        <f>I10*(1-(Dashboard!$B$29+(Dashboard!$B$30-Dashboard!$B$29)*MIN(1,2/4)))-(I14+I16+I18)</f>
        <v/>
      </c>
      <c r="J20" s="33">
        <f>J10*(1-(Dashboard!$B$29+(Dashboard!$B$30-Dashboard!$B$29)*MIN(1,3/4)))-(J14+J16+J18)</f>
        <v/>
      </c>
      <c r="K20" s="33">
        <f>K10*(1-(Dashboard!$B$29+(Dashboard!$B$30-Dashboard!$B$29)*MIN(1,4/4)))-(K14+K16+K18)</f>
        <v/>
      </c>
      <c r="L20" s="33">
        <f>L10*(1-(Dashboard!$B$29+(Dashboard!$B$30-Dashboard!$B$29)*MIN(1,5/4)))-(L14+L16+L18)</f>
        <v/>
      </c>
      <c r="M20" s="33">
        <f>M10*(1-(Dashboard!$B$29+(Dashboard!$B$30-Dashboard!$B$29)*MIN(1,6/4)))-(M14+M16+M18)</f>
        <v/>
      </c>
      <c r="N20" s="33">
        <f>N10*(1-(Dashboard!$B$29+(Dashboard!$B$30-Dashboard!$B$29)*MIN(1,7/4)))-(N14+N16+N18)</f>
        <v/>
      </c>
      <c r="O20" s="33">
        <f>O10*(1-(Dashboard!$B$29+(Dashboard!$B$30-Dashboard!$B$29)*MIN(1,8/4)))-(O14+O16+O18)</f>
        <v/>
      </c>
      <c r="P20" s="33">
        <f>P10*(1-(Dashboard!$B$29+(Dashboard!$B$30-Dashboard!$B$29)*MIN(1,9/4)))-(P14+P16+P18)</f>
        <v/>
      </c>
    </row>
    <row r="21">
      <c r="A21" s="4" t="inlineStr">
        <is>
          <t xml:space="preserve">    % of revenue</t>
        </is>
      </c>
      <c r="B21" s="25">
        <f>IFERROR(B20/B10,"")</f>
        <v/>
      </c>
      <c r="C21" s="25">
        <f>IFERROR(C20/C10,"")</f>
        <v/>
      </c>
      <c r="D21" s="25">
        <f>IFERROR(D20/D10,"")</f>
        <v/>
      </c>
      <c r="E21" s="25">
        <f>IFERROR(E20/E10,"")</f>
        <v/>
      </c>
      <c r="F21" s="25">
        <f>IFERROR(F20/F10,"")</f>
        <v/>
      </c>
      <c r="G21" s="25">
        <f>IFERROR(G20/G10,"")</f>
        <v/>
      </c>
      <c r="H21" s="25">
        <f>IFERROR(H20/H10,"")</f>
        <v/>
      </c>
      <c r="I21" s="25">
        <f>IFERROR(I20/I10,"")</f>
        <v/>
      </c>
      <c r="J21" s="25">
        <f>IFERROR(J20/J10,"")</f>
        <v/>
      </c>
      <c r="K21" s="25">
        <f>IFERROR(K20/K10,"")</f>
        <v/>
      </c>
      <c r="L21" s="25">
        <f>IFERROR(L20/L10,"")</f>
        <v/>
      </c>
      <c r="M21" s="25">
        <f>IFERROR(M20/M10,"")</f>
        <v/>
      </c>
      <c r="N21" s="25">
        <f>IFERROR(N20/N10,"")</f>
        <v/>
      </c>
      <c r="O21" s="25">
        <f>IFERROR(O20/O10,"")</f>
        <v/>
      </c>
      <c r="P21" s="25">
        <f>IFERROR(P20/P10,"")</f>
        <v/>
      </c>
    </row>
    <row r="23">
      <c r="A23" s="3" t="inlineStr">
        <is>
          <t>Operating income (EBIT)</t>
        </is>
      </c>
      <c r="B23" s="42">
        <f>B10-(B14+B16+B18)-B20</f>
        <v/>
      </c>
      <c r="C23" s="42">
        <f>C10-(C14+C16+C18)-C20</f>
        <v/>
      </c>
      <c r="D23" s="42">
        <f>D10-(D14+D16+D18)-D20</f>
        <v/>
      </c>
      <c r="E23" s="42">
        <f>E10-(E14+E16+E18)-E20</f>
        <v/>
      </c>
      <c r="F23" s="42">
        <f>F10-(F14+F16+F18)-F20</f>
        <v/>
      </c>
      <c r="G23" s="42">
        <f>G10-(G14+G16+G18)-G20</f>
        <v/>
      </c>
      <c r="H23" s="42">
        <f>H10-(H14+H16+H18)-H20</f>
        <v/>
      </c>
      <c r="I23" s="42">
        <f>I10-(I14+I16+I18)-I20</f>
        <v/>
      </c>
      <c r="J23" s="42">
        <f>J10-(J14+J16+J18)-J20</f>
        <v/>
      </c>
      <c r="K23" s="42">
        <f>K10-(K14+K16+K18)-K20</f>
        <v/>
      </c>
      <c r="L23" s="42">
        <f>L10-(L14+L16+L18)-L20</f>
        <v/>
      </c>
      <c r="M23" s="42">
        <f>M10-(M14+M16+M18)-M20</f>
        <v/>
      </c>
      <c r="N23" s="42">
        <f>N10-(N14+N16+N18)-N20</f>
        <v/>
      </c>
      <c r="O23" s="42">
        <f>O10-(O14+O16+O18)-O20</f>
        <v/>
      </c>
      <c r="P23" s="42">
        <f>P10-(P14+P16+P18)-P20</f>
        <v/>
      </c>
    </row>
    <row r="24">
      <c r="A24" s="4" t="inlineStr">
        <is>
          <t xml:space="preserve">    operating margin</t>
        </is>
      </c>
      <c r="B24" s="25">
        <f>IFERROR(B23/B10,"")</f>
        <v/>
      </c>
      <c r="C24" s="25">
        <f>IFERROR(C23/C10,"")</f>
        <v/>
      </c>
      <c r="D24" s="25">
        <f>IFERROR(D23/D10,"")</f>
        <v/>
      </c>
      <c r="E24" s="25">
        <f>IFERROR(E23/E10,"")</f>
        <v/>
      </c>
      <c r="F24" s="25">
        <f>IFERROR(F23/F10,"")</f>
        <v/>
      </c>
      <c r="G24" s="25">
        <f>IFERROR(G23/G10,"")</f>
        <v/>
      </c>
      <c r="H24" s="25">
        <f>IFERROR(H23/H10,"")</f>
        <v/>
      </c>
      <c r="I24" s="25">
        <f>IFERROR(I23/I10,"")</f>
        <v/>
      </c>
      <c r="J24" s="25">
        <f>IFERROR(J23/J10,"")</f>
        <v/>
      </c>
      <c r="K24" s="25">
        <f>IFERROR(K23/K10,"")</f>
        <v/>
      </c>
      <c r="L24" s="25">
        <f>IFERROR(L23/L10,"")</f>
        <v/>
      </c>
      <c r="M24" s="25">
        <f>IFERROR(M23/M10,"")</f>
        <v/>
      </c>
      <c r="N24" s="25">
        <f>IFERROR(N23/N10,"")</f>
        <v/>
      </c>
      <c r="O24" s="25">
        <f>IFERROR(O23/O10,"")</f>
        <v/>
      </c>
      <c r="P24" s="25">
        <f>IFERROR(P23/P10,"")</f>
        <v/>
      </c>
    </row>
    <row r="26">
      <c r="A26" s="5" t="inlineStr">
        <is>
          <t xml:space="preserve">  FCF BRIDGE (NOPAT + D&amp;A + SBC - dNWC - Capex)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</row>
    <row r="27">
      <c r="A27" s="4" t="inlineStr">
        <is>
          <t>NOPAT = EBIT x (1 - tax)</t>
        </is>
      </c>
      <c r="B27" s="33">
        <f>B23*(1-Valuation!$B$5)</f>
        <v/>
      </c>
      <c r="C27" s="33">
        <f>C23*(1-Valuation!$B$5)</f>
        <v/>
      </c>
      <c r="D27" s="33">
        <f>D23*(1-Valuation!$B$5)</f>
        <v/>
      </c>
      <c r="E27" s="33">
        <f>E23*(1-Valuation!$B$5)</f>
        <v/>
      </c>
      <c r="F27" s="33">
        <f>F23*(1-Valuation!$B$5)</f>
        <v/>
      </c>
      <c r="G27" s="33">
        <f>G23*(1-Valuation!$B$5)</f>
        <v/>
      </c>
      <c r="H27" s="33">
        <f>H23*(1-Valuation!$B$5)</f>
        <v/>
      </c>
      <c r="I27" s="33">
        <f>I23*(1-Valuation!$B$5)</f>
        <v/>
      </c>
      <c r="J27" s="33">
        <f>J23*(1-Valuation!$B$5)</f>
        <v/>
      </c>
      <c r="K27" s="33">
        <f>K23*(1-Valuation!$B$5)</f>
        <v/>
      </c>
      <c r="L27" s="33">
        <f>L23*(1-Valuation!$B$5)</f>
        <v/>
      </c>
      <c r="M27" s="33">
        <f>M23*(1-Valuation!$B$5)</f>
        <v/>
      </c>
      <c r="N27" s="33">
        <f>N23*(1-Valuation!$B$5)</f>
        <v/>
      </c>
      <c r="O27" s="33">
        <f>O23*(1-Valuation!$B$5)</f>
        <v/>
      </c>
      <c r="P27" s="33">
        <f>P23*(1-Valuation!$B$5)</f>
        <v/>
      </c>
    </row>
    <row r="28">
      <c r="A28" s="4" t="inlineStr">
        <is>
          <t>+ D&amp;A</t>
        </is>
      </c>
      <c r="B28" s="33">
        <f>SUM(Financials!H47:K47)</f>
        <v/>
      </c>
      <c r="C28" s="33">
        <f>SUM(Financials!L47:O47)</f>
        <v/>
      </c>
      <c r="D28" s="33">
        <f>SUM(Financials!P47:S47)</f>
        <v/>
      </c>
      <c r="E28" s="33">
        <f>SUM(Financials!T47:W47)</f>
        <v/>
      </c>
      <c r="F28" s="33">
        <f>SUM(Financials!X47:AA47)</f>
        <v/>
      </c>
      <c r="G28" s="41">
        <f>G10*0.0328</f>
        <v/>
      </c>
      <c r="H28" s="41">
        <f>H10*0.0328</f>
        <v/>
      </c>
      <c r="I28" s="41">
        <f>I10*0.0328</f>
        <v/>
      </c>
      <c r="J28" s="41">
        <f>J10*0.0328</f>
        <v/>
      </c>
      <c r="K28" s="41">
        <f>K10*0.0328</f>
        <v/>
      </c>
      <c r="L28" s="41">
        <f>L10*0.0328</f>
        <v/>
      </c>
      <c r="M28" s="41">
        <f>M10*0.0328</f>
        <v/>
      </c>
      <c r="N28" s="41">
        <f>N10*0.0328</f>
        <v/>
      </c>
      <c r="O28" s="41">
        <f>O10*0.0328</f>
        <v/>
      </c>
      <c r="P28" s="41">
        <f>P10*0.0328</f>
        <v/>
      </c>
    </row>
    <row r="29">
      <c r="A29" s="4" t="inlineStr">
        <is>
          <t>+ SBC (non-cash)</t>
        </is>
      </c>
      <c r="B29" s="33">
        <f>SUM(Financials!H48:K48)</f>
        <v/>
      </c>
      <c r="C29" s="33">
        <f>SUM(Financials!L48:O48)</f>
        <v/>
      </c>
      <c r="D29" s="33">
        <f>SUM(Financials!P48:S48)</f>
        <v/>
      </c>
      <c r="E29" s="33">
        <f>SUM(Financials!T48:W48)</f>
        <v/>
      </c>
      <c r="F29" s="33">
        <f>SUM(Financials!X48:AA48)</f>
        <v/>
      </c>
      <c r="G29" s="33">
        <f>G10*(Dashboard!$B$65+(Dashboard!$B$66-Dashboard!$B$65)*0/9)</f>
        <v/>
      </c>
      <c r="H29" s="33">
        <f>H10*(Dashboard!$B$65+(Dashboard!$B$66-Dashboard!$B$65)*1/9)</f>
        <v/>
      </c>
      <c r="I29" s="33">
        <f>I10*(Dashboard!$B$65+(Dashboard!$B$66-Dashboard!$B$65)*2/9)</f>
        <v/>
      </c>
      <c r="J29" s="33">
        <f>J10*(Dashboard!$B$65+(Dashboard!$B$66-Dashboard!$B$65)*3/9)</f>
        <v/>
      </c>
      <c r="K29" s="33">
        <f>K10*(Dashboard!$B$65+(Dashboard!$B$66-Dashboard!$B$65)*4/9)</f>
        <v/>
      </c>
      <c r="L29" s="33">
        <f>L10*(Dashboard!$B$65+(Dashboard!$B$66-Dashboard!$B$65)*5/9)</f>
        <v/>
      </c>
      <c r="M29" s="33">
        <f>M10*(Dashboard!$B$65+(Dashboard!$B$66-Dashboard!$B$65)*6/9)</f>
        <v/>
      </c>
      <c r="N29" s="33">
        <f>N10*(Dashboard!$B$65+(Dashboard!$B$66-Dashboard!$B$65)*7/9)</f>
        <v/>
      </c>
      <c r="O29" s="33">
        <f>O10*(Dashboard!$B$65+(Dashboard!$B$66-Dashboard!$B$65)*8/9)</f>
        <v/>
      </c>
      <c r="P29" s="33">
        <f>P10*(Dashboard!$B$65+(Dashboard!$B$66-Dashboard!$B$65)*9/9)</f>
        <v/>
      </c>
    </row>
    <row r="30">
      <c r="A30" s="4" t="inlineStr">
        <is>
          <t>- dNWC</t>
        </is>
      </c>
      <c r="G30" s="41">
        <f>(G10-F10)*0.0050</f>
        <v/>
      </c>
      <c r="H30" s="41">
        <f>(H10-G10)*0.0050</f>
        <v/>
      </c>
      <c r="I30" s="41">
        <f>(I10-H10)*0.0050</f>
        <v/>
      </c>
      <c r="J30" s="41">
        <f>(J10-I10)*0.0050</f>
        <v/>
      </c>
      <c r="K30" s="41">
        <f>(K10-J10)*0.0050</f>
        <v/>
      </c>
      <c r="L30" s="41">
        <f>(L10-K10)*0.0050</f>
        <v/>
      </c>
      <c r="M30" s="41">
        <f>(M10-L10)*0.0050</f>
        <v/>
      </c>
      <c r="N30" s="41">
        <f>(N10-M10)*0.0050</f>
        <v/>
      </c>
      <c r="O30" s="41">
        <f>(O10-N10)*0.0050</f>
        <v/>
      </c>
      <c r="P30" s="41">
        <f>(P10-O10)*0.0050</f>
        <v/>
      </c>
    </row>
    <row r="31">
      <c r="A31" s="4" t="inlineStr">
        <is>
          <t>- Capex</t>
        </is>
      </c>
      <c r="B31" s="33">
        <f>-SUM(Financials!H51:K51)</f>
        <v/>
      </c>
      <c r="C31" s="33">
        <f>-SUM(Financials!L51:O51)</f>
        <v/>
      </c>
      <c r="D31" s="33">
        <f>-SUM(Financials!P51:S51)</f>
        <v/>
      </c>
      <c r="E31" s="33">
        <f>-SUM(Financials!T51:W51)</f>
        <v/>
      </c>
      <c r="F31" s="33">
        <f>-SUM(Financials!X51:AA51)</f>
        <v/>
      </c>
      <c r="G31" s="41">
        <f>G28*G32</f>
        <v/>
      </c>
      <c r="H31" s="41">
        <f>H28*H32</f>
        <v/>
      </c>
      <c r="I31" s="41">
        <f>I28*I32</f>
        <v/>
      </c>
      <c r="J31" s="41">
        <f>J28*J32</f>
        <v/>
      </c>
      <c r="K31" s="41">
        <f>K28*K32</f>
        <v/>
      </c>
      <c r="L31" s="41">
        <f>L28*L32</f>
        <v/>
      </c>
      <c r="M31" s="41">
        <f>M28*M32</f>
        <v/>
      </c>
      <c r="N31" s="41">
        <f>N28*N32</f>
        <v/>
      </c>
      <c r="O31" s="41">
        <f>O28*O32</f>
        <v/>
      </c>
      <c r="P31" s="41">
        <f>P28*P32</f>
        <v/>
      </c>
    </row>
    <row r="32">
      <c r="A32" s="4" t="inlineStr">
        <is>
          <t xml:space="preserve">    Capex / D&amp;A  (from Dashboard: $cap'26 -&gt; terminal)</t>
        </is>
      </c>
      <c r="B32" s="26">
        <f>IFERROR(B31/B28,"")</f>
        <v/>
      </c>
      <c r="C32" s="26">
        <f>IFERROR(C31/C28,"")</f>
        <v/>
      </c>
      <c r="D32" s="26">
        <f>IFERROR(D31/D28,"")</f>
        <v/>
      </c>
      <c r="E32" s="26">
        <f>IFERROR(E31/E28,"")</f>
        <v/>
      </c>
      <c r="F32" s="26">
        <f>IFERROR(F31/F28,"")</f>
        <v/>
      </c>
      <c r="G32" s="13">
        <f>(Dashboard!$B$34/G28)+(Dashboard!$B$35-(Dashboard!$B$34/G28))*0/9</f>
        <v/>
      </c>
      <c r="H32" s="13">
        <f>(Dashboard!$B$34/G28)+(Dashboard!$B$35-(Dashboard!$B$34/G28))*1/9</f>
        <v/>
      </c>
      <c r="I32" s="13">
        <f>(Dashboard!$B$34/G28)+(Dashboard!$B$35-(Dashboard!$B$34/G28))*2/9</f>
        <v/>
      </c>
      <c r="J32" s="13">
        <f>(Dashboard!$B$34/G28)+(Dashboard!$B$35-(Dashboard!$B$34/G28))*3/9</f>
        <v/>
      </c>
      <c r="K32" s="13">
        <f>(Dashboard!$B$34/G28)+(Dashboard!$B$35-(Dashboard!$B$34/G28))*4/9</f>
        <v/>
      </c>
      <c r="L32" s="13">
        <f>(Dashboard!$B$34/G28)+(Dashboard!$B$35-(Dashboard!$B$34/G28))*5/9</f>
        <v/>
      </c>
      <c r="M32" s="13">
        <f>(Dashboard!$B$34/G28)+(Dashboard!$B$35-(Dashboard!$B$34/G28))*6/9</f>
        <v/>
      </c>
      <c r="N32" s="13">
        <f>(Dashboard!$B$34/G28)+(Dashboard!$B$35-(Dashboard!$B$34/G28))*7/9</f>
        <v/>
      </c>
      <c r="O32" s="13">
        <f>(Dashboard!$B$34/G28)+(Dashboard!$B$35-(Dashboard!$B$34/G28))*8/9</f>
        <v/>
      </c>
      <c r="P32" s="13">
        <f>(Dashboard!$B$34/G28)+(Dashboard!$B$35-(Dashboard!$B$34/G28))*9/9</f>
        <v/>
      </c>
    </row>
    <row r="34">
      <c r="A34" s="3" t="inlineStr">
        <is>
          <t>FCFF (firm)</t>
        </is>
      </c>
      <c r="B34" s="42">
        <f>B27+B28+B29-B30-B31</f>
        <v/>
      </c>
      <c r="C34" s="42">
        <f>C27+C28+C29-C30-C31</f>
        <v/>
      </c>
      <c r="D34" s="42">
        <f>D27+D28+D29-D30-D31</f>
        <v/>
      </c>
      <c r="E34" s="42">
        <f>E27+E28+E29-E30-E31</f>
        <v/>
      </c>
      <c r="F34" s="42">
        <f>F27+F28+F29-F30-F31</f>
        <v/>
      </c>
      <c r="G34" s="42">
        <f>G27+G28+G29-G30-G31</f>
        <v/>
      </c>
      <c r="H34" s="42">
        <f>H27+H28+H29-H30-H31</f>
        <v/>
      </c>
      <c r="I34" s="42">
        <f>I27+I28+I29-I30-I31</f>
        <v/>
      </c>
      <c r="J34" s="42">
        <f>J27+J28+J29-J30-J31</f>
        <v/>
      </c>
      <c r="K34" s="42">
        <f>K27+K28+K29-K30-K31</f>
        <v/>
      </c>
      <c r="L34" s="42">
        <f>L27+L28+L29-L30-L31</f>
        <v/>
      </c>
      <c r="M34" s="42">
        <f>M27+M28+M29-M30-M31</f>
        <v/>
      </c>
      <c r="N34" s="42">
        <f>N27+N28+N29-N30-N31</f>
        <v/>
      </c>
      <c r="O34" s="42">
        <f>O27+O28+O29-O30-O31</f>
        <v/>
      </c>
      <c r="P34" s="42">
        <f>P27+P28+P29-P30-P31</f>
        <v/>
      </c>
    </row>
    <row r="35">
      <c r="A35" s="3" t="inlineStr">
        <is>
          <t>Valuation FCF (NOPAT + D&amp;A - dNWC - Capex - after-tax SBC)</t>
        </is>
      </c>
      <c r="B35" s="43">
        <f>B34-B29-B29*(1-Valuation!$B$5)</f>
        <v/>
      </c>
      <c r="C35" s="43">
        <f>C34-C29-C29*(1-Valuation!$B$5)</f>
        <v/>
      </c>
      <c r="D35" s="43">
        <f>D34-D29-D29*(1-Valuation!$B$5)</f>
        <v/>
      </c>
      <c r="E35" s="43">
        <f>E34-E29-E29*(1-Valuation!$B$5)</f>
        <v/>
      </c>
      <c r="F35" s="43">
        <f>F34-F29-F29*(1-Valuation!$B$5)</f>
        <v/>
      </c>
      <c r="G35" s="43">
        <f>G34-G29-G29*(1-Valuation!$B$5)</f>
        <v/>
      </c>
      <c r="H35" s="43">
        <f>H34-H29-H29*(1-Valuation!$B$5)</f>
        <v/>
      </c>
      <c r="I35" s="43">
        <f>I34-I29-I29*(1-Valuation!$B$5)</f>
        <v/>
      </c>
      <c r="J35" s="43">
        <f>J34-J29-J29*(1-Valuation!$B$5)</f>
        <v/>
      </c>
      <c r="K35" s="43">
        <f>K34-K29-K29*(1-Valuation!$B$5)</f>
        <v/>
      </c>
      <c r="L35" s="43">
        <f>L34-L29-L29*(1-Valuation!$B$5)</f>
        <v/>
      </c>
      <c r="M35" s="43">
        <f>M34-M29-M29*(1-Valuation!$B$5)</f>
        <v/>
      </c>
      <c r="N35" s="43">
        <f>N34-N29-N29*(1-Valuation!$B$5)</f>
        <v/>
      </c>
      <c r="O35" s="43">
        <f>O34-O29-O29*(1-Valuation!$B$5)</f>
        <v/>
      </c>
      <c r="P35" s="43">
        <f>P34-P29-P29*(1-Valuation!$B$5)</f>
        <v/>
      </c>
    </row>
    <row r="37">
      <c r="A37" s="5" t="inlineStr">
        <is>
          <t xml:space="preserve">  RETURNS ON CAPITAL &amp; EFFICIENCY  (is new revenue/capital earning its keep?)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</row>
    <row r="38">
      <c r="A38" s="4" t="inlineStr">
        <is>
          <t>Invested capital (debt + equity - cash)</t>
        </is>
      </c>
      <c r="B38" s="33">
        <f>Financials!K45+Financials!K44-Financials!K39</f>
        <v/>
      </c>
      <c r="C38" s="33">
        <f>Financials!O45+Financials!O44-Financials!O39</f>
        <v/>
      </c>
      <c r="D38" s="33">
        <f>Financials!S45+Financials!S44-Financials!S39</f>
        <v/>
      </c>
      <c r="E38" s="33">
        <f>Financials!W45+Financials!W44-Financials!W39</f>
        <v/>
      </c>
      <c r="F38" s="33">
        <f>Financials!AA45+Financials!AA44-Financials!AA39</f>
        <v/>
      </c>
      <c r="G38" s="41">
        <f>F38+G31-G28+G30</f>
        <v/>
      </c>
      <c r="H38" s="41">
        <f>G38+H31-H28+H30</f>
        <v/>
      </c>
      <c r="I38" s="41">
        <f>H38+I31-I28+I30</f>
        <v/>
      </c>
      <c r="J38" s="41">
        <f>I38+J31-J28+J30</f>
        <v/>
      </c>
      <c r="K38" s="41">
        <f>J38+K31-K28+K30</f>
        <v/>
      </c>
      <c r="L38" s="41">
        <f>K38+L31-L28+L30</f>
        <v/>
      </c>
      <c r="M38" s="41">
        <f>L38+M31-M28+M30</f>
        <v/>
      </c>
      <c r="N38" s="41">
        <f>M38+N31-N28+N30</f>
        <v/>
      </c>
      <c r="O38" s="41">
        <f>N38+O31-O28+O30</f>
        <v/>
      </c>
      <c r="P38" s="41">
        <f>O38+P31-P28+P30</f>
        <v/>
      </c>
    </row>
    <row r="39">
      <c r="A39" s="4" t="inlineStr">
        <is>
          <t>Book equity (year-end)</t>
        </is>
      </c>
      <c r="B39" s="33">
        <f>Financials!K45</f>
        <v/>
      </c>
      <c r="C39" s="33">
        <f>Financials!O45</f>
        <v/>
      </c>
      <c r="D39" s="33">
        <f>Financials!S45</f>
        <v/>
      </c>
      <c r="E39" s="33">
        <f>Financials!W45</f>
        <v/>
      </c>
      <c r="F39" s="33">
        <f>Financials!AA45</f>
        <v/>
      </c>
      <c r="G39" s="41">
        <f>F39+G27</f>
        <v/>
      </c>
      <c r="H39" s="41">
        <f>G39+H27</f>
        <v/>
      </c>
      <c r="I39" s="41">
        <f>H39+I27</f>
        <v/>
      </c>
      <c r="J39" s="41">
        <f>I39+J27</f>
        <v/>
      </c>
      <c r="K39" s="41">
        <f>J39+K27</f>
        <v/>
      </c>
      <c r="L39" s="41">
        <f>K39+L27</f>
        <v/>
      </c>
      <c r="M39" s="41">
        <f>L39+M27</f>
        <v/>
      </c>
      <c r="N39" s="41">
        <f>M39+N27</f>
        <v/>
      </c>
      <c r="O39" s="41">
        <f>N39+O27</f>
        <v/>
      </c>
      <c r="P39" s="41">
        <f>O39+P27</f>
        <v/>
      </c>
    </row>
    <row r="40">
      <c r="A40" s="3" t="inlineStr">
        <is>
          <t xml:space="preserve">  ROIC (NOPAT / beg. invested capital)</t>
        </is>
      </c>
      <c r="C40" s="25">
        <f>IFERROR(C27/B38,"")</f>
        <v/>
      </c>
      <c r="D40" s="25">
        <f>IFERROR(D27/C38,"")</f>
        <v/>
      </c>
      <c r="E40" s="25">
        <f>IFERROR(E27/D38,"")</f>
        <v/>
      </c>
      <c r="F40" s="25">
        <f>IFERROR(F27/E38,"")</f>
        <v/>
      </c>
      <c r="G40" s="25">
        <f>IFERROR(G27/F38,"")</f>
        <v/>
      </c>
      <c r="H40" s="25">
        <f>IFERROR(H27/G38,"")</f>
        <v/>
      </c>
      <c r="I40" s="25">
        <f>IFERROR(I27/H38,"")</f>
        <v/>
      </c>
      <c r="J40" s="25">
        <f>IFERROR(J27/I38,"")</f>
        <v/>
      </c>
      <c r="K40" s="25">
        <f>IFERROR(K27/J38,"")</f>
        <v/>
      </c>
      <c r="L40" s="25">
        <f>IFERROR(L27/K38,"")</f>
        <v/>
      </c>
      <c r="M40" s="25">
        <f>IFERROR(M27/L38,"")</f>
        <v/>
      </c>
      <c r="N40" s="25">
        <f>IFERROR(N27/M38,"")</f>
        <v/>
      </c>
      <c r="O40" s="25">
        <f>IFERROR(O27/N38,"")</f>
        <v/>
      </c>
      <c r="P40" s="25">
        <f>IFERROR(P27/O38,"")</f>
        <v/>
      </c>
    </row>
    <row r="41">
      <c r="A41" s="3" t="inlineStr">
        <is>
          <t xml:space="preserve">  ROE (earnings / beg. equity)</t>
        </is>
      </c>
      <c r="C41" s="11">
        <f>IFERROR(SUM(Financials!L15:O15)/B39,"")</f>
        <v/>
      </c>
      <c r="D41" s="11">
        <f>IFERROR(SUM(Financials!P15:S15)/C39,"")</f>
        <v/>
      </c>
      <c r="E41" s="11">
        <f>IFERROR(SUM(Financials!T15:W15)/D39,"")</f>
        <v/>
      </c>
      <c r="F41" s="11">
        <f>IFERROR(SUM(Financials!X15:AA15)/E39,"")</f>
        <v/>
      </c>
      <c r="G41" s="25">
        <f>IFERROR(G27/F39,"")</f>
        <v/>
      </c>
      <c r="H41" s="25">
        <f>IFERROR(H27/G39,"")</f>
        <v/>
      </c>
      <c r="I41" s="25">
        <f>IFERROR(I27/H39,"")</f>
        <v/>
      </c>
      <c r="J41" s="25">
        <f>IFERROR(J27/I39,"")</f>
        <v/>
      </c>
      <c r="K41" s="25">
        <f>IFERROR(K27/J39,"")</f>
        <v/>
      </c>
      <c r="L41" s="25">
        <f>IFERROR(L27/K39,"")</f>
        <v/>
      </c>
      <c r="M41" s="25">
        <f>IFERROR(M27/L39,"")</f>
        <v/>
      </c>
      <c r="N41" s="25">
        <f>IFERROR(N27/M39,"")</f>
        <v/>
      </c>
      <c r="O41" s="25">
        <f>IFERROR(O27/N39,"")</f>
        <v/>
      </c>
      <c r="P41" s="25">
        <f>IFERROR(P27/O39,"")</f>
        <v/>
      </c>
    </row>
    <row r="42">
      <c r="A42" s="4" t="inlineStr">
        <is>
          <t xml:space="preserve">  ROIC - WACC spread (value created)</t>
        </is>
      </c>
      <c r="C42" s="11">
        <f>IFERROR(C40-WACC!$B$15,"")</f>
        <v/>
      </c>
      <c r="D42" s="11">
        <f>IFERROR(D40-WACC!$B$15,"")</f>
        <v/>
      </c>
      <c r="E42" s="11">
        <f>IFERROR(E40-WACC!$B$15,"")</f>
        <v/>
      </c>
      <c r="F42" s="11">
        <f>IFERROR(F40-WACC!$B$15,"")</f>
        <v/>
      </c>
      <c r="G42" s="11">
        <f>IFERROR(G40-WACC!$B$15,"")</f>
        <v/>
      </c>
      <c r="H42" s="11">
        <f>IFERROR(H40-WACC!$B$15,"")</f>
        <v/>
      </c>
      <c r="I42" s="11">
        <f>IFERROR(I40-WACC!$B$15,"")</f>
        <v/>
      </c>
      <c r="J42" s="11">
        <f>IFERROR(J40-WACC!$B$15,"")</f>
        <v/>
      </c>
      <c r="K42" s="11">
        <f>IFERROR(K40-WACC!$B$15,"")</f>
        <v/>
      </c>
      <c r="L42" s="11">
        <f>IFERROR(L40-WACC!$B$15,"")</f>
        <v/>
      </c>
      <c r="M42" s="11">
        <f>IFERROR(M40-WACC!$B$15,"")</f>
        <v/>
      </c>
      <c r="N42" s="11">
        <f>IFERROR(N40-WACC!$B$15,"")</f>
        <v/>
      </c>
      <c r="O42" s="11">
        <f>IFERROR(O40-WACC!$B$15,"")</f>
        <v/>
      </c>
      <c r="P42" s="11">
        <f>IFERROR(P40-WACC!$B$15,"")</f>
        <v/>
      </c>
    </row>
    <row r="43">
      <c r="A43" s="4" t="inlineStr">
        <is>
          <t xml:space="preserve">  Incremental op margin (ΔEBIT / ΔRev)</t>
        </is>
      </c>
      <c r="C43" s="25">
        <f>IFERROR((C23-B23)/(C10-B10),"")</f>
        <v/>
      </c>
      <c r="D43" s="25">
        <f>IFERROR((D23-C23)/(D10-C10),"")</f>
        <v/>
      </c>
      <c r="E43" s="25">
        <f>IFERROR((E23-D23)/(E10-D10),"")</f>
        <v/>
      </c>
      <c r="F43" s="25">
        <f>IFERROR((F23-E23)/(F10-E10),"")</f>
        <v/>
      </c>
      <c r="G43" s="25">
        <f>IFERROR((G23-F23)/(G10-F10),"")</f>
        <v/>
      </c>
      <c r="H43" s="25">
        <f>IFERROR((H23-G23)/(H10-G10),"")</f>
        <v/>
      </c>
      <c r="I43" s="25">
        <f>IFERROR((I23-H23)/(I10-H10),"")</f>
        <v/>
      </c>
      <c r="J43" s="25">
        <f>IFERROR((J23-I23)/(J10-I10),"")</f>
        <v/>
      </c>
      <c r="K43" s="25">
        <f>IFERROR((K23-J23)/(K10-J10),"")</f>
        <v/>
      </c>
      <c r="L43" s="25">
        <f>IFERROR((L23-K23)/(L10-K10),"")</f>
        <v/>
      </c>
      <c r="M43" s="25">
        <f>IFERROR((M23-L23)/(M10-L10),"")</f>
        <v/>
      </c>
      <c r="N43" s="25">
        <f>IFERROR((N23-M23)/(N10-M10),"")</f>
        <v/>
      </c>
      <c r="O43" s="25">
        <f>IFERROR((O23-N23)/(O10-N10),"")</f>
        <v/>
      </c>
      <c r="P43" s="25">
        <f>IFERROR((P23-O23)/(P10-O10),"")</f>
        <v/>
      </c>
    </row>
    <row r="44">
      <c r="A44" s="3" t="inlineStr">
        <is>
          <t xml:space="preserve">  ROIIC (ΔNOPAT / ΔInvested capital)</t>
        </is>
      </c>
      <c r="C44" s="25">
        <f>IFERROR((C27-B27)/(C38-B38),"")</f>
        <v/>
      </c>
      <c r="D44" s="25">
        <f>IFERROR((D27-C27)/(D38-C38),"")</f>
        <v/>
      </c>
      <c r="E44" s="25">
        <f>IFERROR((E27-D27)/(E38-D38),"")</f>
        <v/>
      </c>
      <c r="F44" s="25">
        <f>IFERROR((F27-E27)/(F38-E38),"")</f>
        <v/>
      </c>
      <c r="G44" s="25">
        <f>IFERROR((G27-F27)/(G38-F38),"")</f>
        <v/>
      </c>
      <c r="H44" s="25">
        <f>IFERROR((H27-G27)/(H38-G38),"")</f>
        <v/>
      </c>
      <c r="I44" s="25">
        <f>IFERROR((I27-H27)/(I38-H38),"")</f>
        <v/>
      </c>
      <c r="J44" s="25">
        <f>IFERROR((J27-I27)/(J38-I38),"")</f>
        <v/>
      </c>
      <c r="K44" s="25">
        <f>IFERROR((K27-J27)/(K38-J38),"")</f>
        <v/>
      </c>
      <c r="L44" s="25">
        <f>IFERROR((L27-K27)/(L38-K38),"")</f>
        <v/>
      </c>
      <c r="M44" s="25">
        <f>IFERROR((M27-L27)/(M38-L38),"")</f>
        <v/>
      </c>
      <c r="N44" s="25">
        <f>IFERROR((N27-M27)/(N38-M38),"")</f>
        <v/>
      </c>
      <c r="O44" s="25">
        <f>IFERROR((O27-N27)/(O38-N38),"")</f>
        <v/>
      </c>
      <c r="P44" s="25">
        <f>IFERROR((P27-O27)/(P38-O38),"")</f>
        <v/>
      </c>
    </row>
    <row r="45">
      <c r="A45" s="4" t="inlineStr">
        <is>
          <t xml:space="preserve">  Sales-to-capital (ΔRev / ΔInvested capital)</t>
        </is>
      </c>
      <c r="C45" s="44">
        <f>IFERROR((C10-B10)/(C38-B38),"")</f>
        <v/>
      </c>
      <c r="D45" s="44">
        <f>IFERROR((D10-C10)/(D38-C38),"")</f>
        <v/>
      </c>
      <c r="E45" s="44">
        <f>IFERROR((E10-D10)/(E38-D38),"")</f>
        <v/>
      </c>
      <c r="F45" s="44">
        <f>IFERROR((F10-E10)/(F38-E38),"")</f>
        <v/>
      </c>
      <c r="G45" s="44">
        <f>IFERROR((G10-F10)/(G38-F38),"")</f>
        <v/>
      </c>
      <c r="H45" s="44">
        <f>IFERROR((H10-G10)/(H38-G38),"")</f>
        <v/>
      </c>
      <c r="I45" s="44">
        <f>IFERROR((I10-H10)/(I38-H38),"")</f>
        <v/>
      </c>
      <c r="J45" s="44">
        <f>IFERROR((J10-I10)/(J38-I38),"")</f>
        <v/>
      </c>
      <c r="K45" s="44">
        <f>IFERROR((K10-J10)/(K38-J38),"")</f>
        <v/>
      </c>
      <c r="L45" s="44">
        <f>IFERROR((L10-K10)/(L38-K38),"")</f>
        <v/>
      </c>
      <c r="M45" s="44">
        <f>IFERROR((M10-L10)/(M38-L38),"")</f>
        <v/>
      </c>
      <c r="N45" s="44">
        <f>IFERROR((N10-M10)/(N38-M38),"")</f>
        <v/>
      </c>
      <c r="O45" s="44">
        <f>IFERROR((O10-N10)/(O38-N38),"")</f>
        <v/>
      </c>
      <c r="P45" s="44">
        <f>IFERROR((P10-O10)/(P38-O38),"")</f>
        <v/>
      </c>
    </row>
    <row r="46">
      <c r="A46" s="4" t="inlineStr">
        <is>
          <t xml:space="preserve">  Reinvestment rate (ΔInvested capital / NOPAT)</t>
        </is>
      </c>
      <c r="C46" s="25">
        <f>IFERROR((C38-B38)/C27,"")</f>
        <v/>
      </c>
      <c r="D46" s="25">
        <f>IFERROR((D38-C38)/D27,"")</f>
        <v/>
      </c>
      <c r="E46" s="25">
        <f>IFERROR((E38-D38)/E27,"")</f>
        <v/>
      </c>
      <c r="F46" s="25">
        <f>IFERROR((F38-E38)/F27,"")</f>
        <v/>
      </c>
      <c r="G46" s="25">
        <f>IFERROR((G38-F38)/G27,"")</f>
        <v/>
      </c>
      <c r="H46" s="25">
        <f>IFERROR((H38-G38)/H27,"")</f>
        <v/>
      </c>
      <c r="I46" s="25">
        <f>IFERROR((I38-H38)/I27,"")</f>
        <v/>
      </c>
      <c r="J46" s="25">
        <f>IFERROR((J38-I38)/J27,"")</f>
        <v/>
      </c>
      <c r="K46" s="25">
        <f>IFERROR((K38-J38)/K27,"")</f>
        <v/>
      </c>
      <c r="L46" s="25">
        <f>IFERROR((L38-K38)/L27,"")</f>
        <v/>
      </c>
      <c r="M46" s="25">
        <f>IFERROR((M38-L38)/M27,"")</f>
        <v/>
      </c>
      <c r="N46" s="25">
        <f>IFERROR((N38-M38)/N27,"")</f>
        <v/>
      </c>
      <c r="O46" s="25">
        <f>IFERROR((O38-N38)/O27,"")</f>
        <v/>
      </c>
      <c r="P46" s="25">
        <f>IFERROR((P38-O38)/P27,"")</f>
        <v/>
      </c>
    </row>
    <row r="48">
      <c r="A48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5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5" t="inlineStr">
        <is>
          <t>Q3 2019</t>
        </is>
      </c>
      <c r="C1" s="45" t="inlineStr">
        <is>
          <t>Q4 2019</t>
        </is>
      </c>
      <c r="D1" s="45" t="inlineStr">
        <is>
          <t>Q1 2020</t>
        </is>
      </c>
      <c r="E1" s="45" t="inlineStr">
        <is>
          <t>Q2 2020</t>
        </is>
      </c>
      <c r="F1" s="45" t="inlineStr">
        <is>
          <t>Q3 2020</t>
        </is>
      </c>
      <c r="G1" s="45" t="inlineStr">
        <is>
          <t>Q4 2020</t>
        </is>
      </c>
      <c r="H1" s="45" t="inlineStr">
        <is>
          <t>Q1 2021</t>
        </is>
      </c>
      <c r="I1" s="45" t="inlineStr">
        <is>
          <t>Q2 2021</t>
        </is>
      </c>
      <c r="J1" s="45" t="inlineStr">
        <is>
          <t>Q3 2021</t>
        </is>
      </c>
      <c r="K1" s="45" t="inlineStr">
        <is>
          <t>Q4 2021</t>
        </is>
      </c>
      <c r="L1" s="45" t="inlineStr">
        <is>
          <t>Q1 2022</t>
        </is>
      </c>
      <c r="M1" s="45" t="inlineStr">
        <is>
          <t>Q2 2022</t>
        </is>
      </c>
      <c r="N1" s="45" t="inlineStr">
        <is>
          <t>Q3 2022</t>
        </is>
      </c>
      <c r="O1" s="45" t="inlineStr">
        <is>
          <t>Q4 2022</t>
        </is>
      </c>
      <c r="P1" s="45" t="inlineStr">
        <is>
          <t>Q1 2023</t>
        </is>
      </c>
      <c r="Q1" s="45" t="inlineStr">
        <is>
          <t>Q2 2023</t>
        </is>
      </c>
      <c r="R1" s="45" t="inlineStr">
        <is>
          <t>Q3 2023</t>
        </is>
      </c>
      <c r="S1" s="45" t="inlineStr">
        <is>
          <t>Q4 2023</t>
        </is>
      </c>
      <c r="T1" s="45" t="inlineStr">
        <is>
          <t>Q1 2024</t>
        </is>
      </c>
      <c r="U1" s="45" t="inlineStr">
        <is>
          <t>Q2 2024</t>
        </is>
      </c>
      <c r="V1" s="45" t="inlineStr">
        <is>
          <t>Q3 2024</t>
        </is>
      </c>
      <c r="W1" s="45" t="inlineStr">
        <is>
          <t>Q4 2024</t>
        </is>
      </c>
      <c r="X1" s="45" t="inlineStr">
        <is>
          <t>Q1 2025</t>
        </is>
      </c>
      <c r="Y1" s="45" t="inlineStr">
        <is>
          <t>Q2 2025</t>
        </is>
      </c>
      <c r="Z1" s="45" t="inlineStr">
        <is>
          <t>Q3 2025</t>
        </is>
      </c>
      <c r="AA1" s="45" t="inlineStr">
        <is>
          <t>Q4 2025</t>
        </is>
      </c>
      <c r="AB1" s="45" t="inlineStr">
        <is>
          <t>Q1 2026</t>
        </is>
      </c>
      <c r="AC1" s="45" t="inlineStr">
        <is>
          <t>Q2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726.6</v>
      </c>
      <c r="C3" s="18" t="n">
        <v>805.8</v>
      </c>
      <c r="D3" s="18" t="n">
        <v>771.9</v>
      </c>
      <c r="E3" s="18" t="n">
        <v>816.7</v>
      </c>
      <c r="F3" s="18" t="n">
        <v>869.4</v>
      </c>
      <c r="G3" s="18" t="n">
        <v>950.4</v>
      </c>
      <c r="H3" s="18" t="n">
        <v>946</v>
      </c>
      <c r="I3" s="18" t="n">
        <v>1016.9</v>
      </c>
      <c r="J3" s="18" t="n">
        <v>1073.9</v>
      </c>
      <c r="K3" s="18" t="n">
        <v>1219.3</v>
      </c>
      <c r="L3" s="18" t="n">
        <v>1247.4</v>
      </c>
      <c r="M3" s="18" t="n">
        <v>1316.9</v>
      </c>
      <c r="N3" s="18" t="n">
        <v>1386.7</v>
      </c>
      <c r="O3" s="18" t="n">
        <v>1550.5</v>
      </c>
      <c r="P3" s="18" t="n">
        <v>1563.4</v>
      </c>
      <c r="Q3" s="18" t="n">
        <v>1655.1</v>
      </c>
      <c r="R3" s="18" t="n">
        <v>1720.9</v>
      </c>
      <c r="S3" s="18" t="n">
        <v>1953.3</v>
      </c>
      <c r="T3" s="18" t="n">
        <v>1878.1</v>
      </c>
      <c r="U3" s="18" t="n">
        <v>1975.1</v>
      </c>
      <c r="V3" s="18" t="n">
        <v>1984.8</v>
      </c>
      <c r="W3" s="18" t="n">
        <v>2189.5</v>
      </c>
      <c r="X3" s="18" t="n">
        <v>2139</v>
      </c>
      <c r="Y3" s="18" t="n">
        <v>2257.4</v>
      </c>
      <c r="Z3" s="18" t="n">
        <v>2289</v>
      </c>
      <c r="AA3" s="18" t="n">
        <v>2536.3</v>
      </c>
      <c r="AB3" s="18" t="n">
        <v>2474</v>
      </c>
      <c r="AC3" s="18" t="n">
        <v>2594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  <c r="L4" s="25">
        <f>IFERROR(L3/H3-1,"")</f>
        <v/>
      </c>
      <c r="M4" s="25">
        <f>IFERROR(M3/I3-1,"")</f>
        <v/>
      </c>
      <c r="N4" s="25">
        <f>IFERROR(N3/J3-1,"")</f>
        <v/>
      </c>
      <c r="O4" s="25">
        <f>IFERROR(O3/K3-1,"")</f>
        <v/>
      </c>
      <c r="P4" s="25">
        <f>IFERROR(P3/L3-1,"")</f>
        <v/>
      </c>
      <c r="Q4" s="25">
        <f>IFERROR(Q3/M3-1,"")</f>
        <v/>
      </c>
      <c r="R4" s="25">
        <f>IFERROR(R3/N3-1,"")</f>
        <v/>
      </c>
      <c r="S4" s="25">
        <f>IFERROR(S3/O3-1,"")</f>
        <v/>
      </c>
      <c r="T4" s="25">
        <f>IFERROR(T3/P3-1,"")</f>
        <v/>
      </c>
      <c r="U4" s="25">
        <f>IFERROR(U3/Q3-1,"")</f>
        <v/>
      </c>
      <c r="V4" s="25">
        <f>IFERROR(V3/R3-1,"")</f>
        <v/>
      </c>
      <c r="W4" s="25">
        <f>IFERROR(W3/S3-1,"")</f>
        <v/>
      </c>
      <c r="X4" s="25">
        <f>IFERROR(X3/T3-1,"")</f>
        <v/>
      </c>
      <c r="Y4" s="25">
        <f>IFERROR(Y3/U3-1,"")</f>
        <v/>
      </c>
      <c r="Z4" s="25">
        <f>IFERROR(Z3/V3-1,"")</f>
        <v/>
      </c>
      <c r="AA4" s="25">
        <f>IFERROR(AA3/W3-1,"")</f>
        <v/>
      </c>
      <c r="AB4" s="25">
        <f>IFERROR(AB3/X3-1,"")</f>
        <v/>
      </c>
      <c r="AC4" s="25">
        <f>IFERROR(AC3/Y3-1,"")</f>
        <v/>
      </c>
    </row>
    <row r="5">
      <c r="A5" s="4" t="inlineStr">
        <is>
          <t>Cost of Revenue</t>
        </is>
      </c>
      <c r="B5" s="18" t="n">
        <v>204.9</v>
      </c>
      <c r="C5" s="18" t="n">
        <v>217.4</v>
      </c>
      <c r="D5" s="18" t="n">
        <v>217.7</v>
      </c>
      <c r="E5" s="18" t="n">
        <v>233.1</v>
      </c>
      <c r="F5" s="18" t="n">
        <v>258.3</v>
      </c>
      <c r="G5" s="18" t="n">
        <v>290.4</v>
      </c>
      <c r="H5" s="18" t="n">
        <v>277.8</v>
      </c>
      <c r="I5" s="18" t="n">
        <v>307.6</v>
      </c>
      <c r="J5" s="18" t="n">
        <v>330.6</v>
      </c>
      <c r="K5" s="18" t="n">
        <v>358.9</v>
      </c>
      <c r="L5" s="18" t="n">
        <v>380.6</v>
      </c>
      <c r="M5" s="18" t="n">
        <v>405.3</v>
      </c>
      <c r="N5" s="18" t="n">
        <v>440.5</v>
      </c>
      <c r="O5" s="18" t="n">
        <v>492.3</v>
      </c>
      <c r="P5" s="18" t="n">
        <v>461.9</v>
      </c>
      <c r="Q5" s="18" t="n">
        <v>466.2</v>
      </c>
      <c r="R5" s="18" t="n">
        <v>474.8</v>
      </c>
      <c r="S5" s="18" t="n">
        <v>506.8</v>
      </c>
      <c r="T5" s="18" t="n">
        <v>472.8</v>
      </c>
      <c r="U5" s="18" t="n">
        <v>499.1</v>
      </c>
      <c r="V5" s="18" t="n">
        <v>513.6</v>
      </c>
      <c r="W5" s="18" t="n">
        <v>573.7</v>
      </c>
      <c r="X5" s="18" t="n">
        <v>554</v>
      </c>
      <c r="Y5" s="18" t="n">
        <v>599.2</v>
      </c>
      <c r="Z5" s="18" t="n">
        <v>619.3</v>
      </c>
      <c r="AA5" s="18" t="n">
        <v>679</v>
      </c>
      <c r="AB5" s="18" t="n">
        <v>638</v>
      </c>
      <c r="AC5" s="18" t="n">
        <v>685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  <c r="S6" s="25">
        <f>IFERROR(S5/S3,"")</f>
        <v/>
      </c>
      <c r="T6" s="25">
        <f>IFERROR(T5/T3,"")</f>
        <v/>
      </c>
      <c r="U6" s="25">
        <f>IFERROR(U5/U3,"")</f>
        <v/>
      </c>
      <c r="V6" s="25">
        <f>IFERROR(V5/V3,"")</f>
        <v/>
      </c>
      <c r="W6" s="25">
        <f>IFERROR(W5/W3,"")</f>
        <v/>
      </c>
      <c r="X6" s="25">
        <f>IFERROR(X5/X3,"")</f>
        <v/>
      </c>
      <c r="Y6" s="25">
        <f>IFERROR(Y5/Y3,"")</f>
        <v/>
      </c>
      <c r="Z6" s="25">
        <f>IFERROR(Z5/Z3,"")</f>
        <v/>
      </c>
      <c r="AA6" s="25">
        <f>IFERROR(AA5/AA3,"")</f>
        <v/>
      </c>
      <c r="AB6" s="25">
        <f>IFERROR(AB5/AB3,"")</f>
        <v/>
      </c>
      <c r="AC6" s="25">
        <f>IFERROR(AC5/AC3,"")</f>
        <v/>
      </c>
    </row>
    <row r="7">
      <c r="A7" s="4" t="inlineStr">
        <is>
          <t>R&amp;D Expense</t>
        </is>
      </c>
      <c r="B7" s="18" t="n">
        <v>139.1</v>
      </c>
      <c r="C7" s="18" t="n">
        <v>158.7</v>
      </c>
      <c r="D7" s="18" t="n">
        <v>170.5</v>
      </c>
      <c r="E7" s="18" t="n">
        <v>185.4</v>
      </c>
      <c r="F7" s="18" t="n">
        <v>196.3</v>
      </c>
      <c r="G7" s="18" t="n">
        <v>215.9</v>
      </c>
      <c r="H7" s="18" t="n">
        <v>237.4</v>
      </c>
      <c r="I7" s="18" t="n">
        <v>266.7</v>
      </c>
      <c r="J7" s="18" t="n">
        <v>311</v>
      </c>
      <c r="K7" s="18" t="n">
        <v>325.3</v>
      </c>
      <c r="L7" s="18" t="n">
        <v>339.5</v>
      </c>
      <c r="M7" s="18" t="n">
        <v>359</v>
      </c>
      <c r="N7" s="18" t="n">
        <v>355.4</v>
      </c>
      <c r="O7" s="18" t="n">
        <v>363.8</v>
      </c>
      <c r="P7" s="18" t="n">
        <v>371.8</v>
      </c>
      <c r="Q7" s="18" t="n">
        <v>404.1</v>
      </c>
      <c r="R7" s="18" t="n">
        <v>413.7</v>
      </c>
      <c r="S7" s="18" t="n">
        <v>414.4</v>
      </c>
      <c r="T7" s="18" t="n">
        <v>409.5</v>
      </c>
      <c r="U7" s="18" t="n">
        <v>447.9</v>
      </c>
      <c r="V7" s="18" t="n">
        <v>457.2</v>
      </c>
      <c r="W7" s="18" t="n">
        <v>494.8</v>
      </c>
      <c r="X7" s="18" t="n">
        <v>481</v>
      </c>
      <c r="Y7" s="18" t="n">
        <v>505.7</v>
      </c>
      <c r="Z7" s="18" t="n">
        <v>494.5</v>
      </c>
      <c r="AA7" s="18" t="n">
        <v>503.5</v>
      </c>
      <c r="AB7" s="18" t="n">
        <v>528</v>
      </c>
      <c r="AC7" s="18" t="n">
        <v>511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  <c r="S8" s="25">
        <f>IFERROR(S7/S3,"")</f>
        <v/>
      </c>
      <c r="T8" s="25">
        <f>IFERROR(T7/T3,"")</f>
        <v/>
      </c>
      <c r="U8" s="25">
        <f>IFERROR(U7/U3,"")</f>
        <v/>
      </c>
      <c r="V8" s="25">
        <f>IFERROR(V7/V3,"")</f>
        <v/>
      </c>
      <c r="W8" s="25">
        <f>IFERROR(W7/W3,"")</f>
        <v/>
      </c>
      <c r="X8" s="25">
        <f>IFERROR(X7/X3,"")</f>
        <v/>
      </c>
      <c r="Y8" s="25">
        <f>IFERROR(Y7/Y3,"")</f>
        <v/>
      </c>
      <c r="Z8" s="25">
        <f>IFERROR(Z7/Z3,"")</f>
        <v/>
      </c>
      <c r="AA8" s="25">
        <f>IFERROR(AA7/AA3,"")</f>
        <v/>
      </c>
      <c r="AB8" s="25">
        <f>IFERROR(AB7/AB3,"")</f>
        <v/>
      </c>
      <c r="AC8" s="25">
        <f>IFERROR(AC7/AC3,"")</f>
        <v/>
      </c>
    </row>
    <row r="9">
      <c r="A9" s="4" t="inlineStr">
        <is>
          <t>SG&amp;A Expense</t>
        </is>
      </c>
      <c r="B9" s="18" t="n">
        <v>401.3</v>
      </c>
      <c r="C9" s="18" t="n">
        <v>439.6</v>
      </c>
      <c r="D9" s="18" t="n">
        <v>435.5</v>
      </c>
      <c r="E9" s="18" t="n">
        <v>451.1</v>
      </c>
      <c r="F9" s="18" t="n">
        <v>471.3</v>
      </c>
      <c r="G9" s="18" t="n">
        <v>461.9</v>
      </c>
      <c r="H9" s="18" t="n">
        <v>475.3</v>
      </c>
      <c r="I9" s="18" t="n">
        <v>531.4</v>
      </c>
      <c r="J9" s="18" t="n">
        <v>542.7</v>
      </c>
      <c r="K9" s="18" t="n">
        <v>595.5</v>
      </c>
      <c r="L9" s="18" t="n">
        <v>610</v>
      </c>
      <c r="M9" s="18" t="n">
        <v>626.5</v>
      </c>
      <c r="N9" s="18" t="n">
        <v>638.4</v>
      </c>
      <c r="O9" s="18" t="n">
        <v>679</v>
      </c>
      <c r="P9" s="18" t="n">
        <v>714.5</v>
      </c>
      <c r="Q9" s="18" t="n">
        <v>744.9</v>
      </c>
      <c r="R9" s="18" t="n">
        <v>753.7</v>
      </c>
      <c r="S9" s="18" t="n">
        <v>778.6</v>
      </c>
      <c r="T9" s="18" t="n">
        <v>780.6</v>
      </c>
      <c r="U9" s="18" t="n">
        <v>974.5</v>
      </c>
      <c r="V9" s="18" t="n">
        <v>837.3</v>
      </c>
      <c r="W9" s="18" t="n">
        <v>882.6</v>
      </c>
      <c r="X9" s="18" t="n">
        <v>818</v>
      </c>
      <c r="Y9" s="18" t="n">
        <v>912.1</v>
      </c>
      <c r="Z9" s="18" t="n">
        <v>956.4</v>
      </c>
      <c r="AA9" s="18" t="n">
        <v>856.6</v>
      </c>
      <c r="AB9" s="18" t="n">
        <v>999</v>
      </c>
      <c r="AC9" s="18" t="n">
        <v>1001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  <c r="S10" s="25">
        <f>IFERROR(S9/S3,"")</f>
        <v/>
      </c>
      <c r="T10" s="25">
        <f>IFERROR(T9/T3,"")</f>
        <v/>
      </c>
      <c r="U10" s="25">
        <f>IFERROR(U9/U3,"")</f>
        <v/>
      </c>
      <c r="V10" s="25">
        <f>IFERROR(V9/V3,"")</f>
        <v/>
      </c>
      <c r="W10" s="25">
        <f>IFERROR(W9/W3,"")</f>
        <v/>
      </c>
      <c r="X10" s="25">
        <f>IFERROR(X9/X3,"")</f>
        <v/>
      </c>
      <c r="Y10" s="25">
        <f>IFERROR(Y9/Y3,"")</f>
        <v/>
      </c>
      <c r="Z10" s="25">
        <f>IFERROR(Z9/Z3,"")</f>
        <v/>
      </c>
      <c r="AA10" s="25">
        <f>IFERROR(AA9/AA3,"")</f>
        <v/>
      </c>
      <c r="AB10" s="25">
        <f>IFERROR(AB9/AB3,"")</f>
        <v/>
      </c>
      <c r="AC10" s="25">
        <f>IFERROR(AC9/AC3,"")</f>
        <v/>
      </c>
    </row>
    <row r="11">
      <c r="A11" s="4" t="inlineStr">
        <is>
          <t>Gross Profit</t>
        </is>
      </c>
      <c r="B11" s="18" t="n">
        <v>521.7</v>
      </c>
      <c r="C11" s="18" t="n">
        <v>588.4</v>
      </c>
      <c r="D11" s="18" t="n">
        <v>554.2</v>
      </c>
      <c r="E11" s="18" t="n">
        <v>583.6</v>
      </c>
      <c r="F11" s="18" t="n">
        <v>611.1</v>
      </c>
      <c r="G11" s="18" t="n">
        <v>660</v>
      </c>
      <c r="H11" s="18" t="n">
        <v>668.2</v>
      </c>
      <c r="I11" s="18" t="n">
        <v>709.3</v>
      </c>
      <c r="J11" s="18" t="n">
        <v>743.3</v>
      </c>
      <c r="K11" s="18" t="n">
        <v>860.4</v>
      </c>
      <c r="L11" s="18" t="n">
        <v>866.8</v>
      </c>
      <c r="M11" s="18" t="n">
        <v>911.6</v>
      </c>
      <c r="N11" s="18" t="n">
        <v>946.2</v>
      </c>
      <c r="O11" s="18" t="n">
        <v>1058.2</v>
      </c>
      <c r="P11" s="18" t="n">
        <v>1101.5</v>
      </c>
      <c r="Q11" s="18" t="n">
        <v>1188.9</v>
      </c>
      <c r="R11" s="18" t="n">
        <v>1246.1</v>
      </c>
      <c r="S11" s="18" t="n">
        <v>1446.5</v>
      </c>
      <c r="T11" s="18" t="n">
        <v>1405.3</v>
      </c>
      <c r="U11" s="18" t="n">
        <v>1476</v>
      </c>
      <c r="V11" s="18" t="n">
        <v>1471.2</v>
      </c>
      <c r="W11" s="18" t="n">
        <v>1615.8</v>
      </c>
      <c r="X11" s="18" t="n">
        <v>1585</v>
      </c>
      <c r="Y11" s="18" t="n">
        <v>1658.2</v>
      </c>
      <c r="Z11" s="18" t="n">
        <v>1669.7</v>
      </c>
      <c r="AA11" s="18" t="n">
        <v>1857.3</v>
      </c>
      <c r="AB11" s="18" t="n">
        <v>1836</v>
      </c>
      <c r="AC11" s="18" t="n">
        <v>1909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  <c r="S12" s="25">
        <f>IFERROR(S11/S3,"")</f>
        <v/>
      </c>
      <c r="T12" s="25">
        <f>IFERROR(T11/T3,"")</f>
        <v/>
      </c>
      <c r="U12" s="25">
        <f>IFERROR(U11/U3,"")</f>
        <v/>
      </c>
      <c r="V12" s="25">
        <f>IFERROR(V11/V3,"")</f>
        <v/>
      </c>
      <c r="W12" s="25">
        <f>IFERROR(W11/W3,"")</f>
        <v/>
      </c>
      <c r="X12" s="25">
        <f>IFERROR(X11/X3,"")</f>
        <v/>
      </c>
      <c r="Y12" s="25">
        <f>IFERROR(Y11/Y3,"")</f>
        <v/>
      </c>
      <c r="Z12" s="25">
        <f>IFERROR(Z11/Z3,"")</f>
        <v/>
      </c>
      <c r="AA12" s="25">
        <f>IFERROR(AA11/AA3,"")</f>
        <v/>
      </c>
      <c r="AB12" s="25">
        <f>IFERROR(AB11/AB3,"")</f>
        <v/>
      </c>
      <c r="AC12" s="25">
        <f>IFERROR(AC11/AC3,"")</f>
        <v/>
      </c>
    </row>
    <row r="13">
      <c r="A13" s="4" t="inlineStr">
        <is>
          <t>Operating Income</t>
        </is>
      </c>
      <c r="B13" s="18" t="n">
        <v>-18.7</v>
      </c>
      <c r="C13" s="18" t="n">
        <v>-9.9</v>
      </c>
      <c r="D13" s="18" t="n">
        <v>-51.8</v>
      </c>
      <c r="E13" s="18" t="n">
        <v>-52.9</v>
      </c>
      <c r="F13" s="18" t="n">
        <v>-56.5</v>
      </c>
      <c r="G13" s="18" t="n">
        <v>-17.8</v>
      </c>
      <c r="H13" s="18" t="n">
        <v>-44.5</v>
      </c>
      <c r="I13" s="18" t="n">
        <v>-88.8</v>
      </c>
      <c r="J13" s="18" t="n">
        <v>-110.4</v>
      </c>
      <c r="K13" s="18" t="n">
        <v>-60.4</v>
      </c>
      <c r="L13" s="18" t="n">
        <v>-82.7</v>
      </c>
      <c r="M13" s="18" t="n">
        <v>-73.90000000000001</v>
      </c>
      <c r="N13" s="18" t="n">
        <v>-47.6</v>
      </c>
      <c r="O13" s="18" t="n">
        <v>15.4</v>
      </c>
      <c r="P13" s="18" t="n">
        <v>15.2</v>
      </c>
      <c r="Q13" s="18" t="n">
        <v>39.9</v>
      </c>
      <c r="R13" s="18" t="n">
        <v>78.7</v>
      </c>
      <c r="S13" s="18" t="n">
        <v>253.5</v>
      </c>
      <c r="T13" s="18" t="n">
        <v>215.2</v>
      </c>
      <c r="U13" s="18" t="n">
        <v>53.6</v>
      </c>
      <c r="V13" s="18" t="n">
        <v>176.7</v>
      </c>
      <c r="W13" s="18" t="n">
        <v>238.4</v>
      </c>
      <c r="X13" s="18" t="n">
        <v>286</v>
      </c>
      <c r="Y13" s="18" t="n">
        <v>240.4</v>
      </c>
      <c r="Z13" s="18" t="n">
        <v>218.8</v>
      </c>
      <c r="AA13" s="18" t="n">
        <v>497.2</v>
      </c>
      <c r="AB13" s="18" t="n">
        <v>309</v>
      </c>
      <c r="AC13" s="18" t="n">
        <v>400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  <c r="S14" s="25">
        <f>IFERROR(S13/S3,"")</f>
        <v/>
      </c>
      <c r="T14" s="25">
        <f>IFERROR(T13/T3,"")</f>
        <v/>
      </c>
      <c r="U14" s="25">
        <f>IFERROR(U13/U3,"")</f>
        <v/>
      </c>
      <c r="V14" s="25">
        <f>IFERROR(V13/V3,"")</f>
        <v/>
      </c>
      <c r="W14" s="25">
        <f>IFERROR(W13/W3,"")</f>
        <v/>
      </c>
      <c r="X14" s="25">
        <f>IFERROR(X13/X3,"")</f>
        <v/>
      </c>
      <c r="Y14" s="25">
        <f>IFERROR(Y13/Y3,"")</f>
        <v/>
      </c>
      <c r="Z14" s="25">
        <f>IFERROR(Z13/Z3,"")</f>
        <v/>
      </c>
      <c r="AA14" s="25">
        <f>IFERROR(AA13/AA3,"")</f>
        <v/>
      </c>
      <c r="AB14" s="25">
        <f>IFERROR(AB13/AB3,"")</f>
        <v/>
      </c>
      <c r="AC14" s="25">
        <f>IFERROR(AC13/AC3,"")</f>
        <v/>
      </c>
    </row>
    <row r="15">
      <c r="A15" s="4" t="inlineStr">
        <is>
          <t>Net Income</t>
        </is>
      </c>
      <c r="B15" s="18" t="n">
        <v>-20.2</v>
      </c>
      <c r="C15" s="18" t="n">
        <v>-20.8</v>
      </c>
      <c r="D15" s="18" t="n">
        <v>-59.6</v>
      </c>
      <c r="E15" s="18" t="n">
        <v>-73.7</v>
      </c>
      <c r="F15" s="18" t="n">
        <v>-74.8</v>
      </c>
      <c r="G15" s="18" t="n">
        <v>-58.9</v>
      </c>
      <c r="H15" s="18" t="n">
        <v>-92.2</v>
      </c>
      <c r="I15" s="18" t="n">
        <v>-142.3</v>
      </c>
      <c r="J15" s="18" t="n">
        <v>-145.1</v>
      </c>
      <c r="K15" s="18" t="n">
        <v>-119.3</v>
      </c>
      <c r="L15" s="18" t="n">
        <v>-103.6</v>
      </c>
      <c r="M15" s="18" t="n">
        <v>-93.5</v>
      </c>
      <c r="N15" s="18" t="n">
        <v>-73.2</v>
      </c>
      <c r="O15" s="18" t="n">
        <v>3.3</v>
      </c>
      <c r="P15" s="18" t="n">
        <v>20</v>
      </c>
      <c r="Q15" s="18" t="n">
        <v>84.2</v>
      </c>
      <c r="R15" s="18" t="n">
        <v>107.8</v>
      </c>
      <c r="S15" s="18" t="n">
        <v>227.7</v>
      </c>
      <c r="T15" s="18" t="n">
        <v>194.2</v>
      </c>
      <c r="U15" s="18" t="n">
        <v>1746.9</v>
      </c>
      <c r="V15" s="18" t="n">
        <v>278.8</v>
      </c>
      <c r="W15" s="18" t="n">
        <v>357.7</v>
      </c>
      <c r="X15" s="18" t="n">
        <v>351</v>
      </c>
      <c r="Y15" s="18" t="n">
        <v>267.3</v>
      </c>
      <c r="Z15" s="18" t="n">
        <v>262.1</v>
      </c>
      <c r="AA15" s="18" t="n">
        <v>253.8</v>
      </c>
      <c r="AB15" s="18" t="n">
        <v>334</v>
      </c>
      <c r="AC15" s="18" t="n">
        <v>432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  <c r="S16" s="25">
        <f>IFERROR(S15/S3,"")</f>
        <v/>
      </c>
      <c r="T16" s="25">
        <f>IFERROR(T15/T3,"")</f>
        <v/>
      </c>
      <c r="U16" s="25">
        <f>IFERROR(U15/U3,"")</f>
        <v/>
      </c>
      <c r="V16" s="25">
        <f>IFERROR(V15/V3,"")</f>
        <v/>
      </c>
      <c r="W16" s="25">
        <f>IFERROR(W15/W3,"")</f>
        <v/>
      </c>
      <c r="X16" s="25">
        <f>IFERROR(X15/X3,"")</f>
        <v/>
      </c>
      <c r="Y16" s="25">
        <f>IFERROR(Y15/Y3,"")</f>
        <v/>
      </c>
      <c r="Z16" s="25">
        <f>IFERROR(Z15/Z3,"")</f>
        <v/>
      </c>
      <c r="AA16" s="25">
        <f>IFERROR(AA15/AA3,"")</f>
        <v/>
      </c>
      <c r="AB16" s="25">
        <f>IFERROR(AB15/AB3,"")</f>
        <v/>
      </c>
      <c r="AC16" s="25">
        <f>IFERROR(AC15/AC3,"")</f>
        <v/>
      </c>
    </row>
    <row r="17">
      <c r="A17" s="4" t="inlineStr">
        <is>
          <t>Diluted Shares (M)</t>
        </is>
      </c>
      <c r="B17" s="18" t="n">
        <v>566.4</v>
      </c>
      <c r="C17" s="18" t="n">
        <v>574.8</v>
      </c>
      <c r="D17" s="18" t="n">
        <v>579.6</v>
      </c>
      <c r="E17" s="18" t="n">
        <v>589.8</v>
      </c>
      <c r="F17" s="18" t="n">
        <v>580.2</v>
      </c>
      <c r="G17" s="18" t="n">
        <v>576</v>
      </c>
      <c r="H17" s="18" t="n">
        <v>573</v>
      </c>
      <c r="I17" s="18" t="n">
        <v>575.4</v>
      </c>
      <c r="J17" s="18" t="n">
        <v>581.4</v>
      </c>
      <c r="K17" s="18" t="n">
        <v>583.2</v>
      </c>
      <c r="L17" s="18" t="n">
        <v>585.8</v>
      </c>
      <c r="M17" s="18" t="n">
        <v>589</v>
      </c>
      <c r="N17" s="18" t="n">
        <v>593.4</v>
      </c>
      <c r="O17" s="18" t="n">
        <v>672.6</v>
      </c>
      <c r="P17" s="18" t="n">
        <v>676.8</v>
      </c>
      <c r="Q17" s="18" t="n">
        <v>663.2</v>
      </c>
      <c r="R17" s="18" t="n">
        <v>689.4</v>
      </c>
      <c r="S17" s="18" t="n">
        <v>709</v>
      </c>
      <c r="T17" s="18" t="n">
        <v>699.6</v>
      </c>
      <c r="U17" s="18" t="n">
        <v>715</v>
      </c>
      <c r="V17" s="18" t="n">
        <v>709.2</v>
      </c>
      <c r="W17" s="18" t="n">
        <v>707.8</v>
      </c>
      <c r="X17" s="18" t="n">
        <v>709</v>
      </c>
      <c r="Y17" s="18" t="n">
        <v>709</v>
      </c>
      <c r="Z17" s="18" t="n">
        <v>707.4</v>
      </c>
      <c r="AA17" s="18" t="n">
        <v>709</v>
      </c>
      <c r="AB17" s="18" t="n">
        <v>709</v>
      </c>
      <c r="AC17" s="18" t="n">
        <v>713</v>
      </c>
    </row>
    <row r="18">
      <c r="A18" s="5" t="inlineStr">
        <is>
          <t xml:space="preserve">  REVENUE BY SEGMENT — PRODUCT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Subscription</t>
        </is>
      </c>
      <c r="B19" s="18" t="n">
        <v>258.8</v>
      </c>
      <c r="D19" s="18" t="n">
        <v>318.6</v>
      </c>
      <c r="E19" s="18" t="n">
        <v>342.6</v>
      </c>
      <c r="F19" s="18" t="n">
        <v>354.3</v>
      </c>
      <c r="H19" s="18" t="n">
        <v>428</v>
      </c>
      <c r="I19" s="18" t="n">
        <v>461.7</v>
      </c>
      <c r="J19" s="18" t="n">
        <v>473.8</v>
      </c>
      <c r="K19" s="18" t="n">
        <v>535.3</v>
      </c>
      <c r="L19" s="18" t="n">
        <v>578.8</v>
      </c>
      <c r="M19" s="18" t="n">
        <v>618</v>
      </c>
      <c r="N19" s="18" t="n">
        <v>639.8</v>
      </c>
      <c r="O19" s="18" t="n">
        <v>702.4</v>
      </c>
      <c r="P19" s="18" t="n">
        <v>764</v>
      </c>
      <c r="Q19" s="18" t="n">
        <v>815.4</v>
      </c>
      <c r="R19" s="18" t="n">
        <v>838.1</v>
      </c>
      <c r="S19" s="18" t="n">
        <v>917.9</v>
      </c>
      <c r="T19" s="18" t="n">
        <v>988.3</v>
      </c>
      <c r="U19" s="18" t="n">
        <v>1027.1</v>
      </c>
      <c r="V19" s="18" t="n">
        <v>1045.6</v>
      </c>
      <c r="W19" s="18" t="n">
        <v>1127.5</v>
      </c>
      <c r="X19" s="18" t="n">
        <v>1191.8</v>
      </c>
      <c r="Y19" s="18" t="n">
        <v>1233.2</v>
      </c>
      <c r="Z19" s="18" t="n">
        <v>1234.4</v>
      </c>
      <c r="AA19" s="18" t="n">
        <v>1315</v>
      </c>
      <c r="AC19" s="18" t="n">
        <v>1404</v>
      </c>
    </row>
    <row r="20">
      <c r="A20" s="4" t="inlineStr">
        <is>
          <t xml:space="preserve">    % YoY</t>
        </is>
      </c>
      <c r="F20" s="25">
        <f>IFERROR(F19/B19-1,"")</f>
        <v/>
      </c>
      <c r="G20" s="25">
        <f>IFERROR(G19/C19-1,"")</f>
        <v/>
      </c>
      <c r="H20" s="25">
        <f>IFERROR(H19/D19-1,"")</f>
        <v/>
      </c>
      <c r="I20" s="25">
        <f>IFERROR(I19/E19-1,"")</f>
        <v/>
      </c>
      <c r="J20" s="25">
        <f>IFERROR(J19/F19-1,"")</f>
        <v/>
      </c>
      <c r="K20" s="25">
        <f>IFERROR(K19/G19-1,"")</f>
        <v/>
      </c>
      <c r="L20" s="25">
        <f>IFERROR(L19/H19-1,"")</f>
        <v/>
      </c>
      <c r="M20" s="25">
        <f>IFERROR(M19/I19-1,"")</f>
        <v/>
      </c>
      <c r="N20" s="25">
        <f>IFERROR(N19/J19-1,"")</f>
        <v/>
      </c>
      <c r="O20" s="25">
        <f>IFERROR(O19/K19-1,"")</f>
        <v/>
      </c>
      <c r="P20" s="25">
        <f>IFERROR(P19/L19-1,"")</f>
        <v/>
      </c>
      <c r="Q20" s="25">
        <f>IFERROR(Q19/M19-1,"")</f>
        <v/>
      </c>
      <c r="R20" s="25">
        <f>IFERROR(R19/N19-1,"")</f>
        <v/>
      </c>
      <c r="S20" s="25">
        <f>IFERROR(S19/O19-1,"")</f>
        <v/>
      </c>
      <c r="T20" s="25">
        <f>IFERROR(T19/P19-1,"")</f>
        <v/>
      </c>
      <c r="U20" s="25">
        <f>IFERROR(U19/Q19-1,"")</f>
        <v/>
      </c>
      <c r="V20" s="25">
        <f>IFERROR(V19/R19-1,"")</f>
        <v/>
      </c>
      <c r="W20" s="25">
        <f>IFERROR(W19/S19-1,"")</f>
        <v/>
      </c>
      <c r="X20" s="25">
        <f>IFERROR(X19/T19-1,"")</f>
        <v/>
      </c>
      <c r="Y20" s="25">
        <f>IFERROR(Y19/U19-1,"")</f>
        <v/>
      </c>
      <c r="Z20" s="25">
        <f>IFERROR(Z19/V19-1,"")</f>
        <v/>
      </c>
      <c r="AA20" s="25">
        <f>IFERROR(AA19/W19-1,"")</f>
        <v/>
      </c>
      <c r="AB20" s="25">
        <f>IFERROR(AB19/X19-1,"")</f>
        <v/>
      </c>
      <c r="AC20" s="25">
        <f>IFERROR(AC19/Y19-1,"")</f>
        <v/>
      </c>
    </row>
    <row r="21">
      <c r="A21" s="4" t="inlineStr">
        <is>
          <t xml:space="preserve">    % of revenue</t>
        </is>
      </c>
      <c r="B21" s="25">
        <f>IFERROR(B19/B3,"")</f>
        <v/>
      </c>
      <c r="C21" s="25">
        <f>IFERROR(C19/C3,"")</f>
        <v/>
      </c>
      <c r="D21" s="25">
        <f>IFERROR(D19/D3,"")</f>
        <v/>
      </c>
      <c r="E21" s="25">
        <f>IFERROR(E19/E3,"")</f>
        <v/>
      </c>
      <c r="F21" s="25">
        <f>IFERROR(F19/F3,"")</f>
        <v/>
      </c>
      <c r="G21" s="25">
        <f>IFERROR(G19/G3,"")</f>
        <v/>
      </c>
      <c r="H21" s="25">
        <f>IFERROR(H19/H3,"")</f>
        <v/>
      </c>
      <c r="I21" s="25">
        <f>IFERROR(I19/I3,"")</f>
        <v/>
      </c>
      <c r="J21" s="25">
        <f>IFERROR(J19/J3,"")</f>
        <v/>
      </c>
      <c r="K21" s="25">
        <f>IFERROR(K19/K3,"")</f>
        <v/>
      </c>
      <c r="L21" s="25">
        <f>IFERROR(L19/L3,"")</f>
        <v/>
      </c>
      <c r="M21" s="25">
        <f>IFERROR(M19/M3,"")</f>
        <v/>
      </c>
      <c r="N21" s="25">
        <f>IFERROR(N19/N3,"")</f>
        <v/>
      </c>
      <c r="O21" s="25">
        <f>IFERROR(O19/O3,"")</f>
        <v/>
      </c>
      <c r="P21" s="25">
        <f>IFERROR(P19/P3,"")</f>
        <v/>
      </c>
      <c r="Q21" s="25">
        <f>IFERROR(Q19/Q3,"")</f>
        <v/>
      </c>
      <c r="R21" s="25">
        <f>IFERROR(R19/R3,"")</f>
        <v/>
      </c>
      <c r="S21" s="25">
        <f>IFERROR(S19/S3,"")</f>
        <v/>
      </c>
      <c r="T21" s="25">
        <f>IFERROR(T19/T3,"")</f>
        <v/>
      </c>
      <c r="U21" s="25">
        <f>IFERROR(U19/U3,"")</f>
        <v/>
      </c>
      <c r="V21" s="25">
        <f>IFERROR(V19/V3,"")</f>
        <v/>
      </c>
      <c r="W21" s="25">
        <f>IFERROR(W19/W3,"")</f>
        <v/>
      </c>
      <c r="X21" s="25">
        <f>IFERROR(X19/X3,"")</f>
        <v/>
      </c>
      <c r="Y21" s="25">
        <f>IFERROR(Y19/Y3,"")</f>
        <v/>
      </c>
      <c r="Z21" s="25">
        <f>IFERROR(Z19/Z3,"")</f>
        <v/>
      </c>
      <c r="AA21" s="25">
        <f>IFERROR(AA19/AA3,"")</f>
        <v/>
      </c>
      <c r="AB21" s="25">
        <f>IFERROR(AB19/AB3,"")</f>
        <v/>
      </c>
      <c r="AC21" s="25">
        <f>IFERROR(AC19/AC3,"")</f>
        <v/>
      </c>
    </row>
    <row r="22">
      <c r="A22" s="4" t="inlineStr">
        <is>
          <t>Support</t>
        </is>
      </c>
      <c r="B22" s="18" t="n">
        <v>189.4</v>
      </c>
      <c r="D22" s="18" t="n">
        <v>222.1</v>
      </c>
      <c r="E22" s="18" t="n">
        <v>227.6</v>
      </c>
      <c r="F22" s="18" t="n">
        <v>234.2</v>
      </c>
      <c r="H22" s="18" t="n">
        <v>280.7</v>
      </c>
      <c r="I22" s="18" t="n">
        <v>300.5</v>
      </c>
      <c r="J22" s="18" t="n">
        <v>311.2</v>
      </c>
      <c r="K22" s="18" t="n">
        <v>344.6</v>
      </c>
      <c r="L22" s="18" t="n">
        <v>373.1</v>
      </c>
      <c r="M22" s="18" t="n">
        <v>390.9</v>
      </c>
      <c r="N22" s="18" t="n">
        <v>395.4</v>
      </c>
      <c r="O22" s="18" t="n">
        <v>440</v>
      </c>
      <c r="P22" s="18" t="n">
        <v>469.4</v>
      </c>
      <c r="Q22" s="18" t="n">
        <v>486.8</v>
      </c>
      <c r="R22" s="18" t="n">
        <v>494.7</v>
      </c>
      <c r="S22" s="18" t="n">
        <v>528</v>
      </c>
      <c r="T22" s="18" t="n">
        <v>548.7</v>
      </c>
      <c r="U22" s="18" t="n">
        <v>557.3</v>
      </c>
      <c r="V22" s="18" t="n">
        <v>548.2</v>
      </c>
      <c r="W22" s="18" t="n">
        <v>581.5</v>
      </c>
      <c r="X22" s="18" t="n">
        <v>593.2</v>
      </c>
      <c r="Y22" s="18" t="n">
        <v>602.7</v>
      </c>
      <c r="Z22" s="18" t="n">
        <v>601.9</v>
      </c>
      <c r="AA22" s="18" t="n">
        <v>647.4</v>
      </c>
      <c r="AC22" s="18" t="n">
        <v>676</v>
      </c>
    </row>
    <row r="23">
      <c r="A23" s="4" t="inlineStr">
        <is>
          <t xml:space="preserve">    % YoY</t>
        </is>
      </c>
      <c r="F23" s="25">
        <f>IFERROR(F22/B22-1,"")</f>
        <v/>
      </c>
      <c r="G23" s="25">
        <f>IFERROR(G22/C22-1,"")</f>
        <v/>
      </c>
      <c r="H23" s="25">
        <f>IFERROR(H22/D22-1,"")</f>
        <v/>
      </c>
      <c r="I23" s="25">
        <f>IFERROR(I22/E22-1,"")</f>
        <v/>
      </c>
      <c r="J23" s="25">
        <f>IFERROR(J22/F22-1,"")</f>
        <v/>
      </c>
      <c r="K23" s="25">
        <f>IFERROR(K22/G22-1,"")</f>
        <v/>
      </c>
      <c r="L23" s="25">
        <f>IFERROR(L22/H22-1,"")</f>
        <v/>
      </c>
      <c r="M23" s="25">
        <f>IFERROR(M22/I22-1,"")</f>
        <v/>
      </c>
      <c r="N23" s="25">
        <f>IFERROR(N22/J22-1,"")</f>
        <v/>
      </c>
      <c r="O23" s="25">
        <f>IFERROR(O22/K22-1,"")</f>
        <v/>
      </c>
      <c r="P23" s="25">
        <f>IFERROR(P22/L22-1,"")</f>
        <v/>
      </c>
      <c r="Q23" s="25">
        <f>IFERROR(Q22/M22-1,"")</f>
        <v/>
      </c>
      <c r="R23" s="25">
        <f>IFERROR(R22/N22-1,"")</f>
        <v/>
      </c>
      <c r="S23" s="25">
        <f>IFERROR(S22/O22-1,"")</f>
        <v/>
      </c>
      <c r="T23" s="25">
        <f>IFERROR(T22/P22-1,"")</f>
        <v/>
      </c>
      <c r="U23" s="25">
        <f>IFERROR(U22/Q22-1,"")</f>
        <v/>
      </c>
      <c r="V23" s="25">
        <f>IFERROR(V22/R22-1,"")</f>
        <v/>
      </c>
      <c r="W23" s="25">
        <f>IFERROR(W22/S22-1,"")</f>
        <v/>
      </c>
      <c r="X23" s="25">
        <f>IFERROR(X22/T22-1,"")</f>
        <v/>
      </c>
      <c r="Y23" s="25">
        <f>IFERROR(Y22/U22-1,"")</f>
        <v/>
      </c>
      <c r="Z23" s="25">
        <f>IFERROR(Z22/V22-1,"")</f>
        <v/>
      </c>
      <c r="AA23" s="25">
        <f>IFERROR(AA22/W22-1,"")</f>
        <v/>
      </c>
      <c r="AB23" s="25">
        <f>IFERROR(AB22/X22-1,"")</f>
        <v/>
      </c>
      <c r="AC23" s="25">
        <f>IFERROR(AC22/Y22-1,"")</f>
        <v/>
      </c>
    </row>
    <row r="24">
      <c r="A24" s="4" t="inlineStr">
        <is>
          <t xml:space="preserve">    % of revenue</t>
        </is>
      </c>
      <c r="B24" s="25">
        <f>IFERROR(B22/B3,"")</f>
        <v/>
      </c>
      <c r="C24" s="25">
        <f>IFERROR(C22/C3,"")</f>
        <v/>
      </c>
      <c r="D24" s="25">
        <f>IFERROR(D22/D3,"")</f>
        <v/>
      </c>
      <c r="E24" s="25">
        <f>IFERROR(E22/E3,"")</f>
        <v/>
      </c>
      <c r="F24" s="25">
        <f>IFERROR(F22/F3,"")</f>
        <v/>
      </c>
      <c r="G24" s="25">
        <f>IFERROR(G22/G3,"")</f>
        <v/>
      </c>
      <c r="H24" s="25">
        <f>IFERROR(H22/H3,"")</f>
        <v/>
      </c>
      <c r="I24" s="25">
        <f>IFERROR(I22/I3,"")</f>
        <v/>
      </c>
      <c r="J24" s="25">
        <f>IFERROR(J22/J3,"")</f>
        <v/>
      </c>
      <c r="K24" s="25">
        <f>IFERROR(K22/K3,"")</f>
        <v/>
      </c>
      <c r="L24" s="25">
        <f>IFERROR(L22/L3,"")</f>
        <v/>
      </c>
      <c r="M24" s="25">
        <f>IFERROR(M22/M3,"")</f>
        <v/>
      </c>
      <c r="N24" s="25">
        <f>IFERROR(N22/N3,"")</f>
        <v/>
      </c>
      <c r="O24" s="25">
        <f>IFERROR(O22/O3,"")</f>
        <v/>
      </c>
      <c r="P24" s="25">
        <f>IFERROR(P22/P3,"")</f>
        <v/>
      </c>
      <c r="Q24" s="25">
        <f>IFERROR(Q22/Q3,"")</f>
        <v/>
      </c>
      <c r="R24" s="25">
        <f>IFERROR(R22/R3,"")</f>
        <v/>
      </c>
      <c r="S24" s="25">
        <f>IFERROR(S22/S3,"")</f>
        <v/>
      </c>
      <c r="T24" s="25">
        <f>IFERROR(T22/T3,"")</f>
        <v/>
      </c>
      <c r="U24" s="25">
        <f>IFERROR(U22/U3,"")</f>
        <v/>
      </c>
      <c r="V24" s="25">
        <f>IFERROR(V22/V3,"")</f>
        <v/>
      </c>
      <c r="W24" s="25">
        <f>IFERROR(W22/W3,"")</f>
        <v/>
      </c>
      <c r="X24" s="25">
        <f>IFERROR(X22/X3,"")</f>
        <v/>
      </c>
      <c r="Y24" s="25">
        <f>IFERROR(Y22/Y3,"")</f>
        <v/>
      </c>
      <c r="Z24" s="25">
        <f>IFERROR(Z22/Z3,"")</f>
        <v/>
      </c>
      <c r="AA24" s="25">
        <f>IFERROR(AA22/AA3,"")</f>
        <v/>
      </c>
      <c r="AB24" s="25">
        <f>IFERROR(AB22/AB3,"")</f>
        <v/>
      </c>
      <c r="AC24" s="25">
        <f>IFERROR(AC22/AC3,"")</f>
        <v/>
      </c>
    </row>
    <row r="25">
      <c r="A25" s="4" t="inlineStr">
        <is>
          <t>Product</t>
        </is>
      </c>
      <c r="B25" s="18" t="n">
        <v>278.4</v>
      </c>
      <c r="C25" s="18" t="n">
        <v>305.7</v>
      </c>
      <c r="D25" s="18" t="n">
        <v>231.2</v>
      </c>
      <c r="E25" s="18" t="n">
        <v>246.5</v>
      </c>
      <c r="F25" s="18" t="n">
        <v>280.9</v>
      </c>
      <c r="G25" s="18" t="n">
        <v>305.6</v>
      </c>
      <c r="H25" s="18" t="n">
        <v>237.3</v>
      </c>
      <c r="I25" s="18" t="n">
        <v>254.7</v>
      </c>
      <c r="J25" s="18" t="n">
        <v>288.9</v>
      </c>
      <c r="K25" s="18" t="n">
        <v>339.4</v>
      </c>
      <c r="L25" s="18" t="n">
        <v>295.5</v>
      </c>
      <c r="M25" s="18" t="n">
        <v>308</v>
      </c>
      <c r="N25" s="18" t="n">
        <v>351.5</v>
      </c>
      <c r="O25" s="18" t="n">
        <v>408.1</v>
      </c>
      <c r="P25" s="18" t="n">
        <v>330</v>
      </c>
      <c r="Q25" s="18" t="n">
        <v>352.9</v>
      </c>
      <c r="R25" s="18" t="n">
        <v>388.1</v>
      </c>
      <c r="S25" s="18" t="n">
        <v>507.4</v>
      </c>
      <c r="T25" s="18" t="n">
        <v>341.1</v>
      </c>
      <c r="U25" s="18" t="n">
        <v>390.7</v>
      </c>
      <c r="V25" s="18" t="n">
        <v>391</v>
      </c>
      <c r="W25" s="18" t="n">
        <v>480.5</v>
      </c>
      <c r="X25" s="18" t="n">
        <v>353.8</v>
      </c>
      <c r="Y25" s="18" t="n">
        <v>421.5</v>
      </c>
      <c r="Z25" s="18" t="n">
        <v>452.7</v>
      </c>
      <c r="AA25" s="18" t="n">
        <v>573.9</v>
      </c>
      <c r="AC25" s="18" t="n">
        <v>514</v>
      </c>
    </row>
    <row r="26">
      <c r="A26" s="4" t="inlineStr">
        <is>
          <t xml:space="preserve">    % YoY</t>
        </is>
      </c>
      <c r="F26" s="25">
        <f>IFERROR(F25/B25-1,"")</f>
        <v/>
      </c>
      <c r="G26" s="25">
        <f>IFERROR(G25/C25-1,"")</f>
        <v/>
      </c>
      <c r="H26" s="25">
        <f>IFERROR(H25/D25-1,"")</f>
        <v/>
      </c>
      <c r="I26" s="25">
        <f>IFERROR(I25/E25-1,"")</f>
        <v/>
      </c>
      <c r="J26" s="25">
        <f>IFERROR(J25/F25-1,"")</f>
        <v/>
      </c>
      <c r="K26" s="25">
        <f>IFERROR(K25/G25-1,"")</f>
        <v/>
      </c>
      <c r="L26" s="25">
        <f>IFERROR(L25/H25-1,"")</f>
        <v/>
      </c>
      <c r="M26" s="25">
        <f>IFERROR(M25/I25-1,"")</f>
        <v/>
      </c>
      <c r="N26" s="25">
        <f>IFERROR(N25/J25-1,"")</f>
        <v/>
      </c>
      <c r="O26" s="25">
        <f>IFERROR(O25/K25-1,"")</f>
        <v/>
      </c>
      <c r="P26" s="25">
        <f>IFERROR(P25/L25-1,"")</f>
        <v/>
      </c>
      <c r="Q26" s="25">
        <f>IFERROR(Q25/M25-1,"")</f>
        <v/>
      </c>
      <c r="R26" s="25">
        <f>IFERROR(R25/N25-1,"")</f>
        <v/>
      </c>
      <c r="S26" s="25">
        <f>IFERROR(S25/O25-1,"")</f>
        <v/>
      </c>
      <c r="T26" s="25">
        <f>IFERROR(T25/P25-1,"")</f>
        <v/>
      </c>
      <c r="U26" s="25">
        <f>IFERROR(U25/Q25-1,"")</f>
        <v/>
      </c>
      <c r="V26" s="25">
        <f>IFERROR(V25/R25-1,"")</f>
        <v/>
      </c>
      <c r="W26" s="25">
        <f>IFERROR(W25/S25-1,"")</f>
        <v/>
      </c>
      <c r="X26" s="25">
        <f>IFERROR(X25/T25-1,"")</f>
        <v/>
      </c>
      <c r="Y26" s="25">
        <f>IFERROR(Y25/U25-1,"")</f>
        <v/>
      </c>
      <c r="Z26" s="25">
        <f>IFERROR(Z25/V25-1,"")</f>
        <v/>
      </c>
      <c r="AA26" s="25">
        <f>IFERROR(AA25/W25-1,"")</f>
        <v/>
      </c>
      <c r="AB26" s="25">
        <f>IFERROR(AB25/X25-1,"")</f>
        <v/>
      </c>
      <c r="AC26" s="25">
        <f>IFERROR(AC25/Y25-1,"")</f>
        <v/>
      </c>
    </row>
    <row r="27">
      <c r="A27" s="4" t="inlineStr">
        <is>
          <t xml:space="preserve">    % of revenue</t>
        </is>
      </c>
      <c r="B27" s="25">
        <f>IFERROR(B25/B3,"")</f>
        <v/>
      </c>
      <c r="C27" s="25">
        <f>IFERROR(C25/C3,"")</f>
        <v/>
      </c>
      <c r="D27" s="25">
        <f>IFERROR(D25/D3,"")</f>
        <v/>
      </c>
      <c r="E27" s="25">
        <f>IFERROR(E25/E3,"")</f>
        <v/>
      </c>
      <c r="F27" s="25">
        <f>IFERROR(F25/F3,"")</f>
        <v/>
      </c>
      <c r="G27" s="25">
        <f>IFERROR(G25/G3,"")</f>
        <v/>
      </c>
      <c r="H27" s="25">
        <f>IFERROR(H25/H3,"")</f>
        <v/>
      </c>
      <c r="I27" s="25">
        <f>IFERROR(I25/I3,"")</f>
        <v/>
      </c>
      <c r="J27" s="25">
        <f>IFERROR(J25/J3,"")</f>
        <v/>
      </c>
      <c r="K27" s="25">
        <f>IFERROR(K25/K3,"")</f>
        <v/>
      </c>
      <c r="L27" s="25">
        <f>IFERROR(L25/L3,"")</f>
        <v/>
      </c>
      <c r="M27" s="25">
        <f>IFERROR(M25/M3,"")</f>
        <v/>
      </c>
      <c r="N27" s="25">
        <f>IFERROR(N25/N3,"")</f>
        <v/>
      </c>
      <c r="O27" s="25">
        <f>IFERROR(O25/O3,"")</f>
        <v/>
      </c>
      <c r="P27" s="25">
        <f>IFERROR(P25/P3,"")</f>
        <v/>
      </c>
      <c r="Q27" s="25">
        <f>IFERROR(Q25/Q3,"")</f>
        <v/>
      </c>
      <c r="R27" s="25">
        <f>IFERROR(R25/R3,"")</f>
        <v/>
      </c>
      <c r="S27" s="25">
        <f>IFERROR(S25/S3,"")</f>
        <v/>
      </c>
      <c r="T27" s="25">
        <f>IFERROR(T25/T3,"")</f>
        <v/>
      </c>
      <c r="U27" s="25">
        <f>IFERROR(U25/U3,"")</f>
        <v/>
      </c>
      <c r="V27" s="25">
        <f>IFERROR(V25/V3,"")</f>
        <v/>
      </c>
      <c r="W27" s="25">
        <f>IFERROR(W25/W3,"")</f>
        <v/>
      </c>
      <c r="X27" s="25">
        <f>IFERROR(X25/X3,"")</f>
        <v/>
      </c>
      <c r="Y27" s="25">
        <f>IFERROR(Y25/Y3,"")</f>
        <v/>
      </c>
      <c r="Z27" s="25">
        <f>IFERROR(Z25/Z3,"")</f>
        <v/>
      </c>
      <c r="AA27" s="25">
        <f>IFERROR(AA25/AA3,"")</f>
        <v/>
      </c>
      <c r="AB27" s="25">
        <f>IFERROR(AB25/AB3,"")</f>
        <v/>
      </c>
      <c r="AC27" s="25">
        <f>IFERROR(AC25/AC3,"")</f>
        <v/>
      </c>
    </row>
    <row r="28">
      <c r="A28" s="5" t="inlineStr">
        <is>
          <t xml:space="preserve">  REVENUE BY SEGMENT — GEOGRAPHY (% YoY, % of revenue)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</row>
    <row r="29">
      <c r="A29" s="4" t="inlineStr">
        <is>
          <t>Americas</t>
        </is>
      </c>
      <c r="B29" s="18" t="n">
        <v>497.8</v>
      </c>
      <c r="C29" s="18" t="n">
        <v>559.3</v>
      </c>
      <c r="D29" s="18" t="n">
        <v>529.6</v>
      </c>
      <c r="E29" s="18" t="n">
        <v>544.7</v>
      </c>
      <c r="F29" s="18" t="n">
        <v>594.2</v>
      </c>
      <c r="G29" s="18" t="n">
        <v>659.4</v>
      </c>
      <c r="H29" s="18" t="n">
        <v>670.3</v>
      </c>
      <c r="I29" s="18" t="n">
        <v>690.9</v>
      </c>
      <c r="J29" s="18" t="n">
        <v>734.5</v>
      </c>
      <c r="K29" s="18" t="n">
        <v>841.8</v>
      </c>
      <c r="L29" s="18" t="n">
        <v>866.7</v>
      </c>
      <c r="M29" s="18" t="n">
        <v>915.9</v>
      </c>
      <c r="N29" s="18" t="n">
        <v>948.7</v>
      </c>
      <c r="O29" s="18" t="n">
        <v>1071.3</v>
      </c>
      <c r="P29" s="18" t="n">
        <v>1070.7</v>
      </c>
      <c r="Q29" s="18" t="n">
        <v>1117</v>
      </c>
      <c r="R29" s="18" t="n">
        <v>1179.2</v>
      </c>
      <c r="S29" s="18" t="n">
        <v>1353</v>
      </c>
      <c r="T29" s="18" t="n">
        <v>1286.6</v>
      </c>
      <c r="U29" s="18" t="n">
        <v>1334.2</v>
      </c>
      <c r="V29" s="18" t="n">
        <v>1359.6</v>
      </c>
      <c r="W29" s="18" t="n">
        <v>1502.5</v>
      </c>
      <c r="X29" s="18" t="n">
        <v>1442.1</v>
      </c>
      <c r="Y29" s="18" t="n">
        <v>1502.4</v>
      </c>
      <c r="Z29" s="18" t="n">
        <v>1529.2</v>
      </c>
      <c r="AA29" s="18" t="n">
        <v>1731.4</v>
      </c>
      <c r="AC29" s="18" t="n">
        <v>1712</v>
      </c>
    </row>
    <row r="30">
      <c r="A30" s="4" t="inlineStr">
        <is>
          <t xml:space="preserve">    % YoY</t>
        </is>
      </c>
      <c r="F30" s="25">
        <f>IFERROR(F29/B29-1,"")</f>
        <v/>
      </c>
      <c r="G30" s="25">
        <f>IFERROR(G29/C29-1,"")</f>
        <v/>
      </c>
      <c r="H30" s="25">
        <f>IFERROR(H29/D29-1,"")</f>
        <v/>
      </c>
      <c r="I30" s="25">
        <f>IFERROR(I29/E29-1,"")</f>
        <v/>
      </c>
      <c r="J30" s="25">
        <f>IFERROR(J29/F29-1,"")</f>
        <v/>
      </c>
      <c r="K30" s="25">
        <f>IFERROR(K29/G29-1,"")</f>
        <v/>
      </c>
      <c r="L30" s="25">
        <f>IFERROR(L29/H29-1,"")</f>
        <v/>
      </c>
      <c r="M30" s="25">
        <f>IFERROR(M29/I29-1,"")</f>
        <v/>
      </c>
      <c r="N30" s="25">
        <f>IFERROR(N29/J29-1,"")</f>
        <v/>
      </c>
      <c r="O30" s="25">
        <f>IFERROR(O29/K29-1,"")</f>
        <v/>
      </c>
      <c r="P30" s="25">
        <f>IFERROR(P29/L29-1,"")</f>
        <v/>
      </c>
      <c r="Q30" s="25">
        <f>IFERROR(Q29/M29-1,"")</f>
        <v/>
      </c>
      <c r="R30" s="25">
        <f>IFERROR(R29/N29-1,"")</f>
        <v/>
      </c>
      <c r="S30" s="25">
        <f>IFERROR(S29/O29-1,"")</f>
        <v/>
      </c>
      <c r="T30" s="25">
        <f>IFERROR(T29/P29-1,"")</f>
        <v/>
      </c>
      <c r="U30" s="25">
        <f>IFERROR(U29/Q29-1,"")</f>
        <v/>
      </c>
      <c r="V30" s="25">
        <f>IFERROR(V29/R29-1,"")</f>
        <v/>
      </c>
      <c r="W30" s="25">
        <f>IFERROR(W29/S29-1,"")</f>
        <v/>
      </c>
      <c r="X30" s="25">
        <f>IFERROR(X29/T29-1,"")</f>
        <v/>
      </c>
      <c r="Y30" s="25">
        <f>IFERROR(Y29/U29-1,"")</f>
        <v/>
      </c>
      <c r="Z30" s="25">
        <f>IFERROR(Z29/V29-1,"")</f>
        <v/>
      </c>
      <c r="AA30" s="25">
        <f>IFERROR(AA29/W29-1,"")</f>
        <v/>
      </c>
      <c r="AB30" s="25">
        <f>IFERROR(AB29/X29-1,"")</f>
        <v/>
      </c>
      <c r="AC30" s="25">
        <f>IFERROR(AC29/Y29-1,"")</f>
        <v/>
      </c>
    </row>
    <row r="31">
      <c r="A31" s="4" t="inlineStr">
        <is>
          <t xml:space="preserve">    % of revenue</t>
        </is>
      </c>
      <c r="B31" s="25">
        <f>IFERROR(B29/B3,"")</f>
        <v/>
      </c>
      <c r="C31" s="25">
        <f>IFERROR(C29/C3,"")</f>
        <v/>
      </c>
      <c r="D31" s="25">
        <f>IFERROR(D29/D3,"")</f>
        <v/>
      </c>
      <c r="E31" s="25">
        <f>IFERROR(E29/E3,"")</f>
        <v/>
      </c>
      <c r="F31" s="25">
        <f>IFERROR(F29/F3,"")</f>
        <v/>
      </c>
      <c r="G31" s="25">
        <f>IFERROR(G29/G3,"")</f>
        <v/>
      </c>
      <c r="H31" s="25">
        <f>IFERROR(H29/H3,"")</f>
        <v/>
      </c>
      <c r="I31" s="25">
        <f>IFERROR(I29/I3,"")</f>
        <v/>
      </c>
      <c r="J31" s="25">
        <f>IFERROR(J29/J3,"")</f>
        <v/>
      </c>
      <c r="K31" s="25">
        <f>IFERROR(K29/K3,"")</f>
        <v/>
      </c>
      <c r="L31" s="25">
        <f>IFERROR(L29/L3,"")</f>
        <v/>
      </c>
      <c r="M31" s="25">
        <f>IFERROR(M29/M3,"")</f>
        <v/>
      </c>
      <c r="N31" s="25">
        <f>IFERROR(N29/N3,"")</f>
        <v/>
      </c>
      <c r="O31" s="25">
        <f>IFERROR(O29/O3,"")</f>
        <v/>
      </c>
      <c r="P31" s="25">
        <f>IFERROR(P29/P3,"")</f>
        <v/>
      </c>
      <c r="Q31" s="25">
        <f>IFERROR(Q29/Q3,"")</f>
        <v/>
      </c>
      <c r="R31" s="25">
        <f>IFERROR(R29/R3,"")</f>
        <v/>
      </c>
      <c r="S31" s="25">
        <f>IFERROR(S29/S3,"")</f>
        <v/>
      </c>
      <c r="T31" s="25">
        <f>IFERROR(T29/T3,"")</f>
        <v/>
      </c>
      <c r="U31" s="25">
        <f>IFERROR(U29/U3,"")</f>
        <v/>
      </c>
      <c r="V31" s="25">
        <f>IFERROR(V29/V3,"")</f>
        <v/>
      </c>
      <c r="W31" s="25">
        <f>IFERROR(W29/W3,"")</f>
        <v/>
      </c>
      <c r="X31" s="25">
        <f>IFERROR(X29/X3,"")</f>
        <v/>
      </c>
      <c r="Y31" s="25">
        <f>IFERROR(Y29/Y3,"")</f>
        <v/>
      </c>
      <c r="Z31" s="25">
        <f>IFERROR(Z29/Z3,"")</f>
        <v/>
      </c>
      <c r="AA31" s="25">
        <f>IFERROR(AA29/AA3,"")</f>
        <v/>
      </c>
      <c r="AB31" s="25">
        <f>IFERROR(AB29/AB3,"")</f>
        <v/>
      </c>
      <c r="AC31" s="25">
        <f>IFERROR(AC29/AC3,"")</f>
        <v/>
      </c>
    </row>
    <row r="32">
      <c r="A32" s="4" t="inlineStr">
        <is>
          <t>EMEA</t>
        </is>
      </c>
      <c r="B32" s="18" t="n">
        <v>138.7</v>
      </c>
      <c r="C32" s="18" t="n">
        <v>150.1</v>
      </c>
      <c r="D32" s="18" t="n">
        <v>147.6</v>
      </c>
      <c r="E32" s="18" t="n">
        <v>166.2</v>
      </c>
      <c r="F32" s="18" t="n">
        <v>171.5</v>
      </c>
      <c r="G32" s="18" t="n">
        <v>179.5</v>
      </c>
      <c r="H32" s="18" t="n">
        <v>170.9</v>
      </c>
      <c r="I32" s="18" t="n">
        <v>205.8</v>
      </c>
      <c r="J32" s="18" t="n">
        <v>210.2</v>
      </c>
      <c r="K32" s="18" t="n">
        <v>230.4</v>
      </c>
      <c r="L32" s="18" t="n">
        <v>233.8</v>
      </c>
      <c r="M32" s="18" t="n">
        <v>252.2</v>
      </c>
      <c r="N32" s="18" t="n">
        <v>269.5</v>
      </c>
      <c r="O32" s="18" t="n">
        <v>300.3</v>
      </c>
      <c r="P32" s="18" t="n">
        <v>307.9</v>
      </c>
      <c r="Q32" s="18" t="n">
        <v>341.5</v>
      </c>
      <c r="R32" s="18" t="n">
        <v>332.1</v>
      </c>
      <c r="S32" s="18" t="n">
        <v>378.1</v>
      </c>
      <c r="T32" s="18" t="n">
        <v>364.9</v>
      </c>
      <c r="U32" s="18" t="n">
        <v>406.8</v>
      </c>
      <c r="V32" s="18" t="n">
        <v>399.2</v>
      </c>
      <c r="W32" s="18" t="n">
        <v>431.1</v>
      </c>
      <c r="X32" s="18" t="n">
        <v>441.4</v>
      </c>
      <c r="Y32" s="18" t="n">
        <v>480</v>
      </c>
      <c r="Z32" s="18" t="n">
        <v>480.9</v>
      </c>
      <c r="AA32" s="18" t="n">
        <v>515.1</v>
      </c>
      <c r="AC32" s="18" t="n">
        <v>560</v>
      </c>
    </row>
    <row r="33">
      <c r="A33" s="4" t="inlineStr">
        <is>
          <t xml:space="preserve">    % YoY</t>
        </is>
      </c>
      <c r="F33" s="25">
        <f>IFERROR(F32/B32-1,"")</f>
        <v/>
      </c>
      <c r="G33" s="25">
        <f>IFERROR(G32/C32-1,"")</f>
        <v/>
      </c>
      <c r="H33" s="25">
        <f>IFERROR(H32/D32-1,"")</f>
        <v/>
      </c>
      <c r="I33" s="25">
        <f>IFERROR(I32/E32-1,"")</f>
        <v/>
      </c>
      <c r="J33" s="25">
        <f>IFERROR(J32/F32-1,"")</f>
        <v/>
      </c>
      <c r="K33" s="25">
        <f>IFERROR(K32/G32-1,"")</f>
        <v/>
      </c>
      <c r="L33" s="25">
        <f>IFERROR(L32/H32-1,"")</f>
        <v/>
      </c>
      <c r="M33" s="25">
        <f>IFERROR(M32/I32-1,"")</f>
        <v/>
      </c>
      <c r="N33" s="25">
        <f>IFERROR(N32/J32-1,"")</f>
        <v/>
      </c>
      <c r="O33" s="25">
        <f>IFERROR(O32/K32-1,"")</f>
        <v/>
      </c>
      <c r="P33" s="25">
        <f>IFERROR(P32/L32-1,"")</f>
        <v/>
      </c>
      <c r="Q33" s="25">
        <f>IFERROR(Q32/M32-1,"")</f>
        <v/>
      </c>
      <c r="R33" s="25">
        <f>IFERROR(R32/N32-1,"")</f>
        <v/>
      </c>
      <c r="S33" s="25">
        <f>IFERROR(S32/O32-1,"")</f>
        <v/>
      </c>
      <c r="T33" s="25">
        <f>IFERROR(T32/P32-1,"")</f>
        <v/>
      </c>
      <c r="U33" s="25">
        <f>IFERROR(U32/Q32-1,"")</f>
        <v/>
      </c>
      <c r="V33" s="25">
        <f>IFERROR(V32/R32-1,"")</f>
        <v/>
      </c>
      <c r="W33" s="25">
        <f>IFERROR(W32/S32-1,"")</f>
        <v/>
      </c>
      <c r="X33" s="25">
        <f>IFERROR(X32/T32-1,"")</f>
        <v/>
      </c>
      <c r="Y33" s="25">
        <f>IFERROR(Y32/U32-1,"")</f>
        <v/>
      </c>
      <c r="Z33" s="25">
        <f>IFERROR(Z32/V32-1,"")</f>
        <v/>
      </c>
      <c r="AA33" s="25">
        <f>IFERROR(AA32/W32-1,"")</f>
        <v/>
      </c>
      <c r="AB33" s="25">
        <f>IFERROR(AB32/X32-1,"")</f>
        <v/>
      </c>
      <c r="AC33" s="25">
        <f>IFERROR(AC32/Y32-1,"")</f>
        <v/>
      </c>
    </row>
    <row r="34">
      <c r="A34" s="4" t="inlineStr">
        <is>
          <t xml:space="preserve">    % of revenue</t>
        </is>
      </c>
      <c r="B34" s="25">
        <f>IFERROR(B32/B3,"")</f>
        <v/>
      </c>
      <c r="C34" s="25">
        <f>IFERROR(C32/C3,"")</f>
        <v/>
      </c>
      <c r="D34" s="25">
        <f>IFERROR(D32/D3,"")</f>
        <v/>
      </c>
      <c r="E34" s="25">
        <f>IFERROR(E32/E3,"")</f>
        <v/>
      </c>
      <c r="F34" s="25">
        <f>IFERROR(F32/F3,"")</f>
        <v/>
      </c>
      <c r="G34" s="25">
        <f>IFERROR(G32/G3,"")</f>
        <v/>
      </c>
      <c r="H34" s="25">
        <f>IFERROR(H32/H3,"")</f>
        <v/>
      </c>
      <c r="I34" s="25">
        <f>IFERROR(I32/I3,"")</f>
        <v/>
      </c>
      <c r="J34" s="25">
        <f>IFERROR(J32/J3,"")</f>
        <v/>
      </c>
      <c r="K34" s="25">
        <f>IFERROR(K32/K3,"")</f>
        <v/>
      </c>
      <c r="L34" s="25">
        <f>IFERROR(L32/L3,"")</f>
        <v/>
      </c>
      <c r="M34" s="25">
        <f>IFERROR(M32/M3,"")</f>
        <v/>
      </c>
      <c r="N34" s="25">
        <f>IFERROR(N32/N3,"")</f>
        <v/>
      </c>
      <c r="O34" s="25">
        <f>IFERROR(O32/O3,"")</f>
        <v/>
      </c>
      <c r="P34" s="25">
        <f>IFERROR(P32/P3,"")</f>
        <v/>
      </c>
      <c r="Q34" s="25">
        <f>IFERROR(Q32/Q3,"")</f>
        <v/>
      </c>
      <c r="R34" s="25">
        <f>IFERROR(R32/R3,"")</f>
        <v/>
      </c>
      <c r="S34" s="25">
        <f>IFERROR(S32/S3,"")</f>
        <v/>
      </c>
      <c r="T34" s="25">
        <f>IFERROR(T32/T3,"")</f>
        <v/>
      </c>
      <c r="U34" s="25">
        <f>IFERROR(U32/U3,"")</f>
        <v/>
      </c>
      <c r="V34" s="25">
        <f>IFERROR(V32/V3,"")</f>
        <v/>
      </c>
      <c r="W34" s="25">
        <f>IFERROR(W32/W3,"")</f>
        <v/>
      </c>
      <c r="X34" s="25">
        <f>IFERROR(X32/X3,"")</f>
        <v/>
      </c>
      <c r="Y34" s="25">
        <f>IFERROR(Y32/Y3,"")</f>
        <v/>
      </c>
      <c r="Z34" s="25">
        <f>IFERROR(Z32/Z3,"")</f>
        <v/>
      </c>
      <c r="AA34" s="25">
        <f>IFERROR(AA32/AA3,"")</f>
        <v/>
      </c>
      <c r="AB34" s="25">
        <f>IFERROR(AB32/AB3,"")</f>
        <v/>
      </c>
      <c r="AC34" s="25">
        <f>IFERROR(AC32/AC3,"")</f>
        <v/>
      </c>
    </row>
    <row r="35">
      <c r="A35" s="4" t="inlineStr">
        <is>
          <t>Asia Pacific</t>
        </is>
      </c>
      <c r="B35" s="18" t="n">
        <v>90.09999999999999</v>
      </c>
      <c r="C35" s="18" t="n">
        <v>96.40000000000001</v>
      </c>
      <c r="D35" s="18" t="n">
        <v>94.7</v>
      </c>
      <c r="E35" s="18" t="n">
        <v>105.8</v>
      </c>
      <c r="F35" s="18" t="n">
        <v>103.7</v>
      </c>
      <c r="G35" s="18" t="n">
        <v>111.5</v>
      </c>
      <c r="H35" s="18" t="n">
        <v>104.8</v>
      </c>
      <c r="I35" s="18" t="n">
        <v>120.2</v>
      </c>
      <c r="J35" s="18" t="n">
        <v>129.2</v>
      </c>
      <c r="K35" s="18" t="n">
        <v>147.1</v>
      </c>
      <c r="L35" s="18" t="n">
        <v>146.9</v>
      </c>
      <c r="M35" s="18" t="n">
        <v>148.8</v>
      </c>
      <c r="N35" s="18" t="n">
        <v>168.5</v>
      </c>
      <c r="O35" s="18" t="n">
        <v>178.9</v>
      </c>
      <c r="P35" s="18" t="n">
        <v>184.8</v>
      </c>
      <c r="Q35" s="18" t="n">
        <v>196.6</v>
      </c>
      <c r="R35" s="18" t="n">
        <v>209.6</v>
      </c>
      <c r="S35" s="18" t="n">
        <v>222.2</v>
      </c>
      <c r="T35" s="18" t="n">
        <v>226.6</v>
      </c>
      <c r="U35" s="18" t="n">
        <v>234.1</v>
      </c>
      <c r="V35" s="18" t="n">
        <v>226</v>
      </c>
      <c r="W35" s="18" t="n">
        <v>255.9</v>
      </c>
      <c r="X35" s="18" t="n">
        <v>255.3</v>
      </c>
      <c r="Y35" s="18" t="n">
        <v>275</v>
      </c>
      <c r="Z35" s="18" t="n">
        <v>278.9</v>
      </c>
      <c r="AA35" s="18" t="n">
        <v>289.8</v>
      </c>
      <c r="AC35" s="18" t="n">
        <v>322</v>
      </c>
    </row>
    <row r="36">
      <c r="A36" s="4" t="inlineStr">
        <is>
          <t xml:space="preserve">    % YoY</t>
        </is>
      </c>
      <c r="F36" s="25">
        <f>IFERROR(F35/B35-1,"")</f>
        <v/>
      </c>
      <c r="G36" s="25">
        <f>IFERROR(G35/C35-1,"")</f>
        <v/>
      </c>
      <c r="H36" s="25">
        <f>IFERROR(H35/D35-1,"")</f>
        <v/>
      </c>
      <c r="I36" s="25">
        <f>IFERROR(I35/E35-1,"")</f>
        <v/>
      </c>
      <c r="J36" s="25">
        <f>IFERROR(J35/F35-1,"")</f>
        <v/>
      </c>
      <c r="K36" s="25">
        <f>IFERROR(K35/G35-1,"")</f>
        <v/>
      </c>
      <c r="L36" s="25">
        <f>IFERROR(L35/H35-1,"")</f>
        <v/>
      </c>
      <c r="M36" s="25">
        <f>IFERROR(M35/I35-1,"")</f>
        <v/>
      </c>
      <c r="N36" s="25">
        <f>IFERROR(N35/J35-1,"")</f>
        <v/>
      </c>
      <c r="O36" s="25">
        <f>IFERROR(O35/K35-1,"")</f>
        <v/>
      </c>
      <c r="P36" s="25">
        <f>IFERROR(P35/L35-1,"")</f>
        <v/>
      </c>
      <c r="Q36" s="25">
        <f>IFERROR(Q35/M35-1,"")</f>
        <v/>
      </c>
      <c r="R36" s="25">
        <f>IFERROR(R35/N35-1,"")</f>
        <v/>
      </c>
      <c r="S36" s="25">
        <f>IFERROR(S35/O35-1,"")</f>
        <v/>
      </c>
      <c r="T36" s="25">
        <f>IFERROR(T35/P35-1,"")</f>
        <v/>
      </c>
      <c r="U36" s="25">
        <f>IFERROR(U35/Q35-1,"")</f>
        <v/>
      </c>
      <c r="V36" s="25">
        <f>IFERROR(V35/R35-1,"")</f>
        <v/>
      </c>
      <c r="W36" s="25">
        <f>IFERROR(W35/S35-1,"")</f>
        <v/>
      </c>
      <c r="X36" s="25">
        <f>IFERROR(X35/T35-1,"")</f>
        <v/>
      </c>
      <c r="Y36" s="25">
        <f>IFERROR(Y35/U35-1,"")</f>
        <v/>
      </c>
      <c r="Z36" s="25">
        <f>IFERROR(Z35/V35-1,"")</f>
        <v/>
      </c>
      <c r="AA36" s="25">
        <f>IFERROR(AA35/W35-1,"")</f>
        <v/>
      </c>
      <c r="AB36" s="25">
        <f>IFERROR(AB35/X35-1,"")</f>
        <v/>
      </c>
      <c r="AC36" s="25">
        <f>IFERROR(AC35/Y35-1,"")</f>
        <v/>
      </c>
    </row>
    <row r="37">
      <c r="A37" s="4" t="inlineStr">
        <is>
          <t xml:space="preserve">    % of revenue</t>
        </is>
      </c>
      <c r="B37" s="25">
        <f>IFERROR(B35/B3,"")</f>
        <v/>
      </c>
      <c r="C37" s="25">
        <f>IFERROR(C35/C3,"")</f>
        <v/>
      </c>
      <c r="D37" s="25">
        <f>IFERROR(D35/D3,"")</f>
        <v/>
      </c>
      <c r="E37" s="25">
        <f>IFERROR(E35/E3,"")</f>
        <v/>
      </c>
      <c r="F37" s="25">
        <f>IFERROR(F35/F3,"")</f>
        <v/>
      </c>
      <c r="G37" s="25">
        <f>IFERROR(G35/G3,"")</f>
        <v/>
      </c>
      <c r="H37" s="25">
        <f>IFERROR(H35/H3,"")</f>
        <v/>
      </c>
      <c r="I37" s="25">
        <f>IFERROR(I35/I3,"")</f>
        <v/>
      </c>
      <c r="J37" s="25">
        <f>IFERROR(J35/J3,"")</f>
        <v/>
      </c>
      <c r="K37" s="25">
        <f>IFERROR(K35/K3,"")</f>
        <v/>
      </c>
      <c r="L37" s="25">
        <f>IFERROR(L35/L3,"")</f>
        <v/>
      </c>
      <c r="M37" s="25">
        <f>IFERROR(M35/M3,"")</f>
        <v/>
      </c>
      <c r="N37" s="25">
        <f>IFERROR(N35/N3,"")</f>
        <v/>
      </c>
      <c r="O37" s="25">
        <f>IFERROR(O35/O3,"")</f>
        <v/>
      </c>
      <c r="P37" s="25">
        <f>IFERROR(P35/P3,"")</f>
        <v/>
      </c>
      <c r="Q37" s="25">
        <f>IFERROR(Q35/Q3,"")</f>
        <v/>
      </c>
      <c r="R37" s="25">
        <f>IFERROR(R35/R3,"")</f>
        <v/>
      </c>
      <c r="S37" s="25">
        <f>IFERROR(S35/S3,"")</f>
        <v/>
      </c>
      <c r="T37" s="25">
        <f>IFERROR(T35/T3,"")</f>
        <v/>
      </c>
      <c r="U37" s="25">
        <f>IFERROR(U35/U3,"")</f>
        <v/>
      </c>
      <c r="V37" s="25">
        <f>IFERROR(V35/V3,"")</f>
        <v/>
      </c>
      <c r="W37" s="25">
        <f>IFERROR(W35/W3,"")</f>
        <v/>
      </c>
      <c r="X37" s="25">
        <f>IFERROR(X35/X3,"")</f>
        <v/>
      </c>
      <c r="Y37" s="25">
        <f>IFERROR(Y35/Y3,"")</f>
        <v/>
      </c>
      <c r="Z37" s="25">
        <f>IFERROR(Z35/Z3,"")</f>
        <v/>
      </c>
      <c r="AA37" s="25">
        <f>IFERROR(AA35/AA3,"")</f>
        <v/>
      </c>
      <c r="AB37" s="25">
        <f>IFERROR(AB35/AB3,"")</f>
        <v/>
      </c>
      <c r="AC37" s="25">
        <f>IFERROR(AC35/AC3,"")</f>
        <v/>
      </c>
    </row>
    <row r="38">
      <c r="A38" s="5" t="inlineStr">
        <is>
          <t xml:space="preserve">  BALANCE SHEET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</row>
    <row r="39">
      <c r="A39" s="4" t="inlineStr">
        <is>
          <t>Cash &amp; ST Investments</t>
        </is>
      </c>
      <c r="B39" s="18" t="n">
        <v>3048.1</v>
      </c>
      <c r="C39" s="18" t="n">
        <v>2803.1</v>
      </c>
      <c r="D39" s="18" t="n">
        <v>2861.2</v>
      </c>
      <c r="E39" s="18" t="n">
        <v>3133.9</v>
      </c>
      <c r="F39" s="18" t="n">
        <v>2038.8</v>
      </c>
      <c r="G39" s="18" t="n">
        <v>3747.8</v>
      </c>
      <c r="H39" s="18" t="n">
        <v>3217.6</v>
      </c>
      <c r="I39" s="18" t="n">
        <v>3171.2</v>
      </c>
      <c r="J39" s="18" t="n">
        <v>2945.4</v>
      </c>
      <c r="K39" s="18" t="n">
        <v>2901.1</v>
      </c>
      <c r="L39" s="18" t="n">
        <v>3461.4</v>
      </c>
      <c r="M39" s="18" t="n">
        <v>3340.3</v>
      </c>
      <c r="N39" s="18" t="n">
        <v>3874.6</v>
      </c>
      <c r="O39" s="18" t="n">
        <v>3634.5</v>
      </c>
      <c r="P39" s="18" t="n">
        <v>3803.7</v>
      </c>
      <c r="Q39" s="18" t="n">
        <v>3346.9</v>
      </c>
      <c r="R39" s="18" t="n">
        <v>3958.2</v>
      </c>
      <c r="S39" s="18" t="n">
        <v>2390</v>
      </c>
      <c r="T39" s="18" t="n">
        <v>3893.8</v>
      </c>
      <c r="U39" s="18" t="n">
        <v>3371</v>
      </c>
      <c r="V39" s="18" t="n">
        <v>2898.6</v>
      </c>
      <c r="W39" s="18" t="n">
        <v>2578.8</v>
      </c>
      <c r="X39" s="18" t="n">
        <v>3391</v>
      </c>
      <c r="Y39" s="18" t="n">
        <v>3232.9</v>
      </c>
      <c r="Z39" s="18" t="n">
        <v>3300.2</v>
      </c>
      <c r="AA39" s="18" t="n">
        <v>2903.2</v>
      </c>
      <c r="AB39" s="18" t="n">
        <v>4219</v>
      </c>
      <c r="AC39" s="18" t="n">
        <v>4536</v>
      </c>
    </row>
    <row r="40">
      <c r="A40" s="4" t="inlineStr">
        <is>
          <t>Total Current Assets</t>
        </is>
      </c>
      <c r="B40" s="18" t="n">
        <v>3717.5</v>
      </c>
      <c r="C40" s="18" t="n">
        <v>3664.8</v>
      </c>
      <c r="D40" s="18" t="n">
        <v>3649.8</v>
      </c>
      <c r="E40" s="18" t="n">
        <v>3978.2</v>
      </c>
      <c r="F40" s="18" t="n">
        <v>3014</v>
      </c>
      <c r="G40" s="18" t="n">
        <v>5129.2</v>
      </c>
      <c r="H40" s="18" t="n">
        <v>4300.9</v>
      </c>
      <c r="I40" s="18" t="n">
        <v>4275.8</v>
      </c>
      <c r="J40" s="18" t="n">
        <v>4140.9</v>
      </c>
      <c r="K40" s="18" t="n">
        <v>4647.3</v>
      </c>
      <c r="L40" s="18" t="n">
        <v>4839.1</v>
      </c>
      <c r="M40" s="18" t="n">
        <v>4868.6</v>
      </c>
      <c r="N40" s="18" t="n">
        <v>5697.6</v>
      </c>
      <c r="O40" s="18" t="n">
        <v>6414.9</v>
      </c>
      <c r="P40" s="18" t="n">
        <v>5733.5</v>
      </c>
      <c r="Q40" s="18" t="n">
        <v>5405.8</v>
      </c>
      <c r="R40" s="18" t="n">
        <v>6413.6</v>
      </c>
      <c r="S40" s="18" t="n">
        <v>6048</v>
      </c>
      <c r="T40" s="18" t="n">
        <v>6477.6</v>
      </c>
      <c r="U40" s="18" t="n">
        <v>6446.7</v>
      </c>
      <c r="V40" s="18" t="n">
        <v>5918.8</v>
      </c>
      <c r="W40" s="18" t="n">
        <v>6849.7</v>
      </c>
      <c r="X40" s="18" t="n">
        <v>6242.7</v>
      </c>
      <c r="Y40" s="18" t="n">
        <v>6339.8</v>
      </c>
      <c r="Z40" s="18" t="n">
        <v>6899</v>
      </c>
      <c r="AA40" s="18" t="n">
        <v>7103.3</v>
      </c>
      <c r="AB40" s="18" t="n">
        <v>6895</v>
      </c>
      <c r="AC40" s="18" t="n">
        <v>8369</v>
      </c>
    </row>
    <row r="41">
      <c r="A41" s="4" t="inlineStr">
        <is>
          <t>PP&amp;E (net)</t>
        </is>
      </c>
      <c r="B41" s="18" t="n">
        <v>275</v>
      </c>
      <c r="C41" s="18" t="n">
        <v>296</v>
      </c>
      <c r="D41" s="18" t="n">
        <v>599</v>
      </c>
      <c r="E41" s="18" t="n">
        <v>581.4</v>
      </c>
      <c r="F41" s="18" t="n">
        <v>621</v>
      </c>
      <c r="G41" s="18" t="n">
        <v>606.8</v>
      </c>
      <c r="H41" s="18" t="n">
        <v>589.1</v>
      </c>
      <c r="I41" s="18" t="n">
        <v>582.8</v>
      </c>
      <c r="J41" s="18" t="n">
        <v>581.4</v>
      </c>
      <c r="K41" s="18" t="n">
        <v>581.3</v>
      </c>
      <c r="L41" s="18" t="n">
        <v>576.1</v>
      </c>
      <c r="M41" s="18" t="n">
        <v>601.5</v>
      </c>
      <c r="N41" s="18" t="n">
        <v>595.5</v>
      </c>
      <c r="O41" s="18" t="n">
        <v>599.8</v>
      </c>
      <c r="P41" s="18" t="n">
        <v>614.1</v>
      </c>
      <c r="Q41" s="18" t="n">
        <v>595.8</v>
      </c>
      <c r="R41" s="18" t="n">
        <v>590</v>
      </c>
      <c r="S41" s="18" t="n">
        <v>617.8</v>
      </c>
      <c r="T41" s="18" t="n">
        <v>626.9</v>
      </c>
      <c r="U41" s="18" t="n">
        <v>708.1</v>
      </c>
      <c r="V41" s="18" t="n">
        <v>720</v>
      </c>
      <c r="W41" s="18" t="n">
        <v>747</v>
      </c>
      <c r="X41" s="18" t="n">
        <v>750</v>
      </c>
      <c r="Y41" s="18" t="n">
        <v>731.1</v>
      </c>
      <c r="Z41" s="18" t="n">
        <v>724.3</v>
      </c>
      <c r="AA41" s="18" t="n">
        <v>734.3</v>
      </c>
      <c r="AB41" s="18" t="n">
        <v>747</v>
      </c>
      <c r="AC41" s="18" t="n">
        <v>853</v>
      </c>
    </row>
    <row r="42">
      <c r="A42" s="4" t="inlineStr">
        <is>
          <t>Total Assets</t>
        </is>
      </c>
      <c r="B42" s="18" t="n">
        <v>6261.8</v>
      </c>
      <c r="C42" s="18" t="n">
        <v>6592.2</v>
      </c>
      <c r="D42" s="18" t="n">
        <v>6824.8</v>
      </c>
      <c r="E42" s="18" t="n">
        <v>7184.1</v>
      </c>
      <c r="F42" s="18" t="n">
        <v>6501.8</v>
      </c>
      <c r="G42" s="18" t="n">
        <v>9065.4</v>
      </c>
      <c r="H42" s="18" t="n">
        <v>8726.5</v>
      </c>
      <c r="I42" s="18" t="n">
        <v>9488.4</v>
      </c>
      <c r="J42" s="18" t="n">
        <v>9562.1</v>
      </c>
      <c r="K42" s="18" t="n">
        <v>10241.6</v>
      </c>
      <c r="L42" s="18" t="n">
        <v>10426.4</v>
      </c>
      <c r="M42" s="18" t="n">
        <v>10400.5</v>
      </c>
      <c r="N42" s="18" t="n">
        <v>11100</v>
      </c>
      <c r="O42" s="18" t="n">
        <v>12253.6</v>
      </c>
      <c r="P42" s="18" t="n">
        <v>12543.8</v>
      </c>
      <c r="Q42" s="18" t="n">
        <v>13163.4</v>
      </c>
      <c r="R42" s="18" t="n">
        <v>14170.5</v>
      </c>
      <c r="S42" s="18" t="n">
        <v>14501.1</v>
      </c>
      <c r="T42" s="18" t="n">
        <v>14808.5</v>
      </c>
      <c r="U42" s="18" t="n">
        <v>18292</v>
      </c>
      <c r="V42" s="18" t="n">
        <v>17930.8</v>
      </c>
      <c r="W42" s="18" t="n">
        <v>19990.9</v>
      </c>
      <c r="X42" s="18" t="n">
        <v>20374.6</v>
      </c>
      <c r="Y42" s="18" t="n">
        <v>20951.7</v>
      </c>
      <c r="Z42" s="18" t="n">
        <v>22002.8</v>
      </c>
      <c r="AA42" s="18" t="n">
        <v>23576.2</v>
      </c>
      <c r="AB42" s="18" t="n">
        <v>23536</v>
      </c>
      <c r="AC42" s="18" t="n">
        <v>24979</v>
      </c>
    </row>
    <row r="43">
      <c r="A43" s="4" t="inlineStr">
        <is>
          <t>Total Current Liabilities</t>
        </is>
      </c>
      <c r="B43" s="18" t="n">
        <v>1998.8</v>
      </c>
      <c r="C43" s="18" t="n">
        <v>2053.3</v>
      </c>
      <c r="D43" s="18" t="n">
        <v>2051.6</v>
      </c>
      <c r="E43" s="18" t="n">
        <v>2239.5</v>
      </c>
      <c r="F43" s="18" t="n">
        <v>2335.7</v>
      </c>
      <c r="G43" s="18" t="n">
        <v>2691.7</v>
      </c>
      <c r="H43" s="18" t="n">
        <v>2635.1</v>
      </c>
      <c r="I43" s="18" t="n">
        <v>4376.3</v>
      </c>
      <c r="J43" s="18" t="n">
        <v>3007.3</v>
      </c>
      <c r="K43" s="18" t="n">
        <v>5116.7</v>
      </c>
      <c r="L43" s="18" t="n">
        <v>7144.4</v>
      </c>
      <c r="M43" s="18" t="n">
        <v>7406.4</v>
      </c>
      <c r="N43" s="18" t="n">
        <v>7677.2</v>
      </c>
      <c r="O43" s="18" t="n">
        <v>8306.299999999999</v>
      </c>
      <c r="P43" s="18" t="n">
        <v>8195.1</v>
      </c>
      <c r="Q43" s="18" t="n">
        <v>8475.1</v>
      </c>
      <c r="R43" s="18" t="n">
        <v>8641.200000000001</v>
      </c>
      <c r="S43" s="18" t="n">
        <v>7737.5</v>
      </c>
      <c r="T43" s="18" t="n">
        <v>7513.4</v>
      </c>
      <c r="U43" s="18" t="n">
        <v>7765.5</v>
      </c>
      <c r="V43" s="18" t="n">
        <v>7084.8</v>
      </c>
      <c r="W43" s="18" t="n">
        <v>7682.7</v>
      </c>
      <c r="X43" s="18" t="n">
        <v>7402.7</v>
      </c>
      <c r="Y43" s="18" t="n">
        <v>7552.2</v>
      </c>
      <c r="Z43" s="18" t="n">
        <v>7705.6</v>
      </c>
      <c r="AA43" s="18" t="n">
        <v>7988</v>
      </c>
      <c r="AB43" s="18" t="n">
        <v>7418</v>
      </c>
      <c r="AC43" s="18" t="n">
        <v>8009</v>
      </c>
    </row>
    <row r="44">
      <c r="A44" s="4" t="inlineStr">
        <is>
          <t>Long-term Debt</t>
        </is>
      </c>
      <c r="B44" s="18" t="n">
        <v>1414.7</v>
      </c>
      <c r="C44" s="18" t="n">
        <v>1430</v>
      </c>
      <c r="D44" s="18" t="n">
        <v>1445.5</v>
      </c>
      <c r="E44" s="18" t="n">
        <v>1461.2</v>
      </c>
      <c r="F44" s="18" t="n">
        <v>1477</v>
      </c>
      <c r="G44" s="18" t="n">
        <v>3084.1</v>
      </c>
      <c r="H44" s="18" t="n">
        <v>3119.2</v>
      </c>
      <c r="I44" s="18" t="n">
        <v>1629.1</v>
      </c>
      <c r="J44" s="18" t="n">
        <v>3190.6</v>
      </c>
      <c r="K44" s="18" t="n">
        <v>1668.1</v>
      </c>
      <c r="L44" s="18" t="n">
        <v>0</v>
      </c>
      <c r="M44" s="18" t="n">
        <v>0</v>
      </c>
      <c r="N44" s="18" t="n">
        <v>0</v>
      </c>
      <c r="O44" s="18" t="n">
        <v>0</v>
      </c>
      <c r="P44" s="18" t="n">
        <v>0</v>
      </c>
      <c r="Q44" s="18" t="n">
        <v>0</v>
      </c>
      <c r="R44" s="18" t="n">
        <v>0</v>
      </c>
      <c r="S44" s="18" t="n">
        <v>0</v>
      </c>
      <c r="T44" s="18" t="n">
        <v>0</v>
      </c>
      <c r="U44" s="18" t="n">
        <v>0</v>
      </c>
      <c r="V44" s="18" t="n">
        <v>0</v>
      </c>
      <c r="W44" s="18" t="n">
        <v>0</v>
      </c>
      <c r="X44" s="18" t="n">
        <v>0</v>
      </c>
      <c r="Y44" s="18" t="n">
        <v>0</v>
      </c>
      <c r="Z44" s="18" t="n">
        <v>0</v>
      </c>
      <c r="AA44" s="18" t="n">
        <v>0</v>
      </c>
      <c r="AB44" s="18" t="n">
        <v>346</v>
      </c>
      <c r="AC44" s="18" t="n">
        <v>372</v>
      </c>
    </row>
    <row r="45">
      <c r="A45" s="4" t="inlineStr">
        <is>
          <t>Total Equity</t>
        </is>
      </c>
      <c r="B45" s="18" t="n">
        <v>1454.6</v>
      </c>
      <c r="C45" s="18" t="n">
        <v>1586.3</v>
      </c>
      <c r="D45" s="18" t="n">
        <v>1516.4</v>
      </c>
      <c r="E45" s="18" t="n">
        <v>1608.5</v>
      </c>
      <c r="F45" s="18" t="n">
        <v>744.7</v>
      </c>
      <c r="G45" s="18" t="n">
        <v>1101.8</v>
      </c>
      <c r="H45" s="18" t="n">
        <v>747</v>
      </c>
      <c r="I45" s="18" t="n">
        <v>1198.5</v>
      </c>
      <c r="J45" s="18" t="n">
        <v>997.2</v>
      </c>
      <c r="K45" s="18" t="n">
        <v>763.6</v>
      </c>
      <c r="L45" s="18" t="n">
        <v>518.9</v>
      </c>
      <c r="M45" s="18" t="n">
        <v>117.8</v>
      </c>
      <c r="N45" s="18" t="n">
        <v>337.6</v>
      </c>
      <c r="O45" s="18" t="n">
        <v>210</v>
      </c>
      <c r="P45" s="18" t="n">
        <v>508</v>
      </c>
      <c r="Q45" s="18" t="n">
        <v>729</v>
      </c>
      <c r="R45" s="18" t="n">
        <v>1232.4</v>
      </c>
      <c r="S45" s="18" t="n">
        <v>1748.4</v>
      </c>
      <c r="T45" s="18" t="n">
        <v>2170.5</v>
      </c>
      <c r="U45" s="18" t="n">
        <v>4357.2</v>
      </c>
      <c r="V45" s="18" t="n">
        <v>4467.8</v>
      </c>
      <c r="W45" s="18" t="n">
        <v>5169.7</v>
      </c>
      <c r="X45" s="18" t="n">
        <v>5911.8</v>
      </c>
      <c r="Y45" s="18" t="n">
        <v>6375.3</v>
      </c>
      <c r="Z45" s="18" t="n">
        <v>7230.5</v>
      </c>
      <c r="AA45" s="18" t="n">
        <v>7824.4</v>
      </c>
      <c r="AB45" s="18" t="n">
        <v>8665</v>
      </c>
      <c r="AC45" s="18" t="n">
        <v>9393</v>
      </c>
    </row>
    <row r="46">
      <c r="A46" s="5" t="inlineStr">
        <is>
          <t xml:space="preserve">  CASH FLOW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</row>
    <row r="47">
      <c r="A47" s="4" t="inlineStr">
        <is>
          <t>D&amp;A</t>
        </is>
      </c>
      <c r="B47" s="18" t="n">
        <v>40.3</v>
      </c>
      <c r="C47" s="18" t="n">
        <v>42.2</v>
      </c>
      <c r="D47" s="18" t="n">
        <v>54.4</v>
      </c>
      <c r="E47" s="18" t="n">
        <v>59.1</v>
      </c>
      <c r="F47" s="18" t="n">
        <v>66.3</v>
      </c>
      <c r="G47" s="18" t="n">
        <v>73.7</v>
      </c>
      <c r="H47" s="18" t="n">
        <v>68</v>
      </c>
      <c r="I47" s="18" t="n">
        <v>75.59999999999999</v>
      </c>
      <c r="J47" s="18" t="n">
        <v>80.59999999999999</v>
      </c>
      <c r="K47" s="18" t="n">
        <v>80.7</v>
      </c>
      <c r="L47" s="18" t="n">
        <v>81.7</v>
      </c>
      <c r="M47" s="18" t="n">
        <v>82.09999999999999</v>
      </c>
      <c r="N47" s="18" t="n">
        <v>83.8</v>
      </c>
      <c r="O47" s="18" t="n">
        <v>35</v>
      </c>
      <c r="P47" s="18" t="n">
        <v>70.7</v>
      </c>
      <c r="Q47" s="18" t="n">
        <v>69.90000000000001</v>
      </c>
      <c r="R47" s="18" t="n">
        <v>175.5</v>
      </c>
      <c r="S47" s="18" t="n">
        <v>69.3</v>
      </c>
      <c r="T47" s="18" t="n">
        <v>64.3</v>
      </c>
      <c r="U47" s="18" t="n">
        <v>68.59999999999999</v>
      </c>
      <c r="V47" s="18" t="n">
        <v>185.4</v>
      </c>
      <c r="W47" s="18" t="n">
        <v>76.09999999999999</v>
      </c>
      <c r="X47" s="18" t="n">
        <v>83.90000000000001</v>
      </c>
      <c r="Y47" s="18" t="n">
        <v>87.59999999999999</v>
      </c>
      <c r="Z47" s="18" t="n">
        <v>88.09999999999999</v>
      </c>
      <c r="AA47" s="18" t="n">
        <v>42.7</v>
      </c>
      <c r="AB47" s="18" t="n">
        <v>215</v>
      </c>
      <c r="AC47" s="18" t="n">
        <v>-87</v>
      </c>
    </row>
    <row r="48">
      <c r="A48" s="4" t="inlineStr">
        <is>
          <t>Stock-based Compensation</t>
        </is>
      </c>
      <c r="B48" s="18" t="n">
        <v>138.2</v>
      </c>
      <c r="C48" s="18" t="n">
        <v>150.2</v>
      </c>
      <c r="D48" s="18" t="n">
        <v>149.9</v>
      </c>
      <c r="E48" s="18" t="n">
        <v>168.5</v>
      </c>
      <c r="F48" s="18" t="n">
        <v>165.8</v>
      </c>
      <c r="G48" s="18" t="n">
        <v>174.2</v>
      </c>
      <c r="H48" s="18" t="n">
        <v>205.8</v>
      </c>
      <c r="I48" s="18" t="n">
        <v>225.6</v>
      </c>
      <c r="J48" s="18" t="n">
        <v>233.1</v>
      </c>
      <c r="K48" s="18" t="n">
        <v>230</v>
      </c>
      <c r="L48" s="18" t="n">
        <v>259.1</v>
      </c>
      <c r="M48" s="18" t="n">
        <v>265.1</v>
      </c>
      <c r="N48" s="18" t="n">
        <v>247.3</v>
      </c>
      <c r="O48" s="18" t="n">
        <v>239.6</v>
      </c>
      <c r="P48" s="18" t="n">
        <v>266</v>
      </c>
      <c r="Q48" s="18" t="n">
        <v>283.3</v>
      </c>
      <c r="R48" s="18" t="n">
        <v>271</v>
      </c>
      <c r="S48" s="18" t="n">
        <v>254.2</v>
      </c>
      <c r="T48" s="18" t="n">
        <v>271</v>
      </c>
      <c r="U48" s="18" t="n">
        <v>272</v>
      </c>
      <c r="V48" s="18" t="n">
        <v>263.5</v>
      </c>
      <c r="W48" s="18" t="n">
        <v>268.9</v>
      </c>
      <c r="X48" s="18" t="n">
        <v>294.3</v>
      </c>
      <c r="Y48" s="18" t="n">
        <v>320.5</v>
      </c>
      <c r="Z48" s="18" t="n">
        <v>325.9</v>
      </c>
      <c r="AA48" s="18" t="n">
        <v>354.4</v>
      </c>
      <c r="AB48" s="18" t="n">
        <v>0</v>
      </c>
      <c r="AC48" s="18" t="n">
        <v>671</v>
      </c>
    </row>
    <row r="49">
      <c r="A49" s="4" t="inlineStr">
        <is>
          <t>Change in Working Capital</t>
        </is>
      </c>
      <c r="B49" s="18" t="n">
        <v>57.6</v>
      </c>
      <c r="C49" s="18" t="n">
        <v>-0.8</v>
      </c>
      <c r="D49" s="18" t="n">
        <v>12.6</v>
      </c>
      <c r="E49" s="18" t="n">
        <v>86.5</v>
      </c>
      <c r="F49" s="18" t="n">
        <v>-62.1</v>
      </c>
      <c r="G49" s="18" t="n">
        <v>34.8</v>
      </c>
      <c r="H49" s="18" t="n">
        <v>249.7</v>
      </c>
      <c r="I49" s="18" t="n">
        <v>98.3</v>
      </c>
      <c r="J49" s="18" t="n">
        <v>-3.9</v>
      </c>
      <c r="K49" s="18" t="n">
        <v>4.5</v>
      </c>
      <c r="L49" s="18" t="n">
        <v>260.4</v>
      </c>
      <c r="M49" s="18" t="n">
        <v>137.3</v>
      </c>
      <c r="N49" s="18" t="n">
        <v>37.5</v>
      </c>
      <c r="O49" s="18" t="n">
        <v>85.59999999999999</v>
      </c>
      <c r="P49" s="18" t="n">
        <v>767.4</v>
      </c>
      <c r="Q49" s="18" t="n">
        <v>160</v>
      </c>
      <c r="R49" s="18" t="n">
        <v>-114.2</v>
      </c>
      <c r="S49" s="18" t="n">
        <v>-249.9</v>
      </c>
      <c r="T49" s="18" t="n">
        <v>892.6</v>
      </c>
      <c r="U49" s="18" t="n">
        <v>186</v>
      </c>
      <c r="V49" s="18" t="n">
        <v>-70.8</v>
      </c>
      <c r="W49" s="18" t="n">
        <v>-97.5</v>
      </c>
      <c r="X49" s="18" t="n">
        <v>799.9</v>
      </c>
      <c r="Y49" s="18" t="n">
        <v>-68.90000000000001</v>
      </c>
      <c r="Z49" s="18" t="n">
        <v>-53</v>
      </c>
      <c r="AA49" s="18" t="n">
        <v>244.8</v>
      </c>
      <c r="AB49" s="18" t="n">
        <v>845</v>
      </c>
      <c r="AC49" s="18" t="n">
        <v>-845</v>
      </c>
    </row>
    <row r="50">
      <c r="A50" s="4" t="inlineStr">
        <is>
          <t>Operating Cash Flow</t>
        </is>
      </c>
      <c r="B50" s="18" t="n">
        <v>296.4</v>
      </c>
      <c r="C50" s="18" t="n">
        <v>231.5</v>
      </c>
      <c r="D50" s="18" t="n">
        <v>225.2</v>
      </c>
      <c r="E50" s="18" t="n">
        <v>306.9</v>
      </c>
      <c r="F50" s="18" t="n">
        <v>169.9</v>
      </c>
      <c r="G50" s="18" t="n">
        <v>333.7</v>
      </c>
      <c r="H50" s="18" t="n">
        <v>534.9</v>
      </c>
      <c r="I50" s="18" t="n">
        <v>364.5</v>
      </c>
      <c r="J50" s="18" t="n">
        <v>277.8</v>
      </c>
      <c r="K50" s="18" t="n">
        <v>325.8</v>
      </c>
      <c r="L50" s="18" t="n">
        <v>588.9</v>
      </c>
      <c r="M50" s="18" t="n">
        <v>482.6</v>
      </c>
      <c r="N50" s="18" t="n">
        <v>389.5</v>
      </c>
      <c r="O50" s="18" t="n">
        <v>523.7</v>
      </c>
      <c r="P50" s="18" t="n">
        <v>1236.7</v>
      </c>
      <c r="Q50" s="18" t="n">
        <v>694.6</v>
      </c>
      <c r="R50" s="18" t="n">
        <v>432.1</v>
      </c>
      <c r="S50" s="18" t="n">
        <v>414.1</v>
      </c>
      <c r="T50" s="18" t="n">
        <v>1526</v>
      </c>
      <c r="U50" s="18" t="n">
        <v>690</v>
      </c>
      <c r="V50" s="18" t="n">
        <v>528.9</v>
      </c>
      <c r="W50" s="18" t="n">
        <v>512.7</v>
      </c>
      <c r="X50" s="18" t="n">
        <v>1509.6</v>
      </c>
      <c r="Y50" s="18" t="n">
        <v>556.9</v>
      </c>
      <c r="Z50" s="18" t="n">
        <v>628.7</v>
      </c>
      <c r="AA50" s="18" t="n">
        <v>1020.8</v>
      </c>
      <c r="AB50" s="18" t="n">
        <v>1771</v>
      </c>
      <c r="AC50" s="18" t="n">
        <v>554</v>
      </c>
    </row>
    <row r="51">
      <c r="A51" s="4" t="inlineStr">
        <is>
          <t>Capex</t>
        </is>
      </c>
      <c r="B51" s="18" t="n">
        <v>-20.3</v>
      </c>
      <c r="C51" s="18" t="n">
        <v>-53.1</v>
      </c>
      <c r="D51" s="18" t="n">
        <v>-47.2</v>
      </c>
      <c r="E51" s="18" t="n">
        <v>-49.1</v>
      </c>
      <c r="F51" s="18" t="n">
        <v>-86.3</v>
      </c>
      <c r="G51" s="18" t="n">
        <v>-31.8</v>
      </c>
      <c r="H51" s="18" t="n">
        <v>-29.6</v>
      </c>
      <c r="I51" s="18" t="n">
        <v>-32.1</v>
      </c>
      <c r="J51" s="18" t="n">
        <v>-26.9</v>
      </c>
      <c r="K51" s="18" t="n">
        <v>-27.4</v>
      </c>
      <c r="L51" s="18" t="n">
        <v>-34.6</v>
      </c>
      <c r="M51" s="18" t="n">
        <v>-80.7</v>
      </c>
      <c r="N51" s="18" t="n">
        <v>-38.3</v>
      </c>
      <c r="O51" s="18" t="n">
        <v>-39.2</v>
      </c>
      <c r="P51" s="18" t="n">
        <v>-39.6</v>
      </c>
      <c r="Q51" s="18" t="n">
        <v>-38.3</v>
      </c>
      <c r="R51" s="18" t="n">
        <v>-31.2</v>
      </c>
      <c r="S51" s="18" t="n">
        <v>-37.2</v>
      </c>
      <c r="T51" s="18" t="n">
        <v>-36.8</v>
      </c>
      <c r="U51" s="18" t="n">
        <v>-35.2</v>
      </c>
      <c r="V51" s="18" t="n">
        <v>-37.4</v>
      </c>
      <c r="W51" s="18" t="n">
        <v>-47.4</v>
      </c>
      <c r="X51" s="18" t="n">
        <v>-44.1</v>
      </c>
      <c r="Y51" s="18" t="n">
        <v>-47.5</v>
      </c>
      <c r="Z51" s="18" t="n">
        <v>-68.3</v>
      </c>
      <c r="AA51" s="18" t="n">
        <v>159.9</v>
      </c>
      <c r="AB51" s="18" t="n">
        <v>-84</v>
      </c>
      <c r="AC51" s="18" t="n">
        <v>84</v>
      </c>
    </row>
    <row r="52">
      <c r="A52" s="4" t="inlineStr">
        <is>
          <t>Free Cash Flow</t>
        </is>
      </c>
      <c r="B52" s="18" t="n">
        <v>276.1</v>
      </c>
      <c r="C52" s="18" t="n">
        <v>178.4</v>
      </c>
      <c r="D52" s="18" t="n">
        <v>178</v>
      </c>
      <c r="E52" s="18" t="n">
        <v>257.8</v>
      </c>
      <c r="F52" s="18" t="n">
        <v>83.59999999999999</v>
      </c>
      <c r="G52" s="18" t="n">
        <v>301.9</v>
      </c>
      <c r="H52" s="18" t="n">
        <v>505.3</v>
      </c>
      <c r="I52" s="18" t="n">
        <v>332.4</v>
      </c>
      <c r="J52" s="18" t="n">
        <v>250.9</v>
      </c>
      <c r="K52" s="18" t="n">
        <v>298.4</v>
      </c>
      <c r="L52" s="18" t="n">
        <v>554.3</v>
      </c>
      <c r="M52" s="18" t="n">
        <v>401.9</v>
      </c>
      <c r="N52" s="18" t="n">
        <v>351.2</v>
      </c>
      <c r="O52" s="18" t="n">
        <v>484.5</v>
      </c>
      <c r="P52" s="18" t="n">
        <v>1197.1</v>
      </c>
      <c r="Q52" s="18" t="n">
        <v>656.3</v>
      </c>
      <c r="R52" s="18" t="n">
        <v>400.9</v>
      </c>
      <c r="S52" s="18" t="n">
        <v>376.9</v>
      </c>
      <c r="T52" s="18" t="n">
        <v>1489.2</v>
      </c>
      <c r="U52" s="18" t="n">
        <v>654.8</v>
      </c>
      <c r="V52" s="18" t="n">
        <v>491.5</v>
      </c>
      <c r="W52" s="18" t="n">
        <v>465.3</v>
      </c>
      <c r="X52" s="18" t="n">
        <v>1465.5</v>
      </c>
      <c r="Y52" s="18" t="n">
        <v>509.4</v>
      </c>
      <c r="Z52" s="18" t="n">
        <v>560.4</v>
      </c>
      <c r="AA52" s="18" t="n">
        <v>1180.7</v>
      </c>
      <c r="AB52" s="18" t="n">
        <v>1687</v>
      </c>
      <c r="AC52" s="18" t="n">
        <v>638</v>
      </c>
    </row>
    <row r="54">
      <c r="A54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5" t="n">
        <v>2026</v>
      </c>
      <c r="C2" s="45" t="n">
        <v>2027</v>
      </c>
      <c r="D2" s="45" t="n">
        <v>2028</v>
      </c>
      <c r="E2" s="45" t="n">
        <v>2029</v>
      </c>
      <c r="F2" s="45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11288.277083</v>
      </c>
      <c r="C4" s="18" t="n">
        <v>13559.365403</v>
      </c>
      <c r="D4" s="18" t="n">
        <v>15467.904103</v>
      </c>
      <c r="E4" s="18" t="n">
        <v>17359.75</v>
      </c>
      <c r="F4" s="18" t="n">
        <v>19550.5</v>
      </c>
    </row>
    <row r="5">
      <c r="A5" s="4" t="inlineStr">
        <is>
          <t xml:space="preserve">  model</t>
        </is>
      </c>
      <c r="B5" s="33">
        <f>Model!G10</f>
        <v/>
      </c>
      <c r="C5" s="33">
        <f>Model!H10</f>
        <v/>
      </c>
      <c r="D5" s="33">
        <f>Model!I10</f>
        <v/>
      </c>
      <c r="E5" s="33">
        <f>Model!J10</f>
        <v/>
      </c>
      <c r="F5" s="33">
        <f>Model!K10</f>
        <v/>
      </c>
    </row>
    <row r="6">
      <c r="A6" s="4" t="inlineStr">
        <is>
          <t xml:space="preserve">  vs consensus</t>
        </is>
      </c>
      <c r="B6" s="46">
        <f>IFERROR(B5/B4-1,"")</f>
        <v/>
      </c>
      <c r="C6" s="46">
        <f>IFERROR(C5/C4-1,"")</f>
        <v/>
      </c>
      <c r="D6" s="46">
        <f>IFERROR(D5/D4-1,"")</f>
        <v/>
      </c>
      <c r="E6" s="46">
        <f>IFERROR(E5/E4-1,"")</f>
        <v/>
      </c>
      <c r="F6" s="46">
        <f>IFERROR(F5/F4-1,"")</f>
        <v/>
      </c>
    </row>
    <row r="8">
      <c r="A8" s="3" t="inlineStr">
        <is>
          <t>EBITDA* — consensus</t>
        </is>
      </c>
      <c r="B8" s="18" t="n">
        <v>4849.233607</v>
      </c>
      <c r="C8" s="18" t="n">
        <v>5824.850853</v>
      </c>
      <c r="D8" s="18" t="n">
        <v>6644.723535</v>
      </c>
      <c r="E8" s="18" t="n">
        <v>7457.4253</v>
      </c>
      <c r="F8" s="18" t="n">
        <v>8398.530699999999</v>
      </c>
    </row>
    <row r="9">
      <c r="A9" s="4" t="inlineStr">
        <is>
          <t xml:space="preserve">  model</t>
        </is>
      </c>
      <c r="B9" s="33">
        <f>Model!G23+Model!G28</f>
        <v/>
      </c>
      <c r="C9" s="33">
        <f>Model!H23+Model!H28</f>
        <v/>
      </c>
      <c r="D9" s="33">
        <f>Model!I23+Model!I28</f>
        <v/>
      </c>
      <c r="E9" s="33">
        <f>Model!J23+Model!J28</f>
        <v/>
      </c>
      <c r="F9" s="33">
        <f>Model!K23+Model!K28</f>
        <v/>
      </c>
    </row>
    <row r="10">
      <c r="A10" s="4" t="inlineStr">
        <is>
          <t xml:space="preserve">  vs consensus</t>
        </is>
      </c>
      <c r="B10" s="46">
        <f>IFERROR(B9/B8-1,"")</f>
        <v/>
      </c>
      <c r="C10" s="46">
        <f>IFERROR(C9/C8-1,"")</f>
        <v/>
      </c>
      <c r="D10" s="46">
        <f>IFERROR(D9/D8-1,"")</f>
        <v/>
      </c>
      <c r="E10" s="46">
        <f>IFERROR(E9/E8-1,"")</f>
        <v/>
      </c>
      <c r="F10" s="46">
        <f>IFERROR(F9/F8-1,"")</f>
        <v/>
      </c>
    </row>
    <row r="12">
      <c r="A12" s="3" t="inlineStr">
        <is>
          <t>EBIT* — consensus</t>
        </is>
      </c>
      <c r="B12" s="18" t="n">
        <v>4663.125951</v>
      </c>
      <c r="C12" s="18" t="n">
        <v>5601.300201</v>
      </c>
      <c r="D12" s="18" t="n">
        <v>6389.707172</v>
      </c>
      <c r="E12" s="18" t="n">
        <v>7171.218437</v>
      </c>
      <c r="F12" s="18" t="n">
        <v>8076.205363</v>
      </c>
    </row>
    <row r="13">
      <c r="A13" s="4" t="inlineStr">
        <is>
          <t xml:space="preserve">  model</t>
        </is>
      </c>
      <c r="B13" s="33">
        <f>Model!G23</f>
        <v/>
      </c>
      <c r="C13" s="33">
        <f>Model!H23</f>
        <v/>
      </c>
      <c r="D13" s="33">
        <f>Model!I23</f>
        <v/>
      </c>
      <c r="E13" s="33">
        <f>Model!J23</f>
        <v/>
      </c>
      <c r="F13" s="33">
        <f>Model!K23</f>
        <v/>
      </c>
    </row>
    <row r="14">
      <c r="A14" s="4" t="inlineStr">
        <is>
          <t xml:space="preserve">  vs consensus</t>
        </is>
      </c>
      <c r="B14" s="46">
        <f>IFERROR(B13/B12-1,"")</f>
        <v/>
      </c>
      <c r="C14" s="46">
        <f>IFERROR(C13/C12-1,"")</f>
        <v/>
      </c>
      <c r="D14" s="46">
        <f>IFERROR(D13/D12-1,"")</f>
        <v/>
      </c>
      <c r="E14" s="46">
        <f>IFERROR(E13/E12-1,"")</f>
        <v/>
      </c>
      <c r="F14" s="46">
        <f>IFERROR(F13/F12-1,"")</f>
        <v/>
      </c>
    </row>
    <row r="16">
      <c r="A16" s="3" t="inlineStr">
        <is>
          <t>SG&amp;A — consensus</t>
        </is>
      </c>
      <c r="B16" s="18" t="n">
        <v>5010.423024</v>
      </c>
      <c r="C16" s="18" t="n">
        <v>6018.469967</v>
      </c>
      <c r="D16" s="18" t="n">
        <v>6865.595368</v>
      </c>
      <c r="E16" s="18" t="n">
        <v>7705.311488</v>
      </c>
      <c r="F16" s="18" t="n">
        <v>8677.699406</v>
      </c>
    </row>
    <row r="17">
      <c r="A17" s="4" t="inlineStr">
        <is>
          <t xml:space="preserve">  model</t>
        </is>
      </c>
      <c r="B17" s="33">
        <f>Model!G18</f>
        <v/>
      </c>
      <c r="C17" s="33">
        <f>Model!H18</f>
        <v/>
      </c>
      <c r="D17" s="33">
        <f>Model!I18</f>
        <v/>
      </c>
      <c r="E17" s="33">
        <f>Model!J18</f>
        <v/>
      </c>
      <c r="F17" s="33">
        <f>Model!K18</f>
        <v/>
      </c>
    </row>
    <row r="18">
      <c r="A18" s="4" t="inlineStr">
        <is>
          <t xml:space="preserve">  vs consensus</t>
        </is>
      </c>
      <c r="B18" s="46">
        <f>IFERROR(B17/B16-1,"")</f>
        <v/>
      </c>
      <c r="C18" s="46">
        <f>IFERROR(C17/C16-1,"")</f>
        <v/>
      </c>
      <c r="D18" s="46">
        <f>IFERROR(D17/D16-1,"")</f>
        <v/>
      </c>
      <c r="E18" s="46">
        <f>IFERROR(E17/E16-1,"")</f>
        <v/>
      </c>
      <c r="F18" s="46">
        <f>IFERROR(F17/F16-1,"")</f>
        <v/>
      </c>
    </row>
    <row r="20">
      <c r="A20" s="3" t="inlineStr">
        <is>
          <t>Net income (NOPAT) — consensus</t>
        </is>
      </c>
      <c r="B20" s="18" t="n">
        <v>2658.137218</v>
      </c>
      <c r="C20" s="18" t="n">
        <v>2887.230479</v>
      </c>
      <c r="D20" s="18" t="n">
        <v>2539.65791</v>
      </c>
      <c r="E20" s="18" t="n">
        <v>3475.570004</v>
      </c>
      <c r="F20" s="18" t="n">
        <v>0</v>
      </c>
    </row>
    <row r="21">
      <c r="A21" s="4" t="inlineStr">
        <is>
          <t xml:space="preserve">  model</t>
        </is>
      </c>
      <c r="B21" s="33">
        <f>Model!G27</f>
        <v/>
      </c>
      <c r="C21" s="33">
        <f>Model!H27</f>
        <v/>
      </c>
      <c r="D21" s="33">
        <f>Model!I27</f>
        <v/>
      </c>
      <c r="E21" s="33">
        <f>Model!J27</f>
        <v/>
      </c>
      <c r="F21" s="33">
        <f>Model!K27</f>
        <v/>
      </c>
    </row>
    <row r="22">
      <c r="A22" s="4" t="inlineStr">
        <is>
          <t xml:space="preserve">  vs consensus</t>
        </is>
      </c>
      <c r="B22" s="46">
        <f>IFERROR(B21/B20-1,"")</f>
        <v/>
      </c>
      <c r="C22" s="46">
        <f>IFERROR(C21/C20-1,"")</f>
        <v/>
      </c>
      <c r="D22" s="46">
        <f>IFERROR(D21/D20-1,"")</f>
        <v/>
      </c>
      <c r="E22" s="46">
        <f>IFERROR(E21/E20-1,"")</f>
        <v/>
      </c>
      <c r="F22" s="46">
        <f>IFERROR(F21/F20-1,"")</f>
        <v/>
      </c>
    </row>
    <row r="24">
      <c r="A24" s="3" t="inlineStr">
        <is>
          <t>EPS — consensus</t>
        </is>
      </c>
      <c r="B24" s="47" t="n">
        <v>3.68775</v>
      </c>
      <c r="C24" s="47" t="n">
        <v>3.97564</v>
      </c>
      <c r="D24" s="47" t="n">
        <v>4.62002</v>
      </c>
      <c r="E24" s="47" t="n">
        <v>4.9</v>
      </c>
      <c r="F24" s="47" t="n">
        <v>0</v>
      </c>
    </row>
    <row r="25">
      <c r="A25" s="4" t="inlineStr">
        <is>
          <t xml:space="preserve">  model</t>
        </is>
      </c>
      <c r="B25" s="8">
        <f>Model!G27/Financials!AC17</f>
        <v/>
      </c>
      <c r="C25" s="8">
        <f>Model!H27/Financials!AC17</f>
        <v/>
      </c>
      <c r="D25" s="8">
        <f>Model!I27/Financials!AC17</f>
        <v/>
      </c>
      <c r="E25" s="8">
        <f>Model!J27/Financials!AC17</f>
        <v/>
      </c>
      <c r="F25" s="8">
        <f>Model!K27/Financials!AC17</f>
        <v/>
      </c>
    </row>
    <row r="26">
      <c r="A26" s="4" t="inlineStr">
        <is>
          <t xml:space="preserve">  vs consensus</t>
        </is>
      </c>
      <c r="B26" s="46">
        <f>IFERROR(B25/B24-1,"")</f>
        <v/>
      </c>
      <c r="C26" s="46">
        <f>IFERROR(C25/C24-1,"")</f>
        <v/>
      </c>
      <c r="D26" s="46">
        <f>IFERROR(D25/D24-1,"")</f>
        <v/>
      </c>
      <c r="E26" s="46">
        <f>IFERROR(E25/E24-1,"")</f>
        <v/>
      </c>
      <c r="F26" s="46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Palo Alto Networks, Inc.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5" t="n">
        <v>2026</v>
      </c>
      <c r="D11" s="45" t="n">
        <v>2027</v>
      </c>
      <c r="E11" s="45" t="n">
        <v>2028</v>
      </c>
      <c r="F11" s="45" t="n">
        <v>2029</v>
      </c>
      <c r="G11" s="45" t="n">
        <v>2030</v>
      </c>
      <c r="H11" s="45" t="n">
        <v>2031</v>
      </c>
      <c r="I11" s="45" t="n">
        <v>2032</v>
      </c>
      <c r="J11" s="45" t="n">
        <v>2033</v>
      </c>
      <c r="K11" s="45" t="n">
        <v>2034</v>
      </c>
      <c r="L11" s="45" t="n">
        <v>2035</v>
      </c>
    </row>
    <row r="12">
      <c r="A12" s="4" t="inlineStr">
        <is>
          <t>FCFF ($M)</t>
        </is>
      </c>
      <c r="C12" s="33">
        <f>Model!G35</f>
        <v/>
      </c>
      <c r="D12" s="33">
        <f>Model!H35</f>
        <v/>
      </c>
      <c r="E12" s="33">
        <f>Model!I35</f>
        <v/>
      </c>
      <c r="F12" s="33">
        <f>Model!J35</f>
        <v/>
      </c>
      <c r="G12" s="33">
        <f>Model!K35</f>
        <v/>
      </c>
      <c r="H12" s="33">
        <f>Model!L35</f>
        <v/>
      </c>
      <c r="I12" s="33">
        <f>Model!M35</f>
        <v/>
      </c>
      <c r="J12" s="33">
        <f>Model!N35</f>
        <v/>
      </c>
      <c r="K12" s="33">
        <f>Model!O35</f>
        <v/>
      </c>
      <c r="L12" s="33">
        <f>Model!P35</f>
        <v/>
      </c>
    </row>
    <row r="13">
      <c r="A13" s="4" t="inlineStr">
        <is>
          <t>PV factor</t>
        </is>
      </c>
      <c r="C13" s="48">
        <f>1/(1+$B$3)^1</f>
        <v/>
      </c>
      <c r="D13" s="48">
        <f>1/(1+$B$3)^2</f>
        <v/>
      </c>
      <c r="E13" s="48">
        <f>1/(1+$B$3)^3</f>
        <v/>
      </c>
      <c r="F13" s="48">
        <f>1/(1+$B$3)^4</f>
        <v/>
      </c>
      <c r="G13" s="48">
        <f>1/(1+$B$3)^5</f>
        <v/>
      </c>
      <c r="H13" s="48">
        <f>1/(1+$B$3)^6</f>
        <v/>
      </c>
      <c r="I13" s="48">
        <f>1/(1+$B$3)^7</f>
        <v/>
      </c>
      <c r="J13" s="48">
        <f>1/(1+$B$3)^8</f>
        <v/>
      </c>
      <c r="K13" s="48">
        <f>1/(1+$B$3)^9</f>
        <v/>
      </c>
      <c r="L13" s="48">
        <f>1/(1+$B$3)^10</f>
        <v/>
      </c>
    </row>
    <row r="14">
      <c r="A14" s="4" t="inlineStr">
        <is>
          <t>PV of FCFF ($M)</t>
        </is>
      </c>
      <c r="C14" s="41">
        <f>C12*C13</f>
        <v/>
      </c>
      <c r="D14" s="41">
        <f>D12*D13</f>
        <v/>
      </c>
      <c r="E14" s="41">
        <f>E12*E13</f>
        <v/>
      </c>
      <c r="F14" s="41">
        <f>F12*F13</f>
        <v/>
      </c>
      <c r="G14" s="41">
        <f>G12*G13</f>
        <v/>
      </c>
      <c r="H14" s="41">
        <f>H12*H13</f>
        <v/>
      </c>
      <c r="I14" s="41">
        <f>I12*I13</f>
        <v/>
      </c>
      <c r="J14" s="41">
        <f>J12*J13</f>
        <v/>
      </c>
      <c r="K14" s="41">
        <f>K12*K13</f>
        <v/>
      </c>
      <c r="L14" s="41">
        <f>L12*L13</f>
        <v/>
      </c>
    </row>
    <row r="16">
      <c r="A16" s="3" t="inlineStr">
        <is>
          <t>Sum PV of FCFF</t>
        </is>
      </c>
      <c r="B16" s="42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1">
        <f>L12</f>
        <v/>
      </c>
    </row>
    <row r="20">
      <c r="A20" s="4" t="inlineStr">
        <is>
          <t>Terminal revenue</t>
        </is>
      </c>
      <c r="B20" s="33">
        <f>Model!P10</f>
        <v/>
      </c>
    </row>
    <row r="21">
      <c r="A21" s="4" t="inlineStr">
        <is>
          <t>Terminal EBIT</t>
        </is>
      </c>
      <c r="B21" s="33">
        <f>Model!P23</f>
        <v/>
      </c>
    </row>
    <row r="22">
      <c r="A22" s="4" t="inlineStr">
        <is>
          <t>Terminal EBITDA (SBC-burdened)</t>
        </is>
      </c>
      <c r="B22" s="33">
        <f>Model!P23+Model!P28-Model!P29</f>
        <v/>
      </c>
    </row>
    <row r="23">
      <c r="A23" s="4" t="inlineStr">
        <is>
          <t>Terminal metric (per exit basis)</t>
        </is>
      </c>
      <c r="B23" s="41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1">
        <f>B23*$B$8</f>
        <v/>
      </c>
    </row>
    <row r="25">
      <c r="A25" s="4" t="inlineStr">
        <is>
          <t>PV of TV — exit multiple</t>
        </is>
      </c>
      <c r="B25" s="41">
        <f>B24/(1+$B$3)^10</f>
        <v/>
      </c>
    </row>
    <row r="26">
      <c r="A26" s="4" t="inlineStr">
        <is>
          <t>TV (perpetuity) = FCFF(1+g)/(WACC-g)</t>
        </is>
      </c>
      <c r="B26" s="41">
        <f>B19*(1+$B$4)/($B$3-$B$4)</f>
        <v/>
      </c>
    </row>
    <row r="27">
      <c r="A27" s="4" t="inlineStr">
        <is>
          <t>PV of TV — perpetuity</t>
        </is>
      </c>
      <c r="B27" s="41">
        <f>B26/(1+$B$3)^10</f>
        <v/>
      </c>
    </row>
    <row r="28">
      <c r="A28" s="3" t="inlineStr">
        <is>
          <t>PV of TV — SELECTED</t>
        </is>
      </c>
      <c r="B28" s="42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2">
        <f>B16+B28</f>
        <v/>
      </c>
    </row>
    <row r="32">
      <c r="A32" s="4" t="inlineStr">
        <is>
          <t>+ Cash &amp; ST investments</t>
        </is>
      </c>
      <c r="B32" s="33">
        <f>Financials!AC39</f>
        <v/>
      </c>
    </row>
    <row r="33">
      <c r="A33" s="4" t="inlineStr">
        <is>
          <t>- Long-term debt</t>
        </is>
      </c>
      <c r="B33" s="33">
        <f>-Financials!AC44</f>
        <v/>
      </c>
    </row>
    <row r="34">
      <c r="A34" s="3" t="inlineStr">
        <is>
          <t>Equity value</t>
        </is>
      </c>
      <c r="B34" s="42">
        <f>B31+B32+B33</f>
        <v/>
      </c>
    </row>
    <row r="35">
      <c r="A35" s="4" t="inlineStr">
        <is>
          <t>Diluted shares (M)</t>
        </is>
      </c>
      <c r="B35" s="33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49">
        <f>-$B$2</f>
        <v/>
      </c>
      <c r="C44" s="50">
        <f>C12/B35</f>
        <v/>
      </c>
      <c r="D44" s="50">
        <f>D12/B35</f>
        <v/>
      </c>
      <c r="E44" s="50">
        <f>E12/B35</f>
        <v/>
      </c>
      <c r="F44" s="50">
        <f>F12/B35</f>
        <v/>
      </c>
      <c r="G44" s="50">
        <f>G12/B35</f>
        <v/>
      </c>
      <c r="H44" s="50">
        <f>H12/B35</f>
        <v/>
      </c>
      <c r="I44" s="50">
        <f>I12/B35</f>
        <v/>
      </c>
      <c r="J44" s="50">
        <f>J12/B35</f>
        <v/>
      </c>
      <c r="K44" s="50">
        <f>K12/B35</f>
        <v/>
      </c>
      <c r="L44" s="50">
        <f>L12/B35+B36</f>
        <v/>
      </c>
    </row>
    <row r="45">
      <c r="A45" s="3" t="inlineStr">
        <is>
          <t>IRR (buy at price, hold 10y)</t>
        </is>
      </c>
      <c r="B45" s="38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51" t="n">
        <v>0.06258496628528873</v>
      </c>
      <c r="C4" s="51" t="n">
        <v>0.06758496628528873</v>
      </c>
      <c r="D4" s="51" t="n">
        <v>0.07258496628528872</v>
      </c>
      <c r="E4" s="51" t="n">
        <v>0.07758496628528873</v>
      </c>
      <c r="F4" s="51" t="n">
        <v>0.08258496628528873</v>
      </c>
      <c r="G4" s="51" t="n">
        <v>0.08758496628528872</v>
      </c>
      <c r="H4" s="51" t="n">
        <v>0.09258496628528873</v>
      </c>
    </row>
    <row r="5">
      <c r="A5" s="52" t="n">
        <v>11.3</v>
      </c>
      <c r="B5" s="53" t="n">
        <v>76.56378446538642</v>
      </c>
      <c r="C5" s="53" t="n">
        <v>73.80705422911194</v>
      </c>
      <c r="D5" s="53" t="n">
        <v>71.1803870278482</v>
      </c>
      <c r="E5" s="53" t="n">
        <v>68.67692249703781</v>
      </c>
      <c r="F5" s="53" t="n">
        <v>66.29019541904181</v>
      </c>
      <c r="G5" s="53" t="n">
        <v>64.01411116304669</v>
      </c>
      <c r="H5" s="53" t="n">
        <v>61.84292275946744</v>
      </c>
    </row>
    <row r="6">
      <c r="A6" s="52" t="n">
        <v>12.3</v>
      </c>
      <c r="B6" s="53" t="n">
        <v>80.65495136305209</v>
      </c>
      <c r="C6" s="53" t="n">
        <v>77.71060087653947</v>
      </c>
      <c r="D6" s="53" t="n">
        <v>74.90573472888306</v>
      </c>
      <c r="E6" s="53" t="n">
        <v>72.23297881229223</v>
      </c>
      <c r="F6" s="53" t="n">
        <v>69.6853843770707</v>
      </c>
      <c r="G6" s="53" t="n">
        <v>67.25640156690879</v>
      </c>
      <c r="H6" s="53" t="n">
        <v>64.93985471674343</v>
      </c>
    </row>
    <row r="7">
      <c r="A7" s="52" t="n">
        <v>13.3</v>
      </c>
      <c r="B7" s="53" t="n">
        <v>84.74611826071778</v>
      </c>
      <c r="C7" s="53" t="n">
        <v>81.61414752396701</v>
      </c>
      <c r="D7" s="53" t="n">
        <v>78.63108242991791</v>
      </c>
      <c r="E7" s="53" t="n">
        <v>75.78903512754668</v>
      </c>
      <c r="F7" s="53" t="n">
        <v>73.0805733350996</v>
      </c>
      <c r="G7" s="53" t="n">
        <v>70.49869197077091</v>
      </c>
      <c r="H7" s="53" t="n">
        <v>68.03678667401942</v>
      </c>
    </row>
    <row r="8">
      <c r="A8" s="52" t="n">
        <v>14.3</v>
      </c>
      <c r="B8" s="53" t="n">
        <v>88.83728515838345</v>
      </c>
      <c r="C8" s="53" t="n">
        <v>85.51769417139452</v>
      </c>
      <c r="D8" s="53" t="n">
        <v>82.35643013095277</v>
      </c>
      <c r="E8" s="54" t="n">
        <v>79.34509144280111</v>
      </c>
      <c r="F8" s="53" t="n">
        <v>76.47576229312848</v>
      </c>
      <c r="G8" s="53" t="n">
        <v>73.74098237463301</v>
      </c>
      <c r="H8" s="53" t="n">
        <v>71.13371863129542</v>
      </c>
    </row>
    <row r="9">
      <c r="A9" s="52" t="n">
        <v>15.3</v>
      </c>
      <c r="B9" s="53" t="n">
        <v>92.92845205604914</v>
      </c>
      <c r="C9" s="53" t="n">
        <v>89.42124081882206</v>
      </c>
      <c r="D9" s="53" t="n">
        <v>86.08177783198764</v>
      </c>
      <c r="E9" s="53" t="n">
        <v>82.90114775805554</v>
      </c>
      <c r="F9" s="53" t="n">
        <v>79.87095125115738</v>
      </c>
      <c r="G9" s="53" t="n">
        <v>76.98327277849512</v>
      </c>
      <c r="H9" s="53" t="n">
        <v>74.23065058857142</v>
      </c>
    </row>
    <row r="10">
      <c r="A10" s="52" t="n">
        <v>16.3</v>
      </c>
      <c r="B10" s="53" t="n">
        <v>97.01961895371481</v>
      </c>
      <c r="C10" s="53" t="n">
        <v>93.3247874662496</v>
      </c>
      <c r="D10" s="53" t="n">
        <v>89.8071255330225</v>
      </c>
      <c r="E10" s="53" t="n">
        <v>86.45720407330997</v>
      </c>
      <c r="F10" s="53" t="n">
        <v>83.26614020918628</v>
      </c>
      <c r="G10" s="53" t="n">
        <v>80.22556318235723</v>
      </c>
      <c r="H10" s="53" t="n">
        <v>77.32758254584742</v>
      </c>
    </row>
    <row r="11">
      <c r="A11" s="52" t="n">
        <v>17.3</v>
      </c>
      <c r="B11" s="53" t="n">
        <v>101.1107858513805</v>
      </c>
      <c r="C11" s="53" t="n">
        <v>97.22833411367714</v>
      </c>
      <c r="D11" s="53" t="n">
        <v>93.53247323405736</v>
      </c>
      <c r="E11" s="53" t="n">
        <v>90.0132603885644</v>
      </c>
      <c r="F11" s="53" t="n">
        <v>86.66132916721517</v>
      </c>
      <c r="G11" s="53" t="n">
        <v>83.46785358621936</v>
      </c>
      <c r="H11" s="53" t="n">
        <v>80.42451450312339</v>
      </c>
    </row>
    <row r="13">
      <c r="A13" s="3" t="inlineStr">
        <is>
          <t>Current price</t>
        </is>
      </c>
      <c r="B13" s="53" t="n">
        <v>348.0599975585938</v>
      </c>
    </row>
    <row r="14">
      <c r="A14" s="3" t="inlineStr">
        <is>
          <t>Base WACC / multiple</t>
        </is>
      </c>
      <c r="B14" s="55" t="n">
        <v>0.07758496628528873</v>
      </c>
      <c r="C14" s="56" t="n">
        <v>14.3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Model!F10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49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Model!F24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49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8" t="n">
        <v>0.03278137436698222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49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8" t="n">
        <v>8.448664445879215e-17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49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(Model!P10/Model!F10)^(1/10)-1</f>
        <v/>
      </c>
      <c r="D6" s="15" t="n">
        <v>0.02998129750917488</v>
      </c>
      <c r="H6" s="4" t="inlineStr">
        <is>
          <t>nwc (% incr revenue)</t>
        </is>
      </c>
      <c r="I6" s="48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49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49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8" t="n">
        <v>0.7741892597276353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49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Financials!AC39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49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Financials!AC44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49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49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9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49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49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9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49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9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49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9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49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49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49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49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49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49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49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49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9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49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9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49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9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49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9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49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9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49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9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49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9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49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49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49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49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7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49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7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49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7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49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7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49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7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49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7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49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7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49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7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49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7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49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7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49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7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49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7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49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7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49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7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49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7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49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49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49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49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49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49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49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49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49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49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49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49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49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49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49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49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49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49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49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49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49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49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49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49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49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49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49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49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49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49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49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49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49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49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49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49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49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49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49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49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49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49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49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49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49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49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49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49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49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49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49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49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49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49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49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49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49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49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49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49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49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49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49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49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49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49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49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49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49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49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49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49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49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49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49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49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49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49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49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49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49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49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49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49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49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49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49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49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49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49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49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49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49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49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49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49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49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49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49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49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49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49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49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49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49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49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49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49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49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49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49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49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49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49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49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49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49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49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49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49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49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49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49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49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49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49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49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49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49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49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49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49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49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49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49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49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49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49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49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49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49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49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49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49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49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49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49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49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49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49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49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49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49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49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49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49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49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49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49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49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49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49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49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49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49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49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49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49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49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49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49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49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49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49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49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49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49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49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49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49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49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49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49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49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49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49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49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49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49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49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49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49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49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49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49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49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49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49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49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49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49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49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49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49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49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49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49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49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49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49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49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49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49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49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49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49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49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49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49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49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49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49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49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49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49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49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49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49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49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49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49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49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49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49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49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49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49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49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49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49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49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49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49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49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49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49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49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49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49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49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49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49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49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49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49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49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49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49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49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49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49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49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49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49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49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49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49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49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49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49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49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49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49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49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49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49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49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49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49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49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49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49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49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49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49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49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49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49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49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49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49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49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49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49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49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49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49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49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49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49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49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49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49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49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49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49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49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49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49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49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49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49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49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49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49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49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49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49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49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49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49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49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49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49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49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49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49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49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49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49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49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49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49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49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49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49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49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49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49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49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49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49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49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49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49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49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49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49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49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49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49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49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49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49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49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49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49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49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49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49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49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49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49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49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49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49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49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49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49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49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49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49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49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49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49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49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49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49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49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49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49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49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49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49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49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49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49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49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49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49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49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49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49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49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49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49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49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49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49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49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49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49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49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49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49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49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49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49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49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49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49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49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49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49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49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49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49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49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49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49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49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49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49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49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49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49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49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49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49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49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49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49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49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49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49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49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49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49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49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49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49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49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49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49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49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49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49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49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49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49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49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49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49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49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49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49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49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49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49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49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49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49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49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49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49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49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49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49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49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49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49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49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49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49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49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49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49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49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49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49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49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49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49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49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49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49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49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49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49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49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49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49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49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49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49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49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49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49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49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49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49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49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49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49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49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49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49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49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49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49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49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49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49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49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49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49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49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49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49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49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49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49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49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49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49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49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49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49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49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49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49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49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49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49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49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49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49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49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49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49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49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49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49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49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49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49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49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49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49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49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49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49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49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49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49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49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49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49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49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49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49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49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49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49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49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49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49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49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49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49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49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49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49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49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49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49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49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49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49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49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49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49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49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49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49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49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49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49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49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49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49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49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49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49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49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49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49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49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49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49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49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49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49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49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49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49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49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49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49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49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49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49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49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49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49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49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49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49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49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49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49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49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49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49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49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49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49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49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49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49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49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49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49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49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49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49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49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49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49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49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49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49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49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49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49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49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49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49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49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49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49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49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49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49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49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49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49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49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49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49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49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49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49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49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49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49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49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49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49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49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49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49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49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49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49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49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49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49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49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49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49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49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49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49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49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49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49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49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49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49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49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49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49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49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49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49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49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49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49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49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49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49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49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49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49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49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49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49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49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49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49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49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49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49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49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49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49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49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49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49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49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49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49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49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49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49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49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49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49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49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49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49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49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49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49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49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49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49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49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49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49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49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49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49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49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49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49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49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49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49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49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49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49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49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49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49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49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49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49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49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49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49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49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49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49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49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49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49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49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49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49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49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49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49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49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49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49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49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49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49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49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49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49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49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49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49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49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49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49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49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49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49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49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49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49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49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49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49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49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49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49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49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49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49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49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49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49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49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49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49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49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49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49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49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49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49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49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49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49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49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49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49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49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49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49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49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49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49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49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49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49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49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49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49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49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49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49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49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49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49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49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49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49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49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49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49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49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49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49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49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49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49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49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49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49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49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49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49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49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49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49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49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49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49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49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49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49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49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49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49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49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49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49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49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49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49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49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49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49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49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49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49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49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49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49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49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49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49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49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49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49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49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49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49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49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49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49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49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49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49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49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49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49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49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49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49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49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49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49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49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49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49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49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49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49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49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49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49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49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49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49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49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49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49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49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49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49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49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49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49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49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49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49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49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49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49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49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49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49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49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49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49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49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49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49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49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49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49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49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49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49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49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49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49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2026-07-07T01:09:07Z</dcterms:created>
  <dcterms:modified xmlns:dcterms="http://purl.org/dc/terms/" xmlns:xsi="http://www.w3.org/2001/XMLSchema-instance" xsi:type="dcterms:W3CDTF">2026-07-07T01:09:07Z</dcterms:modified>
</cp:coreProperties>
</file>