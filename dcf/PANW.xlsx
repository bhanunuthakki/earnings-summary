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Palo Alto Networks, Inc. (PANW)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Palo Alto Networks, Inc. (PANW)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</t>
        </is>
      </c>
      <c r="B20" s="50" t="n">
        <v>0.1902559044768962</v>
      </c>
      <c r="C20" s="50" t="n">
        <v>0.05</v>
      </c>
      <c r="D20" s="51" t="n">
        <v>0.1902559044768962</v>
      </c>
      <c r="E20" s="2" t="inlineStr"/>
    </row>
    <row r="21">
      <c r="A21" s="4" t="inlineStr">
        <is>
          <t>Support</t>
        </is>
      </c>
      <c r="B21" s="50" t="n">
        <v>0.11720224387912</v>
      </c>
      <c r="C21" s="50" t="n">
        <v>0.05</v>
      </c>
      <c r="D21" s="51" t="n">
        <v>0.11720224387912</v>
      </c>
      <c r="E21" s="2" t="inlineStr"/>
    </row>
    <row r="22">
      <c r="A22" s="4" t="inlineStr">
        <is>
          <t>Product</t>
        </is>
      </c>
      <c r="B22" s="50" t="n">
        <v>0.1406622383738268</v>
      </c>
      <c r="C22" s="50" t="n">
        <v>0.05</v>
      </c>
      <c r="D22" s="51" t="n">
        <v>0.1406622383738268</v>
      </c>
      <c r="E22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0.3098390432247535</v>
      </c>
      <c r="D29" s="51" t="n">
        <v>0.3098390432247535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0.2634322744461061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3.126388037344441e-14</v>
      </c>
      <c r="D34" s="18" t="n">
        <v>3.126388037344441e-14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0.77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275.6199951171875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</t>
        </is>
      </c>
      <c r="B4" s="28">
        <f>SUM(Financials!H19:K19)</f>
        <v/>
      </c>
      <c r="C4" s="28">
        <f>SUM(Financials!L19:O19)</f>
        <v/>
      </c>
      <c r="D4" s="28">
        <f>SUM(Financials!P19:S19)</f>
        <v/>
      </c>
      <c r="E4" s="28">
        <f>SUM(Financials!T19:W19)</f>
        <v/>
      </c>
      <c r="F4" s="28">
        <f>SUM(Financials!X19:AA19)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Support</t>
        </is>
      </c>
      <c r="B6" s="28">
        <f>SUM(Financials!H22:K22)</f>
        <v/>
      </c>
      <c r="C6" s="28">
        <f>SUM(Financials!L22:O22)</f>
        <v/>
      </c>
      <c r="D6" s="28">
        <f>SUM(Financials!P22:S22)</f>
        <v/>
      </c>
      <c r="E6" s="28">
        <f>SUM(Financials!T22:W22)</f>
        <v/>
      </c>
      <c r="F6" s="28">
        <f>SUM(Financials!X22:AA22)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Product</t>
        </is>
      </c>
      <c r="B8" s="28">
        <f>SUM(Financials!H25:K25)</f>
        <v/>
      </c>
      <c r="C8" s="28">
        <f>SUM(Financials!L25:O25)</f>
        <v/>
      </c>
      <c r="D8" s="28">
        <f>SUM(Financials!P25:S25)</f>
        <v/>
      </c>
      <c r="E8" s="28">
        <f>SUM(Financials!T25:W25)</f>
        <v/>
      </c>
      <c r="F8" s="28">
        <f>SUM(Financials!X25:AA25)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SUM(Financials!H5:K5)</f>
        <v/>
      </c>
      <c r="C14" s="28">
        <f>SUM(Financials!L5:O5)</f>
        <v/>
      </c>
      <c r="D14" s="28">
        <f>SUM(Financials!P5:S5)</f>
        <v/>
      </c>
      <c r="E14" s="28">
        <f>SUM(Financials!T5:W5)</f>
        <v/>
      </c>
      <c r="F14" s="28">
        <f>SUM(Financials!X5:AA5)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0.2658403548152726</v>
      </c>
      <c r="H15" s="50" t="n">
        <v>0.2658403548152726</v>
      </c>
      <c r="I15" s="50" t="n">
        <v>0.2658403548152726</v>
      </c>
      <c r="J15" s="50" t="n">
        <v>0.2658403548152726</v>
      </c>
      <c r="K15" s="50" t="n">
        <v>0.2658403548152726</v>
      </c>
      <c r="L15" s="50" t="n">
        <v>0.2658403548152726</v>
      </c>
      <c r="M15" s="50" t="n">
        <v>0.2658403548152726</v>
      </c>
      <c r="N15" s="50" t="n">
        <v>0.2658403548152726</v>
      </c>
      <c r="O15" s="50" t="n">
        <v>0.2658403548152726</v>
      </c>
      <c r="P15" s="50" t="n">
        <v>0.2658403548152726</v>
      </c>
    </row>
    <row r="16">
      <c r="A16" s="4" t="inlineStr">
        <is>
          <t>R&amp;D / Technology</t>
        </is>
      </c>
      <c r="B16" s="28">
        <f>SUM(Financials!H7:K7)</f>
        <v/>
      </c>
      <c r="C16" s="28">
        <f>SUM(Financials!L7:O7)</f>
        <v/>
      </c>
      <c r="D16" s="28">
        <f>SUM(Financials!P7:S7)</f>
        <v/>
      </c>
      <c r="E16" s="28">
        <f>SUM(Financials!T7:W7)</f>
        <v/>
      </c>
      <c r="F16" s="28">
        <f>SUM(Financials!X7:AA7)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0.2152206209267272</v>
      </c>
      <c r="H17" s="50" t="n">
        <v>0.2152206209267272</v>
      </c>
      <c r="I17" s="50" t="n">
        <v>0.2152206209267272</v>
      </c>
      <c r="J17" s="50" t="n">
        <v>0.2152206209267272</v>
      </c>
      <c r="K17" s="50" t="n">
        <v>0.2152206209267272</v>
      </c>
      <c r="L17" s="50" t="n">
        <v>0.2152206209267272</v>
      </c>
      <c r="M17" s="50" t="n">
        <v>0.2152206209267272</v>
      </c>
      <c r="N17" s="50" t="n">
        <v>0.2152206209267272</v>
      </c>
      <c r="O17" s="50" t="n">
        <v>0.2152206209267272</v>
      </c>
      <c r="P17" s="50" t="n">
        <v>0.2152206209267272</v>
      </c>
    </row>
    <row r="18">
      <c r="A18" s="4" t="inlineStr">
        <is>
          <t>SG&amp;A</t>
        </is>
      </c>
      <c r="B18" s="28">
        <f>SUM(Financials!H9:K9)</f>
        <v/>
      </c>
      <c r="C18" s="28">
        <f>SUM(Financials!L9:O9)</f>
        <v/>
      </c>
      <c r="D18" s="28">
        <f>SUM(Financials!P9:S9)</f>
        <v/>
      </c>
      <c r="E18" s="28">
        <f>SUM(Financials!T9:W9)</f>
        <v/>
      </c>
      <c r="F18" s="28">
        <f>SUM(Financials!X9:AA9)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0.3842133229231052</v>
      </c>
      <c r="H19" s="50" t="n">
        <v>0.3842133229231052</v>
      </c>
      <c r="I19" s="50" t="n">
        <v>0.3842133229231052</v>
      </c>
      <c r="J19" s="50" t="n">
        <v>0.3842133229231052</v>
      </c>
      <c r="K19" s="50" t="n">
        <v>0.3842133229231052</v>
      </c>
      <c r="L19" s="50" t="n">
        <v>0.3842133229231052</v>
      </c>
      <c r="M19" s="50" t="n">
        <v>0.3842133229231052</v>
      </c>
      <c r="N19" s="50" t="n">
        <v>0.3842133229231052</v>
      </c>
      <c r="O19" s="50" t="n">
        <v>0.3842133229231052</v>
      </c>
      <c r="P19" s="50" t="n">
        <v>0.3842133229231052</v>
      </c>
    </row>
    <row r="20">
      <c r="A20" s="4" t="inlineStr">
        <is>
          <t>Other opex (fulfilment, etc.)</t>
        </is>
      </c>
      <c r="B20" s="28">
        <f>B10-(B14+B16+B18)-SUM(Financials!H13:K13)</f>
        <v/>
      </c>
      <c r="C20" s="28">
        <f>C10-(C14+C16+C18)-SUM(Financials!L13:O13)</f>
        <v/>
      </c>
      <c r="D20" s="28">
        <f>D10-(D14+D16+D18)-SUM(Financials!P13:S13)</f>
        <v/>
      </c>
      <c r="E20" s="28">
        <f>E10-(E14+E16+E18)-SUM(Financials!T13:W13)</f>
        <v/>
      </c>
      <c r="F20" s="28">
        <f>F10-(F14+F16+F18)-SUM(Financials!X13:AA13)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SUM(Financials!H47:K47)</f>
        <v/>
      </c>
      <c r="C28" s="28">
        <f>SUM(Financials!L47:O47)</f>
        <v/>
      </c>
      <c r="D28" s="28">
        <f>SUM(Financials!P47:S47)</f>
        <v/>
      </c>
      <c r="E28" s="28">
        <f>SUM(Financials!T47:W47)</f>
        <v/>
      </c>
      <c r="F28" s="28">
        <f>SUM(Financials!X47:AA47)</f>
        <v/>
      </c>
      <c r="G28" s="32">
        <f>G10*0.0328</f>
        <v/>
      </c>
      <c r="H28" s="32">
        <f>H10*0.0328</f>
        <v/>
      </c>
      <c r="I28" s="32">
        <f>I10*0.0328</f>
        <v/>
      </c>
      <c r="J28" s="32">
        <f>J10*0.0328</f>
        <v/>
      </c>
      <c r="K28" s="32">
        <f>K10*0.0328</f>
        <v/>
      </c>
      <c r="L28" s="32">
        <f>L10*0.0328</f>
        <v/>
      </c>
      <c r="M28" s="32">
        <f>M10*0.0328</f>
        <v/>
      </c>
      <c r="N28" s="32">
        <f>N10*0.0328</f>
        <v/>
      </c>
      <c r="O28" s="32">
        <f>O10*0.0328</f>
        <v/>
      </c>
      <c r="P28" s="32">
        <f>P10*0.0328</f>
        <v/>
      </c>
    </row>
    <row r="29">
      <c r="A29" s="4" t="inlineStr">
        <is>
          <t>+ SBC (non-cash)</t>
        </is>
      </c>
      <c r="B29" s="28">
        <f>SUM(Financials!H48:K48)</f>
        <v/>
      </c>
      <c r="C29" s="28">
        <f>SUM(Financials!L48:O48)</f>
        <v/>
      </c>
      <c r="D29" s="28">
        <f>SUM(Financials!P48:S48)</f>
        <v/>
      </c>
      <c r="E29" s="28">
        <f>SUM(Financials!T48:W48)</f>
        <v/>
      </c>
      <c r="F29" s="28">
        <f>SUM(Financials!X48:AA48)</f>
        <v/>
      </c>
      <c r="G29" s="32">
        <f>G10*0.1404</f>
        <v/>
      </c>
      <c r="H29" s="32">
        <f>H10*0.1342</f>
        <v/>
      </c>
      <c r="I29" s="32">
        <f>I10*0.1280</f>
        <v/>
      </c>
      <c r="J29" s="32">
        <f>J10*0.1217</f>
        <v/>
      </c>
      <c r="K29" s="32">
        <f>K10*0.1155</f>
        <v/>
      </c>
      <c r="L29" s="32">
        <f>L10*0.1092</f>
        <v/>
      </c>
      <c r="M29" s="32">
        <f>M10*0.1030</f>
        <v/>
      </c>
      <c r="N29" s="32">
        <f>N10*0.0967</f>
        <v/>
      </c>
      <c r="O29" s="32">
        <f>O10*0.0905</f>
        <v/>
      </c>
      <c r="P29" s="32">
        <f>P10*0.0843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-SUM(Financials!H51:K51)</f>
        <v/>
      </c>
      <c r="C31" s="28">
        <f>-SUM(Financials!L51:O51)</f>
        <v/>
      </c>
      <c r="D31" s="28">
        <f>-SUM(Financials!P51:S51)</f>
        <v/>
      </c>
      <c r="E31" s="28">
        <f>-SUM(Financials!T51:W51)</f>
        <v/>
      </c>
      <c r="F31" s="28">
        <f>-SUM(Financials!X51:AA51)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Financials!K45+Financials!K44-Financials!K39</f>
        <v/>
      </c>
      <c r="C38" s="28">
        <f>Financials!O45+Financials!O44-Financials!O39</f>
        <v/>
      </c>
      <c r="D38" s="28">
        <f>Financials!S45+Financials!S44-Financials!S39</f>
        <v/>
      </c>
      <c r="E38" s="28">
        <f>Financials!W45+Financials!W44-Financials!W39</f>
        <v/>
      </c>
      <c r="F38" s="28">
        <f>Financials!AA45+Financials!AA44-Financials!AA39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Financials!K45</f>
        <v/>
      </c>
      <c r="C39" s="28">
        <f>Financials!O45</f>
        <v/>
      </c>
      <c r="D39" s="28">
        <f>Financials!S45</f>
        <v/>
      </c>
      <c r="E39" s="28">
        <f>Financials!W45</f>
        <v/>
      </c>
      <c r="F39" s="28">
        <f>Financials!AA45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IFERROR(SUM(Financials!L15:O15)/B39,"")</f>
        <v/>
      </c>
      <c r="D41" s="48">
        <f>IFERROR(SUM(Financials!P15:S15)/C39,"")</f>
        <v/>
      </c>
      <c r="E41" s="48">
        <f>IFERROR(SUM(Financials!T15:W15)/D39,"")</f>
        <v/>
      </c>
      <c r="F41" s="48">
        <f>IFERROR(SUM(Financials!X15:AA15)/E39,"")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Q3 2019</t>
        </is>
      </c>
      <c r="C1" s="36" t="inlineStr">
        <is>
          <t>Q4 2019</t>
        </is>
      </c>
      <c r="D1" s="36" t="inlineStr">
        <is>
          <t>Q1 2020</t>
        </is>
      </c>
      <c r="E1" s="36" t="inlineStr">
        <is>
          <t>Q2 2020</t>
        </is>
      </c>
      <c r="F1" s="36" t="inlineStr">
        <is>
          <t>Q3 2020</t>
        </is>
      </c>
      <c r="G1" s="36" t="inlineStr">
        <is>
          <t>Q4 2020</t>
        </is>
      </c>
      <c r="H1" s="36" t="inlineStr">
        <is>
          <t>Q1 2021</t>
        </is>
      </c>
      <c r="I1" s="36" t="inlineStr">
        <is>
          <t>Q2 2021</t>
        </is>
      </c>
      <c r="J1" s="36" t="inlineStr">
        <is>
          <t>Q3 2021</t>
        </is>
      </c>
      <c r="K1" s="36" t="inlineStr">
        <is>
          <t>Q4 2021</t>
        </is>
      </c>
      <c r="L1" s="36" t="inlineStr">
        <is>
          <t>Q1 2022</t>
        </is>
      </c>
      <c r="M1" s="36" t="inlineStr">
        <is>
          <t>Q2 2022</t>
        </is>
      </c>
      <c r="N1" s="36" t="inlineStr">
        <is>
          <t>Q3 2022</t>
        </is>
      </c>
      <c r="O1" s="36" t="inlineStr">
        <is>
          <t>Q4 2022</t>
        </is>
      </c>
      <c r="P1" s="36" t="inlineStr">
        <is>
          <t>Q1 2023</t>
        </is>
      </c>
      <c r="Q1" s="36" t="inlineStr">
        <is>
          <t>Q2 2023</t>
        </is>
      </c>
      <c r="R1" s="36" t="inlineStr">
        <is>
          <t>Q3 2023</t>
        </is>
      </c>
      <c r="S1" s="36" t="inlineStr">
        <is>
          <t>Q4 2023</t>
        </is>
      </c>
      <c r="T1" s="36" t="inlineStr">
        <is>
          <t>Q1 2024</t>
        </is>
      </c>
      <c r="U1" s="36" t="inlineStr">
        <is>
          <t>Q2 2024</t>
        </is>
      </c>
      <c r="V1" s="36" t="inlineStr">
        <is>
          <t>Q3 2024</t>
        </is>
      </c>
      <c r="W1" s="36" t="inlineStr">
        <is>
          <t>Q4 2024</t>
        </is>
      </c>
      <c r="X1" s="36" t="inlineStr">
        <is>
          <t>Q1 2025</t>
        </is>
      </c>
      <c r="Y1" s="36" t="inlineStr">
        <is>
          <t>Q2 2025</t>
        </is>
      </c>
      <c r="Z1" s="36" t="inlineStr">
        <is>
          <t>Q3 2025</t>
        </is>
      </c>
      <c r="AA1" s="36" t="inlineStr">
        <is>
          <t>Q4 2025</t>
        </is>
      </c>
      <c r="AB1" s="36" t="inlineStr">
        <is>
          <t>Q1 2026</t>
        </is>
      </c>
      <c r="AC1" s="3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726.6</v>
      </c>
      <c r="C3" s="18" t="n">
        <v>805.8</v>
      </c>
      <c r="D3" s="18" t="n">
        <v>771.9</v>
      </c>
      <c r="E3" s="18" t="n">
        <v>816.7</v>
      </c>
      <c r="F3" s="18" t="n">
        <v>869.4</v>
      </c>
      <c r="G3" s="18" t="n">
        <v>950.4</v>
      </c>
      <c r="H3" s="18" t="n">
        <v>946</v>
      </c>
      <c r="I3" s="18" t="n">
        <v>1016.9</v>
      </c>
      <c r="J3" s="18" t="n">
        <v>1073.9</v>
      </c>
      <c r="K3" s="18" t="n">
        <v>1219.3</v>
      </c>
      <c r="L3" s="18" t="n">
        <v>1247.4</v>
      </c>
      <c r="M3" s="18" t="n">
        <v>1316.9</v>
      </c>
      <c r="N3" s="18" t="n">
        <v>1386.7</v>
      </c>
      <c r="O3" s="18" t="n">
        <v>1550.5</v>
      </c>
      <c r="P3" s="18" t="n">
        <v>1563.4</v>
      </c>
      <c r="Q3" s="18" t="n">
        <v>1655.1</v>
      </c>
      <c r="R3" s="18" t="n">
        <v>1720.9</v>
      </c>
      <c r="S3" s="18" t="n">
        <v>1953.3</v>
      </c>
      <c r="T3" s="18" t="n">
        <v>1878.1</v>
      </c>
      <c r="U3" s="18" t="n">
        <v>1975.1</v>
      </c>
      <c r="V3" s="18" t="n">
        <v>1984.8</v>
      </c>
      <c r="W3" s="18" t="n">
        <v>2189.5</v>
      </c>
      <c r="X3" s="18" t="n">
        <v>2139</v>
      </c>
      <c r="Y3" s="18" t="n">
        <v>2257.4</v>
      </c>
      <c r="Z3" s="18" t="n">
        <v>2289</v>
      </c>
      <c r="AA3" s="18" t="n">
        <v>2536.3</v>
      </c>
      <c r="AB3" s="18" t="n">
        <v>2474</v>
      </c>
      <c r="AC3" s="18" t="n">
        <v>2594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204.9</v>
      </c>
      <c r="C5" s="18" t="n">
        <v>217.4</v>
      </c>
      <c r="D5" s="18" t="n">
        <v>217.7</v>
      </c>
      <c r="E5" s="18" t="n">
        <v>233.1</v>
      </c>
      <c r="F5" s="18" t="n">
        <v>258.3</v>
      </c>
      <c r="G5" s="18" t="n">
        <v>290.4</v>
      </c>
      <c r="H5" s="18" t="n">
        <v>277.8</v>
      </c>
      <c r="I5" s="18" t="n">
        <v>307.6</v>
      </c>
      <c r="J5" s="18" t="n">
        <v>330.6</v>
      </c>
      <c r="K5" s="18" t="n">
        <v>358.9</v>
      </c>
      <c r="L5" s="18" t="n">
        <v>380.6</v>
      </c>
      <c r="M5" s="18" t="n">
        <v>405.3</v>
      </c>
      <c r="N5" s="18" t="n">
        <v>440.5</v>
      </c>
      <c r="O5" s="18" t="n">
        <v>492.3</v>
      </c>
      <c r="P5" s="18" t="n">
        <v>461.9</v>
      </c>
      <c r="Q5" s="18" t="n">
        <v>466.2</v>
      </c>
      <c r="R5" s="18" t="n">
        <v>474.8</v>
      </c>
      <c r="S5" s="18" t="n">
        <v>506.8</v>
      </c>
      <c r="T5" s="18" t="n">
        <v>472.8</v>
      </c>
      <c r="U5" s="18" t="n">
        <v>499.1</v>
      </c>
      <c r="V5" s="18" t="n">
        <v>513.6</v>
      </c>
      <c r="W5" s="18" t="n">
        <v>573.7</v>
      </c>
      <c r="X5" s="18" t="n">
        <v>554</v>
      </c>
      <c r="Y5" s="18" t="n">
        <v>599.2</v>
      </c>
      <c r="Z5" s="18" t="n">
        <v>619.3</v>
      </c>
      <c r="AA5" s="18" t="n">
        <v>679</v>
      </c>
      <c r="AB5" s="18" t="n">
        <v>638</v>
      </c>
      <c r="AC5" s="18" t="n">
        <v>685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139.1</v>
      </c>
      <c r="C7" s="18" t="n">
        <v>158.7</v>
      </c>
      <c r="D7" s="18" t="n">
        <v>170.5</v>
      </c>
      <c r="E7" s="18" t="n">
        <v>185.4</v>
      </c>
      <c r="F7" s="18" t="n">
        <v>196.3</v>
      </c>
      <c r="G7" s="18" t="n">
        <v>215.9</v>
      </c>
      <c r="H7" s="18" t="n">
        <v>237.4</v>
      </c>
      <c r="I7" s="18" t="n">
        <v>266.7</v>
      </c>
      <c r="J7" s="18" t="n">
        <v>311</v>
      </c>
      <c r="K7" s="18" t="n">
        <v>325.3</v>
      </c>
      <c r="L7" s="18" t="n">
        <v>339.5</v>
      </c>
      <c r="M7" s="18" t="n">
        <v>359</v>
      </c>
      <c r="N7" s="18" t="n">
        <v>355.4</v>
      </c>
      <c r="O7" s="18" t="n">
        <v>363.8</v>
      </c>
      <c r="P7" s="18" t="n">
        <v>371.8</v>
      </c>
      <c r="Q7" s="18" t="n">
        <v>404.1</v>
      </c>
      <c r="R7" s="18" t="n">
        <v>413.7</v>
      </c>
      <c r="S7" s="18" t="n">
        <v>414.4</v>
      </c>
      <c r="T7" s="18" t="n">
        <v>409.5</v>
      </c>
      <c r="U7" s="18" t="n">
        <v>447.9</v>
      </c>
      <c r="V7" s="18" t="n">
        <v>457.2</v>
      </c>
      <c r="W7" s="18" t="n">
        <v>494.8</v>
      </c>
      <c r="X7" s="18" t="n">
        <v>481</v>
      </c>
      <c r="Y7" s="18" t="n">
        <v>505.7</v>
      </c>
      <c r="Z7" s="18" t="n">
        <v>494.5</v>
      </c>
      <c r="AA7" s="18" t="n">
        <v>503.5</v>
      </c>
      <c r="AB7" s="18" t="n">
        <v>528</v>
      </c>
      <c r="AC7" s="18" t="n">
        <v>511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401.3</v>
      </c>
      <c r="C9" s="18" t="n">
        <v>439.6</v>
      </c>
      <c r="D9" s="18" t="n">
        <v>435.5</v>
      </c>
      <c r="E9" s="18" t="n">
        <v>451.1</v>
      </c>
      <c r="F9" s="18" t="n">
        <v>471.3</v>
      </c>
      <c r="G9" s="18" t="n">
        <v>461.9</v>
      </c>
      <c r="H9" s="18" t="n">
        <v>475.3</v>
      </c>
      <c r="I9" s="18" t="n">
        <v>531.4</v>
      </c>
      <c r="J9" s="18" t="n">
        <v>542.7</v>
      </c>
      <c r="K9" s="18" t="n">
        <v>595.5</v>
      </c>
      <c r="L9" s="18" t="n">
        <v>610</v>
      </c>
      <c r="M9" s="18" t="n">
        <v>626.5</v>
      </c>
      <c r="N9" s="18" t="n">
        <v>638.4</v>
      </c>
      <c r="O9" s="18" t="n">
        <v>679</v>
      </c>
      <c r="P9" s="18" t="n">
        <v>714.5</v>
      </c>
      <c r="Q9" s="18" t="n">
        <v>744.9</v>
      </c>
      <c r="R9" s="18" t="n">
        <v>753.7</v>
      </c>
      <c r="S9" s="18" t="n">
        <v>778.6</v>
      </c>
      <c r="T9" s="18" t="n">
        <v>780.6</v>
      </c>
      <c r="U9" s="18" t="n">
        <v>974.5</v>
      </c>
      <c r="V9" s="18" t="n">
        <v>837.3</v>
      </c>
      <c r="W9" s="18" t="n">
        <v>882.6</v>
      </c>
      <c r="X9" s="18" t="n">
        <v>818</v>
      </c>
      <c r="Y9" s="18" t="n">
        <v>912.1</v>
      </c>
      <c r="Z9" s="18" t="n">
        <v>956.4</v>
      </c>
      <c r="AA9" s="18" t="n">
        <v>856.6</v>
      </c>
      <c r="AB9" s="18" t="n">
        <v>999</v>
      </c>
      <c r="AC9" s="18" t="n">
        <v>1001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521.7</v>
      </c>
      <c r="C11" s="18" t="n">
        <v>588.4</v>
      </c>
      <c r="D11" s="18" t="n">
        <v>554.2</v>
      </c>
      <c r="E11" s="18" t="n">
        <v>583.6</v>
      </c>
      <c r="F11" s="18" t="n">
        <v>611.1</v>
      </c>
      <c r="G11" s="18" t="n">
        <v>660</v>
      </c>
      <c r="H11" s="18" t="n">
        <v>668.2</v>
      </c>
      <c r="I11" s="18" t="n">
        <v>709.3</v>
      </c>
      <c r="J11" s="18" t="n">
        <v>743.3</v>
      </c>
      <c r="K11" s="18" t="n">
        <v>860.4</v>
      </c>
      <c r="L11" s="18" t="n">
        <v>866.8</v>
      </c>
      <c r="M11" s="18" t="n">
        <v>911.6</v>
      </c>
      <c r="N11" s="18" t="n">
        <v>946.2</v>
      </c>
      <c r="O11" s="18" t="n">
        <v>1058.2</v>
      </c>
      <c r="P11" s="18" t="n">
        <v>1101.5</v>
      </c>
      <c r="Q11" s="18" t="n">
        <v>1188.9</v>
      </c>
      <c r="R11" s="18" t="n">
        <v>1246.1</v>
      </c>
      <c r="S11" s="18" t="n">
        <v>1446.5</v>
      </c>
      <c r="T11" s="18" t="n">
        <v>1405.3</v>
      </c>
      <c r="U11" s="18" t="n">
        <v>1476</v>
      </c>
      <c r="V11" s="18" t="n">
        <v>1471.2</v>
      </c>
      <c r="W11" s="18" t="n">
        <v>1615.8</v>
      </c>
      <c r="X11" s="18" t="n">
        <v>1585</v>
      </c>
      <c r="Y11" s="18" t="n">
        <v>1658.2</v>
      </c>
      <c r="Z11" s="18" t="n">
        <v>1669.7</v>
      </c>
      <c r="AA11" s="18" t="n">
        <v>1857.3</v>
      </c>
      <c r="AB11" s="18" t="n">
        <v>1836</v>
      </c>
      <c r="AC11" s="18" t="n">
        <v>1909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-18.7</v>
      </c>
      <c r="C13" s="18" t="n">
        <v>-9.9</v>
      </c>
      <c r="D13" s="18" t="n">
        <v>-51.8</v>
      </c>
      <c r="E13" s="18" t="n">
        <v>-52.9</v>
      </c>
      <c r="F13" s="18" t="n">
        <v>-56.5</v>
      </c>
      <c r="G13" s="18" t="n">
        <v>-17.8</v>
      </c>
      <c r="H13" s="18" t="n">
        <v>-44.5</v>
      </c>
      <c r="I13" s="18" t="n">
        <v>-88.8</v>
      </c>
      <c r="J13" s="18" t="n">
        <v>-110.4</v>
      </c>
      <c r="K13" s="18" t="n">
        <v>-60.4</v>
      </c>
      <c r="L13" s="18" t="n">
        <v>-82.7</v>
      </c>
      <c r="M13" s="18" t="n">
        <v>-73.90000000000001</v>
      </c>
      <c r="N13" s="18" t="n">
        <v>-47.6</v>
      </c>
      <c r="O13" s="18" t="n">
        <v>15.4</v>
      </c>
      <c r="P13" s="18" t="n">
        <v>15.2</v>
      </c>
      <c r="Q13" s="18" t="n">
        <v>39.9</v>
      </c>
      <c r="R13" s="18" t="n">
        <v>78.7</v>
      </c>
      <c r="S13" s="18" t="n">
        <v>253.5</v>
      </c>
      <c r="T13" s="18" t="n">
        <v>215.2</v>
      </c>
      <c r="U13" s="18" t="n">
        <v>53.6</v>
      </c>
      <c r="V13" s="18" t="n">
        <v>176.7</v>
      </c>
      <c r="W13" s="18" t="n">
        <v>238.4</v>
      </c>
      <c r="X13" s="18" t="n">
        <v>286</v>
      </c>
      <c r="Y13" s="18" t="n">
        <v>240.4</v>
      </c>
      <c r="Z13" s="18" t="n">
        <v>218.8</v>
      </c>
      <c r="AA13" s="18" t="n">
        <v>497.2</v>
      </c>
      <c r="AB13" s="18" t="n">
        <v>309</v>
      </c>
      <c r="AC13" s="18" t="n">
        <v>400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-20.2</v>
      </c>
      <c r="C15" s="18" t="n">
        <v>-20.8</v>
      </c>
      <c r="D15" s="18" t="n">
        <v>-59.6</v>
      </c>
      <c r="E15" s="18" t="n">
        <v>-73.7</v>
      </c>
      <c r="F15" s="18" t="n">
        <v>-74.8</v>
      </c>
      <c r="G15" s="18" t="n">
        <v>-58.9</v>
      </c>
      <c r="H15" s="18" t="n">
        <v>-92.2</v>
      </c>
      <c r="I15" s="18" t="n">
        <v>-142.3</v>
      </c>
      <c r="J15" s="18" t="n">
        <v>-145.1</v>
      </c>
      <c r="K15" s="18" t="n">
        <v>-119.3</v>
      </c>
      <c r="L15" s="18" t="n">
        <v>-103.6</v>
      </c>
      <c r="M15" s="18" t="n">
        <v>-93.5</v>
      </c>
      <c r="N15" s="18" t="n">
        <v>-73.2</v>
      </c>
      <c r="O15" s="18" t="n">
        <v>3.3</v>
      </c>
      <c r="P15" s="18" t="n">
        <v>20</v>
      </c>
      <c r="Q15" s="18" t="n">
        <v>84.2</v>
      </c>
      <c r="R15" s="18" t="n">
        <v>107.8</v>
      </c>
      <c r="S15" s="18" t="n">
        <v>227.7</v>
      </c>
      <c r="T15" s="18" t="n">
        <v>194.2</v>
      </c>
      <c r="U15" s="18" t="n">
        <v>1746.9</v>
      </c>
      <c r="V15" s="18" t="n">
        <v>278.8</v>
      </c>
      <c r="W15" s="18" t="n">
        <v>357.7</v>
      </c>
      <c r="X15" s="18" t="n">
        <v>351</v>
      </c>
      <c r="Y15" s="18" t="n">
        <v>267.3</v>
      </c>
      <c r="Z15" s="18" t="n">
        <v>262.1</v>
      </c>
      <c r="AA15" s="18" t="n">
        <v>253.8</v>
      </c>
      <c r="AB15" s="18" t="n">
        <v>334</v>
      </c>
      <c r="AC15" s="18" t="n">
        <v>432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566.4</v>
      </c>
      <c r="C17" s="18" t="n">
        <v>574.8</v>
      </c>
      <c r="D17" s="18" t="n">
        <v>579.6</v>
      </c>
      <c r="E17" s="18" t="n">
        <v>589.8</v>
      </c>
      <c r="F17" s="18" t="n">
        <v>580.2</v>
      </c>
      <c r="G17" s="18" t="n">
        <v>576</v>
      </c>
      <c r="H17" s="18" t="n">
        <v>573</v>
      </c>
      <c r="I17" s="18" t="n">
        <v>575.4</v>
      </c>
      <c r="J17" s="18" t="n">
        <v>581.4</v>
      </c>
      <c r="K17" s="18" t="n">
        <v>583.2</v>
      </c>
      <c r="L17" s="18" t="n">
        <v>585.8</v>
      </c>
      <c r="M17" s="18" t="n">
        <v>589</v>
      </c>
      <c r="N17" s="18" t="n">
        <v>593.4</v>
      </c>
      <c r="O17" s="18" t="n">
        <v>672.6</v>
      </c>
      <c r="P17" s="18" t="n">
        <v>676.8</v>
      </c>
      <c r="Q17" s="18" t="n">
        <v>663.2</v>
      </c>
      <c r="R17" s="18" t="n">
        <v>689.4</v>
      </c>
      <c r="S17" s="18" t="n">
        <v>709</v>
      </c>
      <c r="T17" s="18" t="n">
        <v>699.6</v>
      </c>
      <c r="U17" s="18" t="n">
        <v>715</v>
      </c>
      <c r="V17" s="18" t="n">
        <v>709.2</v>
      </c>
      <c r="W17" s="18" t="n">
        <v>707.8</v>
      </c>
      <c r="X17" s="18" t="n">
        <v>709</v>
      </c>
      <c r="Y17" s="18" t="n">
        <v>709</v>
      </c>
      <c r="Z17" s="18" t="n">
        <v>707.4</v>
      </c>
      <c r="AA17" s="18" t="n">
        <v>709</v>
      </c>
      <c r="AB17" s="18" t="n">
        <v>709</v>
      </c>
      <c r="AC17" s="18" t="n">
        <v>713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</t>
        </is>
      </c>
      <c r="B19" s="18" t="n">
        <v>258.8</v>
      </c>
      <c r="D19" s="18" t="n">
        <v>318.6</v>
      </c>
      <c r="E19" s="18" t="n">
        <v>342.6</v>
      </c>
      <c r="F19" s="18" t="n">
        <v>354.3</v>
      </c>
      <c r="H19" s="18" t="n">
        <v>428</v>
      </c>
      <c r="I19" s="18" t="n">
        <v>461.7</v>
      </c>
      <c r="J19" s="18" t="n">
        <v>473.8</v>
      </c>
      <c r="K19" s="18" t="n">
        <v>535.3</v>
      </c>
      <c r="L19" s="18" t="n">
        <v>578.8</v>
      </c>
      <c r="M19" s="18" t="n">
        <v>618</v>
      </c>
      <c r="N19" s="18" t="n">
        <v>639.8</v>
      </c>
      <c r="O19" s="18" t="n">
        <v>702.4</v>
      </c>
      <c r="P19" s="18" t="n">
        <v>764</v>
      </c>
      <c r="Q19" s="18" t="n">
        <v>815.4</v>
      </c>
      <c r="R19" s="18" t="n">
        <v>838.1</v>
      </c>
      <c r="S19" s="18" t="n">
        <v>917.9</v>
      </c>
      <c r="T19" s="18" t="n">
        <v>988.3</v>
      </c>
      <c r="U19" s="18" t="n">
        <v>1027.1</v>
      </c>
      <c r="V19" s="18" t="n">
        <v>1045.6</v>
      </c>
      <c r="W19" s="18" t="n">
        <v>1127.5</v>
      </c>
      <c r="X19" s="18" t="n">
        <v>1191.8</v>
      </c>
      <c r="Y19" s="18" t="n">
        <v>1233.2</v>
      </c>
      <c r="Z19" s="18" t="n">
        <v>1234.4</v>
      </c>
      <c r="AA19" s="18" t="n">
        <v>1315</v>
      </c>
      <c r="AC19" s="18" t="n">
        <v>1404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Support</t>
        </is>
      </c>
      <c r="B22" s="18" t="n">
        <v>189.4</v>
      </c>
      <c r="D22" s="18" t="n">
        <v>222.1</v>
      </c>
      <c r="E22" s="18" t="n">
        <v>227.6</v>
      </c>
      <c r="F22" s="18" t="n">
        <v>234.2</v>
      </c>
      <c r="H22" s="18" t="n">
        <v>280.7</v>
      </c>
      <c r="I22" s="18" t="n">
        <v>300.5</v>
      </c>
      <c r="J22" s="18" t="n">
        <v>311.2</v>
      </c>
      <c r="K22" s="18" t="n">
        <v>344.6</v>
      </c>
      <c r="L22" s="18" t="n">
        <v>373.1</v>
      </c>
      <c r="M22" s="18" t="n">
        <v>390.9</v>
      </c>
      <c r="N22" s="18" t="n">
        <v>395.4</v>
      </c>
      <c r="O22" s="18" t="n">
        <v>440</v>
      </c>
      <c r="P22" s="18" t="n">
        <v>469.4</v>
      </c>
      <c r="Q22" s="18" t="n">
        <v>486.8</v>
      </c>
      <c r="R22" s="18" t="n">
        <v>494.7</v>
      </c>
      <c r="S22" s="18" t="n">
        <v>528</v>
      </c>
      <c r="T22" s="18" t="n">
        <v>548.7</v>
      </c>
      <c r="U22" s="18" t="n">
        <v>557.3</v>
      </c>
      <c r="V22" s="18" t="n">
        <v>548.2</v>
      </c>
      <c r="W22" s="18" t="n">
        <v>581.5</v>
      </c>
      <c r="X22" s="18" t="n">
        <v>593.2</v>
      </c>
      <c r="Y22" s="18" t="n">
        <v>602.7</v>
      </c>
      <c r="Z22" s="18" t="n">
        <v>601.9</v>
      </c>
      <c r="AA22" s="18" t="n">
        <v>647.4</v>
      </c>
      <c r="AC22" s="18" t="n">
        <v>676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Product</t>
        </is>
      </c>
      <c r="B25" s="18" t="n">
        <v>278.4</v>
      </c>
      <c r="C25" s="18" t="n">
        <v>305.7</v>
      </c>
      <c r="D25" s="18" t="n">
        <v>231.2</v>
      </c>
      <c r="E25" s="18" t="n">
        <v>246.5</v>
      </c>
      <c r="F25" s="18" t="n">
        <v>280.9</v>
      </c>
      <c r="G25" s="18" t="n">
        <v>305.6</v>
      </c>
      <c r="H25" s="18" t="n">
        <v>237.3</v>
      </c>
      <c r="I25" s="18" t="n">
        <v>254.7</v>
      </c>
      <c r="J25" s="18" t="n">
        <v>288.9</v>
      </c>
      <c r="K25" s="18" t="n">
        <v>339.4</v>
      </c>
      <c r="L25" s="18" t="n">
        <v>295.5</v>
      </c>
      <c r="M25" s="18" t="n">
        <v>308</v>
      </c>
      <c r="N25" s="18" t="n">
        <v>351.5</v>
      </c>
      <c r="O25" s="18" t="n">
        <v>408.1</v>
      </c>
      <c r="P25" s="18" t="n">
        <v>330</v>
      </c>
      <c r="Q25" s="18" t="n">
        <v>352.9</v>
      </c>
      <c r="R25" s="18" t="n">
        <v>388.1</v>
      </c>
      <c r="S25" s="18" t="n">
        <v>507.4</v>
      </c>
      <c r="T25" s="18" t="n">
        <v>341.1</v>
      </c>
      <c r="U25" s="18" t="n">
        <v>390.7</v>
      </c>
      <c r="V25" s="18" t="n">
        <v>391</v>
      </c>
      <c r="W25" s="18" t="n">
        <v>480.5</v>
      </c>
      <c r="X25" s="18" t="n">
        <v>353.8</v>
      </c>
      <c r="Y25" s="18" t="n">
        <v>421.5</v>
      </c>
      <c r="Z25" s="18" t="n">
        <v>452.7</v>
      </c>
      <c r="AA25" s="18" t="n">
        <v>573.9</v>
      </c>
      <c r="AC25" s="18" t="n">
        <v>514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497.8</v>
      </c>
      <c r="C29" s="18" t="n">
        <v>559.3</v>
      </c>
      <c r="D29" s="18" t="n">
        <v>529.6</v>
      </c>
      <c r="E29" s="18" t="n">
        <v>544.7</v>
      </c>
      <c r="F29" s="18" t="n">
        <v>594.2</v>
      </c>
      <c r="G29" s="18" t="n">
        <v>659.4</v>
      </c>
      <c r="H29" s="18" t="n">
        <v>670.3</v>
      </c>
      <c r="I29" s="18" t="n">
        <v>690.9</v>
      </c>
      <c r="J29" s="18" t="n">
        <v>734.5</v>
      </c>
      <c r="K29" s="18" t="n">
        <v>841.8</v>
      </c>
      <c r="L29" s="18" t="n">
        <v>866.7</v>
      </c>
      <c r="M29" s="18" t="n">
        <v>915.9</v>
      </c>
      <c r="N29" s="18" t="n">
        <v>948.7</v>
      </c>
      <c r="O29" s="18" t="n">
        <v>1071.3</v>
      </c>
      <c r="P29" s="18" t="n">
        <v>1070.7</v>
      </c>
      <c r="Q29" s="18" t="n">
        <v>1117</v>
      </c>
      <c r="R29" s="18" t="n">
        <v>1179.2</v>
      </c>
      <c r="S29" s="18" t="n">
        <v>1353</v>
      </c>
      <c r="T29" s="18" t="n">
        <v>1286.6</v>
      </c>
      <c r="U29" s="18" t="n">
        <v>1334.2</v>
      </c>
      <c r="V29" s="18" t="n">
        <v>1359.6</v>
      </c>
      <c r="W29" s="18" t="n">
        <v>1502.5</v>
      </c>
      <c r="X29" s="18" t="n">
        <v>1442.1</v>
      </c>
      <c r="Y29" s="18" t="n">
        <v>1502.4</v>
      </c>
      <c r="Z29" s="18" t="n">
        <v>1529.2</v>
      </c>
      <c r="AA29" s="18" t="n">
        <v>1731.4</v>
      </c>
      <c r="AC29" s="18" t="n">
        <v>1712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EMEA</t>
        </is>
      </c>
      <c r="B32" s="18" t="n">
        <v>138.7</v>
      </c>
      <c r="C32" s="18" t="n">
        <v>150.1</v>
      </c>
      <c r="D32" s="18" t="n">
        <v>147.6</v>
      </c>
      <c r="E32" s="18" t="n">
        <v>166.2</v>
      </c>
      <c r="F32" s="18" t="n">
        <v>171.5</v>
      </c>
      <c r="G32" s="18" t="n">
        <v>179.5</v>
      </c>
      <c r="H32" s="18" t="n">
        <v>170.9</v>
      </c>
      <c r="I32" s="18" t="n">
        <v>205.8</v>
      </c>
      <c r="J32" s="18" t="n">
        <v>210.2</v>
      </c>
      <c r="K32" s="18" t="n">
        <v>230.4</v>
      </c>
      <c r="L32" s="18" t="n">
        <v>233.8</v>
      </c>
      <c r="M32" s="18" t="n">
        <v>252.2</v>
      </c>
      <c r="N32" s="18" t="n">
        <v>269.5</v>
      </c>
      <c r="O32" s="18" t="n">
        <v>300.3</v>
      </c>
      <c r="P32" s="18" t="n">
        <v>307.9</v>
      </c>
      <c r="Q32" s="18" t="n">
        <v>341.5</v>
      </c>
      <c r="R32" s="18" t="n">
        <v>332.1</v>
      </c>
      <c r="S32" s="18" t="n">
        <v>378.1</v>
      </c>
      <c r="T32" s="18" t="n">
        <v>364.9</v>
      </c>
      <c r="U32" s="18" t="n">
        <v>406.8</v>
      </c>
      <c r="V32" s="18" t="n">
        <v>399.2</v>
      </c>
      <c r="W32" s="18" t="n">
        <v>431.1</v>
      </c>
      <c r="X32" s="18" t="n">
        <v>441.4</v>
      </c>
      <c r="Y32" s="18" t="n">
        <v>480</v>
      </c>
      <c r="Z32" s="18" t="n">
        <v>480.9</v>
      </c>
      <c r="AA32" s="18" t="n">
        <v>515.1</v>
      </c>
      <c r="AC32" s="18" t="n">
        <v>560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</t>
        </is>
      </c>
      <c r="B35" s="18" t="n">
        <v>90.09999999999999</v>
      </c>
      <c r="C35" s="18" t="n">
        <v>96.40000000000001</v>
      </c>
      <c r="D35" s="18" t="n">
        <v>94.7</v>
      </c>
      <c r="E35" s="18" t="n">
        <v>105.8</v>
      </c>
      <c r="F35" s="18" t="n">
        <v>103.7</v>
      </c>
      <c r="G35" s="18" t="n">
        <v>111.5</v>
      </c>
      <c r="H35" s="18" t="n">
        <v>104.8</v>
      </c>
      <c r="I35" s="18" t="n">
        <v>120.2</v>
      </c>
      <c r="J35" s="18" t="n">
        <v>129.2</v>
      </c>
      <c r="K35" s="18" t="n">
        <v>147.1</v>
      </c>
      <c r="L35" s="18" t="n">
        <v>146.9</v>
      </c>
      <c r="M35" s="18" t="n">
        <v>148.8</v>
      </c>
      <c r="N35" s="18" t="n">
        <v>168.5</v>
      </c>
      <c r="O35" s="18" t="n">
        <v>178.9</v>
      </c>
      <c r="P35" s="18" t="n">
        <v>184.8</v>
      </c>
      <c r="Q35" s="18" t="n">
        <v>196.6</v>
      </c>
      <c r="R35" s="18" t="n">
        <v>209.6</v>
      </c>
      <c r="S35" s="18" t="n">
        <v>222.2</v>
      </c>
      <c r="T35" s="18" t="n">
        <v>226.6</v>
      </c>
      <c r="U35" s="18" t="n">
        <v>234.1</v>
      </c>
      <c r="V35" s="18" t="n">
        <v>226</v>
      </c>
      <c r="W35" s="18" t="n">
        <v>255.9</v>
      </c>
      <c r="X35" s="18" t="n">
        <v>255.3</v>
      </c>
      <c r="Y35" s="18" t="n">
        <v>275</v>
      </c>
      <c r="Z35" s="18" t="n">
        <v>278.9</v>
      </c>
      <c r="AA35" s="18" t="n">
        <v>289.8</v>
      </c>
      <c r="AC35" s="18" t="n">
        <v>322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3048.1</v>
      </c>
      <c r="C39" s="18" t="n">
        <v>2803.1</v>
      </c>
      <c r="D39" s="18" t="n">
        <v>2861.2</v>
      </c>
      <c r="E39" s="18" t="n">
        <v>3133.9</v>
      </c>
      <c r="F39" s="18" t="n">
        <v>2038.8</v>
      </c>
      <c r="G39" s="18" t="n">
        <v>3747.8</v>
      </c>
      <c r="H39" s="18" t="n">
        <v>3217.6</v>
      </c>
      <c r="I39" s="18" t="n">
        <v>3171.2</v>
      </c>
      <c r="J39" s="18" t="n">
        <v>2945.4</v>
      </c>
      <c r="K39" s="18" t="n">
        <v>2901.1</v>
      </c>
      <c r="L39" s="18" t="n">
        <v>3461.4</v>
      </c>
      <c r="M39" s="18" t="n">
        <v>3340.3</v>
      </c>
      <c r="N39" s="18" t="n">
        <v>3874.6</v>
      </c>
      <c r="O39" s="18" t="n">
        <v>3634.5</v>
      </c>
      <c r="P39" s="18" t="n">
        <v>3803.7</v>
      </c>
      <c r="Q39" s="18" t="n">
        <v>3346.9</v>
      </c>
      <c r="R39" s="18" t="n">
        <v>3958.2</v>
      </c>
      <c r="S39" s="18" t="n">
        <v>2390</v>
      </c>
      <c r="T39" s="18" t="n">
        <v>3893.8</v>
      </c>
      <c r="U39" s="18" t="n">
        <v>3371</v>
      </c>
      <c r="V39" s="18" t="n">
        <v>2898.6</v>
      </c>
      <c r="W39" s="18" t="n">
        <v>2578.8</v>
      </c>
      <c r="X39" s="18" t="n">
        <v>3391</v>
      </c>
      <c r="Y39" s="18" t="n">
        <v>3232.9</v>
      </c>
      <c r="Z39" s="18" t="n">
        <v>3300.2</v>
      </c>
      <c r="AA39" s="18" t="n">
        <v>2903.2</v>
      </c>
      <c r="AB39" s="18" t="n">
        <v>4219</v>
      </c>
      <c r="AC39" s="18" t="n">
        <v>4536</v>
      </c>
    </row>
    <row r="40">
      <c r="A40" s="4" t="inlineStr">
        <is>
          <t>Total Current Assets</t>
        </is>
      </c>
      <c r="B40" s="18" t="n">
        <v>3717.5</v>
      </c>
      <c r="C40" s="18" t="n">
        <v>3664.8</v>
      </c>
      <c r="D40" s="18" t="n">
        <v>3649.8</v>
      </c>
      <c r="E40" s="18" t="n">
        <v>3978.2</v>
      </c>
      <c r="F40" s="18" t="n">
        <v>3014</v>
      </c>
      <c r="G40" s="18" t="n">
        <v>5129.2</v>
      </c>
      <c r="H40" s="18" t="n">
        <v>4300.9</v>
      </c>
      <c r="I40" s="18" t="n">
        <v>4275.8</v>
      </c>
      <c r="J40" s="18" t="n">
        <v>4140.9</v>
      </c>
      <c r="K40" s="18" t="n">
        <v>4647.3</v>
      </c>
      <c r="L40" s="18" t="n">
        <v>4839.1</v>
      </c>
      <c r="M40" s="18" t="n">
        <v>4868.6</v>
      </c>
      <c r="N40" s="18" t="n">
        <v>5697.6</v>
      </c>
      <c r="O40" s="18" t="n">
        <v>6414.9</v>
      </c>
      <c r="P40" s="18" t="n">
        <v>5733.5</v>
      </c>
      <c r="Q40" s="18" t="n">
        <v>5405.8</v>
      </c>
      <c r="R40" s="18" t="n">
        <v>6413.6</v>
      </c>
      <c r="S40" s="18" t="n">
        <v>6048</v>
      </c>
      <c r="T40" s="18" t="n">
        <v>6477.6</v>
      </c>
      <c r="U40" s="18" t="n">
        <v>6446.7</v>
      </c>
      <c r="V40" s="18" t="n">
        <v>5918.8</v>
      </c>
      <c r="W40" s="18" t="n">
        <v>6849.7</v>
      </c>
      <c r="X40" s="18" t="n">
        <v>6242.7</v>
      </c>
      <c r="Y40" s="18" t="n">
        <v>6339.8</v>
      </c>
      <c r="Z40" s="18" t="n">
        <v>6899</v>
      </c>
      <c r="AA40" s="18" t="n">
        <v>7103.3</v>
      </c>
      <c r="AB40" s="18" t="n">
        <v>6895</v>
      </c>
      <c r="AC40" s="18" t="n">
        <v>8369</v>
      </c>
    </row>
    <row r="41">
      <c r="A41" s="4" t="inlineStr">
        <is>
          <t>PP&amp;E (net)</t>
        </is>
      </c>
      <c r="B41" s="18" t="n">
        <v>275</v>
      </c>
      <c r="C41" s="18" t="n">
        <v>296</v>
      </c>
      <c r="D41" s="18" t="n">
        <v>599</v>
      </c>
      <c r="E41" s="18" t="n">
        <v>581.4</v>
      </c>
      <c r="F41" s="18" t="n">
        <v>621</v>
      </c>
      <c r="G41" s="18" t="n">
        <v>606.8</v>
      </c>
      <c r="H41" s="18" t="n">
        <v>589.1</v>
      </c>
      <c r="I41" s="18" t="n">
        <v>582.8</v>
      </c>
      <c r="J41" s="18" t="n">
        <v>581.4</v>
      </c>
      <c r="K41" s="18" t="n">
        <v>581.3</v>
      </c>
      <c r="L41" s="18" t="n">
        <v>576.1</v>
      </c>
      <c r="M41" s="18" t="n">
        <v>601.5</v>
      </c>
      <c r="N41" s="18" t="n">
        <v>595.5</v>
      </c>
      <c r="O41" s="18" t="n">
        <v>599.8</v>
      </c>
      <c r="P41" s="18" t="n">
        <v>614.1</v>
      </c>
      <c r="Q41" s="18" t="n">
        <v>595.8</v>
      </c>
      <c r="R41" s="18" t="n">
        <v>590</v>
      </c>
      <c r="S41" s="18" t="n">
        <v>617.8</v>
      </c>
      <c r="T41" s="18" t="n">
        <v>626.9</v>
      </c>
      <c r="U41" s="18" t="n">
        <v>708.1</v>
      </c>
      <c r="V41" s="18" t="n">
        <v>720</v>
      </c>
      <c r="W41" s="18" t="n">
        <v>747</v>
      </c>
      <c r="X41" s="18" t="n">
        <v>750</v>
      </c>
      <c r="Y41" s="18" t="n">
        <v>731.1</v>
      </c>
      <c r="Z41" s="18" t="n">
        <v>724.3</v>
      </c>
      <c r="AA41" s="18" t="n">
        <v>734.3</v>
      </c>
      <c r="AB41" s="18" t="n">
        <v>747</v>
      </c>
      <c r="AC41" s="18" t="n">
        <v>853</v>
      </c>
    </row>
    <row r="42">
      <c r="A42" s="4" t="inlineStr">
        <is>
          <t>Total Assets</t>
        </is>
      </c>
      <c r="B42" s="18" t="n">
        <v>6261.8</v>
      </c>
      <c r="C42" s="18" t="n">
        <v>6592.2</v>
      </c>
      <c r="D42" s="18" t="n">
        <v>6824.8</v>
      </c>
      <c r="E42" s="18" t="n">
        <v>7184.1</v>
      </c>
      <c r="F42" s="18" t="n">
        <v>6501.8</v>
      </c>
      <c r="G42" s="18" t="n">
        <v>9065.4</v>
      </c>
      <c r="H42" s="18" t="n">
        <v>8726.5</v>
      </c>
      <c r="I42" s="18" t="n">
        <v>9488.4</v>
      </c>
      <c r="J42" s="18" t="n">
        <v>9562.1</v>
      </c>
      <c r="K42" s="18" t="n">
        <v>10241.6</v>
      </c>
      <c r="L42" s="18" t="n">
        <v>10426.4</v>
      </c>
      <c r="M42" s="18" t="n">
        <v>10400.5</v>
      </c>
      <c r="N42" s="18" t="n">
        <v>11100</v>
      </c>
      <c r="O42" s="18" t="n">
        <v>12253.6</v>
      </c>
      <c r="P42" s="18" t="n">
        <v>12543.8</v>
      </c>
      <c r="Q42" s="18" t="n">
        <v>13163.4</v>
      </c>
      <c r="R42" s="18" t="n">
        <v>14170.5</v>
      </c>
      <c r="S42" s="18" t="n">
        <v>14501.1</v>
      </c>
      <c r="T42" s="18" t="n">
        <v>14808.5</v>
      </c>
      <c r="U42" s="18" t="n">
        <v>18292</v>
      </c>
      <c r="V42" s="18" t="n">
        <v>17930.8</v>
      </c>
      <c r="W42" s="18" t="n">
        <v>19990.9</v>
      </c>
      <c r="X42" s="18" t="n">
        <v>20374.6</v>
      </c>
      <c r="Y42" s="18" t="n">
        <v>20951.7</v>
      </c>
      <c r="Z42" s="18" t="n">
        <v>22002.8</v>
      </c>
      <c r="AA42" s="18" t="n">
        <v>23576.2</v>
      </c>
      <c r="AB42" s="18" t="n">
        <v>23536</v>
      </c>
      <c r="AC42" s="18" t="n">
        <v>24979</v>
      </c>
    </row>
    <row r="43">
      <c r="A43" s="4" t="inlineStr">
        <is>
          <t>Total Current Liabilities</t>
        </is>
      </c>
      <c r="B43" s="18" t="n">
        <v>1998.8</v>
      </c>
      <c r="C43" s="18" t="n">
        <v>2053.3</v>
      </c>
      <c r="D43" s="18" t="n">
        <v>2051.6</v>
      </c>
      <c r="E43" s="18" t="n">
        <v>2239.5</v>
      </c>
      <c r="F43" s="18" t="n">
        <v>2335.7</v>
      </c>
      <c r="G43" s="18" t="n">
        <v>2691.7</v>
      </c>
      <c r="H43" s="18" t="n">
        <v>2635.1</v>
      </c>
      <c r="I43" s="18" t="n">
        <v>4376.3</v>
      </c>
      <c r="J43" s="18" t="n">
        <v>3007.3</v>
      </c>
      <c r="K43" s="18" t="n">
        <v>5116.7</v>
      </c>
      <c r="L43" s="18" t="n">
        <v>7144.4</v>
      </c>
      <c r="M43" s="18" t="n">
        <v>7406.4</v>
      </c>
      <c r="N43" s="18" t="n">
        <v>7677.2</v>
      </c>
      <c r="O43" s="18" t="n">
        <v>8306.299999999999</v>
      </c>
      <c r="P43" s="18" t="n">
        <v>8195.1</v>
      </c>
      <c r="Q43" s="18" t="n">
        <v>8475.1</v>
      </c>
      <c r="R43" s="18" t="n">
        <v>8641.200000000001</v>
      </c>
      <c r="S43" s="18" t="n">
        <v>7737.5</v>
      </c>
      <c r="T43" s="18" t="n">
        <v>7513.4</v>
      </c>
      <c r="U43" s="18" t="n">
        <v>7765.5</v>
      </c>
      <c r="V43" s="18" t="n">
        <v>7084.8</v>
      </c>
      <c r="W43" s="18" t="n">
        <v>7682.7</v>
      </c>
      <c r="X43" s="18" t="n">
        <v>7402.7</v>
      </c>
      <c r="Y43" s="18" t="n">
        <v>7552.2</v>
      </c>
      <c r="Z43" s="18" t="n">
        <v>7705.6</v>
      </c>
      <c r="AA43" s="18" t="n">
        <v>7988</v>
      </c>
      <c r="AB43" s="18" t="n">
        <v>7418</v>
      </c>
      <c r="AC43" s="18" t="n">
        <v>8009</v>
      </c>
    </row>
    <row r="44">
      <c r="A44" s="4" t="inlineStr">
        <is>
          <t>Long-term Debt</t>
        </is>
      </c>
      <c r="B44" s="18" t="n">
        <v>1414.7</v>
      </c>
      <c r="C44" s="18" t="n">
        <v>1430</v>
      </c>
      <c r="D44" s="18" t="n">
        <v>1445.5</v>
      </c>
      <c r="E44" s="18" t="n">
        <v>1461.2</v>
      </c>
      <c r="F44" s="18" t="n">
        <v>1477</v>
      </c>
      <c r="G44" s="18" t="n">
        <v>3084.1</v>
      </c>
      <c r="H44" s="18" t="n">
        <v>3119.2</v>
      </c>
      <c r="I44" s="18" t="n">
        <v>1629.1</v>
      </c>
      <c r="J44" s="18" t="n">
        <v>3190.6</v>
      </c>
      <c r="K44" s="18" t="n">
        <v>1668.1</v>
      </c>
      <c r="L44" s="18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346</v>
      </c>
      <c r="AC44" s="18" t="n">
        <v>372</v>
      </c>
    </row>
    <row r="45">
      <c r="A45" s="4" t="inlineStr">
        <is>
          <t>Total Equity</t>
        </is>
      </c>
      <c r="B45" s="18" t="n">
        <v>1454.6</v>
      </c>
      <c r="C45" s="18" t="n">
        <v>1586.3</v>
      </c>
      <c r="D45" s="18" t="n">
        <v>1516.4</v>
      </c>
      <c r="E45" s="18" t="n">
        <v>1608.5</v>
      </c>
      <c r="F45" s="18" t="n">
        <v>744.7</v>
      </c>
      <c r="G45" s="18" t="n">
        <v>1101.8</v>
      </c>
      <c r="H45" s="18" t="n">
        <v>747</v>
      </c>
      <c r="I45" s="18" t="n">
        <v>1198.5</v>
      </c>
      <c r="J45" s="18" t="n">
        <v>997.2</v>
      </c>
      <c r="K45" s="18" t="n">
        <v>763.6</v>
      </c>
      <c r="L45" s="18" t="n">
        <v>518.9</v>
      </c>
      <c r="M45" s="18" t="n">
        <v>117.8</v>
      </c>
      <c r="N45" s="18" t="n">
        <v>337.6</v>
      </c>
      <c r="O45" s="18" t="n">
        <v>210</v>
      </c>
      <c r="P45" s="18" t="n">
        <v>508</v>
      </c>
      <c r="Q45" s="18" t="n">
        <v>729</v>
      </c>
      <c r="R45" s="18" t="n">
        <v>1232.4</v>
      </c>
      <c r="S45" s="18" t="n">
        <v>1748.4</v>
      </c>
      <c r="T45" s="18" t="n">
        <v>2170.5</v>
      </c>
      <c r="U45" s="18" t="n">
        <v>4357.2</v>
      </c>
      <c r="V45" s="18" t="n">
        <v>4467.8</v>
      </c>
      <c r="W45" s="18" t="n">
        <v>5169.7</v>
      </c>
      <c r="X45" s="18" t="n">
        <v>5911.8</v>
      </c>
      <c r="Y45" s="18" t="n">
        <v>6375.3</v>
      </c>
      <c r="Z45" s="18" t="n">
        <v>7230.5</v>
      </c>
      <c r="AA45" s="18" t="n">
        <v>7824.4</v>
      </c>
      <c r="AB45" s="18" t="n">
        <v>8665</v>
      </c>
      <c r="AC45" s="18" t="n">
        <v>9393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40.3</v>
      </c>
      <c r="C47" s="18" t="n">
        <v>42.2</v>
      </c>
      <c r="D47" s="18" t="n">
        <v>54.4</v>
      </c>
      <c r="E47" s="18" t="n">
        <v>59.1</v>
      </c>
      <c r="F47" s="18" t="n">
        <v>66.3</v>
      </c>
      <c r="G47" s="18" t="n">
        <v>73.7</v>
      </c>
      <c r="H47" s="18" t="n">
        <v>68</v>
      </c>
      <c r="I47" s="18" t="n">
        <v>75.59999999999999</v>
      </c>
      <c r="J47" s="18" t="n">
        <v>80.59999999999999</v>
      </c>
      <c r="K47" s="18" t="n">
        <v>80.7</v>
      </c>
      <c r="L47" s="18" t="n">
        <v>81.7</v>
      </c>
      <c r="M47" s="18" t="n">
        <v>82.09999999999999</v>
      </c>
      <c r="N47" s="18" t="n">
        <v>83.8</v>
      </c>
      <c r="O47" s="18" t="n">
        <v>35</v>
      </c>
      <c r="P47" s="18" t="n">
        <v>70.7</v>
      </c>
      <c r="Q47" s="18" t="n">
        <v>69.90000000000001</v>
      </c>
      <c r="R47" s="18" t="n">
        <v>175.5</v>
      </c>
      <c r="S47" s="18" t="n">
        <v>69.3</v>
      </c>
      <c r="T47" s="18" t="n">
        <v>64.3</v>
      </c>
      <c r="U47" s="18" t="n">
        <v>68.59999999999999</v>
      </c>
      <c r="V47" s="18" t="n">
        <v>185.4</v>
      </c>
      <c r="W47" s="18" t="n">
        <v>76.09999999999999</v>
      </c>
      <c r="X47" s="18" t="n">
        <v>83.90000000000001</v>
      </c>
      <c r="Y47" s="18" t="n">
        <v>87.59999999999999</v>
      </c>
      <c r="Z47" s="18" t="n">
        <v>88.09999999999999</v>
      </c>
      <c r="AA47" s="18" t="n">
        <v>42.7</v>
      </c>
      <c r="AB47" s="18" t="n">
        <v>215</v>
      </c>
      <c r="AC47" s="18" t="n">
        <v>-87</v>
      </c>
    </row>
    <row r="48">
      <c r="A48" s="4" t="inlineStr">
        <is>
          <t>Stock-based Compensation</t>
        </is>
      </c>
      <c r="B48" s="18" t="n">
        <v>138.2</v>
      </c>
      <c r="C48" s="18" t="n">
        <v>150.2</v>
      </c>
      <c r="D48" s="18" t="n">
        <v>149.9</v>
      </c>
      <c r="E48" s="18" t="n">
        <v>168.5</v>
      </c>
      <c r="F48" s="18" t="n">
        <v>165.8</v>
      </c>
      <c r="G48" s="18" t="n">
        <v>174.2</v>
      </c>
      <c r="H48" s="18" t="n">
        <v>205.8</v>
      </c>
      <c r="I48" s="18" t="n">
        <v>225.6</v>
      </c>
      <c r="J48" s="18" t="n">
        <v>233.1</v>
      </c>
      <c r="K48" s="18" t="n">
        <v>230</v>
      </c>
      <c r="L48" s="18" t="n">
        <v>259.1</v>
      </c>
      <c r="M48" s="18" t="n">
        <v>265.1</v>
      </c>
      <c r="N48" s="18" t="n">
        <v>247.3</v>
      </c>
      <c r="O48" s="18" t="n">
        <v>239.6</v>
      </c>
      <c r="P48" s="18" t="n">
        <v>266</v>
      </c>
      <c r="Q48" s="18" t="n">
        <v>283.3</v>
      </c>
      <c r="R48" s="18" t="n">
        <v>271</v>
      </c>
      <c r="S48" s="18" t="n">
        <v>254.2</v>
      </c>
      <c r="T48" s="18" t="n">
        <v>271</v>
      </c>
      <c r="U48" s="18" t="n">
        <v>272</v>
      </c>
      <c r="V48" s="18" t="n">
        <v>263.5</v>
      </c>
      <c r="W48" s="18" t="n">
        <v>268.9</v>
      </c>
      <c r="X48" s="18" t="n">
        <v>294.3</v>
      </c>
      <c r="Y48" s="18" t="n">
        <v>320.5</v>
      </c>
      <c r="Z48" s="18" t="n">
        <v>325.9</v>
      </c>
      <c r="AA48" s="18" t="n">
        <v>354.4</v>
      </c>
      <c r="AB48" s="18" t="n">
        <v>0</v>
      </c>
      <c r="AC48" s="18" t="n">
        <v>671</v>
      </c>
    </row>
    <row r="49">
      <c r="A49" s="4" t="inlineStr">
        <is>
          <t>Change in Working Capital</t>
        </is>
      </c>
      <c r="B49" s="18" t="n">
        <v>57.6</v>
      </c>
      <c r="C49" s="18" t="n">
        <v>-0.8</v>
      </c>
      <c r="D49" s="18" t="n">
        <v>12.6</v>
      </c>
      <c r="E49" s="18" t="n">
        <v>86.5</v>
      </c>
      <c r="F49" s="18" t="n">
        <v>-62.1</v>
      </c>
      <c r="G49" s="18" t="n">
        <v>34.8</v>
      </c>
      <c r="H49" s="18" t="n">
        <v>249.7</v>
      </c>
      <c r="I49" s="18" t="n">
        <v>98.3</v>
      </c>
      <c r="J49" s="18" t="n">
        <v>-3.9</v>
      </c>
      <c r="K49" s="18" t="n">
        <v>4.5</v>
      </c>
      <c r="L49" s="18" t="n">
        <v>260.4</v>
      </c>
      <c r="M49" s="18" t="n">
        <v>137.3</v>
      </c>
      <c r="N49" s="18" t="n">
        <v>37.5</v>
      </c>
      <c r="O49" s="18" t="n">
        <v>85.59999999999999</v>
      </c>
      <c r="P49" s="18" t="n">
        <v>767.4</v>
      </c>
      <c r="Q49" s="18" t="n">
        <v>160</v>
      </c>
      <c r="R49" s="18" t="n">
        <v>-114.2</v>
      </c>
      <c r="S49" s="18" t="n">
        <v>-249.9</v>
      </c>
      <c r="T49" s="18" t="n">
        <v>892.6</v>
      </c>
      <c r="U49" s="18" t="n">
        <v>186</v>
      </c>
      <c r="V49" s="18" t="n">
        <v>-70.8</v>
      </c>
      <c r="W49" s="18" t="n">
        <v>-97.5</v>
      </c>
      <c r="X49" s="18" t="n">
        <v>799.9</v>
      </c>
      <c r="Y49" s="18" t="n">
        <v>-68.90000000000001</v>
      </c>
      <c r="Z49" s="18" t="n">
        <v>-53</v>
      </c>
      <c r="AA49" s="18" t="n">
        <v>244.8</v>
      </c>
      <c r="AB49" s="18" t="n">
        <v>845</v>
      </c>
      <c r="AC49" s="18" t="n">
        <v>-845</v>
      </c>
    </row>
    <row r="50">
      <c r="A50" s="4" t="inlineStr">
        <is>
          <t>Operating Cash Flow</t>
        </is>
      </c>
      <c r="B50" s="18" t="n">
        <v>296.4</v>
      </c>
      <c r="C50" s="18" t="n">
        <v>231.5</v>
      </c>
      <c r="D50" s="18" t="n">
        <v>225.2</v>
      </c>
      <c r="E50" s="18" t="n">
        <v>306.9</v>
      </c>
      <c r="F50" s="18" t="n">
        <v>169.9</v>
      </c>
      <c r="G50" s="18" t="n">
        <v>333.7</v>
      </c>
      <c r="H50" s="18" t="n">
        <v>534.9</v>
      </c>
      <c r="I50" s="18" t="n">
        <v>364.5</v>
      </c>
      <c r="J50" s="18" t="n">
        <v>277.8</v>
      </c>
      <c r="K50" s="18" t="n">
        <v>325.8</v>
      </c>
      <c r="L50" s="18" t="n">
        <v>588.9</v>
      </c>
      <c r="M50" s="18" t="n">
        <v>482.6</v>
      </c>
      <c r="N50" s="18" t="n">
        <v>389.5</v>
      </c>
      <c r="O50" s="18" t="n">
        <v>523.7</v>
      </c>
      <c r="P50" s="18" t="n">
        <v>1236.7</v>
      </c>
      <c r="Q50" s="18" t="n">
        <v>694.6</v>
      </c>
      <c r="R50" s="18" t="n">
        <v>432.1</v>
      </c>
      <c r="S50" s="18" t="n">
        <v>414.1</v>
      </c>
      <c r="T50" s="18" t="n">
        <v>1526</v>
      </c>
      <c r="U50" s="18" t="n">
        <v>690</v>
      </c>
      <c r="V50" s="18" t="n">
        <v>528.9</v>
      </c>
      <c r="W50" s="18" t="n">
        <v>512.7</v>
      </c>
      <c r="X50" s="18" t="n">
        <v>1509.6</v>
      </c>
      <c r="Y50" s="18" t="n">
        <v>556.9</v>
      </c>
      <c r="Z50" s="18" t="n">
        <v>628.7</v>
      </c>
      <c r="AA50" s="18" t="n">
        <v>1020.8</v>
      </c>
      <c r="AB50" s="18" t="n">
        <v>1771</v>
      </c>
      <c r="AC50" s="18" t="n">
        <v>554</v>
      </c>
    </row>
    <row r="51">
      <c r="A51" s="4" t="inlineStr">
        <is>
          <t>Capex</t>
        </is>
      </c>
      <c r="B51" s="18" t="n">
        <v>-20.3</v>
      </c>
      <c r="C51" s="18" t="n">
        <v>-53.1</v>
      </c>
      <c r="D51" s="18" t="n">
        <v>-47.2</v>
      </c>
      <c r="E51" s="18" t="n">
        <v>-49.1</v>
      </c>
      <c r="F51" s="18" t="n">
        <v>-86.3</v>
      </c>
      <c r="G51" s="18" t="n">
        <v>-31.8</v>
      </c>
      <c r="H51" s="18" t="n">
        <v>-29.6</v>
      </c>
      <c r="I51" s="18" t="n">
        <v>-32.1</v>
      </c>
      <c r="J51" s="18" t="n">
        <v>-26.9</v>
      </c>
      <c r="K51" s="18" t="n">
        <v>-27.4</v>
      </c>
      <c r="L51" s="18" t="n">
        <v>-34.6</v>
      </c>
      <c r="M51" s="18" t="n">
        <v>-80.7</v>
      </c>
      <c r="N51" s="18" t="n">
        <v>-38.3</v>
      </c>
      <c r="O51" s="18" t="n">
        <v>-39.2</v>
      </c>
      <c r="P51" s="18" t="n">
        <v>-39.6</v>
      </c>
      <c r="Q51" s="18" t="n">
        <v>-38.3</v>
      </c>
      <c r="R51" s="18" t="n">
        <v>-31.2</v>
      </c>
      <c r="S51" s="18" t="n">
        <v>-37.2</v>
      </c>
      <c r="T51" s="18" t="n">
        <v>-36.8</v>
      </c>
      <c r="U51" s="18" t="n">
        <v>-35.2</v>
      </c>
      <c r="V51" s="18" t="n">
        <v>-37.4</v>
      </c>
      <c r="W51" s="18" t="n">
        <v>-47.4</v>
      </c>
      <c r="X51" s="18" t="n">
        <v>-44.1</v>
      </c>
      <c r="Y51" s="18" t="n">
        <v>-47.5</v>
      </c>
      <c r="Z51" s="18" t="n">
        <v>-68.3</v>
      </c>
      <c r="AA51" s="18" t="n">
        <v>159.9</v>
      </c>
      <c r="AB51" s="18" t="n">
        <v>-84</v>
      </c>
      <c r="AC51" s="18" t="n">
        <v>84</v>
      </c>
    </row>
    <row r="52">
      <c r="A52" s="4" t="inlineStr">
        <is>
          <t>Free Cash Flow</t>
        </is>
      </c>
      <c r="B52" s="18" t="n">
        <v>276.1</v>
      </c>
      <c r="C52" s="18" t="n">
        <v>178.4</v>
      </c>
      <c r="D52" s="18" t="n">
        <v>178</v>
      </c>
      <c r="E52" s="18" t="n">
        <v>257.8</v>
      </c>
      <c r="F52" s="18" t="n">
        <v>83.59999999999999</v>
      </c>
      <c r="G52" s="18" t="n">
        <v>301.9</v>
      </c>
      <c r="H52" s="18" t="n">
        <v>505.3</v>
      </c>
      <c r="I52" s="18" t="n">
        <v>332.4</v>
      </c>
      <c r="J52" s="18" t="n">
        <v>250.9</v>
      </c>
      <c r="K52" s="18" t="n">
        <v>298.4</v>
      </c>
      <c r="L52" s="18" t="n">
        <v>554.3</v>
      </c>
      <c r="M52" s="18" t="n">
        <v>401.9</v>
      </c>
      <c r="N52" s="18" t="n">
        <v>351.2</v>
      </c>
      <c r="O52" s="18" t="n">
        <v>484.5</v>
      </c>
      <c r="P52" s="18" t="n">
        <v>1197.1</v>
      </c>
      <c r="Q52" s="18" t="n">
        <v>656.3</v>
      </c>
      <c r="R52" s="18" t="n">
        <v>400.9</v>
      </c>
      <c r="S52" s="18" t="n">
        <v>376.9</v>
      </c>
      <c r="T52" s="18" t="n">
        <v>1489.2</v>
      </c>
      <c r="U52" s="18" t="n">
        <v>654.8</v>
      </c>
      <c r="V52" s="18" t="n">
        <v>491.5</v>
      </c>
      <c r="W52" s="18" t="n">
        <v>465.3</v>
      </c>
      <c r="X52" s="18" t="n">
        <v>1465.5</v>
      </c>
      <c r="Y52" s="18" t="n">
        <v>509.4</v>
      </c>
      <c r="Z52" s="18" t="n">
        <v>560.4</v>
      </c>
      <c r="AA52" s="18" t="n">
        <v>1180.7</v>
      </c>
      <c r="AB52" s="18" t="n">
        <v>1687</v>
      </c>
      <c r="AC52" s="18" t="n">
        <v>638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11288.277083</v>
      </c>
      <c r="C4" s="18" t="n">
        <v>13559.365403</v>
      </c>
      <c r="D4" s="18" t="n">
        <v>15467.904103</v>
      </c>
      <c r="E4" s="18" t="n">
        <v>17359.75</v>
      </c>
      <c r="F4" s="18" t="n">
        <v>19550.5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4849.233607</v>
      </c>
      <c r="C8" s="18" t="n">
        <v>5824.850853</v>
      </c>
      <c r="D8" s="18" t="n">
        <v>6644.723535</v>
      </c>
      <c r="E8" s="18" t="n">
        <v>7457.4253</v>
      </c>
      <c r="F8" s="18" t="n">
        <v>8398.530699999999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4663.125951</v>
      </c>
      <c r="C12" s="18" t="n">
        <v>5601.300201</v>
      </c>
      <c r="D12" s="18" t="n">
        <v>6389.707172</v>
      </c>
      <c r="E12" s="18" t="n">
        <v>7171.218437</v>
      </c>
      <c r="F12" s="18" t="n">
        <v>8076.205363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5010.423024</v>
      </c>
      <c r="C16" s="18" t="n">
        <v>6018.469967</v>
      </c>
      <c r="D16" s="18" t="n">
        <v>6865.595368</v>
      </c>
      <c r="E16" s="18" t="n">
        <v>7705.311488</v>
      </c>
      <c r="F16" s="18" t="n">
        <v>8677.699406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2658.137218</v>
      </c>
      <c r="C20" s="18" t="n">
        <v>2887.230479</v>
      </c>
      <c r="D20" s="18" t="n">
        <v>2539.65791</v>
      </c>
      <c r="E20" s="18" t="n">
        <v>3475.570004</v>
      </c>
      <c r="F20" s="18" t="n">
        <v>0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3.68775</v>
      </c>
      <c r="C24" s="62" t="n">
        <v>3.97564</v>
      </c>
      <c r="D24" s="62" t="n">
        <v>4.62002</v>
      </c>
      <c r="E24" s="62" t="n">
        <v>4.9</v>
      </c>
      <c r="F24" s="62" t="n">
        <v>0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Palo Alto Networks,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0.03278137436698222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8.448664445879215e-17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0.02998129750917488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1.1182436235194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2026-06-05T14:15:27Z</dcterms:created>
  <dcterms:modified xmlns:dcterms="http://purl.org/dc/terms/" xmlns:xsi="http://www.w3.org/2001/XMLSchema-instance" xsi:type="dcterms:W3CDTF">2026-06-05T14:15:28Z</dcterms:modified>
</cp:coreProperties>
</file>