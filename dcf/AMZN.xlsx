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Amazon.com, Inc. (AMZN)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Amazon's three highest-margin engines — AWS, Advertising, and third-party services — outgrow the legacy first-party retail base, structurally lifting consolidated operating margin from ~11% today toward ~15% as the mix shifts and North-America retail leverages its regionalized cost-to-serve. The current 18% capex/revenue is a peak AI/AWS buildout cycle that fades toward maintenance levels as utilization catches up, allowing FCFF conversion to inflect upward even as absolute investment stays large. Fading segment growth to a mature ~3.5% blended rate with capex/D&amp;A converging to ~1.1x yields a defensible terminal cash machine.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Amazon.com, Inc. (AMZN)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Model!G48-WACC!B14</f>
        <v/>
      </c>
      <c r="C15" s="10">
        <f>IF(Model!G48-WACC!B14&lt;0,"!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Online Stores</t>
        </is>
      </c>
      <c r="B20" s="15" t="n">
        <v>0.08</v>
      </c>
      <c r="C20" s="15" t="n">
        <v>0.03</v>
      </c>
      <c r="D20" s="16" t="n">
        <v>0.08</v>
      </c>
      <c r="E20" s="2" t="inlineStr">
        <is>
          <t>share gains, GMV growth</t>
        </is>
      </c>
    </row>
    <row r="21">
      <c r="A21" s="4" t="inlineStr">
        <is>
          <t>Third-Party Seller Services</t>
        </is>
      </c>
      <c r="B21" s="15" t="n">
        <v>0.1</v>
      </c>
      <c r="C21" s="15" t="n">
        <v>0.035</v>
      </c>
      <c r="D21" s="16" t="n">
        <v>0.1</v>
      </c>
      <c r="E21" s="2" t="inlineStr">
        <is>
          <t>3P mix + fee/ad take</t>
        </is>
      </c>
    </row>
    <row r="22">
      <c r="A22" s="4" t="inlineStr">
        <is>
          <t>Amazon Web Services</t>
        </is>
      </c>
      <c r="B22" s="15" t="n">
        <v>0.21</v>
      </c>
      <c r="C22" s="15" t="n">
        <v>0.04</v>
      </c>
      <c r="D22" s="16" t="n">
        <v>0.21</v>
      </c>
      <c r="E22" s="2" t="inlineStr">
        <is>
          <t>AI/cloud reaccel + capacity adds</t>
        </is>
      </c>
    </row>
    <row r="23">
      <c r="A23" s="4" t="inlineStr">
        <is>
          <t>Advertising Services</t>
        </is>
      </c>
      <c r="B23" s="15" t="n">
        <v>0.21</v>
      </c>
      <c r="C23" s="15" t="n">
        <v>0.04</v>
      </c>
      <c r="D23" s="16" t="n">
        <v>0.21</v>
      </c>
      <c r="E23" s="2" t="inlineStr">
        <is>
          <t>ad load + retail media</t>
        </is>
      </c>
    </row>
    <row r="24">
      <c r="A24" s="4" t="inlineStr">
        <is>
          <t>Subscription Services</t>
        </is>
      </c>
      <c r="B24" s="15" t="n">
        <v>0.11</v>
      </c>
      <c r="C24" s="15" t="n">
        <v>0.035</v>
      </c>
      <c r="D24" s="16" t="n">
        <v>0.11</v>
      </c>
      <c r="E24" s="2" t="inlineStr">
        <is>
          <t>Prime price + member adds</t>
        </is>
      </c>
    </row>
    <row r="25">
      <c r="A25" s="4" t="inlineStr">
        <is>
          <t>Physical Stores</t>
        </is>
      </c>
      <c r="B25" s="15" t="n">
        <v>0.05</v>
      </c>
      <c r="C25" s="15" t="n">
        <v>0.025</v>
      </c>
      <c r="D25" s="16" t="n">
        <v>0.05</v>
      </c>
      <c r="E25" s="2" t="inlineStr">
        <is>
          <t>grocery/format expansion</t>
        </is>
      </c>
    </row>
    <row r="26">
      <c r="A26" s="4" t="inlineStr">
        <is>
          <t>Other Services</t>
        </is>
      </c>
      <c r="B26" s="15" t="n">
        <v>0.08</v>
      </c>
      <c r="C26" s="15" t="n">
        <v>0.03</v>
      </c>
      <c r="D26" s="16" t="n">
        <v>0.08</v>
      </c>
      <c r="E26" s="2" t="inlineStr">
        <is>
          <t>misc / emerging</t>
        </is>
      </c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0.12</v>
      </c>
      <c r="D29" s="16" t="n">
        <v>0.12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131518.32620464</v>
      </c>
      <c r="D34" s="18" t="n">
        <v>131518.32620464</v>
      </c>
      <c r="E34" s="2" t="inlineStr">
        <is>
          <t>Amazon guided ~$200B (AI/datacenters)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1.468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254.7</v>
      </c>
    </row>
  </sheetData>
  <conditionalFormatting sqref="B20:B26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Financials!AC56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Online Stores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Third-Party Seller Services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4" t="inlineStr">
        <is>
          <t>Amazon Web Services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11">
        <f>Dashboard!$B$22+(Dashboard!$C$22-Dashboard!$B$22)*MAX(0,0-2)/7</f>
        <v/>
      </c>
      <c r="H9" s="11">
        <f>Dashboard!$B$22+(Dashboard!$C$22-Dashboard!$B$22)*MAX(0,1-2)/7</f>
        <v/>
      </c>
      <c r="I9" s="11">
        <f>Dashboard!$B$22+(Dashboard!$C$22-Dashboard!$B$22)*MAX(0,2-2)/7</f>
        <v/>
      </c>
      <c r="J9" s="11">
        <f>Dashboard!$B$22+(Dashboard!$C$22-Dashboard!$B$22)*MAX(0,3-2)/7</f>
        <v/>
      </c>
      <c r="K9" s="11">
        <f>Dashboard!$B$22+(Dashboard!$C$22-Dashboard!$B$22)*MAX(0,4-2)/7</f>
        <v/>
      </c>
      <c r="L9" s="11">
        <f>Dashboard!$B$22+(Dashboard!$C$22-Dashboard!$B$22)*MAX(0,5-2)/7</f>
        <v/>
      </c>
      <c r="M9" s="11">
        <f>Dashboard!$B$22+(Dashboard!$C$22-Dashboard!$B$22)*MAX(0,6-2)/7</f>
        <v/>
      </c>
      <c r="N9" s="11">
        <f>Dashboard!$B$22+(Dashboard!$C$22-Dashboard!$B$22)*MAX(0,7-2)/7</f>
        <v/>
      </c>
      <c r="O9" s="11">
        <f>Dashboard!$B$22+(Dashboard!$C$22-Dashboard!$B$22)*MAX(0,8-2)/7</f>
        <v/>
      </c>
      <c r="P9" s="11">
        <f>Dashboard!$B$22+(Dashboard!$C$22-Dashboard!$B$22)*MAX(0,9-2)/7</f>
        <v/>
      </c>
    </row>
    <row r="10">
      <c r="A10" s="4" t="inlineStr">
        <is>
          <t>Advertising Services</t>
        </is>
      </c>
      <c r="B10" s="28">
        <f>SUM(Financials!I28:L28)</f>
        <v/>
      </c>
      <c r="C10" s="28">
        <f>SUM(Financials!M28:P28)</f>
        <v/>
      </c>
      <c r="D10" s="28">
        <f>SUM(Financials!Q28:T28)</f>
        <v/>
      </c>
      <c r="E10" s="28">
        <f>SUM(Financials!U28:X28)</f>
        <v/>
      </c>
      <c r="F10" s="28">
        <f>SUM(Financials!Y28:AB28)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27">
        <f>IFERROR(C10/B10-1,"")</f>
        <v/>
      </c>
      <c r="D11" s="27">
        <f>IFERROR(D10/C10-1,"")</f>
        <v/>
      </c>
      <c r="E11" s="27">
        <f>IFERROR(E10/D10-1,"")</f>
        <v/>
      </c>
      <c r="F11" s="27">
        <f>IFERROR(F10/E10-1,"")</f>
        <v/>
      </c>
      <c r="G11" s="11">
        <f>Dashboard!$B$23+(Dashboard!$C$23-Dashboard!$B$23)*MAX(0,0-2)/7</f>
        <v/>
      </c>
      <c r="H11" s="11">
        <f>Dashboard!$B$23+(Dashboard!$C$23-Dashboard!$B$23)*MAX(0,1-2)/7</f>
        <v/>
      </c>
      <c r="I11" s="11">
        <f>Dashboard!$B$23+(Dashboard!$C$23-Dashboard!$B$23)*MAX(0,2-2)/7</f>
        <v/>
      </c>
      <c r="J11" s="11">
        <f>Dashboard!$B$23+(Dashboard!$C$23-Dashboard!$B$23)*MAX(0,3-2)/7</f>
        <v/>
      </c>
      <c r="K11" s="11">
        <f>Dashboard!$B$23+(Dashboard!$C$23-Dashboard!$B$23)*MAX(0,4-2)/7</f>
        <v/>
      </c>
      <c r="L11" s="11">
        <f>Dashboard!$B$23+(Dashboard!$C$23-Dashboard!$B$23)*MAX(0,5-2)/7</f>
        <v/>
      </c>
      <c r="M11" s="11">
        <f>Dashboard!$B$23+(Dashboard!$C$23-Dashboard!$B$23)*MAX(0,6-2)/7</f>
        <v/>
      </c>
      <c r="N11" s="11">
        <f>Dashboard!$B$23+(Dashboard!$C$23-Dashboard!$B$23)*MAX(0,7-2)/7</f>
        <v/>
      </c>
      <c r="O11" s="11">
        <f>Dashboard!$B$23+(Dashboard!$C$23-Dashboard!$B$23)*MAX(0,8-2)/7</f>
        <v/>
      </c>
      <c r="P11" s="11">
        <f>Dashboard!$B$23+(Dashboard!$C$23-Dashboard!$B$23)*MAX(0,9-2)/7</f>
        <v/>
      </c>
    </row>
    <row r="12">
      <c r="A12" s="4" t="inlineStr">
        <is>
          <t>Subscription Services</t>
        </is>
      </c>
      <c r="B12" s="28">
        <f>SUM(Financials!I31:L31)</f>
        <v/>
      </c>
      <c r="C12" s="28">
        <f>SUM(Financials!M31:P31)</f>
        <v/>
      </c>
      <c r="D12" s="28">
        <f>SUM(Financials!Q31:T31)</f>
        <v/>
      </c>
      <c r="E12" s="28">
        <f>SUM(Financials!U31:X31)</f>
        <v/>
      </c>
      <c r="F12" s="28">
        <f>SUM(Financials!Y31:AB31)</f>
        <v/>
      </c>
      <c r="G12" s="32">
        <f>F12*(1+G13)</f>
        <v/>
      </c>
      <c r="H12" s="32">
        <f>G12*(1+H13)</f>
        <v/>
      </c>
      <c r="I12" s="32">
        <f>H12*(1+I13)</f>
        <v/>
      </c>
      <c r="J12" s="32">
        <f>I12*(1+J13)</f>
        <v/>
      </c>
      <c r="K12" s="32">
        <f>J12*(1+K13)</f>
        <v/>
      </c>
      <c r="L12" s="32">
        <f>K12*(1+L13)</f>
        <v/>
      </c>
      <c r="M12" s="32">
        <f>L12*(1+M13)</f>
        <v/>
      </c>
      <c r="N12" s="32">
        <f>M12*(1+N13)</f>
        <v/>
      </c>
      <c r="O12" s="32">
        <f>N12*(1+O13)</f>
        <v/>
      </c>
      <c r="P12" s="32">
        <f>O12*(1+P13)</f>
        <v/>
      </c>
    </row>
    <row r="13">
      <c r="A13" s="4" t="inlineStr">
        <is>
          <t xml:space="preserve">    growth % (interpolated from Dashboard)</t>
        </is>
      </c>
      <c r="C13" s="27">
        <f>IFERROR(C12/B12-1,"")</f>
        <v/>
      </c>
      <c r="D13" s="27">
        <f>IFERROR(D12/C12-1,"")</f>
        <v/>
      </c>
      <c r="E13" s="27">
        <f>IFERROR(E12/D12-1,"")</f>
        <v/>
      </c>
      <c r="F13" s="27">
        <f>IFERROR(F12/E12-1,"")</f>
        <v/>
      </c>
      <c r="G13" s="11">
        <f>Dashboard!$B$24+(Dashboard!$C$24-Dashboard!$B$24)*MAX(0,0-2)/7</f>
        <v/>
      </c>
      <c r="H13" s="11">
        <f>Dashboard!$B$24+(Dashboard!$C$24-Dashboard!$B$24)*MAX(0,1-2)/7</f>
        <v/>
      </c>
      <c r="I13" s="11">
        <f>Dashboard!$B$24+(Dashboard!$C$24-Dashboard!$B$24)*MAX(0,2-2)/7</f>
        <v/>
      </c>
      <c r="J13" s="11">
        <f>Dashboard!$B$24+(Dashboard!$C$24-Dashboard!$B$24)*MAX(0,3-2)/7</f>
        <v/>
      </c>
      <c r="K13" s="11">
        <f>Dashboard!$B$24+(Dashboard!$C$24-Dashboard!$B$24)*MAX(0,4-2)/7</f>
        <v/>
      </c>
      <c r="L13" s="11">
        <f>Dashboard!$B$24+(Dashboard!$C$24-Dashboard!$B$24)*MAX(0,5-2)/7</f>
        <v/>
      </c>
      <c r="M13" s="11">
        <f>Dashboard!$B$24+(Dashboard!$C$24-Dashboard!$B$24)*MAX(0,6-2)/7</f>
        <v/>
      </c>
      <c r="N13" s="11">
        <f>Dashboard!$B$24+(Dashboard!$C$24-Dashboard!$B$24)*MAX(0,7-2)/7</f>
        <v/>
      </c>
      <c r="O13" s="11">
        <f>Dashboard!$B$24+(Dashboard!$C$24-Dashboard!$B$24)*MAX(0,8-2)/7</f>
        <v/>
      </c>
      <c r="P13" s="11">
        <f>Dashboard!$B$24+(Dashboard!$C$24-Dashboard!$B$24)*MAX(0,9-2)/7</f>
        <v/>
      </c>
    </row>
    <row r="14">
      <c r="A14" s="4" t="inlineStr">
        <is>
          <t>Physical Stores</t>
        </is>
      </c>
      <c r="B14" s="28">
        <f>SUM(Financials!I34:L34)</f>
        <v/>
      </c>
      <c r="C14" s="28">
        <f>SUM(Financials!M34:P34)</f>
        <v/>
      </c>
      <c r="D14" s="28">
        <f>SUM(Financials!Q34:T34)</f>
        <v/>
      </c>
      <c r="E14" s="28">
        <f>SUM(Financials!U34:X34)</f>
        <v/>
      </c>
      <c r="F14" s="28">
        <f>SUM(Financials!Y34:AB34)</f>
        <v/>
      </c>
      <c r="G14" s="32">
        <f>F14*(1+G15)</f>
        <v/>
      </c>
      <c r="H14" s="32">
        <f>G14*(1+H15)</f>
        <v/>
      </c>
      <c r="I14" s="32">
        <f>H14*(1+I15)</f>
        <v/>
      </c>
      <c r="J14" s="32">
        <f>I14*(1+J15)</f>
        <v/>
      </c>
      <c r="K14" s="32">
        <f>J14*(1+K15)</f>
        <v/>
      </c>
      <c r="L14" s="32">
        <f>K14*(1+L15)</f>
        <v/>
      </c>
      <c r="M14" s="32">
        <f>L14*(1+M15)</f>
        <v/>
      </c>
      <c r="N14" s="32">
        <f>M14*(1+N15)</f>
        <v/>
      </c>
      <c r="O14" s="32">
        <f>N14*(1+O15)</f>
        <v/>
      </c>
      <c r="P14" s="32">
        <f>O14*(1+P15)</f>
        <v/>
      </c>
    </row>
    <row r="15">
      <c r="A15" s="4" t="inlineStr">
        <is>
          <t xml:space="preserve">    growth % (interpolated from Dashboard)</t>
        </is>
      </c>
      <c r="C15" s="27">
        <f>IFERROR(C14/B14-1,"")</f>
        <v/>
      </c>
      <c r="D15" s="27">
        <f>IFERROR(D14/C14-1,"")</f>
        <v/>
      </c>
      <c r="E15" s="27">
        <f>IFERROR(E14/D14-1,"")</f>
        <v/>
      </c>
      <c r="F15" s="27">
        <f>IFERROR(F14/E14-1,"")</f>
        <v/>
      </c>
      <c r="G15" s="11">
        <f>Dashboard!$B$25+(Dashboard!$C$25-Dashboard!$B$25)*MAX(0,0-2)/7</f>
        <v/>
      </c>
      <c r="H15" s="11">
        <f>Dashboard!$B$25+(Dashboard!$C$25-Dashboard!$B$25)*MAX(0,1-2)/7</f>
        <v/>
      </c>
      <c r="I15" s="11">
        <f>Dashboard!$B$25+(Dashboard!$C$25-Dashboard!$B$25)*MAX(0,2-2)/7</f>
        <v/>
      </c>
      <c r="J15" s="11">
        <f>Dashboard!$B$25+(Dashboard!$C$25-Dashboard!$B$25)*MAX(0,3-2)/7</f>
        <v/>
      </c>
      <c r="K15" s="11">
        <f>Dashboard!$B$25+(Dashboard!$C$25-Dashboard!$B$25)*MAX(0,4-2)/7</f>
        <v/>
      </c>
      <c r="L15" s="11">
        <f>Dashboard!$B$25+(Dashboard!$C$25-Dashboard!$B$25)*MAX(0,5-2)/7</f>
        <v/>
      </c>
      <c r="M15" s="11">
        <f>Dashboard!$B$25+(Dashboard!$C$25-Dashboard!$B$25)*MAX(0,6-2)/7</f>
        <v/>
      </c>
      <c r="N15" s="11">
        <f>Dashboard!$B$25+(Dashboard!$C$25-Dashboard!$B$25)*MAX(0,7-2)/7</f>
        <v/>
      </c>
      <c r="O15" s="11">
        <f>Dashboard!$B$25+(Dashboard!$C$25-Dashboard!$B$25)*MAX(0,8-2)/7</f>
        <v/>
      </c>
      <c r="P15" s="11">
        <f>Dashboard!$B$25+(Dashboard!$C$25-Dashboard!$B$25)*MAX(0,9-2)/7</f>
        <v/>
      </c>
    </row>
    <row r="16">
      <c r="A16" s="4" t="inlineStr">
        <is>
          <t>Other Services</t>
        </is>
      </c>
      <c r="B16" s="28">
        <f>SUM(Financials!I37:L37)</f>
        <v/>
      </c>
      <c r="C16" s="28">
        <f>SUM(Financials!M37:P37)</f>
        <v/>
      </c>
      <c r="D16" s="28">
        <f>SUM(Financials!Q37:T37)</f>
        <v/>
      </c>
      <c r="E16" s="28">
        <f>SUM(Financials!U37:X37)</f>
        <v/>
      </c>
      <c r="F16" s="28">
        <f>SUM(Financials!Y37:AB37)</f>
        <v/>
      </c>
      <c r="G16" s="32">
        <f>F16*(1+G17)</f>
        <v/>
      </c>
      <c r="H16" s="32">
        <f>G16*(1+H17)</f>
        <v/>
      </c>
      <c r="I16" s="32">
        <f>H16*(1+I17)</f>
        <v/>
      </c>
      <c r="J16" s="32">
        <f>I16*(1+J17)</f>
        <v/>
      </c>
      <c r="K16" s="32">
        <f>J16*(1+K17)</f>
        <v/>
      </c>
      <c r="L16" s="32">
        <f>K16*(1+L17)</f>
        <v/>
      </c>
      <c r="M16" s="32">
        <f>L16*(1+M17)</f>
        <v/>
      </c>
      <c r="N16" s="32">
        <f>M16*(1+N17)</f>
        <v/>
      </c>
      <c r="O16" s="32">
        <f>N16*(1+O17)</f>
        <v/>
      </c>
      <c r="P16" s="32">
        <f>O16*(1+P17)</f>
        <v/>
      </c>
    </row>
    <row r="17">
      <c r="A17" s="4" t="inlineStr">
        <is>
          <t xml:space="preserve">    growth % (interpolated from Dashboard)</t>
        </is>
      </c>
      <c r="C17" s="27">
        <f>IFERROR(C16/B16-1,"")</f>
        <v/>
      </c>
      <c r="D17" s="27">
        <f>IFERROR(D16/C16-1,"")</f>
        <v/>
      </c>
      <c r="E17" s="27">
        <f>IFERROR(E16/D16-1,"")</f>
        <v/>
      </c>
      <c r="F17" s="27">
        <f>IFERROR(F16/E16-1,"")</f>
        <v/>
      </c>
      <c r="G17" s="11">
        <f>Dashboard!$B$26+(Dashboard!$C$26-Dashboard!$B$26)*MAX(0,0-2)/7</f>
        <v/>
      </c>
      <c r="H17" s="11">
        <f>Dashboard!$B$26+(Dashboard!$C$26-Dashboard!$B$26)*MAX(0,1-2)/7</f>
        <v/>
      </c>
      <c r="I17" s="11">
        <f>Dashboard!$B$26+(Dashboard!$C$26-Dashboard!$B$26)*MAX(0,2-2)/7</f>
        <v/>
      </c>
      <c r="J17" s="11">
        <f>Dashboard!$B$26+(Dashboard!$C$26-Dashboard!$B$26)*MAX(0,3-2)/7</f>
        <v/>
      </c>
      <c r="K17" s="11">
        <f>Dashboard!$B$26+(Dashboard!$C$26-Dashboard!$B$26)*MAX(0,4-2)/7</f>
        <v/>
      </c>
      <c r="L17" s="11">
        <f>Dashboard!$B$26+(Dashboard!$C$26-Dashboard!$B$26)*MAX(0,5-2)/7</f>
        <v/>
      </c>
      <c r="M17" s="11">
        <f>Dashboard!$B$26+(Dashboard!$C$26-Dashboard!$B$26)*MAX(0,6-2)/7</f>
        <v/>
      </c>
      <c r="N17" s="11">
        <f>Dashboard!$B$26+(Dashboard!$C$26-Dashboard!$B$26)*MAX(0,7-2)/7</f>
        <v/>
      </c>
      <c r="O17" s="11">
        <f>Dashboard!$B$26+(Dashboard!$C$26-Dashboard!$B$26)*MAX(0,8-2)/7</f>
        <v/>
      </c>
      <c r="P17" s="11">
        <f>Dashboard!$B$26+(Dashboard!$C$26-Dashboard!$B$26)*MAX(0,9-2)/7</f>
        <v/>
      </c>
    </row>
    <row r="18">
      <c r="A18" s="3" t="inlineStr">
        <is>
          <t>Total revenue</t>
        </is>
      </c>
      <c r="B18" s="33">
        <f>B4+B6+B8+B10+B12+B14+B16</f>
        <v/>
      </c>
      <c r="C18" s="33">
        <f>C4+C6+C8+C10+C12+C14+C16</f>
        <v/>
      </c>
      <c r="D18" s="33">
        <f>D4+D6+D8+D10+D12+D14+D16</f>
        <v/>
      </c>
      <c r="E18" s="33">
        <f>E4+E6+E8+E10+E12+E14+E16</f>
        <v/>
      </c>
      <c r="F18" s="33">
        <f>F4+F6+F8+F10+F12+F14+F16</f>
        <v/>
      </c>
      <c r="G18" s="33">
        <f>G4+G6+G8+G10+G12+G14+G16</f>
        <v/>
      </c>
      <c r="H18" s="33">
        <f>H4+H6+H8+H10+H12+H14+H16</f>
        <v/>
      </c>
      <c r="I18" s="33">
        <f>I4+I6+I8+I10+I12+I14+I16</f>
        <v/>
      </c>
      <c r="J18" s="33">
        <f>J4+J6+J8+J10+J12+J14+J16</f>
        <v/>
      </c>
      <c r="K18" s="33">
        <f>K4+K6+K8+K10+K12+K14+K16</f>
        <v/>
      </c>
      <c r="L18" s="33">
        <f>L4+L6+L8+L10+L12+L14+L16</f>
        <v/>
      </c>
      <c r="M18" s="33">
        <f>M4+M6+M8+M10+M12+M14+M16</f>
        <v/>
      </c>
      <c r="N18" s="33">
        <f>N4+N6+N8+N10+N12+N14+N16</f>
        <v/>
      </c>
      <c r="O18" s="33">
        <f>O4+O6+O8+O10+O12+O14+O16</f>
        <v/>
      </c>
      <c r="P18" s="33">
        <f>P4+P6+P8+P10+P12+P14+P16</f>
        <v/>
      </c>
    </row>
    <row r="19">
      <c r="A19" s="4" t="inlineStr">
        <is>
          <t xml:space="preserve">    growth %</t>
        </is>
      </c>
      <c r="C19" s="27">
        <f>IFERROR(C18/B18-1,"")</f>
        <v/>
      </c>
      <c r="D19" s="27">
        <f>IFERROR(D18/C18-1,"")</f>
        <v/>
      </c>
      <c r="E19" s="27">
        <f>IFERROR(E18/D18-1,"")</f>
        <v/>
      </c>
      <c r="F19" s="27">
        <f>IFERROR(F18/E18-1,"")</f>
        <v/>
      </c>
      <c r="G19" s="27">
        <f>IFERROR(G18/F18-1,"")</f>
        <v/>
      </c>
      <c r="H19" s="27">
        <f>IFERROR(H18/G18-1,"")</f>
        <v/>
      </c>
      <c r="I19" s="27">
        <f>IFERROR(I18/H18-1,"")</f>
        <v/>
      </c>
      <c r="J19" s="27">
        <f>IFERROR(J18/I18-1,"")</f>
        <v/>
      </c>
      <c r="K19" s="27">
        <f>IFERROR(K18/J18-1,"")</f>
        <v/>
      </c>
      <c r="L19" s="27">
        <f>IFERROR(L18/K18-1,"")</f>
        <v/>
      </c>
      <c r="M19" s="27">
        <f>IFERROR(M18/L18-1,"")</f>
        <v/>
      </c>
      <c r="N19" s="27">
        <f>IFERROR(N18/M18-1,"")</f>
        <v/>
      </c>
      <c r="O19" s="27">
        <f>IFERROR(O18/N18-1,"")</f>
        <v/>
      </c>
      <c r="P19" s="27">
        <f>IFERROR(P18/O18-1,"")</f>
        <v/>
      </c>
    </row>
    <row r="21">
      <c r="A21" s="5" t="inlineStr">
        <is>
          <t xml:space="preserve">  COST STRUCTURE (yellow = % of revenue)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4" t="inlineStr">
        <is>
          <t>Cost of revenue</t>
        </is>
      </c>
      <c r="B22" s="28">
        <f>SUM(Financials!I5:L5)</f>
        <v/>
      </c>
      <c r="C22" s="28">
        <f>SUM(Financials!M5:P5)</f>
        <v/>
      </c>
      <c r="D22" s="28">
        <f>SUM(Financials!Q5:T5)</f>
        <v/>
      </c>
      <c r="E22" s="28">
        <f>SUM(Financials!U5:X5)</f>
        <v/>
      </c>
      <c r="F22" s="28">
        <f>SUM(Financials!Y5:AB5)</f>
        <v/>
      </c>
      <c r="G22" s="32">
        <f>G18*G23</f>
        <v/>
      </c>
      <c r="H22" s="32">
        <f>H18*H23</f>
        <v/>
      </c>
      <c r="I22" s="32">
        <f>I18*I23</f>
        <v/>
      </c>
      <c r="J22" s="32">
        <f>J18*J23</f>
        <v/>
      </c>
      <c r="K22" s="32">
        <f>K18*K23</f>
        <v/>
      </c>
      <c r="L22" s="32">
        <f>L18*L23</f>
        <v/>
      </c>
      <c r="M22" s="32">
        <f>M18*M23</f>
        <v/>
      </c>
      <c r="N22" s="32">
        <f>N18*N23</f>
        <v/>
      </c>
      <c r="O22" s="32">
        <f>O18*O23</f>
        <v/>
      </c>
      <c r="P22" s="32">
        <f>P18*P23</f>
        <v/>
      </c>
    </row>
    <row r="23">
      <c r="A23" s="4" t="inlineStr">
        <is>
          <t xml:space="preserve">    % of revenue</t>
        </is>
      </c>
      <c r="B23" s="27">
        <f>IFERROR(B22/B18,"")</f>
        <v/>
      </c>
      <c r="C23" s="27">
        <f>IFERROR(C22/C18,"")</f>
        <v/>
      </c>
      <c r="D23" s="27">
        <f>IFERROR(D22/D18,"")</f>
        <v/>
      </c>
      <c r="E23" s="27">
        <f>IFERROR(E22/E18,"")</f>
        <v/>
      </c>
      <c r="F23" s="27">
        <f>IFERROR(F22/F18,"")</f>
        <v/>
      </c>
      <c r="G23" s="15" t="n">
        <v>0.4971433513175734</v>
      </c>
      <c r="H23" s="15" t="n">
        <v>0.4971433513175734</v>
      </c>
      <c r="I23" s="15" t="n">
        <v>0.4971433513175734</v>
      </c>
      <c r="J23" s="15" t="n">
        <v>0.4971433513175734</v>
      </c>
      <c r="K23" s="15" t="n">
        <v>0.4971433513175734</v>
      </c>
      <c r="L23" s="15" t="n">
        <v>0.4971433513175734</v>
      </c>
      <c r="M23" s="15" t="n">
        <v>0.4971433513175734</v>
      </c>
      <c r="N23" s="15" t="n">
        <v>0.4971433513175734</v>
      </c>
      <c r="O23" s="15" t="n">
        <v>0.4971433513175734</v>
      </c>
      <c r="P23" s="15" t="n">
        <v>0.4971433513175734</v>
      </c>
    </row>
    <row r="24">
      <c r="A24" s="4" t="inlineStr">
        <is>
          <t>R&amp;D / Technology</t>
        </is>
      </c>
      <c r="B24" s="28">
        <f>SUM(Financials!I7:L7)</f>
        <v/>
      </c>
      <c r="C24" s="28">
        <f>SUM(Financials!M7:P7)</f>
        <v/>
      </c>
      <c r="D24" s="28">
        <f>SUM(Financials!Q7:T7)</f>
        <v/>
      </c>
      <c r="E24" s="28">
        <f>SUM(Financials!U7:X7)</f>
        <v/>
      </c>
      <c r="F24" s="28">
        <f>SUM(Financials!Y7:AB7)</f>
        <v/>
      </c>
      <c r="G24" s="32">
        <f>G18*G25</f>
        <v/>
      </c>
      <c r="H24" s="32">
        <f>H18*H25</f>
        <v/>
      </c>
      <c r="I24" s="32">
        <f>I18*I25</f>
        <v/>
      </c>
      <c r="J24" s="32">
        <f>J18*J25</f>
        <v/>
      </c>
      <c r="K24" s="32">
        <f>K18*K25</f>
        <v/>
      </c>
      <c r="L24" s="32">
        <f>L18*L25</f>
        <v/>
      </c>
      <c r="M24" s="32">
        <f>M18*M25</f>
        <v/>
      </c>
      <c r="N24" s="32">
        <f>N18*N25</f>
        <v/>
      </c>
      <c r="O24" s="32">
        <f>O18*O25</f>
        <v/>
      </c>
      <c r="P24" s="32">
        <f>P18*P25</f>
        <v/>
      </c>
    </row>
    <row r="25">
      <c r="A25" s="4" t="inlineStr">
        <is>
          <t xml:space="preserve">    % of revenue</t>
        </is>
      </c>
      <c r="B25" s="27">
        <f>IFERROR(B24/B18,"")</f>
        <v/>
      </c>
      <c r="C25" s="27">
        <f>IFERROR(C24/C18,"")</f>
        <v/>
      </c>
      <c r="D25" s="27">
        <f>IFERROR(D24/D18,"")</f>
        <v/>
      </c>
      <c r="E25" s="27">
        <f>IFERROR(E24/E18,"")</f>
        <v/>
      </c>
      <c r="F25" s="27">
        <f>IFERROR(F24/F18,"")</f>
        <v/>
      </c>
      <c r="G25" s="15" t="n">
        <v>0.1513702986648515</v>
      </c>
      <c r="H25" s="15" t="n">
        <v>0.1513702986648515</v>
      </c>
      <c r="I25" s="15" t="n">
        <v>0.1513702986648515</v>
      </c>
      <c r="J25" s="15" t="n">
        <v>0.1513702986648515</v>
      </c>
      <c r="K25" s="15" t="n">
        <v>0.1513702986648515</v>
      </c>
      <c r="L25" s="15" t="n">
        <v>0.1513702986648515</v>
      </c>
      <c r="M25" s="15" t="n">
        <v>0.1513702986648515</v>
      </c>
      <c r="N25" s="15" t="n">
        <v>0.1513702986648515</v>
      </c>
      <c r="O25" s="15" t="n">
        <v>0.1513702986648515</v>
      </c>
      <c r="P25" s="15" t="n">
        <v>0.1513702986648515</v>
      </c>
    </row>
    <row r="26">
      <c r="A26" s="4" t="inlineStr">
        <is>
          <t>SG&amp;A</t>
        </is>
      </c>
      <c r="B26" s="28">
        <f>SUM(Financials!I9:L9)</f>
        <v/>
      </c>
      <c r="C26" s="28">
        <f>SUM(Financials!M9:P9)</f>
        <v/>
      </c>
      <c r="D26" s="28">
        <f>SUM(Financials!Q9:T9)</f>
        <v/>
      </c>
      <c r="E26" s="28">
        <f>SUM(Financials!U9:X9)</f>
        <v/>
      </c>
      <c r="F26" s="28">
        <f>SUM(Financials!Y9:AB9)</f>
        <v/>
      </c>
      <c r="G26" s="32">
        <f>G18*G27</f>
        <v/>
      </c>
      <c r="H26" s="32">
        <f>H18*H27</f>
        <v/>
      </c>
      <c r="I26" s="32">
        <f>I18*I27</f>
        <v/>
      </c>
      <c r="J26" s="32">
        <f>J18*J27</f>
        <v/>
      </c>
      <c r="K26" s="32">
        <f>K18*K27</f>
        <v/>
      </c>
      <c r="L26" s="32">
        <f>L18*L27</f>
        <v/>
      </c>
      <c r="M26" s="32">
        <f>M18*M27</f>
        <v/>
      </c>
      <c r="N26" s="32">
        <f>N18*N27</f>
        <v/>
      </c>
      <c r="O26" s="32">
        <f>O18*O27</f>
        <v/>
      </c>
      <c r="P26" s="32">
        <f>P18*P27</f>
        <v/>
      </c>
    </row>
    <row r="27">
      <c r="A27" s="4" t="inlineStr">
        <is>
          <t xml:space="preserve">    % of revenue</t>
        </is>
      </c>
      <c r="B27" s="27">
        <f>IFERROR(B26/B18,"")</f>
        <v/>
      </c>
      <c r="C27" s="27">
        <f>IFERROR(C26/C18,"")</f>
        <v/>
      </c>
      <c r="D27" s="27">
        <f>IFERROR(D26/D18,"")</f>
        <v/>
      </c>
      <c r="E27" s="27">
        <f>IFERROR(E26/E18,"")</f>
        <v/>
      </c>
      <c r="F27" s="27">
        <f>IFERROR(F26/F18,"")</f>
        <v/>
      </c>
      <c r="G27" s="15" t="n">
        <v>0.08132103263386356</v>
      </c>
      <c r="H27" s="15" t="n">
        <v>0.08132103263386356</v>
      </c>
      <c r="I27" s="15" t="n">
        <v>0.08132103263386356</v>
      </c>
      <c r="J27" s="15" t="n">
        <v>0.08132103263386356</v>
      </c>
      <c r="K27" s="15" t="n">
        <v>0.08132103263386356</v>
      </c>
      <c r="L27" s="15" t="n">
        <v>0.08132103263386356</v>
      </c>
      <c r="M27" s="15" t="n">
        <v>0.08132103263386356</v>
      </c>
      <c r="N27" s="15" t="n">
        <v>0.08132103263386356</v>
      </c>
      <c r="O27" s="15" t="n">
        <v>0.08132103263386356</v>
      </c>
      <c r="P27" s="15" t="n">
        <v>0.08132103263386356</v>
      </c>
    </row>
    <row r="28">
      <c r="A28" s="4" t="inlineStr">
        <is>
          <t>Other opex (fulfilment, etc.)</t>
        </is>
      </c>
      <c r="B28" s="28">
        <f>B18-(B22+B24+B26)-SUM(Financials!I13:L13)</f>
        <v/>
      </c>
      <c r="C28" s="28">
        <f>C18-(C22+C24+C26)-SUM(Financials!M13:P13)</f>
        <v/>
      </c>
      <c r="D28" s="28">
        <f>D18-(D22+D24+D26)-SUM(Financials!Q13:T13)</f>
        <v/>
      </c>
      <c r="E28" s="28">
        <f>E18-(E22+E24+E26)-SUM(Financials!U13:X13)</f>
        <v/>
      </c>
      <c r="F28" s="28">
        <f>F18-(F22+F24+F26)-SUM(Financials!Y13:AB13)</f>
        <v/>
      </c>
      <c r="G28" s="28">
        <f>G18*(1-(Dashboard!$B$29+(Dashboard!$B$30-Dashboard!$B$29)*MIN(1,0/4)))-(G22+G24+G26)</f>
        <v/>
      </c>
      <c r="H28" s="28">
        <f>H18*(1-(Dashboard!$B$29+(Dashboard!$B$30-Dashboard!$B$29)*MIN(1,1/4)))-(H22+H24+H26)</f>
        <v/>
      </c>
      <c r="I28" s="28">
        <f>I18*(1-(Dashboard!$B$29+(Dashboard!$B$30-Dashboard!$B$29)*MIN(1,2/4)))-(I22+I24+I26)</f>
        <v/>
      </c>
      <c r="J28" s="28">
        <f>J18*(1-(Dashboard!$B$29+(Dashboard!$B$30-Dashboard!$B$29)*MIN(1,3/4)))-(J22+J24+J26)</f>
        <v/>
      </c>
      <c r="K28" s="28">
        <f>K18*(1-(Dashboard!$B$29+(Dashboard!$B$30-Dashboard!$B$29)*MIN(1,4/4)))-(K22+K24+K26)</f>
        <v/>
      </c>
      <c r="L28" s="28">
        <f>L18*(1-(Dashboard!$B$29+(Dashboard!$B$30-Dashboard!$B$29)*MIN(1,5/4)))-(L22+L24+L26)</f>
        <v/>
      </c>
      <c r="M28" s="28">
        <f>M18*(1-(Dashboard!$B$29+(Dashboard!$B$30-Dashboard!$B$29)*MIN(1,6/4)))-(M22+M24+M26)</f>
        <v/>
      </c>
      <c r="N28" s="28">
        <f>N18*(1-(Dashboard!$B$29+(Dashboard!$B$30-Dashboard!$B$29)*MIN(1,7/4)))-(N22+N24+N26)</f>
        <v/>
      </c>
      <c r="O28" s="28">
        <f>O18*(1-(Dashboard!$B$29+(Dashboard!$B$30-Dashboard!$B$29)*MIN(1,8/4)))-(O22+O24+O26)</f>
        <v/>
      </c>
      <c r="P28" s="28">
        <f>P18*(1-(Dashboard!$B$29+(Dashboard!$B$30-Dashboard!$B$29)*MIN(1,9/4)))-(P22+P24+P26)</f>
        <v/>
      </c>
    </row>
    <row r="29">
      <c r="A29" s="4" t="inlineStr">
        <is>
          <t xml:space="preserve">    % of revenue</t>
        </is>
      </c>
      <c r="B29" s="27">
        <f>IFERROR(B28/B18,"")</f>
        <v/>
      </c>
      <c r="C29" s="27">
        <f>IFERROR(C28/C18,"")</f>
        <v/>
      </c>
      <c r="D29" s="27">
        <f>IFERROR(D28/D18,"")</f>
        <v/>
      </c>
      <c r="E29" s="27">
        <f>IFERROR(E28/E18,"")</f>
        <v/>
      </c>
      <c r="F29" s="27">
        <f>IFERROR(F28/F18,"")</f>
        <v/>
      </c>
      <c r="G29" s="27">
        <f>IFERROR(G28/G18,"")</f>
        <v/>
      </c>
      <c r="H29" s="27">
        <f>IFERROR(H28/H18,"")</f>
        <v/>
      </c>
      <c r="I29" s="27">
        <f>IFERROR(I28/I18,"")</f>
        <v/>
      </c>
      <c r="J29" s="27">
        <f>IFERROR(J28/J18,"")</f>
        <v/>
      </c>
      <c r="K29" s="27">
        <f>IFERROR(K28/K18,"")</f>
        <v/>
      </c>
      <c r="L29" s="27">
        <f>IFERROR(L28/L18,"")</f>
        <v/>
      </c>
      <c r="M29" s="27">
        <f>IFERROR(M28/M18,"")</f>
        <v/>
      </c>
      <c r="N29" s="27">
        <f>IFERROR(N28/N18,"")</f>
        <v/>
      </c>
      <c r="O29" s="27">
        <f>IFERROR(O28/O18,"")</f>
        <v/>
      </c>
      <c r="P29" s="27">
        <f>IFERROR(P28/P18,"")</f>
        <v/>
      </c>
    </row>
    <row r="31">
      <c r="A31" s="3" t="inlineStr">
        <is>
          <t>Operating income (EBIT)</t>
        </is>
      </c>
      <c r="B31" s="33">
        <f>B18-(B22+B24+B26)-B28</f>
        <v/>
      </c>
      <c r="C31" s="33">
        <f>C18-(C22+C24+C26)-C28</f>
        <v/>
      </c>
      <c r="D31" s="33">
        <f>D18-(D22+D24+D26)-D28</f>
        <v/>
      </c>
      <c r="E31" s="33">
        <f>E18-(E22+E24+E26)-E28</f>
        <v/>
      </c>
      <c r="F31" s="33">
        <f>F18-(F22+F24+F26)-F28</f>
        <v/>
      </c>
      <c r="G31" s="33">
        <f>G18-(G22+G24+G26)-G28</f>
        <v/>
      </c>
      <c r="H31" s="33">
        <f>H18-(H22+H24+H26)-H28</f>
        <v/>
      </c>
      <c r="I31" s="33">
        <f>I18-(I22+I24+I26)-I28</f>
        <v/>
      </c>
      <c r="J31" s="33">
        <f>J18-(J22+J24+J26)-J28</f>
        <v/>
      </c>
      <c r="K31" s="33">
        <f>K18-(K22+K24+K26)-K28</f>
        <v/>
      </c>
      <c r="L31" s="33">
        <f>L18-(L22+L24+L26)-L28</f>
        <v/>
      </c>
      <c r="M31" s="33">
        <f>M18-(M22+M24+M26)-M28</f>
        <v/>
      </c>
      <c r="N31" s="33">
        <f>N18-(N22+N24+N26)-N28</f>
        <v/>
      </c>
      <c r="O31" s="33">
        <f>O18-(O22+O24+O26)-O28</f>
        <v/>
      </c>
      <c r="P31" s="33">
        <f>P18-(P22+P24+P26)-P28</f>
        <v/>
      </c>
    </row>
    <row r="32">
      <c r="A32" s="4" t="inlineStr">
        <is>
          <t xml:space="preserve">    operating margin</t>
        </is>
      </c>
      <c r="B32" s="27">
        <f>IFERROR(B31/B18,"")</f>
        <v/>
      </c>
      <c r="C32" s="27">
        <f>IFERROR(C31/C18,"")</f>
        <v/>
      </c>
      <c r="D32" s="27">
        <f>IFERROR(D31/D18,"")</f>
        <v/>
      </c>
      <c r="E32" s="27">
        <f>IFERROR(E31/E18,"")</f>
        <v/>
      </c>
      <c r="F32" s="27">
        <f>IFERROR(F31/F18,"")</f>
        <v/>
      </c>
      <c r="G32" s="27">
        <f>IFERROR(G31/G18,"")</f>
        <v/>
      </c>
      <c r="H32" s="27">
        <f>IFERROR(H31/H18,"")</f>
        <v/>
      </c>
      <c r="I32" s="27">
        <f>IFERROR(I31/I18,"")</f>
        <v/>
      </c>
      <c r="J32" s="27">
        <f>IFERROR(J31/J18,"")</f>
        <v/>
      </c>
      <c r="K32" s="27">
        <f>IFERROR(K31/K18,"")</f>
        <v/>
      </c>
      <c r="L32" s="27">
        <f>IFERROR(L31/L18,"")</f>
        <v/>
      </c>
      <c r="M32" s="27">
        <f>IFERROR(M31/M18,"")</f>
        <v/>
      </c>
      <c r="N32" s="27">
        <f>IFERROR(N31/N18,"")</f>
        <v/>
      </c>
      <c r="O32" s="27">
        <f>IFERROR(O31/O18,"")</f>
        <v/>
      </c>
      <c r="P32" s="27">
        <f>IFERROR(P31/P18,"")</f>
        <v/>
      </c>
    </row>
    <row r="34">
      <c r="A34" s="5" t="inlineStr">
        <is>
          <t xml:space="preserve">  FCF BRIDGE (NOPAT + D&amp;A + SBC - dNWC - Capex)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4" t="inlineStr">
        <is>
          <t>NOPAT = EBIT x (1 - tax)</t>
        </is>
      </c>
      <c r="B35" s="28">
        <f>B31*(1-Valuation!$B$5)</f>
        <v/>
      </c>
      <c r="C35" s="28">
        <f>C31*(1-Valuation!$B$5)</f>
        <v/>
      </c>
      <c r="D35" s="28">
        <f>D31*(1-Valuation!$B$5)</f>
        <v/>
      </c>
      <c r="E35" s="28">
        <f>E31*(1-Valuation!$B$5)</f>
        <v/>
      </c>
      <c r="F35" s="28">
        <f>F31*(1-Valuation!$B$5)</f>
        <v/>
      </c>
      <c r="G35" s="28">
        <f>G31*(1-Valuation!$B$5)</f>
        <v/>
      </c>
      <c r="H35" s="28">
        <f>H31*(1-Valuation!$B$5)</f>
        <v/>
      </c>
      <c r="I35" s="28">
        <f>I31*(1-Valuation!$B$5)</f>
        <v/>
      </c>
      <c r="J35" s="28">
        <f>J31*(1-Valuation!$B$5)</f>
        <v/>
      </c>
      <c r="K35" s="28">
        <f>K31*(1-Valuation!$B$5)</f>
        <v/>
      </c>
      <c r="L35" s="28">
        <f>L31*(1-Valuation!$B$5)</f>
        <v/>
      </c>
      <c r="M35" s="28">
        <f>M31*(1-Valuation!$B$5)</f>
        <v/>
      </c>
      <c r="N35" s="28">
        <f>N31*(1-Valuation!$B$5)</f>
        <v/>
      </c>
      <c r="O35" s="28">
        <f>O31*(1-Valuation!$B$5)</f>
        <v/>
      </c>
      <c r="P35" s="28">
        <f>P31*(1-Valuation!$B$5)</f>
        <v/>
      </c>
    </row>
    <row r="36">
      <c r="A36" s="4" t="inlineStr">
        <is>
          <t>+ D&amp;A</t>
        </is>
      </c>
      <c r="B36" s="28">
        <f>SUM(Financials!I59:L59)</f>
        <v/>
      </c>
      <c r="C36" s="28">
        <f>SUM(Financials!M59:P59)</f>
        <v/>
      </c>
      <c r="D36" s="28">
        <f>SUM(Financials!Q59:T59)</f>
        <v/>
      </c>
      <c r="E36" s="28">
        <f>SUM(Financials!U59:X59)</f>
        <v/>
      </c>
      <c r="F36" s="28">
        <f>SUM(Financials!Y59:AB59)</f>
        <v/>
      </c>
      <c r="G36" s="32">
        <f>G18*0.0917</f>
        <v/>
      </c>
      <c r="H36" s="32">
        <f>H18*0.0917</f>
        <v/>
      </c>
      <c r="I36" s="32">
        <f>I18*0.0917</f>
        <v/>
      </c>
      <c r="J36" s="32">
        <f>J18*0.0917</f>
        <v/>
      </c>
      <c r="K36" s="32">
        <f>K18*0.0917</f>
        <v/>
      </c>
      <c r="L36" s="32">
        <f>L18*0.0917</f>
        <v/>
      </c>
      <c r="M36" s="32">
        <f>M18*0.0917</f>
        <v/>
      </c>
      <c r="N36" s="32">
        <f>N18*0.0917</f>
        <v/>
      </c>
      <c r="O36" s="32">
        <f>O18*0.0917</f>
        <v/>
      </c>
      <c r="P36" s="32">
        <f>P18*0.0917</f>
        <v/>
      </c>
    </row>
    <row r="37">
      <c r="A37" s="4" t="inlineStr">
        <is>
          <t>+ SBC (non-cash)</t>
        </is>
      </c>
      <c r="B37" s="28">
        <f>SUM(Financials!I60:L60)</f>
        <v/>
      </c>
      <c r="C37" s="28">
        <f>SUM(Financials!M60:P60)</f>
        <v/>
      </c>
      <c r="D37" s="28">
        <f>SUM(Financials!Q60:T60)</f>
        <v/>
      </c>
      <c r="E37" s="28">
        <f>SUM(Financials!U60:X60)</f>
        <v/>
      </c>
      <c r="F37" s="28">
        <f>SUM(Financials!Y60:AB60)</f>
        <v/>
      </c>
      <c r="G37" s="32">
        <f>G18*0.0272</f>
        <v/>
      </c>
      <c r="H37" s="32">
        <f>H18*0.0259</f>
        <v/>
      </c>
      <c r="I37" s="32">
        <f>I18*0.0247</f>
        <v/>
      </c>
      <c r="J37" s="32">
        <f>J18*0.0235</f>
        <v/>
      </c>
      <c r="K37" s="32">
        <f>K18*0.0223</f>
        <v/>
      </c>
      <c r="L37" s="32">
        <f>L18*0.0211</f>
        <v/>
      </c>
      <c r="M37" s="32">
        <f>M18*0.0199</f>
        <v/>
      </c>
      <c r="N37" s="32">
        <f>N18*0.0187</f>
        <v/>
      </c>
      <c r="O37" s="32">
        <f>O18*0.0175</f>
        <v/>
      </c>
      <c r="P37" s="32">
        <f>P18*0.0163</f>
        <v/>
      </c>
    </row>
    <row r="38">
      <c r="A38" s="4" t="inlineStr">
        <is>
          <t>- dNWC</t>
        </is>
      </c>
      <c r="G38" s="32">
        <f>(G18-F18)*0.0050</f>
        <v/>
      </c>
      <c r="H38" s="32">
        <f>(H18-G18)*0.0050</f>
        <v/>
      </c>
      <c r="I38" s="32">
        <f>(I18-H18)*0.0050</f>
        <v/>
      </c>
      <c r="J38" s="32">
        <f>(J18-I18)*0.0050</f>
        <v/>
      </c>
      <c r="K38" s="32">
        <f>(K18-J18)*0.0050</f>
        <v/>
      </c>
      <c r="L38" s="32">
        <f>(L18-K18)*0.0050</f>
        <v/>
      </c>
      <c r="M38" s="32">
        <f>(M18-L18)*0.0050</f>
        <v/>
      </c>
      <c r="N38" s="32">
        <f>(N18-M18)*0.0050</f>
        <v/>
      </c>
      <c r="O38" s="32">
        <f>(O18-N18)*0.0050</f>
        <v/>
      </c>
      <c r="P38" s="32">
        <f>(P18-O18)*0.0050</f>
        <v/>
      </c>
    </row>
    <row r="39">
      <c r="A39" s="4" t="inlineStr">
        <is>
          <t>- Capex</t>
        </is>
      </c>
      <c r="B39" s="28">
        <f>-SUM(Financials!I63:L63)</f>
        <v/>
      </c>
      <c r="C39" s="28">
        <f>-SUM(Financials!M63:P63)</f>
        <v/>
      </c>
      <c r="D39" s="28">
        <f>-SUM(Financials!Q63:T63)</f>
        <v/>
      </c>
      <c r="E39" s="28">
        <f>-SUM(Financials!U63:X63)</f>
        <v/>
      </c>
      <c r="F39" s="28">
        <f>-SUM(Financials!Y63:AB63)</f>
        <v/>
      </c>
      <c r="G39" s="32">
        <f>G36*G40</f>
        <v/>
      </c>
      <c r="H39" s="32">
        <f>H36*H40</f>
        <v/>
      </c>
      <c r="I39" s="32">
        <f>I36*I40</f>
        <v/>
      </c>
      <c r="J39" s="32">
        <f>J36*J40</f>
        <v/>
      </c>
      <c r="K39" s="32">
        <f>K36*K40</f>
        <v/>
      </c>
      <c r="L39" s="32">
        <f>L36*L40</f>
        <v/>
      </c>
      <c r="M39" s="32">
        <f>M36*M40</f>
        <v/>
      </c>
      <c r="N39" s="32">
        <f>N36*N40</f>
        <v/>
      </c>
      <c r="O39" s="32">
        <f>O36*O40</f>
        <v/>
      </c>
      <c r="P39" s="32">
        <f>P36*P40</f>
        <v/>
      </c>
    </row>
    <row r="40">
      <c r="A40" s="4" t="inlineStr">
        <is>
          <t xml:space="preserve">    Capex / D&amp;A  (from Dashboard: $cap'26 -&gt; terminal)</t>
        </is>
      </c>
      <c r="B40" s="34">
        <f>IFERROR(B39/B36,"")</f>
        <v/>
      </c>
      <c r="C40" s="34">
        <f>IFERROR(C39/C36,"")</f>
        <v/>
      </c>
      <c r="D40" s="34">
        <f>IFERROR(D39/D36,"")</f>
        <v/>
      </c>
      <c r="E40" s="34">
        <f>IFERROR(E39/E36,"")</f>
        <v/>
      </c>
      <c r="F40" s="34">
        <f>IFERROR(F39/F36,"")</f>
        <v/>
      </c>
      <c r="G40" s="13">
        <f>(Dashboard!$B$34/G36)+(Dashboard!$B$35-(Dashboard!$B$34/G36))*0/9</f>
        <v/>
      </c>
      <c r="H40" s="13">
        <f>(Dashboard!$B$34/G36)+(Dashboard!$B$35-(Dashboard!$B$34/G36))*1/9</f>
        <v/>
      </c>
      <c r="I40" s="13">
        <f>(Dashboard!$B$34/G36)+(Dashboard!$B$35-(Dashboard!$B$34/G36))*2/9</f>
        <v/>
      </c>
      <c r="J40" s="13">
        <f>(Dashboard!$B$34/G36)+(Dashboard!$B$35-(Dashboard!$B$34/G36))*3/9</f>
        <v/>
      </c>
      <c r="K40" s="13">
        <f>(Dashboard!$B$34/G36)+(Dashboard!$B$35-(Dashboard!$B$34/G36))*4/9</f>
        <v/>
      </c>
      <c r="L40" s="13">
        <f>(Dashboard!$B$34/G36)+(Dashboard!$B$35-(Dashboard!$B$34/G36))*5/9</f>
        <v/>
      </c>
      <c r="M40" s="13">
        <f>(Dashboard!$B$34/G36)+(Dashboard!$B$35-(Dashboard!$B$34/G36))*6/9</f>
        <v/>
      </c>
      <c r="N40" s="13">
        <f>(Dashboard!$B$34/G36)+(Dashboard!$B$35-(Dashboard!$B$34/G36))*7/9</f>
        <v/>
      </c>
      <c r="O40" s="13">
        <f>(Dashboard!$B$34/G36)+(Dashboard!$B$35-(Dashboard!$B$34/G36))*8/9</f>
        <v/>
      </c>
      <c r="P40" s="13">
        <f>(Dashboard!$B$34/G36)+(Dashboard!$B$35-(Dashboard!$B$34/G36))*9/9</f>
        <v/>
      </c>
    </row>
    <row r="42">
      <c r="A42" s="3" t="inlineStr">
        <is>
          <t>FCFF (firm)</t>
        </is>
      </c>
      <c r="B42" s="33">
        <f>B35+B36+B37-B38-B39</f>
        <v/>
      </c>
      <c r="C42" s="33">
        <f>C35+C36+C37-C38-C39</f>
        <v/>
      </c>
      <c r="D42" s="33">
        <f>D35+D36+D37-D38-D39</f>
        <v/>
      </c>
      <c r="E42" s="33">
        <f>E35+E36+E37-E38-E39</f>
        <v/>
      </c>
      <c r="F42" s="33">
        <f>F35+F36+F37-F38-F39</f>
        <v/>
      </c>
      <c r="G42" s="33">
        <f>G35+G36+G37-G38-G39</f>
        <v/>
      </c>
      <c r="H42" s="33">
        <f>H35+H36+H37-H38-H39</f>
        <v/>
      </c>
      <c r="I42" s="33">
        <f>I35+I36+I37-I38-I39</f>
        <v/>
      </c>
      <c r="J42" s="33">
        <f>J35+J36+J37-J38-J39</f>
        <v/>
      </c>
      <c r="K42" s="33">
        <f>K35+K36+K37-K38-K39</f>
        <v/>
      </c>
      <c r="L42" s="33">
        <f>L35+L36+L37-L38-L39</f>
        <v/>
      </c>
      <c r="M42" s="33">
        <f>M35+M36+M37-M38-M39</f>
        <v/>
      </c>
      <c r="N42" s="33">
        <f>N35+N36+N37-N38-N39</f>
        <v/>
      </c>
      <c r="O42" s="33">
        <f>O35+O36+O37-O38-O39</f>
        <v/>
      </c>
      <c r="P42" s="33">
        <f>P35+P36+P37-P38-P39</f>
        <v/>
      </c>
    </row>
    <row r="43">
      <c r="A43" s="3" t="inlineStr">
        <is>
          <t>Valuation FCF (FCFF - SBC)</t>
        </is>
      </c>
      <c r="B43" s="33">
        <f>B42-B37</f>
        <v/>
      </c>
      <c r="C43" s="33">
        <f>C42-C37</f>
        <v/>
      </c>
      <c r="D43" s="33">
        <f>D42-D37</f>
        <v/>
      </c>
      <c r="E43" s="33">
        <f>E42-E37</f>
        <v/>
      </c>
      <c r="F43" s="33">
        <f>F42-F37</f>
        <v/>
      </c>
      <c r="G43" s="33">
        <f>G42-G37</f>
        <v/>
      </c>
      <c r="H43" s="33">
        <f>H42-H37</f>
        <v/>
      </c>
      <c r="I43" s="33">
        <f>I42-I37</f>
        <v/>
      </c>
      <c r="J43" s="33">
        <f>J42-J37</f>
        <v/>
      </c>
      <c r="K43" s="33">
        <f>K42-K37</f>
        <v/>
      </c>
      <c r="L43" s="33">
        <f>L42-L37</f>
        <v/>
      </c>
      <c r="M43" s="33">
        <f>M42-M37</f>
        <v/>
      </c>
      <c r="N43" s="33">
        <f>N42-N37</f>
        <v/>
      </c>
      <c r="O43" s="33">
        <f>O42-O37</f>
        <v/>
      </c>
      <c r="P43" s="33">
        <f>P42-P37</f>
        <v/>
      </c>
    </row>
    <row r="45">
      <c r="A45" s="5" t="inlineStr">
        <is>
          <t xml:space="preserve">  RETURNS ON CAPITAL &amp; EFFICIENCY  (is new revenue/capital earning its keep?)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4" t="inlineStr">
        <is>
          <t>Invested capital (debt + equity - cash)</t>
        </is>
      </c>
      <c r="B46" s="28">
        <f>Financials!L57+Financials!L56-Financials!L51</f>
        <v/>
      </c>
      <c r="C46" s="28">
        <f>Financials!P57+Financials!P56-Financials!P51</f>
        <v/>
      </c>
      <c r="D46" s="28">
        <f>Financials!T57+Financials!T56-Financials!T51</f>
        <v/>
      </c>
      <c r="E46" s="28">
        <f>Financials!X57+Financials!X56-Financials!X51</f>
        <v/>
      </c>
      <c r="F46" s="28">
        <f>Financials!AB57+Financials!AB56-Financials!AB51</f>
        <v/>
      </c>
      <c r="G46" s="32">
        <f>F46+G39-G36+G38</f>
        <v/>
      </c>
      <c r="H46" s="32">
        <f>G46+H39-H36+H38</f>
        <v/>
      </c>
      <c r="I46" s="32">
        <f>H46+I39-I36+I38</f>
        <v/>
      </c>
      <c r="J46" s="32">
        <f>I46+J39-J36+J38</f>
        <v/>
      </c>
      <c r="K46" s="32">
        <f>J46+K39-K36+K38</f>
        <v/>
      </c>
      <c r="L46" s="32">
        <f>K46+L39-L36+L38</f>
        <v/>
      </c>
      <c r="M46" s="32">
        <f>L46+M39-M36+M38</f>
        <v/>
      </c>
      <c r="N46" s="32">
        <f>M46+N39-N36+N38</f>
        <v/>
      </c>
      <c r="O46" s="32">
        <f>N46+O39-O36+O38</f>
        <v/>
      </c>
      <c r="P46" s="32">
        <f>O46+P39-P36+P38</f>
        <v/>
      </c>
    </row>
    <row r="47">
      <c r="A47" s="4" t="inlineStr">
        <is>
          <t>Book equity (year-end)</t>
        </is>
      </c>
      <c r="B47" s="28">
        <f>Financials!L57</f>
        <v/>
      </c>
      <c r="C47" s="28">
        <f>Financials!P57</f>
        <v/>
      </c>
      <c r="D47" s="28">
        <f>Financials!T57</f>
        <v/>
      </c>
      <c r="E47" s="28">
        <f>Financials!X57</f>
        <v/>
      </c>
      <c r="F47" s="28">
        <f>Financials!AB57</f>
        <v/>
      </c>
      <c r="G47" s="32">
        <f>F47+G35</f>
        <v/>
      </c>
      <c r="H47" s="32">
        <f>G47+H35</f>
        <v/>
      </c>
      <c r="I47" s="32">
        <f>H47+I35</f>
        <v/>
      </c>
      <c r="J47" s="32">
        <f>I47+J35</f>
        <v/>
      </c>
      <c r="K47" s="32">
        <f>J47+K35</f>
        <v/>
      </c>
      <c r="L47" s="32">
        <f>K47+L35</f>
        <v/>
      </c>
      <c r="M47" s="32">
        <f>L47+M35</f>
        <v/>
      </c>
      <c r="N47" s="32">
        <f>M47+N35</f>
        <v/>
      </c>
      <c r="O47" s="32">
        <f>N47+O35</f>
        <v/>
      </c>
      <c r="P47" s="32">
        <f>O47+P35</f>
        <v/>
      </c>
    </row>
    <row r="48">
      <c r="A48" s="3" t="inlineStr">
        <is>
          <t xml:space="preserve">  ROIC (NOPAT / beg. invested capital)</t>
        </is>
      </c>
      <c r="C48" s="27">
        <f>IFERROR(C35/B46,"")</f>
        <v/>
      </c>
      <c r="D48" s="27">
        <f>IFERROR(D35/C46,"")</f>
        <v/>
      </c>
      <c r="E48" s="27">
        <f>IFERROR(E35/D46,"")</f>
        <v/>
      </c>
      <c r="F48" s="27">
        <f>IFERROR(F35/E46,"")</f>
        <v/>
      </c>
      <c r="G48" s="27">
        <f>IFERROR(G35/F46,"")</f>
        <v/>
      </c>
      <c r="H48" s="27">
        <f>IFERROR(H35/G46,"")</f>
        <v/>
      </c>
      <c r="I48" s="27">
        <f>IFERROR(I35/H46,"")</f>
        <v/>
      </c>
      <c r="J48" s="27">
        <f>IFERROR(J35/I46,"")</f>
        <v/>
      </c>
      <c r="K48" s="27">
        <f>IFERROR(K35/J46,"")</f>
        <v/>
      </c>
      <c r="L48" s="27">
        <f>IFERROR(L35/K46,"")</f>
        <v/>
      </c>
      <c r="M48" s="27">
        <f>IFERROR(M35/L46,"")</f>
        <v/>
      </c>
      <c r="N48" s="27">
        <f>IFERROR(N35/M46,"")</f>
        <v/>
      </c>
      <c r="O48" s="27">
        <f>IFERROR(O35/N46,"")</f>
        <v/>
      </c>
      <c r="P48" s="27">
        <f>IFERROR(P35/O46,"")</f>
        <v/>
      </c>
    </row>
    <row r="49">
      <c r="A49" s="3" t="inlineStr">
        <is>
          <t xml:space="preserve">  ROE (earnings / beg. equity)</t>
        </is>
      </c>
      <c r="C49" s="11">
        <f>IFERROR(SUM(Financials!M15:P15)/B47,"")</f>
        <v/>
      </c>
      <c r="D49" s="11">
        <f>IFERROR(SUM(Financials!Q15:T15)/C47,"")</f>
        <v/>
      </c>
      <c r="E49" s="11">
        <f>IFERROR(SUM(Financials!U15:X15)/D47,"")</f>
        <v/>
      </c>
      <c r="F49" s="11">
        <f>IFERROR(SUM(Financials!Y15:AB15)/E47,"")</f>
        <v/>
      </c>
      <c r="G49" s="27">
        <f>IFERROR(G35/F47,"")</f>
        <v/>
      </c>
      <c r="H49" s="27">
        <f>IFERROR(H35/G47,"")</f>
        <v/>
      </c>
      <c r="I49" s="27">
        <f>IFERROR(I35/H47,"")</f>
        <v/>
      </c>
      <c r="J49" s="27">
        <f>IFERROR(J35/I47,"")</f>
        <v/>
      </c>
      <c r="K49" s="27">
        <f>IFERROR(K35/J47,"")</f>
        <v/>
      </c>
      <c r="L49" s="27">
        <f>IFERROR(L35/K47,"")</f>
        <v/>
      </c>
      <c r="M49" s="27">
        <f>IFERROR(M35/L47,"")</f>
        <v/>
      </c>
      <c r="N49" s="27">
        <f>IFERROR(N35/M47,"")</f>
        <v/>
      </c>
      <c r="O49" s="27">
        <f>IFERROR(O35/N47,"")</f>
        <v/>
      </c>
      <c r="P49" s="27">
        <f>IFERROR(P35/O47,"")</f>
        <v/>
      </c>
    </row>
    <row r="50">
      <c r="A50" s="4" t="inlineStr">
        <is>
          <t xml:space="preserve">  ROIC - WACC spread (value created)</t>
        </is>
      </c>
      <c r="C50" s="11">
        <f>IFERROR(C48-WACC!$B$14,"")</f>
        <v/>
      </c>
      <c r="D50" s="11">
        <f>IFERROR(D48-WACC!$B$14,"")</f>
        <v/>
      </c>
      <c r="E50" s="11">
        <f>IFERROR(E48-WACC!$B$14,"")</f>
        <v/>
      </c>
      <c r="F50" s="11">
        <f>IFERROR(F48-WACC!$B$14,"")</f>
        <v/>
      </c>
      <c r="G50" s="11">
        <f>IFERROR(G48-WACC!$B$14,"")</f>
        <v/>
      </c>
      <c r="H50" s="11">
        <f>IFERROR(H48-WACC!$B$14,"")</f>
        <v/>
      </c>
      <c r="I50" s="11">
        <f>IFERROR(I48-WACC!$B$14,"")</f>
        <v/>
      </c>
      <c r="J50" s="11">
        <f>IFERROR(J48-WACC!$B$14,"")</f>
        <v/>
      </c>
      <c r="K50" s="11">
        <f>IFERROR(K48-WACC!$B$14,"")</f>
        <v/>
      </c>
      <c r="L50" s="11">
        <f>IFERROR(L48-WACC!$B$14,"")</f>
        <v/>
      </c>
      <c r="M50" s="11">
        <f>IFERROR(M48-WACC!$B$14,"")</f>
        <v/>
      </c>
      <c r="N50" s="11">
        <f>IFERROR(N48-WACC!$B$14,"")</f>
        <v/>
      </c>
      <c r="O50" s="11">
        <f>IFERROR(O48-WACC!$B$14,"")</f>
        <v/>
      </c>
      <c r="P50" s="11">
        <f>IFERROR(P48-WACC!$B$14,"")</f>
        <v/>
      </c>
    </row>
    <row r="51">
      <c r="A51" s="4" t="inlineStr">
        <is>
          <t xml:space="preserve">  Incremental op margin (ΔEBIT / ΔRev)</t>
        </is>
      </c>
      <c r="C51" s="27">
        <f>IFERROR((C31-B31)/(C18-B18),"")</f>
        <v/>
      </c>
      <c r="D51" s="27">
        <f>IFERROR((D31-C31)/(D18-C18),"")</f>
        <v/>
      </c>
      <c r="E51" s="27">
        <f>IFERROR((E31-D31)/(E18-D18),"")</f>
        <v/>
      </c>
      <c r="F51" s="27">
        <f>IFERROR((F31-E31)/(F18-E18),"")</f>
        <v/>
      </c>
      <c r="G51" s="27">
        <f>IFERROR((G31-F31)/(G18-F18),"")</f>
        <v/>
      </c>
      <c r="H51" s="27">
        <f>IFERROR((H31-G31)/(H18-G18),"")</f>
        <v/>
      </c>
      <c r="I51" s="27">
        <f>IFERROR((I31-H31)/(I18-H18),"")</f>
        <v/>
      </c>
      <c r="J51" s="27">
        <f>IFERROR((J31-I31)/(J18-I18),"")</f>
        <v/>
      </c>
      <c r="K51" s="27">
        <f>IFERROR((K31-J31)/(K18-J18),"")</f>
        <v/>
      </c>
      <c r="L51" s="27">
        <f>IFERROR((L31-K31)/(L18-K18),"")</f>
        <v/>
      </c>
      <c r="M51" s="27">
        <f>IFERROR((M31-L31)/(M18-L18),"")</f>
        <v/>
      </c>
      <c r="N51" s="27">
        <f>IFERROR((N31-M31)/(N18-M18),"")</f>
        <v/>
      </c>
      <c r="O51" s="27">
        <f>IFERROR((O31-N31)/(O18-N18),"")</f>
        <v/>
      </c>
      <c r="P51" s="27">
        <f>IFERROR((P31-O31)/(P18-O18),"")</f>
        <v/>
      </c>
    </row>
    <row r="52">
      <c r="A52" s="3" t="inlineStr">
        <is>
          <t xml:space="preserve">  ROIIC (ΔNOPAT / ΔInvested capital)</t>
        </is>
      </c>
      <c r="C52" s="27">
        <f>IFERROR((C35-B35)/(C46-B46),"")</f>
        <v/>
      </c>
      <c r="D52" s="27">
        <f>IFERROR((D35-C35)/(D46-C46),"")</f>
        <v/>
      </c>
      <c r="E52" s="27">
        <f>IFERROR((E35-D35)/(E46-D46),"")</f>
        <v/>
      </c>
      <c r="F52" s="27">
        <f>IFERROR((F35-E35)/(F46-E46),"")</f>
        <v/>
      </c>
      <c r="G52" s="27">
        <f>IFERROR((G35-F35)/(G46-F46),"")</f>
        <v/>
      </c>
      <c r="H52" s="27">
        <f>IFERROR((H35-G35)/(H46-G46),"")</f>
        <v/>
      </c>
      <c r="I52" s="27">
        <f>IFERROR((I35-H35)/(I46-H46),"")</f>
        <v/>
      </c>
      <c r="J52" s="27">
        <f>IFERROR((J35-I35)/(J46-I46),"")</f>
        <v/>
      </c>
      <c r="K52" s="27">
        <f>IFERROR((K35-J35)/(K46-J46),"")</f>
        <v/>
      </c>
      <c r="L52" s="27">
        <f>IFERROR((L35-K35)/(L46-K46),"")</f>
        <v/>
      </c>
      <c r="M52" s="27">
        <f>IFERROR((M35-L35)/(M46-L46),"")</f>
        <v/>
      </c>
      <c r="N52" s="27">
        <f>IFERROR((N35-M35)/(N46-M46),"")</f>
        <v/>
      </c>
      <c r="O52" s="27">
        <f>IFERROR((O35-N35)/(O46-N46),"")</f>
        <v/>
      </c>
      <c r="P52" s="27">
        <f>IFERROR((P35-O35)/(P46-O46),"")</f>
        <v/>
      </c>
    </row>
    <row r="53">
      <c r="A53" s="4" t="inlineStr">
        <is>
          <t xml:space="preserve">  Sales-to-capital (ΔRev / ΔInvested capital)</t>
        </is>
      </c>
      <c r="C53" s="35">
        <f>IFERROR((C18-B18)/(C46-B46),"")</f>
        <v/>
      </c>
      <c r="D53" s="35">
        <f>IFERROR((D18-C18)/(D46-C46),"")</f>
        <v/>
      </c>
      <c r="E53" s="35">
        <f>IFERROR((E18-D18)/(E46-D46),"")</f>
        <v/>
      </c>
      <c r="F53" s="35">
        <f>IFERROR((F18-E18)/(F46-E46),"")</f>
        <v/>
      </c>
      <c r="G53" s="35">
        <f>IFERROR((G18-F18)/(G46-F46),"")</f>
        <v/>
      </c>
      <c r="H53" s="35">
        <f>IFERROR((H18-G18)/(H46-G46),"")</f>
        <v/>
      </c>
      <c r="I53" s="35">
        <f>IFERROR((I18-H18)/(I46-H46),"")</f>
        <v/>
      </c>
      <c r="J53" s="35">
        <f>IFERROR((J18-I18)/(J46-I46),"")</f>
        <v/>
      </c>
      <c r="K53" s="35">
        <f>IFERROR((K18-J18)/(K46-J46),"")</f>
        <v/>
      </c>
      <c r="L53" s="35">
        <f>IFERROR((L18-K18)/(L46-K46),"")</f>
        <v/>
      </c>
      <c r="M53" s="35">
        <f>IFERROR((M18-L18)/(M46-L46),"")</f>
        <v/>
      </c>
      <c r="N53" s="35">
        <f>IFERROR((N18-M18)/(N46-M46),"")</f>
        <v/>
      </c>
      <c r="O53" s="35">
        <f>IFERROR((O18-N18)/(O46-N46),"")</f>
        <v/>
      </c>
      <c r="P53" s="35">
        <f>IFERROR((P18-O18)/(P46-O46),"")</f>
        <v/>
      </c>
    </row>
    <row r="54">
      <c r="A54" s="4" t="inlineStr">
        <is>
          <t xml:space="preserve">  Reinvestment rate (ΔInvested capital / NOPAT)</t>
        </is>
      </c>
      <c r="C54" s="27">
        <f>IFERROR((C46-B46)/C35,"")</f>
        <v/>
      </c>
      <c r="D54" s="27">
        <f>IFERROR((D46-C46)/D35,"")</f>
        <v/>
      </c>
      <c r="E54" s="27">
        <f>IFERROR((E46-D46)/E35,"")</f>
        <v/>
      </c>
      <c r="F54" s="27">
        <f>IFERROR((F46-E46)/F35,"")</f>
        <v/>
      </c>
      <c r="G54" s="27">
        <f>IFERROR((G46-F46)/G35,"")</f>
        <v/>
      </c>
      <c r="H54" s="27">
        <f>IFERROR((H46-G46)/H35,"")</f>
        <v/>
      </c>
      <c r="I54" s="27">
        <f>IFERROR((I46-H46)/I35,"")</f>
        <v/>
      </c>
      <c r="J54" s="27">
        <f>IFERROR((J46-I46)/J35,"")</f>
        <v/>
      </c>
      <c r="K54" s="27">
        <f>IFERROR((K46-J46)/K35,"")</f>
        <v/>
      </c>
      <c r="L54" s="27">
        <f>IFERROR((L46-K46)/L35,"")</f>
        <v/>
      </c>
      <c r="M54" s="27">
        <f>IFERROR((M46-L46)/M35,"")</f>
        <v/>
      </c>
      <c r="N54" s="27">
        <f>IFERROR((N46-M46)/N35,"")</f>
        <v/>
      </c>
      <c r="O54" s="27">
        <f>IFERROR((O46-N46)/O35,"")</f>
        <v/>
      </c>
      <c r="P54" s="27">
        <f>IFERROR((P46-O46)/P35,"")</f>
        <v/>
      </c>
    </row>
    <row r="56">
      <c r="A5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63404</v>
      </c>
      <c r="C3" s="18" t="n">
        <v>69981</v>
      </c>
      <c r="D3" s="18" t="n">
        <v>87436</v>
      </c>
      <c r="E3" s="18" t="n">
        <v>75452</v>
      </c>
      <c r="F3" s="18" t="n">
        <v>88912</v>
      </c>
      <c r="G3" s="18" t="n">
        <v>96145</v>
      </c>
      <c r="H3" s="18" t="n">
        <v>125555</v>
      </c>
      <c r="I3" s="18" t="n">
        <v>108518</v>
      </c>
      <c r="J3" s="18" t="n">
        <v>113080</v>
      </c>
      <c r="K3" s="18" t="n">
        <v>110812</v>
      </c>
      <c r="L3" s="18" t="n">
        <v>137412</v>
      </c>
      <c r="M3" s="18" t="n">
        <v>116444</v>
      </c>
      <c r="N3" s="18" t="n">
        <v>121234</v>
      </c>
      <c r="O3" s="18" t="n">
        <v>127101</v>
      </c>
      <c r="P3" s="18" t="n">
        <v>149204</v>
      </c>
      <c r="Q3" s="18" t="n">
        <v>127358</v>
      </c>
      <c r="R3" s="18" t="n">
        <v>134383</v>
      </c>
      <c r="S3" s="18" t="n">
        <v>143083</v>
      </c>
      <c r="T3" s="18" t="n">
        <v>169961</v>
      </c>
      <c r="U3" s="18" t="n">
        <v>143313</v>
      </c>
      <c r="V3" s="18" t="n">
        <v>147977</v>
      </c>
      <c r="W3" s="18" t="n">
        <v>158877</v>
      </c>
      <c r="X3" s="18" t="n">
        <v>187792</v>
      </c>
      <c r="Y3" s="18" t="n">
        <v>155667</v>
      </c>
      <c r="Z3" s="18" t="n">
        <v>167702</v>
      </c>
      <c r="AA3" s="18" t="n">
        <v>180169</v>
      </c>
      <c r="AB3" s="18" t="n">
        <v>213386</v>
      </c>
      <c r="AC3" s="18" t="n">
        <v>181519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36337</v>
      </c>
      <c r="C5" s="18" t="n">
        <v>41302</v>
      </c>
      <c r="D5" s="18" t="n">
        <v>53977</v>
      </c>
      <c r="E5" s="18" t="n">
        <v>44257</v>
      </c>
      <c r="F5" s="18" t="n">
        <v>52660</v>
      </c>
      <c r="G5" s="18" t="n">
        <v>57106</v>
      </c>
      <c r="H5" s="18" t="n">
        <v>79284</v>
      </c>
      <c r="I5" s="18" t="n">
        <v>62403</v>
      </c>
      <c r="J5" s="18" t="n">
        <v>64176</v>
      </c>
      <c r="K5" s="18" t="n">
        <v>62930</v>
      </c>
      <c r="L5" s="18" t="n">
        <v>82835</v>
      </c>
      <c r="M5" s="18" t="n">
        <v>66499</v>
      </c>
      <c r="N5" s="18" t="n">
        <v>66424</v>
      </c>
      <c r="O5" s="18" t="n">
        <v>70268</v>
      </c>
      <c r="P5" s="18" t="n">
        <v>85640</v>
      </c>
      <c r="Q5" s="18" t="n">
        <v>67791</v>
      </c>
      <c r="R5" s="18" t="n">
        <v>69373</v>
      </c>
      <c r="S5" s="18" t="n">
        <v>75022</v>
      </c>
      <c r="T5" s="18" t="n">
        <v>92553</v>
      </c>
      <c r="U5" s="18" t="n">
        <v>72633</v>
      </c>
      <c r="V5" s="18" t="n">
        <v>73785</v>
      </c>
      <c r="W5" s="18" t="n">
        <v>80977</v>
      </c>
      <c r="X5" s="18" t="n">
        <v>98893</v>
      </c>
      <c r="Y5" s="18" t="n">
        <v>76976</v>
      </c>
      <c r="Z5" s="18" t="n">
        <v>80809</v>
      </c>
      <c r="AA5" s="18" t="n">
        <v>88670</v>
      </c>
      <c r="AB5" s="18" t="n">
        <v>109959</v>
      </c>
      <c r="AC5" s="18" t="n">
        <v>87463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9065</v>
      </c>
      <c r="C7" s="18" t="n">
        <v>9200</v>
      </c>
      <c r="D7" s="18" t="n">
        <v>9740</v>
      </c>
      <c r="E7" s="18" t="n">
        <v>9325</v>
      </c>
      <c r="F7" s="18" t="n">
        <v>10388</v>
      </c>
      <c r="G7" s="18" t="n">
        <v>10976</v>
      </c>
      <c r="H7" s="18" t="n">
        <v>12049</v>
      </c>
      <c r="I7" s="18" t="n">
        <v>12488</v>
      </c>
      <c r="J7" s="18" t="n">
        <v>13871</v>
      </c>
      <c r="K7" s="18" t="n">
        <v>14380</v>
      </c>
      <c r="L7" s="18" t="n">
        <v>15313</v>
      </c>
      <c r="M7" s="18" t="n">
        <v>14842</v>
      </c>
      <c r="N7" s="18" t="n">
        <v>18072</v>
      </c>
      <c r="O7" s="18" t="n">
        <v>19485</v>
      </c>
      <c r="P7" s="18" t="n">
        <v>20814</v>
      </c>
      <c r="Q7" s="18" t="n">
        <v>20450</v>
      </c>
      <c r="R7" s="18" t="n">
        <v>21931</v>
      </c>
      <c r="S7" s="18" t="n">
        <v>21203</v>
      </c>
      <c r="T7" s="18" t="n">
        <v>22038</v>
      </c>
      <c r="U7" s="18" t="n">
        <v>20424</v>
      </c>
      <c r="V7" s="18" t="n">
        <v>22304</v>
      </c>
      <c r="W7" s="18" t="n">
        <v>22245</v>
      </c>
      <c r="X7" s="18" t="n">
        <v>23571</v>
      </c>
      <c r="Y7" s="18" t="n">
        <v>22994</v>
      </c>
      <c r="Z7" s="18" t="n">
        <v>27166</v>
      </c>
      <c r="AA7" s="18" t="n">
        <v>28962</v>
      </c>
      <c r="AB7" s="18" t="n">
        <v>29399</v>
      </c>
      <c r="AC7" s="18" t="n">
        <v>29567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5561</v>
      </c>
      <c r="C9" s="18" t="n">
        <v>6100</v>
      </c>
      <c r="D9" s="18" t="n">
        <v>7583</v>
      </c>
      <c r="E9" s="18" t="n">
        <v>6280</v>
      </c>
      <c r="F9" s="18" t="n">
        <v>5925</v>
      </c>
      <c r="G9" s="18" t="n">
        <v>7102</v>
      </c>
      <c r="H9" s="18" t="n">
        <v>9371</v>
      </c>
      <c r="I9" s="18" t="n">
        <v>8194</v>
      </c>
      <c r="J9" s="18" t="n">
        <v>9682</v>
      </c>
      <c r="K9" s="18" t="n">
        <v>10163</v>
      </c>
      <c r="L9" s="18" t="n">
        <v>13335</v>
      </c>
      <c r="M9" s="18" t="n">
        <v>10914</v>
      </c>
      <c r="N9" s="18" t="n">
        <v>12989</v>
      </c>
      <c r="O9" s="18" t="n">
        <v>14075</v>
      </c>
      <c r="P9" s="18" t="n">
        <v>16151</v>
      </c>
      <c r="Q9" s="18" t="n">
        <v>13215</v>
      </c>
      <c r="R9" s="18" t="n">
        <v>13947</v>
      </c>
      <c r="S9" s="18" t="n">
        <v>13112</v>
      </c>
      <c r="T9" s="18" t="n">
        <v>15912</v>
      </c>
      <c r="U9" s="18" t="n">
        <v>12404</v>
      </c>
      <c r="V9" s="18" t="n">
        <v>13553</v>
      </c>
      <c r="W9" s="18" t="n">
        <v>13322</v>
      </c>
      <c r="X9" s="18" t="n">
        <v>15987</v>
      </c>
      <c r="Y9" s="18" t="n">
        <v>12391</v>
      </c>
      <c r="Z9" s="18" t="n">
        <v>14381</v>
      </c>
      <c r="AA9" s="18" t="n">
        <v>14561</v>
      </c>
      <c r="AB9" s="18" t="n">
        <v>16968</v>
      </c>
      <c r="AC9" s="18" t="n">
        <v>12901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27067</v>
      </c>
      <c r="C11" s="18" t="n">
        <v>28679</v>
      </c>
      <c r="D11" s="18" t="n">
        <v>33459</v>
      </c>
      <c r="E11" s="18" t="n">
        <v>31195</v>
      </c>
      <c r="F11" s="18" t="n">
        <v>36252</v>
      </c>
      <c r="G11" s="18" t="n">
        <v>39039</v>
      </c>
      <c r="H11" s="18" t="n">
        <v>46271</v>
      </c>
      <c r="I11" s="18" t="n">
        <v>46115</v>
      </c>
      <c r="J11" s="18" t="n">
        <v>48904</v>
      </c>
      <c r="K11" s="18" t="n">
        <v>47882</v>
      </c>
      <c r="L11" s="18" t="n">
        <v>54577</v>
      </c>
      <c r="M11" s="18" t="n">
        <v>49945</v>
      </c>
      <c r="N11" s="18" t="n">
        <v>54810</v>
      </c>
      <c r="O11" s="18" t="n">
        <v>56833</v>
      </c>
      <c r="P11" s="18" t="n">
        <v>63564</v>
      </c>
      <c r="Q11" s="18" t="n">
        <v>59567</v>
      </c>
      <c r="R11" s="18" t="n">
        <v>65010</v>
      </c>
      <c r="S11" s="18" t="n">
        <v>68061</v>
      </c>
      <c r="T11" s="18" t="n">
        <v>77408</v>
      </c>
      <c r="U11" s="18" t="n">
        <v>70680</v>
      </c>
      <c r="V11" s="18" t="n">
        <v>74192</v>
      </c>
      <c r="W11" s="18" t="n">
        <v>77900</v>
      </c>
      <c r="X11" s="18" t="n">
        <v>88899</v>
      </c>
      <c r="Y11" s="18" t="n">
        <v>78691</v>
      </c>
      <c r="Z11" s="18" t="n">
        <v>86893</v>
      </c>
      <c r="AA11" s="18" t="n">
        <v>91499</v>
      </c>
      <c r="AB11" s="18" t="n">
        <v>103427</v>
      </c>
      <c r="AC11" s="18" t="n">
        <v>94056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3084</v>
      </c>
      <c r="C13" s="18" t="n">
        <v>3157</v>
      </c>
      <c r="D13" s="18" t="n">
        <v>3879</v>
      </c>
      <c r="E13" s="18" t="n">
        <v>3989</v>
      </c>
      <c r="F13" s="18" t="n">
        <v>5843</v>
      </c>
      <c r="G13" s="18" t="n">
        <v>6194</v>
      </c>
      <c r="H13" s="18" t="n">
        <v>6873</v>
      </c>
      <c r="I13" s="18" t="n">
        <v>8865</v>
      </c>
      <c r="J13" s="18" t="n">
        <v>7702</v>
      </c>
      <c r="K13" s="18" t="n">
        <v>4852</v>
      </c>
      <c r="L13" s="18" t="n">
        <v>3460</v>
      </c>
      <c r="M13" s="18" t="n">
        <v>3669</v>
      </c>
      <c r="N13" s="18" t="n">
        <v>3317</v>
      </c>
      <c r="O13" s="18" t="n">
        <v>2525</v>
      </c>
      <c r="P13" s="18" t="n">
        <v>2737</v>
      </c>
      <c r="Q13" s="18" t="n">
        <v>4774</v>
      </c>
      <c r="R13" s="18" t="n">
        <v>7681</v>
      </c>
      <c r="S13" s="18" t="n">
        <v>11188</v>
      </c>
      <c r="T13" s="18" t="n">
        <v>13209</v>
      </c>
      <c r="U13" s="18" t="n">
        <v>15307</v>
      </c>
      <c r="V13" s="18" t="n">
        <v>14672</v>
      </c>
      <c r="W13" s="18" t="n">
        <v>17411</v>
      </c>
      <c r="X13" s="18" t="n">
        <v>21203</v>
      </c>
      <c r="Y13" s="18" t="n">
        <v>18405</v>
      </c>
      <c r="Z13" s="18" t="n">
        <v>19171</v>
      </c>
      <c r="AA13" s="18" t="n">
        <v>17422</v>
      </c>
      <c r="AB13" s="18" t="n">
        <v>24977</v>
      </c>
      <c r="AC13" s="18" t="n">
        <v>23852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2625</v>
      </c>
      <c r="C15" s="18" t="n">
        <v>2134</v>
      </c>
      <c r="D15" s="18" t="n">
        <v>3268</v>
      </c>
      <c r="E15" s="18" t="n">
        <v>2535</v>
      </c>
      <c r="F15" s="18" t="n">
        <v>5243</v>
      </c>
      <c r="G15" s="18" t="n">
        <v>6331</v>
      </c>
      <c r="H15" s="18" t="n">
        <v>7222</v>
      </c>
      <c r="I15" s="18" t="n">
        <v>8107</v>
      </c>
      <c r="J15" s="18" t="n">
        <v>7778</v>
      </c>
      <c r="K15" s="18" t="n">
        <v>3156</v>
      </c>
      <c r="L15" s="18" t="n">
        <v>14323</v>
      </c>
      <c r="M15" s="18" t="n">
        <v>-3844</v>
      </c>
      <c r="N15" s="18" t="n">
        <v>-2028</v>
      </c>
      <c r="O15" s="18" t="n">
        <v>2872</v>
      </c>
      <c r="P15" s="18" t="n">
        <v>278</v>
      </c>
      <c r="Q15" s="18" t="n">
        <v>3172</v>
      </c>
      <c r="R15" s="18" t="n">
        <v>6750</v>
      </c>
      <c r="S15" s="18" t="n">
        <v>9879</v>
      </c>
      <c r="T15" s="18" t="n">
        <v>10624</v>
      </c>
      <c r="U15" s="18" t="n">
        <v>10431</v>
      </c>
      <c r="V15" s="18" t="n">
        <v>13485</v>
      </c>
      <c r="W15" s="18" t="n">
        <v>15328</v>
      </c>
      <c r="X15" s="18" t="n">
        <v>20004</v>
      </c>
      <c r="Y15" s="18" t="n">
        <v>17127</v>
      </c>
      <c r="Z15" s="18" t="n">
        <v>18164</v>
      </c>
      <c r="AA15" s="18" t="n">
        <v>21187</v>
      </c>
      <c r="AB15" s="18" t="n">
        <v>21192</v>
      </c>
      <c r="AC15" s="18" t="n">
        <v>30255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10060</v>
      </c>
      <c r="C17" s="18" t="n">
        <v>10080</v>
      </c>
      <c r="D17" s="18" t="n">
        <v>10100</v>
      </c>
      <c r="E17" s="18" t="n">
        <v>10120</v>
      </c>
      <c r="F17" s="18" t="n">
        <v>10180</v>
      </c>
      <c r="G17" s="18" t="n">
        <v>10240</v>
      </c>
      <c r="H17" s="18" t="n">
        <v>10260</v>
      </c>
      <c r="I17" s="18" t="n">
        <v>10260</v>
      </c>
      <c r="J17" s="18" t="n">
        <v>10280</v>
      </c>
      <c r="K17" s="18" t="n">
        <v>10300</v>
      </c>
      <c r="L17" s="18" t="n">
        <v>10320</v>
      </c>
      <c r="M17" s="18" t="n">
        <v>10180</v>
      </c>
      <c r="N17" s="18" t="n">
        <v>10175</v>
      </c>
      <c r="O17" s="18" t="n">
        <v>10331</v>
      </c>
      <c r="P17" s="18" t="n">
        <v>10308</v>
      </c>
      <c r="Q17" s="18" t="n">
        <v>10347</v>
      </c>
      <c r="R17" s="18" t="n">
        <v>10449</v>
      </c>
      <c r="S17" s="18" t="n">
        <v>10558</v>
      </c>
      <c r="T17" s="18" t="n">
        <v>10610</v>
      </c>
      <c r="U17" s="18" t="n">
        <v>10670</v>
      </c>
      <c r="V17" s="18" t="n">
        <v>10708</v>
      </c>
      <c r="W17" s="18" t="n">
        <v>10735</v>
      </c>
      <c r="X17" s="18" t="n">
        <v>10771</v>
      </c>
      <c r="Y17" s="18" t="n">
        <v>10793</v>
      </c>
      <c r="Z17" s="18" t="n">
        <v>10806</v>
      </c>
      <c r="AA17" s="18" t="n">
        <v>10845</v>
      </c>
      <c r="AB17" s="18" t="n">
        <v>10863</v>
      </c>
      <c r="AC17" s="18" t="n">
        <v>10874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Online Stores</t>
        </is>
      </c>
      <c r="B19" s="18" t="n">
        <v>31053</v>
      </c>
      <c r="C19" s="18" t="n">
        <v>35039</v>
      </c>
      <c r="D19" s="18" t="n">
        <v>45657</v>
      </c>
      <c r="E19" s="18" t="n">
        <v>36652</v>
      </c>
      <c r="F19" s="18" t="n">
        <v>45896</v>
      </c>
      <c r="G19" s="18" t="n">
        <v>48350</v>
      </c>
      <c r="H19" s="18" t="n">
        <v>66448</v>
      </c>
      <c r="I19" s="18" t="n">
        <v>52901</v>
      </c>
      <c r="J19" s="18" t="n">
        <v>53157</v>
      </c>
      <c r="K19" s="18" t="n">
        <v>49942</v>
      </c>
      <c r="L19" s="18" t="n">
        <v>66075</v>
      </c>
      <c r="M19" s="18" t="n">
        <v>51129</v>
      </c>
      <c r="N19" s="18" t="n">
        <v>50855</v>
      </c>
      <c r="O19" s="18" t="n">
        <v>53489</v>
      </c>
      <c r="P19" s="18" t="n">
        <v>64531</v>
      </c>
      <c r="Q19" s="18" t="n">
        <v>51096</v>
      </c>
      <c r="R19" s="18" t="n">
        <v>52966</v>
      </c>
      <c r="S19" s="18" t="n">
        <v>57267</v>
      </c>
      <c r="T19" s="18" t="n">
        <v>70543</v>
      </c>
      <c r="U19" s="18" t="n">
        <v>54670</v>
      </c>
      <c r="V19" s="18" t="n">
        <v>55392</v>
      </c>
      <c r="W19" s="18" t="n">
        <v>61411</v>
      </c>
      <c r="X19" s="18" t="n">
        <v>75556</v>
      </c>
      <c r="Y19" s="18" t="n">
        <v>57407</v>
      </c>
      <c r="Z19" s="18" t="n">
        <v>61485</v>
      </c>
      <c r="AA19" s="18" t="n">
        <v>67407</v>
      </c>
      <c r="AB19" s="18" t="n">
        <v>82988</v>
      </c>
      <c r="AC19" s="18" t="n">
        <v>64254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Third-Party Seller Services</t>
        </is>
      </c>
      <c r="B22" s="18" t="n">
        <v>11962</v>
      </c>
      <c r="C22" s="18" t="n">
        <v>13212</v>
      </c>
      <c r="D22" s="18" t="n">
        <v>17447</v>
      </c>
      <c r="E22" s="18" t="n">
        <v>14479</v>
      </c>
      <c r="F22" s="18" t="n">
        <v>18195</v>
      </c>
      <c r="G22" s="18" t="n">
        <v>20436</v>
      </c>
      <c r="H22" s="18" t="n">
        <v>27351</v>
      </c>
      <c r="I22" s="18" t="n">
        <v>23709</v>
      </c>
      <c r="J22" s="18" t="n">
        <v>25085</v>
      </c>
      <c r="K22" s="18" t="n">
        <v>24252</v>
      </c>
      <c r="L22" s="18" t="n">
        <v>30320</v>
      </c>
      <c r="M22" s="18" t="n">
        <v>25335</v>
      </c>
      <c r="N22" s="18" t="n">
        <v>27376</v>
      </c>
      <c r="O22" s="18" t="n">
        <v>28666</v>
      </c>
      <c r="P22" s="18" t="n">
        <v>36339</v>
      </c>
      <c r="Q22" s="18" t="n">
        <v>29820</v>
      </c>
      <c r="R22" s="18" t="n">
        <v>32332</v>
      </c>
      <c r="S22" s="18" t="n">
        <v>34342</v>
      </c>
      <c r="T22" s="18" t="n">
        <v>43559</v>
      </c>
      <c r="U22" s="18" t="n">
        <v>34596</v>
      </c>
      <c r="V22" s="18" t="n">
        <v>36201</v>
      </c>
      <c r="W22" s="18" t="n">
        <v>37864</v>
      </c>
      <c r="X22" s="18" t="n">
        <v>47485</v>
      </c>
      <c r="Y22" s="18" t="n">
        <v>36512</v>
      </c>
      <c r="Z22" s="18" t="n">
        <v>40348</v>
      </c>
      <c r="AA22" s="18" t="n">
        <v>42486</v>
      </c>
      <c r="AB22" s="18" t="n">
        <v>52816</v>
      </c>
      <c r="AC22" s="18" t="n">
        <v>41578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4" t="inlineStr">
        <is>
          <t>Amazon Web Services</t>
        </is>
      </c>
      <c r="B25" s="18" t="n">
        <v>8381</v>
      </c>
      <c r="C25" s="18" t="n">
        <v>8995</v>
      </c>
      <c r="D25" s="18" t="n">
        <v>9954</v>
      </c>
      <c r="E25" s="18" t="n">
        <v>10219</v>
      </c>
      <c r="F25" s="18" t="n">
        <v>10808</v>
      </c>
      <c r="G25" s="18" t="n">
        <v>11601</v>
      </c>
      <c r="H25" s="18" t="n">
        <v>12742</v>
      </c>
      <c r="I25" s="18" t="n">
        <v>13503</v>
      </c>
      <c r="J25" s="18" t="n">
        <v>14809</v>
      </c>
      <c r="K25" s="18" t="n">
        <v>16110</v>
      </c>
      <c r="L25" s="18" t="n">
        <v>17780</v>
      </c>
      <c r="M25" s="18" t="n">
        <v>18441</v>
      </c>
      <c r="N25" s="18" t="n">
        <v>19739</v>
      </c>
      <c r="O25" s="18" t="n">
        <v>20538</v>
      </c>
      <c r="P25" s="18" t="n">
        <v>21378</v>
      </c>
      <c r="Q25" s="18" t="n">
        <v>21354</v>
      </c>
      <c r="R25" s="18" t="n">
        <v>22140</v>
      </c>
      <c r="S25" s="18" t="n">
        <v>23059</v>
      </c>
      <c r="T25" s="18" t="n">
        <v>24204</v>
      </c>
      <c r="U25" s="18" t="n">
        <v>25037</v>
      </c>
      <c r="V25" s="18" t="n">
        <v>26281</v>
      </c>
      <c r="W25" s="18" t="n">
        <v>27452</v>
      </c>
      <c r="X25" s="18" t="n">
        <v>28786</v>
      </c>
      <c r="Y25" s="18" t="n">
        <v>29267</v>
      </c>
      <c r="Z25" s="18" t="n">
        <v>30873</v>
      </c>
      <c r="AA25" s="18" t="n">
        <v>33006</v>
      </c>
      <c r="AB25" s="18" t="n">
        <v>35579</v>
      </c>
      <c r="AC25" s="18" t="n">
        <v>37587</v>
      </c>
    </row>
    <row r="26">
      <c r="A26" s="4" t="inlineStr">
        <is>
          <t xml:space="preserve">    % YoY</t>
        </is>
      </c>
      <c r="F26" s="27">
        <f>IFERROR(F25/B25-1,"")</f>
        <v/>
      </c>
      <c r="G26" s="27">
        <f>IFERROR(G25/C25-1,"")</f>
        <v/>
      </c>
      <c r="H26" s="27">
        <f>IFERROR(H25/D25-1,"")</f>
        <v/>
      </c>
      <c r="I26" s="27">
        <f>IFERROR(I25/E25-1,"")</f>
        <v/>
      </c>
      <c r="J26" s="27">
        <f>IFERROR(J25/F25-1,"")</f>
        <v/>
      </c>
      <c r="K26" s="27">
        <f>IFERROR(K25/G25-1,"")</f>
        <v/>
      </c>
      <c r="L26" s="27">
        <f>IFERROR(L25/H25-1,"")</f>
        <v/>
      </c>
      <c r="M26" s="27">
        <f>IFERROR(M25/I25-1,"")</f>
        <v/>
      </c>
      <c r="N26" s="27">
        <f>IFERROR(N25/J25-1,"")</f>
        <v/>
      </c>
      <c r="O26" s="27">
        <f>IFERROR(O25/K25-1,"")</f>
        <v/>
      </c>
      <c r="P26" s="27">
        <f>IFERROR(P25/L25-1,"")</f>
        <v/>
      </c>
      <c r="Q26" s="27">
        <f>IFERROR(Q25/M25-1,"")</f>
        <v/>
      </c>
      <c r="R26" s="27">
        <f>IFERROR(R25/N25-1,"")</f>
        <v/>
      </c>
      <c r="S26" s="27">
        <f>IFERROR(S25/O25-1,"")</f>
        <v/>
      </c>
      <c r="T26" s="27">
        <f>IFERROR(T25/P25-1,"")</f>
        <v/>
      </c>
      <c r="U26" s="27">
        <f>IFERROR(U25/Q25-1,"")</f>
        <v/>
      </c>
      <c r="V26" s="27">
        <f>IFERROR(V25/R25-1,"")</f>
        <v/>
      </c>
      <c r="W26" s="27">
        <f>IFERROR(W25/S25-1,"")</f>
        <v/>
      </c>
      <c r="X26" s="27">
        <f>IFERROR(X25/T25-1,"")</f>
        <v/>
      </c>
      <c r="Y26" s="27">
        <f>IFERROR(Y25/U25-1,"")</f>
        <v/>
      </c>
      <c r="Z26" s="27">
        <f>IFERROR(Z25/V25-1,"")</f>
        <v/>
      </c>
      <c r="AA26" s="27">
        <f>IFERROR(AA25/W25-1,"")</f>
        <v/>
      </c>
      <c r="AB26" s="27">
        <f>IFERROR(AB25/X25-1,"")</f>
        <v/>
      </c>
      <c r="AC26" s="27">
        <f>IFERROR(AC25/Y25-1,"")</f>
        <v/>
      </c>
    </row>
    <row r="27">
      <c r="A27" s="4" t="inlineStr">
        <is>
          <t xml:space="preserve">    % of revenue</t>
        </is>
      </c>
      <c r="B27" s="27">
        <f>IFERROR(B25/B3,"")</f>
        <v/>
      </c>
      <c r="C27" s="27">
        <f>IFERROR(C25/C3,"")</f>
        <v/>
      </c>
      <c r="D27" s="27">
        <f>IFERROR(D25/D3,"")</f>
        <v/>
      </c>
      <c r="E27" s="27">
        <f>IFERROR(E25/E3,"")</f>
        <v/>
      </c>
      <c r="F27" s="27">
        <f>IFERROR(F25/F3,"")</f>
        <v/>
      </c>
      <c r="G27" s="27">
        <f>IFERROR(G25/G3,"")</f>
        <v/>
      </c>
      <c r="H27" s="27">
        <f>IFERROR(H25/H3,"")</f>
        <v/>
      </c>
      <c r="I27" s="27">
        <f>IFERROR(I25/I3,"")</f>
        <v/>
      </c>
      <c r="J27" s="27">
        <f>IFERROR(J25/J3,"")</f>
        <v/>
      </c>
      <c r="K27" s="27">
        <f>IFERROR(K25/K3,"")</f>
        <v/>
      </c>
      <c r="L27" s="27">
        <f>IFERROR(L25/L3,"")</f>
        <v/>
      </c>
      <c r="M27" s="27">
        <f>IFERROR(M25/M3,"")</f>
        <v/>
      </c>
      <c r="N27" s="27">
        <f>IFERROR(N25/N3,"")</f>
        <v/>
      </c>
      <c r="O27" s="27">
        <f>IFERROR(O25/O3,"")</f>
        <v/>
      </c>
      <c r="P27" s="27">
        <f>IFERROR(P25/P3,"")</f>
        <v/>
      </c>
      <c r="Q27" s="27">
        <f>IFERROR(Q25/Q3,"")</f>
        <v/>
      </c>
      <c r="R27" s="27">
        <f>IFERROR(R25/R3,"")</f>
        <v/>
      </c>
      <c r="S27" s="27">
        <f>IFERROR(S25/S3,"")</f>
        <v/>
      </c>
      <c r="T27" s="27">
        <f>IFERROR(T25/T3,"")</f>
        <v/>
      </c>
      <c r="U27" s="27">
        <f>IFERROR(U25/U3,"")</f>
        <v/>
      </c>
      <c r="V27" s="27">
        <f>IFERROR(V25/V3,"")</f>
        <v/>
      </c>
      <c r="W27" s="27">
        <f>IFERROR(W25/W3,"")</f>
        <v/>
      </c>
      <c r="X27" s="27">
        <f>IFERROR(X25/X3,"")</f>
        <v/>
      </c>
      <c r="Y27" s="27">
        <f>IFERROR(Y25/Y3,"")</f>
        <v/>
      </c>
      <c r="Z27" s="27">
        <f>IFERROR(Z25/Z3,"")</f>
        <v/>
      </c>
      <c r="AA27" s="27">
        <f>IFERROR(AA25/AA3,"")</f>
        <v/>
      </c>
      <c r="AB27" s="27">
        <f>IFERROR(AB25/AB3,"")</f>
        <v/>
      </c>
      <c r="AC27" s="27">
        <f>IFERROR(AC25/AC3,"")</f>
        <v/>
      </c>
    </row>
    <row r="28">
      <c r="A28" s="4" t="inlineStr">
        <is>
          <t>Advertising Services</t>
        </is>
      </c>
      <c r="L28" s="18" t="n">
        <v>0</v>
      </c>
      <c r="M28" s="18" t="n">
        <v>7877</v>
      </c>
      <c r="N28" s="18" t="n">
        <v>8757</v>
      </c>
      <c r="O28" s="18" t="n">
        <v>9548</v>
      </c>
      <c r="P28" s="18" t="n">
        <v>11557</v>
      </c>
      <c r="Q28" s="18" t="n">
        <v>9509</v>
      </c>
      <c r="R28" s="18" t="n">
        <v>10683</v>
      </c>
      <c r="S28" s="18" t="n">
        <v>12060</v>
      </c>
      <c r="T28" s="18" t="n">
        <v>14654</v>
      </c>
      <c r="U28" s="18" t="n">
        <v>11824</v>
      </c>
      <c r="V28" s="18" t="n">
        <v>12771</v>
      </c>
      <c r="W28" s="18" t="n">
        <v>14331</v>
      </c>
      <c r="X28" s="18" t="n">
        <v>17288</v>
      </c>
      <c r="Y28" s="18" t="n">
        <v>13921</v>
      </c>
      <c r="Z28" s="18" t="n">
        <v>15694</v>
      </c>
      <c r="AA28" s="18" t="n">
        <v>17703</v>
      </c>
      <c r="AB28" s="18" t="n">
        <v>21317</v>
      </c>
      <c r="AC28" s="18" t="n">
        <v>17243</v>
      </c>
    </row>
    <row r="29">
      <c r="A29" s="4" t="inlineStr">
        <is>
          <t xml:space="preserve">    % YoY</t>
        </is>
      </c>
      <c r="F29" s="27">
        <f>IFERROR(F28/B28-1,"")</f>
        <v/>
      </c>
      <c r="G29" s="27">
        <f>IFERROR(G28/C28-1,"")</f>
        <v/>
      </c>
      <c r="H29" s="27">
        <f>IFERROR(H28/D28-1,"")</f>
        <v/>
      </c>
      <c r="I29" s="27">
        <f>IFERROR(I28/E28-1,"")</f>
        <v/>
      </c>
      <c r="J29" s="27">
        <f>IFERROR(J28/F28-1,"")</f>
        <v/>
      </c>
      <c r="K29" s="27">
        <f>IFERROR(K28/G28-1,"")</f>
        <v/>
      </c>
      <c r="L29" s="27">
        <f>IFERROR(L28/H28-1,"")</f>
        <v/>
      </c>
      <c r="M29" s="27">
        <f>IFERROR(M28/I28-1,"")</f>
        <v/>
      </c>
      <c r="N29" s="27">
        <f>IFERROR(N28/J28-1,"")</f>
        <v/>
      </c>
      <c r="O29" s="27">
        <f>IFERROR(O28/K28-1,"")</f>
        <v/>
      </c>
      <c r="P29" s="27">
        <f>IFERROR(P28/L28-1,"")</f>
        <v/>
      </c>
      <c r="Q29" s="27">
        <f>IFERROR(Q28/M28-1,"")</f>
        <v/>
      </c>
      <c r="R29" s="27">
        <f>IFERROR(R28/N28-1,"")</f>
        <v/>
      </c>
      <c r="S29" s="27">
        <f>IFERROR(S28/O28-1,"")</f>
        <v/>
      </c>
      <c r="T29" s="27">
        <f>IFERROR(T28/P28-1,"")</f>
        <v/>
      </c>
      <c r="U29" s="27">
        <f>IFERROR(U28/Q28-1,"")</f>
        <v/>
      </c>
      <c r="V29" s="27">
        <f>IFERROR(V28/R28-1,"")</f>
        <v/>
      </c>
      <c r="W29" s="27">
        <f>IFERROR(W28/S28-1,"")</f>
        <v/>
      </c>
      <c r="X29" s="27">
        <f>IFERROR(X28/T28-1,"")</f>
        <v/>
      </c>
      <c r="Y29" s="27">
        <f>IFERROR(Y28/U28-1,"")</f>
        <v/>
      </c>
      <c r="Z29" s="27">
        <f>IFERROR(Z28/V28-1,"")</f>
        <v/>
      </c>
      <c r="AA29" s="27">
        <f>IFERROR(AA28/W28-1,"")</f>
        <v/>
      </c>
      <c r="AB29" s="27">
        <f>IFERROR(AB28/X28-1,"")</f>
        <v/>
      </c>
      <c r="AC29" s="27">
        <f>IFERROR(AC28/Y28-1,"")</f>
        <v/>
      </c>
    </row>
    <row r="30">
      <c r="A30" s="4" t="inlineStr">
        <is>
          <t xml:space="preserve">    % of revenue</t>
        </is>
      </c>
      <c r="B30" s="27">
        <f>IFERROR(B28/B3,"")</f>
        <v/>
      </c>
      <c r="C30" s="27">
        <f>IFERROR(C28/C3,"")</f>
        <v/>
      </c>
      <c r="D30" s="27">
        <f>IFERROR(D28/D3,"")</f>
        <v/>
      </c>
      <c r="E30" s="27">
        <f>IFERROR(E28/E3,"")</f>
        <v/>
      </c>
      <c r="F30" s="27">
        <f>IFERROR(F28/F3,"")</f>
        <v/>
      </c>
      <c r="G30" s="27">
        <f>IFERROR(G28/G3,"")</f>
        <v/>
      </c>
      <c r="H30" s="27">
        <f>IFERROR(H28/H3,"")</f>
        <v/>
      </c>
      <c r="I30" s="27">
        <f>IFERROR(I28/I3,"")</f>
        <v/>
      </c>
      <c r="J30" s="27">
        <f>IFERROR(J28/J3,"")</f>
        <v/>
      </c>
      <c r="K30" s="27">
        <f>IFERROR(K28/K3,"")</f>
        <v/>
      </c>
      <c r="L30" s="27">
        <f>IFERROR(L28/L3,"")</f>
        <v/>
      </c>
      <c r="M30" s="27">
        <f>IFERROR(M28/M3,"")</f>
        <v/>
      </c>
      <c r="N30" s="27">
        <f>IFERROR(N28/N3,"")</f>
        <v/>
      </c>
      <c r="O30" s="27">
        <f>IFERROR(O28/O3,"")</f>
        <v/>
      </c>
      <c r="P30" s="27">
        <f>IFERROR(P28/P3,"")</f>
        <v/>
      </c>
      <c r="Q30" s="27">
        <f>IFERROR(Q28/Q3,"")</f>
        <v/>
      </c>
      <c r="R30" s="27">
        <f>IFERROR(R28/R3,"")</f>
        <v/>
      </c>
      <c r="S30" s="27">
        <f>IFERROR(S28/S3,"")</f>
        <v/>
      </c>
      <c r="T30" s="27">
        <f>IFERROR(T28/T3,"")</f>
        <v/>
      </c>
      <c r="U30" s="27">
        <f>IFERROR(U28/U3,"")</f>
        <v/>
      </c>
      <c r="V30" s="27">
        <f>IFERROR(V28/V3,"")</f>
        <v/>
      </c>
      <c r="W30" s="27">
        <f>IFERROR(W28/W3,"")</f>
        <v/>
      </c>
      <c r="X30" s="27">
        <f>IFERROR(X28/X3,"")</f>
        <v/>
      </c>
      <c r="Y30" s="27">
        <f>IFERROR(Y28/Y3,"")</f>
        <v/>
      </c>
      <c r="Z30" s="27">
        <f>IFERROR(Z28/Z3,"")</f>
        <v/>
      </c>
      <c r="AA30" s="27">
        <f>IFERROR(AA28/AA3,"")</f>
        <v/>
      </c>
      <c r="AB30" s="27">
        <f>IFERROR(AB28/AB3,"")</f>
        <v/>
      </c>
      <c r="AC30" s="27">
        <f>IFERROR(AC28/AC3,"")</f>
        <v/>
      </c>
    </row>
    <row r="31">
      <c r="A31" s="4" t="inlineStr">
        <is>
          <t>Subscription Services</t>
        </is>
      </c>
      <c r="B31" s="18" t="n">
        <v>4676</v>
      </c>
      <c r="C31" s="18" t="n">
        <v>4957</v>
      </c>
      <c r="D31" s="18" t="n">
        <v>5235</v>
      </c>
      <c r="E31" s="18" t="n">
        <v>5556</v>
      </c>
      <c r="F31" s="18" t="n">
        <v>6018</v>
      </c>
      <c r="G31" s="18" t="n">
        <v>6572</v>
      </c>
      <c r="H31" s="18" t="n">
        <v>7061</v>
      </c>
      <c r="I31" s="18" t="n">
        <v>7580</v>
      </c>
      <c r="J31" s="18" t="n">
        <v>7917</v>
      </c>
      <c r="K31" s="18" t="n">
        <v>8148</v>
      </c>
      <c r="L31" s="18" t="n">
        <v>8123</v>
      </c>
      <c r="M31" s="18" t="n">
        <v>8410</v>
      </c>
      <c r="N31" s="18" t="n">
        <v>8716</v>
      </c>
      <c r="O31" s="18" t="n">
        <v>8903</v>
      </c>
      <c r="P31" s="18" t="n">
        <v>9189</v>
      </c>
      <c r="Q31" s="18" t="n">
        <v>9657</v>
      </c>
      <c r="R31" s="18" t="n">
        <v>9894</v>
      </c>
      <c r="S31" s="18" t="n">
        <v>10170</v>
      </c>
      <c r="T31" s="18" t="n">
        <v>10488</v>
      </c>
      <c r="U31" s="18" t="n">
        <v>10722</v>
      </c>
      <c r="V31" s="18" t="n">
        <v>10866</v>
      </c>
      <c r="W31" s="18" t="n">
        <v>11278</v>
      </c>
      <c r="X31" s="18" t="n">
        <v>11508</v>
      </c>
      <c r="Y31" s="18" t="n">
        <v>11715</v>
      </c>
      <c r="Z31" s="18" t="n">
        <v>12208</v>
      </c>
      <c r="AA31" s="18" t="n">
        <v>12574</v>
      </c>
      <c r="AB31" s="18" t="n">
        <v>13122</v>
      </c>
      <c r="AC31" s="18" t="n">
        <v>13427</v>
      </c>
    </row>
    <row r="32">
      <c r="A32" s="4" t="inlineStr">
        <is>
          <t xml:space="preserve">    % YoY</t>
        </is>
      </c>
      <c r="F32" s="27">
        <f>IFERROR(F31/B31-1,"")</f>
        <v/>
      </c>
      <c r="G32" s="27">
        <f>IFERROR(G31/C31-1,"")</f>
        <v/>
      </c>
      <c r="H32" s="27">
        <f>IFERROR(H31/D31-1,"")</f>
        <v/>
      </c>
      <c r="I32" s="27">
        <f>IFERROR(I31/E31-1,"")</f>
        <v/>
      </c>
      <c r="J32" s="27">
        <f>IFERROR(J31/F31-1,"")</f>
        <v/>
      </c>
      <c r="K32" s="27">
        <f>IFERROR(K31/G31-1,"")</f>
        <v/>
      </c>
      <c r="L32" s="27">
        <f>IFERROR(L31/H31-1,"")</f>
        <v/>
      </c>
      <c r="M32" s="27">
        <f>IFERROR(M31/I31-1,"")</f>
        <v/>
      </c>
      <c r="N32" s="27">
        <f>IFERROR(N31/J31-1,"")</f>
        <v/>
      </c>
      <c r="O32" s="27">
        <f>IFERROR(O31/K31-1,"")</f>
        <v/>
      </c>
      <c r="P32" s="27">
        <f>IFERROR(P31/L31-1,"")</f>
        <v/>
      </c>
      <c r="Q32" s="27">
        <f>IFERROR(Q31/M31-1,"")</f>
        <v/>
      </c>
      <c r="R32" s="27">
        <f>IFERROR(R31/N31-1,"")</f>
        <v/>
      </c>
      <c r="S32" s="27">
        <f>IFERROR(S31/O31-1,"")</f>
        <v/>
      </c>
      <c r="T32" s="27">
        <f>IFERROR(T31/P31-1,"")</f>
        <v/>
      </c>
      <c r="U32" s="27">
        <f>IFERROR(U31/Q31-1,"")</f>
        <v/>
      </c>
      <c r="V32" s="27">
        <f>IFERROR(V31/R31-1,"")</f>
        <v/>
      </c>
      <c r="W32" s="27">
        <f>IFERROR(W31/S31-1,"")</f>
        <v/>
      </c>
      <c r="X32" s="27">
        <f>IFERROR(X31/T31-1,"")</f>
        <v/>
      </c>
      <c r="Y32" s="27">
        <f>IFERROR(Y31/U31-1,"")</f>
        <v/>
      </c>
      <c r="Z32" s="27">
        <f>IFERROR(Z31/V31-1,"")</f>
        <v/>
      </c>
      <c r="AA32" s="27">
        <f>IFERROR(AA31/W31-1,"")</f>
        <v/>
      </c>
      <c r="AB32" s="27">
        <f>IFERROR(AB31/X31-1,"")</f>
        <v/>
      </c>
      <c r="AC32" s="27">
        <f>IFERROR(AC31/Y31-1,"")</f>
        <v/>
      </c>
    </row>
    <row r="33">
      <c r="A33" s="4" t="inlineStr">
        <is>
          <t xml:space="preserve">    % of revenue</t>
        </is>
      </c>
      <c r="B33" s="27">
        <f>IFERROR(B31/B3,"")</f>
        <v/>
      </c>
      <c r="C33" s="27">
        <f>IFERROR(C31/C3,"")</f>
        <v/>
      </c>
      <c r="D33" s="27">
        <f>IFERROR(D31/D3,"")</f>
        <v/>
      </c>
      <c r="E33" s="27">
        <f>IFERROR(E31/E3,"")</f>
        <v/>
      </c>
      <c r="F33" s="27">
        <f>IFERROR(F31/F3,"")</f>
        <v/>
      </c>
      <c r="G33" s="27">
        <f>IFERROR(G31/G3,"")</f>
        <v/>
      </c>
      <c r="H33" s="27">
        <f>IFERROR(H31/H3,"")</f>
        <v/>
      </c>
      <c r="I33" s="27">
        <f>IFERROR(I31/I3,"")</f>
        <v/>
      </c>
      <c r="J33" s="27">
        <f>IFERROR(J31/J3,"")</f>
        <v/>
      </c>
      <c r="K33" s="27">
        <f>IFERROR(K31/K3,"")</f>
        <v/>
      </c>
      <c r="L33" s="27">
        <f>IFERROR(L31/L3,"")</f>
        <v/>
      </c>
      <c r="M33" s="27">
        <f>IFERROR(M31/M3,"")</f>
        <v/>
      </c>
      <c r="N33" s="27">
        <f>IFERROR(N31/N3,"")</f>
        <v/>
      </c>
      <c r="O33" s="27">
        <f>IFERROR(O31/O3,"")</f>
        <v/>
      </c>
      <c r="P33" s="27">
        <f>IFERROR(P31/P3,"")</f>
        <v/>
      </c>
      <c r="Q33" s="27">
        <f>IFERROR(Q31/Q3,"")</f>
        <v/>
      </c>
      <c r="R33" s="27">
        <f>IFERROR(R31/R3,"")</f>
        <v/>
      </c>
      <c r="S33" s="27">
        <f>IFERROR(S31/S3,"")</f>
        <v/>
      </c>
      <c r="T33" s="27">
        <f>IFERROR(T31/T3,"")</f>
        <v/>
      </c>
      <c r="U33" s="27">
        <f>IFERROR(U31/U3,"")</f>
        <v/>
      </c>
      <c r="V33" s="27">
        <f>IFERROR(V31/V3,"")</f>
        <v/>
      </c>
      <c r="W33" s="27">
        <f>IFERROR(W31/W3,"")</f>
        <v/>
      </c>
      <c r="X33" s="27">
        <f>IFERROR(X31/X3,"")</f>
        <v/>
      </c>
      <c r="Y33" s="27">
        <f>IFERROR(Y31/Y3,"")</f>
        <v/>
      </c>
      <c r="Z33" s="27">
        <f>IFERROR(Z31/Z3,"")</f>
        <v/>
      </c>
      <c r="AA33" s="27">
        <f>IFERROR(AA31/AA3,"")</f>
        <v/>
      </c>
      <c r="AB33" s="27">
        <f>IFERROR(AB31/AB3,"")</f>
        <v/>
      </c>
      <c r="AC33" s="27">
        <f>IFERROR(AC31/AC3,"")</f>
        <v/>
      </c>
    </row>
    <row r="34">
      <c r="A34" s="4" t="inlineStr">
        <is>
          <t>Physical Stores</t>
        </is>
      </c>
      <c r="B34" s="18" t="n">
        <v>4330</v>
      </c>
      <c r="C34" s="18" t="n">
        <v>4192</v>
      </c>
      <c r="D34" s="18" t="n">
        <v>4363</v>
      </c>
      <c r="E34" s="18" t="n">
        <v>4640</v>
      </c>
      <c r="F34" s="18" t="n">
        <v>3774</v>
      </c>
      <c r="G34" s="18" t="n">
        <v>3788</v>
      </c>
      <c r="H34" s="18" t="n">
        <v>4025</v>
      </c>
      <c r="I34" s="18" t="n">
        <v>3920</v>
      </c>
      <c r="J34" s="18" t="n">
        <v>4198</v>
      </c>
      <c r="K34" s="18" t="n">
        <v>4269</v>
      </c>
      <c r="L34" s="18" t="n">
        <v>4688</v>
      </c>
      <c r="M34" s="18" t="n">
        <v>4591</v>
      </c>
      <c r="N34" s="18" t="n">
        <v>4721</v>
      </c>
      <c r="O34" s="18" t="n">
        <v>4694</v>
      </c>
      <c r="P34" s="18" t="n">
        <v>4957</v>
      </c>
      <c r="Q34" s="18" t="n">
        <v>4895</v>
      </c>
      <c r="R34" s="18" t="n">
        <v>5024</v>
      </c>
      <c r="S34" s="18" t="n">
        <v>4959</v>
      </c>
      <c r="T34" s="18" t="n">
        <v>5152</v>
      </c>
      <c r="U34" s="18" t="n">
        <v>5202</v>
      </c>
      <c r="V34" s="18" t="n">
        <v>5206</v>
      </c>
      <c r="W34" s="18" t="n">
        <v>5228</v>
      </c>
      <c r="X34" s="18" t="n">
        <v>5579</v>
      </c>
      <c r="Y34" s="18" t="n">
        <v>5533</v>
      </c>
      <c r="Z34" s="18" t="n">
        <v>5595</v>
      </c>
      <c r="AA34" s="18" t="n">
        <v>5578</v>
      </c>
      <c r="AB34" s="18" t="n">
        <v>5855</v>
      </c>
      <c r="AC34" s="18" t="n">
        <v>5785</v>
      </c>
    </row>
    <row r="35">
      <c r="A35" s="4" t="inlineStr">
        <is>
          <t xml:space="preserve">    % YoY</t>
        </is>
      </c>
      <c r="F35" s="27">
        <f>IFERROR(F34/B34-1,"")</f>
        <v/>
      </c>
      <c r="G35" s="27">
        <f>IFERROR(G34/C34-1,"")</f>
        <v/>
      </c>
      <c r="H35" s="27">
        <f>IFERROR(H34/D34-1,"")</f>
        <v/>
      </c>
      <c r="I35" s="27">
        <f>IFERROR(I34/E34-1,"")</f>
        <v/>
      </c>
      <c r="J35" s="27">
        <f>IFERROR(J34/F34-1,"")</f>
        <v/>
      </c>
      <c r="K35" s="27">
        <f>IFERROR(K34/G34-1,"")</f>
        <v/>
      </c>
      <c r="L35" s="27">
        <f>IFERROR(L34/H34-1,"")</f>
        <v/>
      </c>
      <c r="M35" s="27">
        <f>IFERROR(M34/I34-1,"")</f>
        <v/>
      </c>
      <c r="N35" s="27">
        <f>IFERROR(N34/J34-1,"")</f>
        <v/>
      </c>
      <c r="O35" s="27">
        <f>IFERROR(O34/K34-1,"")</f>
        <v/>
      </c>
      <c r="P35" s="27">
        <f>IFERROR(P34/L34-1,"")</f>
        <v/>
      </c>
      <c r="Q35" s="27">
        <f>IFERROR(Q34/M34-1,"")</f>
        <v/>
      </c>
      <c r="R35" s="27">
        <f>IFERROR(R34/N34-1,"")</f>
        <v/>
      </c>
      <c r="S35" s="27">
        <f>IFERROR(S34/O34-1,"")</f>
        <v/>
      </c>
      <c r="T35" s="27">
        <f>IFERROR(T34/P34-1,"")</f>
        <v/>
      </c>
      <c r="U35" s="27">
        <f>IFERROR(U34/Q34-1,"")</f>
        <v/>
      </c>
      <c r="V35" s="27">
        <f>IFERROR(V34/R34-1,"")</f>
        <v/>
      </c>
      <c r="W35" s="27">
        <f>IFERROR(W34/S34-1,"")</f>
        <v/>
      </c>
      <c r="X35" s="27">
        <f>IFERROR(X34/T34-1,"")</f>
        <v/>
      </c>
      <c r="Y35" s="27">
        <f>IFERROR(Y34/U34-1,"")</f>
        <v/>
      </c>
      <c r="Z35" s="27">
        <f>IFERROR(Z34/V34-1,"")</f>
        <v/>
      </c>
      <c r="AA35" s="27">
        <f>IFERROR(AA34/W34-1,"")</f>
        <v/>
      </c>
      <c r="AB35" s="27">
        <f>IFERROR(AB34/X34-1,"")</f>
        <v/>
      </c>
      <c r="AC35" s="27">
        <f>IFERROR(AC34/Y34-1,"")</f>
        <v/>
      </c>
    </row>
    <row r="36">
      <c r="A36" s="4" t="inlineStr">
        <is>
          <t xml:space="preserve">    % of revenue</t>
        </is>
      </c>
      <c r="B36" s="27">
        <f>IFERROR(B34/B3,"")</f>
        <v/>
      </c>
      <c r="C36" s="27">
        <f>IFERROR(C34/C3,"")</f>
        <v/>
      </c>
      <c r="D36" s="27">
        <f>IFERROR(D34/D3,"")</f>
        <v/>
      </c>
      <c r="E36" s="27">
        <f>IFERROR(E34/E3,"")</f>
        <v/>
      </c>
      <c r="F36" s="27">
        <f>IFERROR(F34/F3,"")</f>
        <v/>
      </c>
      <c r="G36" s="27">
        <f>IFERROR(G34/G3,"")</f>
        <v/>
      </c>
      <c r="H36" s="27">
        <f>IFERROR(H34/H3,"")</f>
        <v/>
      </c>
      <c r="I36" s="27">
        <f>IFERROR(I34/I3,"")</f>
        <v/>
      </c>
      <c r="J36" s="27">
        <f>IFERROR(J34/J3,"")</f>
        <v/>
      </c>
      <c r="K36" s="27">
        <f>IFERROR(K34/K3,"")</f>
        <v/>
      </c>
      <c r="L36" s="27">
        <f>IFERROR(L34/L3,"")</f>
        <v/>
      </c>
      <c r="M36" s="27">
        <f>IFERROR(M34/M3,"")</f>
        <v/>
      </c>
      <c r="N36" s="27">
        <f>IFERROR(N34/N3,"")</f>
        <v/>
      </c>
      <c r="O36" s="27">
        <f>IFERROR(O34/O3,"")</f>
        <v/>
      </c>
      <c r="P36" s="27">
        <f>IFERROR(P34/P3,"")</f>
        <v/>
      </c>
      <c r="Q36" s="27">
        <f>IFERROR(Q34/Q3,"")</f>
        <v/>
      </c>
      <c r="R36" s="27">
        <f>IFERROR(R34/R3,"")</f>
        <v/>
      </c>
      <c r="S36" s="27">
        <f>IFERROR(S34/S3,"")</f>
        <v/>
      </c>
      <c r="T36" s="27">
        <f>IFERROR(T34/T3,"")</f>
        <v/>
      </c>
      <c r="U36" s="27">
        <f>IFERROR(U34/U3,"")</f>
        <v/>
      </c>
      <c r="V36" s="27">
        <f>IFERROR(V34/V3,"")</f>
        <v/>
      </c>
      <c r="W36" s="27">
        <f>IFERROR(W34/W3,"")</f>
        <v/>
      </c>
      <c r="X36" s="27">
        <f>IFERROR(X34/X3,"")</f>
        <v/>
      </c>
      <c r="Y36" s="27">
        <f>IFERROR(Y34/Y3,"")</f>
        <v/>
      </c>
      <c r="Z36" s="27">
        <f>IFERROR(Z34/Z3,"")</f>
        <v/>
      </c>
      <c r="AA36" s="27">
        <f>IFERROR(AA34/AA3,"")</f>
        <v/>
      </c>
      <c r="AB36" s="27">
        <f>IFERROR(AB34/AB3,"")</f>
        <v/>
      </c>
      <c r="AC36" s="27">
        <f>IFERROR(AC34/AC3,"")</f>
        <v/>
      </c>
    </row>
    <row r="37">
      <c r="A37" s="4" t="inlineStr">
        <is>
          <t>Other Services</t>
        </is>
      </c>
      <c r="B37" s="18" t="n">
        <v>3002</v>
      </c>
      <c r="C37" s="18" t="n">
        <v>3586</v>
      </c>
      <c r="D37" s="18" t="n">
        <v>4781</v>
      </c>
      <c r="E37" s="18" t="n">
        <v>3906</v>
      </c>
      <c r="F37" s="18" t="n">
        <v>4221</v>
      </c>
      <c r="G37" s="18" t="n">
        <v>5398</v>
      </c>
      <c r="H37" s="18" t="n">
        <v>7928</v>
      </c>
      <c r="I37" s="18" t="n">
        <v>6905</v>
      </c>
      <c r="J37" s="18" t="n">
        <v>7914</v>
      </c>
      <c r="K37" s="18" t="n">
        <v>8091</v>
      </c>
      <c r="L37" s="18" t="n">
        <v>10426</v>
      </c>
      <c r="M37" s="18" t="n">
        <v>661</v>
      </c>
      <c r="N37" s="18" t="n">
        <v>1070</v>
      </c>
      <c r="O37" s="18" t="n">
        <v>1263</v>
      </c>
      <c r="P37" s="18" t="n">
        <v>1253</v>
      </c>
      <c r="Q37" s="18" t="n">
        <v>1027</v>
      </c>
      <c r="R37" s="18" t="n">
        <v>1344</v>
      </c>
      <c r="S37" s="18" t="n">
        <v>1226</v>
      </c>
      <c r="T37" s="18" t="n">
        <v>1361</v>
      </c>
      <c r="U37" s="18" t="n">
        <v>1262</v>
      </c>
      <c r="V37" s="18" t="n">
        <v>1260</v>
      </c>
      <c r="W37" s="18" t="n">
        <v>1313</v>
      </c>
      <c r="X37" s="18" t="n">
        <v>1590</v>
      </c>
      <c r="Y37" s="18" t="n">
        <v>1312</v>
      </c>
      <c r="Z37" s="18" t="n">
        <v>1499</v>
      </c>
      <c r="AA37" s="18" t="n">
        <v>1415</v>
      </c>
      <c r="AB37" s="18" t="n">
        <v>1709</v>
      </c>
      <c r="AC37" s="18" t="n">
        <v>1645</v>
      </c>
    </row>
    <row r="38">
      <c r="A38" s="4" t="inlineStr">
        <is>
          <t xml:space="preserve">    % YoY</t>
        </is>
      </c>
      <c r="F38" s="27">
        <f>IFERROR(F37/B37-1,"")</f>
        <v/>
      </c>
      <c r="G38" s="27">
        <f>IFERROR(G37/C37-1,"")</f>
        <v/>
      </c>
      <c r="H38" s="27">
        <f>IFERROR(H37/D37-1,"")</f>
        <v/>
      </c>
      <c r="I38" s="27">
        <f>IFERROR(I37/E37-1,"")</f>
        <v/>
      </c>
      <c r="J38" s="27">
        <f>IFERROR(J37/F37-1,"")</f>
        <v/>
      </c>
      <c r="K38" s="27">
        <f>IFERROR(K37/G37-1,"")</f>
        <v/>
      </c>
      <c r="L38" s="27">
        <f>IFERROR(L37/H37-1,"")</f>
        <v/>
      </c>
      <c r="M38" s="27">
        <f>IFERROR(M37/I37-1,"")</f>
        <v/>
      </c>
      <c r="N38" s="27">
        <f>IFERROR(N37/J37-1,"")</f>
        <v/>
      </c>
      <c r="O38" s="27">
        <f>IFERROR(O37/K37-1,"")</f>
        <v/>
      </c>
      <c r="P38" s="27">
        <f>IFERROR(P37/L37-1,"")</f>
        <v/>
      </c>
      <c r="Q38" s="27">
        <f>IFERROR(Q37/M37-1,"")</f>
        <v/>
      </c>
      <c r="R38" s="27">
        <f>IFERROR(R37/N37-1,"")</f>
        <v/>
      </c>
      <c r="S38" s="27">
        <f>IFERROR(S37/O37-1,"")</f>
        <v/>
      </c>
      <c r="T38" s="27">
        <f>IFERROR(T37/P37-1,"")</f>
        <v/>
      </c>
      <c r="U38" s="27">
        <f>IFERROR(U37/Q37-1,"")</f>
        <v/>
      </c>
      <c r="V38" s="27">
        <f>IFERROR(V37/R37-1,"")</f>
        <v/>
      </c>
      <c r="W38" s="27">
        <f>IFERROR(W37/S37-1,"")</f>
        <v/>
      </c>
      <c r="X38" s="27">
        <f>IFERROR(X37/T37-1,"")</f>
        <v/>
      </c>
      <c r="Y38" s="27">
        <f>IFERROR(Y37/U37-1,"")</f>
        <v/>
      </c>
      <c r="Z38" s="27">
        <f>IFERROR(Z37/V37-1,"")</f>
        <v/>
      </c>
      <c r="AA38" s="27">
        <f>IFERROR(AA37/W37-1,"")</f>
        <v/>
      </c>
      <c r="AB38" s="27">
        <f>IFERROR(AB37/X37-1,"")</f>
        <v/>
      </c>
      <c r="AC38" s="27">
        <f>IFERROR(AC37/Y37-1,"")</f>
        <v/>
      </c>
    </row>
    <row r="39">
      <c r="A39" s="4" t="inlineStr">
        <is>
          <t xml:space="preserve">    % of revenue</t>
        </is>
      </c>
      <c r="B39" s="27">
        <f>IFERROR(B37/B3,"")</f>
        <v/>
      </c>
      <c r="C39" s="27">
        <f>IFERROR(C37/C3,"")</f>
        <v/>
      </c>
      <c r="D39" s="27">
        <f>IFERROR(D37/D3,"")</f>
        <v/>
      </c>
      <c r="E39" s="27">
        <f>IFERROR(E37/E3,"")</f>
        <v/>
      </c>
      <c r="F39" s="27">
        <f>IFERROR(F37/F3,"")</f>
        <v/>
      </c>
      <c r="G39" s="27">
        <f>IFERROR(G37/G3,"")</f>
        <v/>
      </c>
      <c r="H39" s="27">
        <f>IFERROR(H37/H3,"")</f>
        <v/>
      </c>
      <c r="I39" s="27">
        <f>IFERROR(I37/I3,"")</f>
        <v/>
      </c>
      <c r="J39" s="27">
        <f>IFERROR(J37/J3,"")</f>
        <v/>
      </c>
      <c r="K39" s="27">
        <f>IFERROR(K37/K3,"")</f>
        <v/>
      </c>
      <c r="L39" s="27">
        <f>IFERROR(L37/L3,"")</f>
        <v/>
      </c>
      <c r="M39" s="27">
        <f>IFERROR(M37/M3,"")</f>
        <v/>
      </c>
      <c r="N39" s="27">
        <f>IFERROR(N37/N3,"")</f>
        <v/>
      </c>
      <c r="O39" s="27">
        <f>IFERROR(O37/O3,"")</f>
        <v/>
      </c>
      <c r="P39" s="27">
        <f>IFERROR(P37/P3,"")</f>
        <v/>
      </c>
      <c r="Q39" s="27">
        <f>IFERROR(Q37/Q3,"")</f>
        <v/>
      </c>
      <c r="R39" s="27">
        <f>IFERROR(R37/R3,"")</f>
        <v/>
      </c>
      <c r="S39" s="27">
        <f>IFERROR(S37/S3,"")</f>
        <v/>
      </c>
      <c r="T39" s="27">
        <f>IFERROR(T37/T3,"")</f>
        <v/>
      </c>
      <c r="U39" s="27">
        <f>IFERROR(U37/U3,"")</f>
        <v/>
      </c>
      <c r="V39" s="27">
        <f>IFERROR(V37/V3,"")</f>
        <v/>
      </c>
      <c r="W39" s="27">
        <f>IFERROR(W37/W3,"")</f>
        <v/>
      </c>
      <c r="X39" s="27">
        <f>IFERROR(X37/X3,"")</f>
        <v/>
      </c>
      <c r="Y39" s="27">
        <f>IFERROR(Y37/Y3,"")</f>
        <v/>
      </c>
      <c r="Z39" s="27">
        <f>IFERROR(Z37/Z3,"")</f>
        <v/>
      </c>
      <c r="AA39" s="27">
        <f>IFERROR(AA37/AA3,"")</f>
        <v/>
      </c>
      <c r="AB39" s="27">
        <f>IFERROR(AB37/AB3,"")</f>
        <v/>
      </c>
      <c r="AC39" s="27">
        <f>IFERROR(AC37/AC3,"")</f>
        <v/>
      </c>
    </row>
    <row r="40">
      <c r="A40" s="5" t="inlineStr">
        <is>
          <t xml:space="preserve">  REVENUE BY SEGMENT — GEOGRAPHY (% YoY, % of revenue)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North America Segment</t>
        </is>
      </c>
      <c r="B41" s="18" t="n">
        <v>38653</v>
      </c>
      <c r="C41" s="18" t="n">
        <v>42638</v>
      </c>
      <c r="D41" s="18" t="n">
        <v>76533</v>
      </c>
      <c r="E41" s="18" t="n">
        <v>46127</v>
      </c>
      <c r="F41" s="18" t="n">
        <v>55436</v>
      </c>
      <c r="G41" s="18" t="n">
        <v>59373</v>
      </c>
      <c r="H41" s="18" t="n">
        <v>102584</v>
      </c>
      <c r="I41" s="18" t="n">
        <v>64366</v>
      </c>
      <c r="J41" s="18" t="n">
        <v>67550</v>
      </c>
      <c r="K41" s="18" t="n">
        <v>65557</v>
      </c>
      <c r="L41" s="18" t="n">
        <v>116533</v>
      </c>
      <c r="M41" s="18" t="n">
        <v>69244</v>
      </c>
      <c r="N41" s="18" t="n">
        <v>74430</v>
      </c>
      <c r="O41" s="18" t="n">
        <v>78843</v>
      </c>
      <c r="P41" s="18" t="n">
        <v>133596</v>
      </c>
      <c r="Q41" s="18" t="n">
        <v>76881</v>
      </c>
      <c r="R41" s="18" t="n">
        <v>82546</v>
      </c>
      <c r="S41" s="18" t="n">
        <v>87887</v>
      </c>
      <c r="T41" s="18" t="n">
        <v>148323</v>
      </c>
      <c r="U41" s="18" t="n">
        <v>86341</v>
      </c>
      <c r="V41" s="18" t="n">
        <v>90033</v>
      </c>
      <c r="W41" s="18" t="n">
        <v>95537</v>
      </c>
      <c r="X41" s="18" t="n">
        <v>166104</v>
      </c>
      <c r="Y41" s="18" t="n">
        <v>92887</v>
      </c>
      <c r="Z41" s="18" t="n">
        <v>100068</v>
      </c>
      <c r="AA41" s="18" t="n">
        <v>106267</v>
      </c>
      <c r="AB41" s="18" t="n">
        <v>127083</v>
      </c>
      <c r="AC41" s="18" t="n">
        <v>104143</v>
      </c>
    </row>
    <row r="42">
      <c r="A42" s="4" t="inlineStr">
        <is>
          <t xml:space="preserve">    % YoY</t>
        </is>
      </c>
      <c r="F42" s="27">
        <f>IFERROR(F41/B41-1,"")</f>
        <v/>
      </c>
      <c r="G42" s="27">
        <f>IFERROR(G41/C41-1,"")</f>
        <v/>
      </c>
      <c r="H42" s="27">
        <f>IFERROR(H41/D41-1,"")</f>
        <v/>
      </c>
      <c r="I42" s="27">
        <f>IFERROR(I41/E41-1,"")</f>
        <v/>
      </c>
      <c r="J42" s="27">
        <f>IFERROR(J41/F41-1,"")</f>
        <v/>
      </c>
      <c r="K42" s="27">
        <f>IFERROR(K41/G41-1,"")</f>
        <v/>
      </c>
      <c r="L42" s="27">
        <f>IFERROR(L41/H41-1,"")</f>
        <v/>
      </c>
      <c r="M42" s="27">
        <f>IFERROR(M41/I41-1,"")</f>
        <v/>
      </c>
      <c r="N42" s="27">
        <f>IFERROR(N41/J41-1,"")</f>
        <v/>
      </c>
      <c r="O42" s="27">
        <f>IFERROR(O41/K41-1,"")</f>
        <v/>
      </c>
      <c r="P42" s="27">
        <f>IFERROR(P41/L41-1,"")</f>
        <v/>
      </c>
      <c r="Q42" s="27">
        <f>IFERROR(Q41/M41-1,"")</f>
        <v/>
      </c>
      <c r="R42" s="27">
        <f>IFERROR(R41/N41-1,"")</f>
        <v/>
      </c>
      <c r="S42" s="27">
        <f>IFERROR(S41/O41-1,"")</f>
        <v/>
      </c>
      <c r="T42" s="27">
        <f>IFERROR(T41/P41-1,"")</f>
        <v/>
      </c>
      <c r="U42" s="27">
        <f>IFERROR(U41/Q41-1,"")</f>
        <v/>
      </c>
      <c r="V42" s="27">
        <f>IFERROR(V41/R41-1,"")</f>
        <v/>
      </c>
      <c r="W42" s="27">
        <f>IFERROR(W41/S41-1,"")</f>
        <v/>
      </c>
      <c r="X42" s="27">
        <f>IFERROR(X41/T41-1,"")</f>
        <v/>
      </c>
      <c r="Y42" s="27">
        <f>IFERROR(Y41/U41-1,"")</f>
        <v/>
      </c>
      <c r="Z42" s="27">
        <f>IFERROR(Z41/V41-1,"")</f>
        <v/>
      </c>
      <c r="AA42" s="27">
        <f>IFERROR(AA41/W41-1,"")</f>
        <v/>
      </c>
      <c r="AB42" s="27">
        <f>IFERROR(AB41/X41-1,"")</f>
        <v/>
      </c>
      <c r="AC42" s="27">
        <f>IFERROR(AC41/Y41-1,"")</f>
        <v/>
      </c>
    </row>
    <row r="43">
      <c r="A43" s="4" t="inlineStr">
        <is>
          <t xml:space="preserve">    % of revenue</t>
        </is>
      </c>
      <c r="B43" s="27">
        <f>IFERROR(B41/B3,"")</f>
        <v/>
      </c>
      <c r="C43" s="27">
        <f>IFERROR(C41/C3,"")</f>
        <v/>
      </c>
      <c r="D43" s="27">
        <f>IFERROR(D41/D3,"")</f>
        <v/>
      </c>
      <c r="E43" s="27">
        <f>IFERROR(E41/E3,"")</f>
        <v/>
      </c>
      <c r="F43" s="27">
        <f>IFERROR(F41/F3,"")</f>
        <v/>
      </c>
      <c r="G43" s="27">
        <f>IFERROR(G41/G3,"")</f>
        <v/>
      </c>
      <c r="H43" s="27">
        <f>IFERROR(H41/H3,"")</f>
        <v/>
      </c>
      <c r="I43" s="27">
        <f>IFERROR(I41/I3,"")</f>
        <v/>
      </c>
      <c r="J43" s="27">
        <f>IFERROR(J41/J3,"")</f>
        <v/>
      </c>
      <c r="K43" s="27">
        <f>IFERROR(K41/K3,"")</f>
        <v/>
      </c>
      <c r="L43" s="27">
        <f>IFERROR(L41/L3,"")</f>
        <v/>
      </c>
      <c r="M43" s="27">
        <f>IFERROR(M41/M3,"")</f>
        <v/>
      </c>
      <c r="N43" s="27">
        <f>IFERROR(N41/N3,"")</f>
        <v/>
      </c>
      <c r="O43" s="27">
        <f>IFERROR(O41/O3,"")</f>
        <v/>
      </c>
      <c r="P43" s="27">
        <f>IFERROR(P41/P3,"")</f>
        <v/>
      </c>
      <c r="Q43" s="27">
        <f>IFERROR(Q41/Q3,"")</f>
        <v/>
      </c>
      <c r="R43" s="27">
        <f>IFERROR(R41/R3,"")</f>
        <v/>
      </c>
      <c r="S43" s="27">
        <f>IFERROR(S41/S3,"")</f>
        <v/>
      </c>
      <c r="T43" s="27">
        <f>IFERROR(T41/T3,"")</f>
        <v/>
      </c>
      <c r="U43" s="27">
        <f>IFERROR(U41/U3,"")</f>
        <v/>
      </c>
      <c r="V43" s="27">
        <f>IFERROR(V41/V3,"")</f>
        <v/>
      </c>
      <c r="W43" s="27">
        <f>IFERROR(W41/W3,"")</f>
        <v/>
      </c>
      <c r="X43" s="27">
        <f>IFERROR(X41/X3,"")</f>
        <v/>
      </c>
      <c r="Y43" s="27">
        <f>IFERROR(Y41/Y3,"")</f>
        <v/>
      </c>
      <c r="Z43" s="27">
        <f>IFERROR(Z41/Z3,"")</f>
        <v/>
      </c>
      <c r="AA43" s="27">
        <f>IFERROR(AA41/AA3,"")</f>
        <v/>
      </c>
      <c r="AB43" s="27">
        <f>IFERROR(AB41/AB3,"")</f>
        <v/>
      </c>
      <c r="AC43" s="27">
        <f>IFERROR(AC41/AC3,"")</f>
        <v/>
      </c>
    </row>
    <row r="44">
      <c r="A44" s="4" t="inlineStr">
        <is>
          <t>International Segment</t>
        </is>
      </c>
      <c r="B44" s="18" t="n">
        <v>16370</v>
      </c>
      <c r="C44" s="18" t="n">
        <v>18348</v>
      </c>
      <c r="D44" s="18" t="n">
        <v>10904</v>
      </c>
      <c r="E44" s="18" t="n">
        <v>19106</v>
      </c>
      <c r="F44" s="18" t="n">
        <v>22668</v>
      </c>
      <c r="G44" s="18" t="n">
        <v>25171</v>
      </c>
      <c r="H44" s="18" t="n">
        <v>22971</v>
      </c>
      <c r="I44" s="18" t="n">
        <v>30649</v>
      </c>
      <c r="J44" s="18" t="n">
        <v>30721</v>
      </c>
      <c r="K44" s="18" t="n">
        <v>29145</v>
      </c>
      <c r="L44" s="18" t="n">
        <v>20879</v>
      </c>
      <c r="M44" s="18" t="n">
        <v>28759</v>
      </c>
      <c r="N44" s="18" t="n">
        <v>27065</v>
      </c>
      <c r="O44" s="18" t="n">
        <v>27720</v>
      </c>
      <c r="P44" s="18" t="n">
        <v>15608</v>
      </c>
      <c r="Q44" s="18" t="n">
        <v>29123</v>
      </c>
      <c r="R44" s="18" t="n">
        <v>29697</v>
      </c>
      <c r="S44" s="18" t="n">
        <v>32137</v>
      </c>
      <c r="T44" s="18" t="n">
        <v>21638</v>
      </c>
      <c r="U44" s="18" t="n">
        <v>31935</v>
      </c>
      <c r="V44" s="18" t="n">
        <v>31663</v>
      </c>
      <c r="W44" s="18" t="n">
        <v>35888</v>
      </c>
      <c r="X44" s="18" t="n">
        <v>21688</v>
      </c>
      <c r="Y44" s="18" t="n">
        <v>33513</v>
      </c>
      <c r="Z44" s="18" t="n">
        <v>36761</v>
      </c>
      <c r="AA44" s="18" t="n">
        <v>40896</v>
      </c>
      <c r="AB44" s="18" t="n">
        <v>50724</v>
      </c>
      <c r="AC44" s="18" t="n">
        <v>39789</v>
      </c>
    </row>
    <row r="45">
      <c r="A45" s="4" t="inlineStr">
        <is>
          <t xml:space="preserve">    % YoY</t>
        </is>
      </c>
      <c r="F45" s="27">
        <f>IFERROR(F44/B44-1,"")</f>
        <v/>
      </c>
      <c r="G45" s="27">
        <f>IFERROR(G44/C44-1,"")</f>
        <v/>
      </c>
      <c r="H45" s="27">
        <f>IFERROR(H44/D44-1,"")</f>
        <v/>
      </c>
      <c r="I45" s="27">
        <f>IFERROR(I44/E44-1,"")</f>
        <v/>
      </c>
      <c r="J45" s="27">
        <f>IFERROR(J44/F44-1,"")</f>
        <v/>
      </c>
      <c r="K45" s="27">
        <f>IFERROR(K44/G44-1,"")</f>
        <v/>
      </c>
      <c r="L45" s="27">
        <f>IFERROR(L44/H44-1,"")</f>
        <v/>
      </c>
      <c r="M45" s="27">
        <f>IFERROR(M44/I44-1,"")</f>
        <v/>
      </c>
      <c r="N45" s="27">
        <f>IFERROR(N44/J44-1,"")</f>
        <v/>
      </c>
      <c r="O45" s="27">
        <f>IFERROR(O44/K44-1,"")</f>
        <v/>
      </c>
      <c r="P45" s="27">
        <f>IFERROR(P44/L44-1,"")</f>
        <v/>
      </c>
      <c r="Q45" s="27">
        <f>IFERROR(Q44/M44-1,"")</f>
        <v/>
      </c>
      <c r="R45" s="27">
        <f>IFERROR(R44/N44-1,"")</f>
        <v/>
      </c>
      <c r="S45" s="27">
        <f>IFERROR(S44/O44-1,"")</f>
        <v/>
      </c>
      <c r="T45" s="27">
        <f>IFERROR(T44/P44-1,"")</f>
        <v/>
      </c>
      <c r="U45" s="27">
        <f>IFERROR(U44/Q44-1,"")</f>
        <v/>
      </c>
      <c r="V45" s="27">
        <f>IFERROR(V44/R44-1,"")</f>
        <v/>
      </c>
      <c r="W45" s="27">
        <f>IFERROR(W44/S44-1,"")</f>
        <v/>
      </c>
      <c r="X45" s="27">
        <f>IFERROR(X44/T44-1,"")</f>
        <v/>
      </c>
      <c r="Y45" s="27">
        <f>IFERROR(Y44/U44-1,"")</f>
        <v/>
      </c>
      <c r="Z45" s="27">
        <f>IFERROR(Z44/V44-1,"")</f>
        <v/>
      </c>
      <c r="AA45" s="27">
        <f>IFERROR(AA44/W44-1,"")</f>
        <v/>
      </c>
      <c r="AB45" s="27">
        <f>IFERROR(AB44/X44-1,"")</f>
        <v/>
      </c>
      <c r="AC45" s="27">
        <f>IFERROR(AC44/Y44-1,"")</f>
        <v/>
      </c>
    </row>
    <row r="46">
      <c r="A46" s="4" t="inlineStr">
        <is>
          <t xml:space="preserve">    % of revenue</t>
        </is>
      </c>
      <c r="B46" s="27">
        <f>IFERROR(B44/B3,"")</f>
        <v/>
      </c>
      <c r="C46" s="27">
        <f>IFERROR(C44/C3,"")</f>
        <v/>
      </c>
      <c r="D46" s="27">
        <f>IFERROR(D44/D3,"")</f>
        <v/>
      </c>
      <c r="E46" s="27">
        <f>IFERROR(E44/E3,"")</f>
        <v/>
      </c>
      <c r="F46" s="27">
        <f>IFERROR(F44/F3,"")</f>
        <v/>
      </c>
      <c r="G46" s="27">
        <f>IFERROR(G44/G3,"")</f>
        <v/>
      </c>
      <c r="H46" s="27">
        <f>IFERROR(H44/H3,"")</f>
        <v/>
      </c>
      <c r="I46" s="27">
        <f>IFERROR(I44/I3,"")</f>
        <v/>
      </c>
      <c r="J46" s="27">
        <f>IFERROR(J44/J3,"")</f>
        <v/>
      </c>
      <c r="K46" s="27">
        <f>IFERROR(K44/K3,"")</f>
        <v/>
      </c>
      <c r="L46" s="27">
        <f>IFERROR(L44/L3,"")</f>
        <v/>
      </c>
      <c r="M46" s="27">
        <f>IFERROR(M44/M3,"")</f>
        <v/>
      </c>
      <c r="N46" s="27">
        <f>IFERROR(N44/N3,"")</f>
        <v/>
      </c>
      <c r="O46" s="27">
        <f>IFERROR(O44/O3,"")</f>
        <v/>
      </c>
      <c r="P46" s="27">
        <f>IFERROR(P44/P3,"")</f>
        <v/>
      </c>
      <c r="Q46" s="27">
        <f>IFERROR(Q44/Q3,"")</f>
        <v/>
      </c>
      <c r="R46" s="27">
        <f>IFERROR(R44/R3,"")</f>
        <v/>
      </c>
      <c r="S46" s="27">
        <f>IFERROR(S44/S3,"")</f>
        <v/>
      </c>
      <c r="T46" s="27">
        <f>IFERROR(T44/T3,"")</f>
        <v/>
      </c>
      <c r="U46" s="27">
        <f>IFERROR(U44/U3,"")</f>
        <v/>
      </c>
      <c r="V46" s="27">
        <f>IFERROR(V44/V3,"")</f>
        <v/>
      </c>
      <c r="W46" s="27">
        <f>IFERROR(W44/W3,"")</f>
        <v/>
      </c>
      <c r="X46" s="27">
        <f>IFERROR(X44/X3,"")</f>
        <v/>
      </c>
      <c r="Y46" s="27">
        <f>IFERROR(Y44/Y3,"")</f>
        <v/>
      </c>
      <c r="Z46" s="27">
        <f>IFERROR(Z44/Z3,"")</f>
        <v/>
      </c>
      <c r="AA46" s="27">
        <f>IFERROR(AA44/AA3,"")</f>
        <v/>
      </c>
      <c r="AB46" s="27">
        <f>IFERROR(AB44/AB3,"")</f>
        <v/>
      </c>
      <c r="AC46" s="27">
        <f>IFERROR(AC44/AC3,"")</f>
        <v/>
      </c>
    </row>
    <row r="47">
      <c r="A47" s="4" t="inlineStr">
        <is>
          <t>Amazon Web Services Segment</t>
        </is>
      </c>
      <c r="B47" s="18" t="n">
        <v>8381</v>
      </c>
      <c r="C47" s="18" t="n">
        <v>8995</v>
      </c>
      <c r="E47" s="18" t="n">
        <v>10219</v>
      </c>
      <c r="F47" s="18" t="n">
        <v>10808</v>
      </c>
      <c r="G47" s="18" t="n">
        <v>11601</v>
      </c>
      <c r="I47" s="18" t="n">
        <v>13503</v>
      </c>
      <c r="J47" s="18" t="n">
        <v>14809</v>
      </c>
      <c r="K47" s="18" t="n">
        <v>16110</v>
      </c>
      <c r="M47" s="18" t="n">
        <v>18441</v>
      </c>
      <c r="N47" s="18" t="n">
        <v>19739</v>
      </c>
      <c r="O47" s="18" t="n">
        <v>20538</v>
      </c>
      <c r="Q47" s="18" t="n">
        <v>21354</v>
      </c>
      <c r="R47" s="18" t="n">
        <v>22140</v>
      </c>
      <c r="S47" s="18" t="n">
        <v>23059</v>
      </c>
      <c r="U47" s="18" t="n">
        <v>25037</v>
      </c>
      <c r="V47" s="18" t="n">
        <v>26281</v>
      </c>
      <c r="W47" s="18" t="n">
        <v>27452</v>
      </c>
      <c r="Y47" s="18" t="n">
        <v>29267</v>
      </c>
      <c r="Z47" s="18" t="n">
        <v>30873</v>
      </c>
      <c r="AA47" s="18" t="n">
        <v>33006</v>
      </c>
      <c r="AB47" s="18" t="n">
        <v>35579</v>
      </c>
      <c r="AC47" s="18" t="n">
        <v>37587</v>
      </c>
    </row>
    <row r="48">
      <c r="A48" s="4" t="inlineStr">
        <is>
          <t xml:space="preserve">    % YoY</t>
        </is>
      </c>
      <c r="F48" s="27">
        <f>IFERROR(F47/B47-1,"")</f>
        <v/>
      </c>
      <c r="G48" s="27">
        <f>IFERROR(G47/C47-1,"")</f>
        <v/>
      </c>
      <c r="H48" s="27">
        <f>IFERROR(H47/D47-1,"")</f>
        <v/>
      </c>
      <c r="I48" s="27">
        <f>IFERROR(I47/E47-1,"")</f>
        <v/>
      </c>
      <c r="J48" s="27">
        <f>IFERROR(J47/F47-1,"")</f>
        <v/>
      </c>
      <c r="K48" s="27">
        <f>IFERROR(K47/G47-1,"")</f>
        <v/>
      </c>
      <c r="L48" s="27">
        <f>IFERROR(L47/H47-1,"")</f>
        <v/>
      </c>
      <c r="M48" s="27">
        <f>IFERROR(M47/I47-1,"")</f>
        <v/>
      </c>
      <c r="N48" s="27">
        <f>IFERROR(N47/J47-1,"")</f>
        <v/>
      </c>
      <c r="O48" s="27">
        <f>IFERROR(O47/K47-1,"")</f>
        <v/>
      </c>
      <c r="P48" s="27">
        <f>IFERROR(P47/L47-1,"")</f>
        <v/>
      </c>
      <c r="Q48" s="27">
        <f>IFERROR(Q47/M47-1,"")</f>
        <v/>
      </c>
      <c r="R48" s="27">
        <f>IFERROR(R47/N47-1,"")</f>
        <v/>
      </c>
      <c r="S48" s="27">
        <f>IFERROR(S47/O47-1,"")</f>
        <v/>
      </c>
      <c r="T48" s="27">
        <f>IFERROR(T47/P47-1,"")</f>
        <v/>
      </c>
      <c r="U48" s="27">
        <f>IFERROR(U47/Q47-1,"")</f>
        <v/>
      </c>
      <c r="V48" s="27">
        <f>IFERROR(V47/R47-1,"")</f>
        <v/>
      </c>
      <c r="W48" s="27">
        <f>IFERROR(W47/S47-1,"")</f>
        <v/>
      </c>
      <c r="X48" s="27">
        <f>IFERROR(X47/T47-1,"")</f>
        <v/>
      </c>
      <c r="Y48" s="27">
        <f>IFERROR(Y47/U47-1,"")</f>
        <v/>
      </c>
      <c r="Z48" s="27">
        <f>IFERROR(Z47/V47-1,"")</f>
        <v/>
      </c>
      <c r="AA48" s="27">
        <f>IFERROR(AA47/W47-1,"")</f>
        <v/>
      </c>
      <c r="AB48" s="27">
        <f>IFERROR(AB47/X47-1,"")</f>
        <v/>
      </c>
      <c r="AC48" s="27">
        <f>IFERROR(AC47/Y47-1,"")</f>
        <v/>
      </c>
    </row>
    <row r="49">
      <c r="A49" s="4" t="inlineStr">
        <is>
          <t xml:space="preserve">    % of revenue</t>
        </is>
      </c>
      <c r="B49" s="27">
        <f>IFERROR(B47/B3,"")</f>
        <v/>
      </c>
      <c r="C49" s="27">
        <f>IFERROR(C47/C3,"")</f>
        <v/>
      </c>
      <c r="D49" s="27">
        <f>IFERROR(D47/D3,"")</f>
        <v/>
      </c>
      <c r="E49" s="27">
        <f>IFERROR(E47/E3,"")</f>
        <v/>
      </c>
      <c r="F49" s="27">
        <f>IFERROR(F47/F3,"")</f>
        <v/>
      </c>
      <c r="G49" s="27">
        <f>IFERROR(G47/G3,"")</f>
        <v/>
      </c>
      <c r="H49" s="27">
        <f>IFERROR(H47/H3,"")</f>
        <v/>
      </c>
      <c r="I49" s="27">
        <f>IFERROR(I47/I3,"")</f>
        <v/>
      </c>
      <c r="J49" s="27">
        <f>IFERROR(J47/J3,"")</f>
        <v/>
      </c>
      <c r="K49" s="27">
        <f>IFERROR(K47/K3,"")</f>
        <v/>
      </c>
      <c r="L49" s="27">
        <f>IFERROR(L47/L3,"")</f>
        <v/>
      </c>
      <c r="M49" s="27">
        <f>IFERROR(M47/M3,"")</f>
        <v/>
      </c>
      <c r="N49" s="27">
        <f>IFERROR(N47/N3,"")</f>
        <v/>
      </c>
      <c r="O49" s="27">
        <f>IFERROR(O47/O3,"")</f>
        <v/>
      </c>
      <c r="P49" s="27">
        <f>IFERROR(P47/P3,"")</f>
        <v/>
      </c>
      <c r="Q49" s="27">
        <f>IFERROR(Q47/Q3,"")</f>
        <v/>
      </c>
      <c r="R49" s="27">
        <f>IFERROR(R47/R3,"")</f>
        <v/>
      </c>
      <c r="S49" s="27">
        <f>IFERROR(S47/S3,"")</f>
        <v/>
      </c>
      <c r="T49" s="27">
        <f>IFERROR(T47/T3,"")</f>
        <v/>
      </c>
      <c r="U49" s="27">
        <f>IFERROR(U47/U3,"")</f>
        <v/>
      </c>
      <c r="V49" s="27">
        <f>IFERROR(V47/V3,"")</f>
        <v/>
      </c>
      <c r="W49" s="27">
        <f>IFERROR(W47/W3,"")</f>
        <v/>
      </c>
      <c r="X49" s="27">
        <f>IFERROR(X47/X3,"")</f>
        <v/>
      </c>
      <c r="Y49" s="27">
        <f>IFERROR(Y47/Y3,"")</f>
        <v/>
      </c>
      <c r="Z49" s="27">
        <f>IFERROR(Z47/Z3,"")</f>
        <v/>
      </c>
      <c r="AA49" s="27">
        <f>IFERROR(AA47/AA3,"")</f>
        <v/>
      </c>
      <c r="AB49" s="27">
        <f>IFERROR(AB47/AB3,"")</f>
        <v/>
      </c>
      <c r="AC49" s="27">
        <f>IFERROR(AC47/AC3,"")</f>
        <v/>
      </c>
    </row>
    <row r="50">
      <c r="A50" s="5" t="inlineStr">
        <is>
          <t xml:space="preserve">  BALANCE SHEET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</row>
    <row r="51">
      <c r="A51" s="4" t="inlineStr">
        <is>
          <t>Cash &amp; ST Investments</t>
        </is>
      </c>
      <c r="B51" s="18" t="n">
        <v>41463</v>
      </c>
      <c r="C51" s="18" t="n">
        <v>43401</v>
      </c>
      <c r="D51" s="18" t="n">
        <v>55021</v>
      </c>
      <c r="E51" s="18" t="n">
        <v>49292</v>
      </c>
      <c r="F51" s="18" t="n">
        <v>71391</v>
      </c>
      <c r="G51" s="18" t="n">
        <v>68402</v>
      </c>
      <c r="H51" s="18" t="n">
        <v>84396</v>
      </c>
      <c r="I51" s="18" t="n">
        <v>73270</v>
      </c>
      <c r="J51" s="18" t="n">
        <v>89894</v>
      </c>
      <c r="K51" s="18" t="n">
        <v>78988</v>
      </c>
      <c r="L51" s="18" t="n">
        <v>96049</v>
      </c>
      <c r="M51" s="18" t="n">
        <v>66385</v>
      </c>
      <c r="N51" s="18" t="n">
        <v>60710</v>
      </c>
      <c r="O51" s="18" t="n">
        <v>58662</v>
      </c>
      <c r="P51" s="18" t="n">
        <v>70026</v>
      </c>
      <c r="Q51" s="18" t="n">
        <v>64405</v>
      </c>
      <c r="R51" s="18" t="n">
        <v>63970</v>
      </c>
      <c r="S51" s="18" t="n">
        <v>64169</v>
      </c>
      <c r="T51" s="18" t="n">
        <v>86780</v>
      </c>
      <c r="U51" s="18" t="n">
        <v>85074</v>
      </c>
      <c r="V51" s="18" t="n">
        <v>89092</v>
      </c>
      <c r="W51" s="18" t="n">
        <v>88051</v>
      </c>
      <c r="X51" s="18" t="n">
        <v>101202</v>
      </c>
      <c r="Y51" s="18" t="n">
        <v>94565</v>
      </c>
      <c r="Z51" s="18" t="n">
        <v>93180</v>
      </c>
      <c r="AA51" s="18" t="n">
        <v>94197</v>
      </c>
      <c r="AB51" s="18" t="n">
        <v>123029</v>
      </c>
      <c r="AC51" s="18" t="n">
        <v>143089</v>
      </c>
    </row>
    <row r="52">
      <c r="A52" s="4" t="inlineStr">
        <is>
          <t>Total Current Assets</t>
        </is>
      </c>
      <c r="B52" s="18" t="n">
        <v>76790</v>
      </c>
      <c r="C52" s="18" t="n">
        <v>79054</v>
      </c>
      <c r="D52" s="18" t="n">
        <v>96334</v>
      </c>
      <c r="E52" s="18" t="n">
        <v>85985</v>
      </c>
      <c r="F52" s="18" t="n">
        <v>110908</v>
      </c>
      <c r="G52" s="18" t="n">
        <v>112969</v>
      </c>
      <c r="H52" s="18" t="n">
        <v>132733</v>
      </c>
      <c r="I52" s="18" t="n">
        <v>121408</v>
      </c>
      <c r="J52" s="18" t="n">
        <v>140848</v>
      </c>
      <c r="K52" s="18" t="n">
        <v>138531</v>
      </c>
      <c r="L52" s="18" t="n">
        <v>161580</v>
      </c>
      <c r="M52" s="18" t="n">
        <v>133876</v>
      </c>
      <c r="N52" s="18" t="n">
        <v>133667</v>
      </c>
      <c r="O52" s="18" t="n">
        <v>131463</v>
      </c>
      <c r="P52" s="18" t="n">
        <v>146791</v>
      </c>
      <c r="Q52" s="18" t="n">
        <v>136221</v>
      </c>
      <c r="R52" s="18" t="n">
        <v>140482</v>
      </c>
      <c r="S52" s="18" t="n">
        <v>142995</v>
      </c>
      <c r="T52" s="18" t="n">
        <v>172351</v>
      </c>
      <c r="U52" s="18" t="n">
        <v>163989</v>
      </c>
      <c r="V52" s="18" t="n">
        <v>173307</v>
      </c>
      <c r="W52" s="18" t="n">
        <v>175792</v>
      </c>
      <c r="X52" s="18" t="n">
        <v>190867</v>
      </c>
      <c r="Y52" s="18" t="n">
        <v>184645</v>
      </c>
      <c r="Z52" s="18" t="n">
        <v>191420</v>
      </c>
      <c r="AA52" s="18" t="n">
        <v>196866</v>
      </c>
      <c r="AB52" s="18" t="n">
        <v>229083</v>
      </c>
      <c r="AC52" s="18" t="n">
        <v>255155</v>
      </c>
    </row>
    <row r="53">
      <c r="A53" s="4" t="inlineStr">
        <is>
          <t>PP&amp;E (net)</t>
        </is>
      </c>
      <c r="B53" s="18" t="n">
        <v>86372</v>
      </c>
      <c r="C53" s="18" t="n">
        <v>90776</v>
      </c>
      <c r="D53" s="18" t="n">
        <v>97846</v>
      </c>
      <c r="E53" s="18" t="n">
        <v>104058</v>
      </c>
      <c r="F53" s="18" t="n">
        <v>115054</v>
      </c>
      <c r="G53" s="18" t="n">
        <v>134100</v>
      </c>
      <c r="H53" s="18" t="n">
        <v>150667</v>
      </c>
      <c r="I53" s="18" t="n">
        <v>160789</v>
      </c>
      <c r="J53" s="18" t="n">
        <v>176848</v>
      </c>
      <c r="K53" s="18" t="n">
        <v>199303</v>
      </c>
      <c r="L53" s="18" t="n">
        <v>216363</v>
      </c>
      <c r="M53" s="18" t="n">
        <v>224629</v>
      </c>
      <c r="N53" s="18" t="n">
        <v>232136</v>
      </c>
      <c r="O53" s="18" t="n">
        <v>239228</v>
      </c>
      <c r="P53" s="18" t="n">
        <v>252838</v>
      </c>
      <c r="Q53" s="18" t="n">
        <v>259016</v>
      </c>
      <c r="R53" s="18" t="n">
        <v>264116</v>
      </c>
      <c r="S53" s="18" t="n">
        <v>267226</v>
      </c>
      <c r="T53" s="18" t="n">
        <v>276690</v>
      </c>
      <c r="U53" s="18" t="n">
        <v>283263</v>
      </c>
      <c r="V53" s="18" t="n">
        <v>295292</v>
      </c>
      <c r="W53" s="18" t="n">
        <v>314444</v>
      </c>
      <c r="X53" s="18" t="n">
        <v>328806</v>
      </c>
      <c r="Y53" s="18" t="n">
        <v>351276</v>
      </c>
      <c r="Z53" s="18" t="n">
        <v>379741</v>
      </c>
      <c r="AA53" s="18" t="n">
        <v>407891</v>
      </c>
      <c r="AB53" s="18" t="n">
        <v>443079</v>
      </c>
      <c r="AC53" s="18" t="n">
        <v>486199</v>
      </c>
    </row>
    <row r="54">
      <c r="A54" s="4" t="inlineStr">
        <is>
          <t>Total Assets</t>
        </is>
      </c>
      <c r="B54" s="18" t="n">
        <v>191351</v>
      </c>
      <c r="C54" s="18" t="n">
        <v>199099</v>
      </c>
      <c r="D54" s="18" t="n">
        <v>225248</v>
      </c>
      <c r="E54" s="18" t="n">
        <v>221238</v>
      </c>
      <c r="F54" s="18" t="n">
        <v>258314</v>
      </c>
      <c r="G54" s="18" t="n">
        <v>282179</v>
      </c>
      <c r="H54" s="18" t="n">
        <v>321195</v>
      </c>
      <c r="I54" s="18" t="n">
        <v>323077</v>
      </c>
      <c r="J54" s="18" t="n">
        <v>360319</v>
      </c>
      <c r="K54" s="18" t="n">
        <v>382406</v>
      </c>
      <c r="L54" s="18" t="n">
        <v>420549</v>
      </c>
      <c r="M54" s="18" t="n">
        <v>410767</v>
      </c>
      <c r="N54" s="18" t="n">
        <v>419728</v>
      </c>
      <c r="O54" s="18" t="n">
        <v>428362</v>
      </c>
      <c r="P54" s="18" t="n">
        <v>462675</v>
      </c>
      <c r="Q54" s="18" t="n">
        <v>464378</v>
      </c>
      <c r="R54" s="18" t="n">
        <v>477607</v>
      </c>
      <c r="S54" s="18" t="n">
        <v>486883</v>
      </c>
      <c r="T54" s="18" t="n">
        <v>527854</v>
      </c>
      <c r="U54" s="18" t="n">
        <v>530969</v>
      </c>
      <c r="V54" s="18" t="n">
        <v>554818</v>
      </c>
      <c r="W54" s="18" t="n">
        <v>584626</v>
      </c>
      <c r="X54" s="18" t="n">
        <v>624894</v>
      </c>
      <c r="Y54" s="18" t="n">
        <v>643256</v>
      </c>
      <c r="Z54" s="18" t="n">
        <v>682170</v>
      </c>
      <c r="AA54" s="18" t="n">
        <v>727921</v>
      </c>
      <c r="AB54" s="18" t="n">
        <v>818042</v>
      </c>
      <c r="AC54" s="18" t="n">
        <v>916630</v>
      </c>
    </row>
    <row r="55">
      <c r="A55" s="4" t="inlineStr">
        <is>
          <t>Total Current Liabilities</t>
        </is>
      </c>
      <c r="B55" s="18" t="n">
        <v>69678</v>
      </c>
      <c r="C55" s="18" t="n">
        <v>72136</v>
      </c>
      <c r="D55" s="18" t="n">
        <v>87812</v>
      </c>
      <c r="E55" s="18" t="n">
        <v>79711</v>
      </c>
      <c r="F55" s="18" t="n">
        <v>93896</v>
      </c>
      <c r="G55" s="18" t="n">
        <v>101912</v>
      </c>
      <c r="H55" s="18" t="n">
        <v>126385</v>
      </c>
      <c r="I55" s="18" t="n">
        <v>115404</v>
      </c>
      <c r="J55" s="18" t="n">
        <v>117792</v>
      </c>
      <c r="K55" s="18" t="n">
        <v>123994</v>
      </c>
      <c r="L55" s="18" t="n">
        <v>142266</v>
      </c>
      <c r="M55" s="18" t="n">
        <v>139508</v>
      </c>
      <c r="N55" s="18" t="n">
        <v>140291</v>
      </c>
      <c r="O55" s="18" t="n">
        <v>140363</v>
      </c>
      <c r="P55" s="18" t="n">
        <v>155393</v>
      </c>
      <c r="Q55" s="18" t="n">
        <v>147570</v>
      </c>
      <c r="R55" s="18" t="n">
        <v>148238</v>
      </c>
      <c r="S55" s="18" t="n">
        <v>145214</v>
      </c>
      <c r="T55" s="18" t="n">
        <v>164917</v>
      </c>
      <c r="U55" s="18" t="n">
        <v>152965</v>
      </c>
      <c r="V55" s="18" t="n">
        <v>158172</v>
      </c>
      <c r="W55" s="18" t="n">
        <v>161477</v>
      </c>
      <c r="X55" s="18" t="n">
        <v>179431</v>
      </c>
      <c r="Y55" s="18" t="n">
        <v>176171</v>
      </c>
      <c r="Z55" s="18" t="n">
        <v>186921</v>
      </c>
      <c r="AA55" s="18" t="n">
        <v>195196</v>
      </c>
      <c r="AB55" s="18" t="n">
        <v>218005</v>
      </c>
      <c r="AC55" s="18" t="n">
        <v>216756</v>
      </c>
    </row>
    <row r="56">
      <c r="A56" s="4" t="inlineStr">
        <is>
          <t>Long-term Debt</t>
        </is>
      </c>
      <c r="B56" s="18" t="n">
        <v>23329</v>
      </c>
      <c r="C56" s="18" t="n">
        <v>22472</v>
      </c>
      <c r="D56" s="18" t="n">
        <v>23414</v>
      </c>
      <c r="E56" s="18" t="n">
        <v>23437</v>
      </c>
      <c r="F56" s="18" t="n">
        <v>33128</v>
      </c>
      <c r="G56" s="18" t="n">
        <v>32929</v>
      </c>
      <c r="H56" s="18" t="n">
        <v>31816</v>
      </c>
      <c r="I56" s="18" t="n">
        <v>31868</v>
      </c>
      <c r="J56" s="18" t="n">
        <v>50279</v>
      </c>
      <c r="K56" s="18" t="n">
        <v>50055</v>
      </c>
      <c r="L56" s="18" t="n">
        <v>48744</v>
      </c>
      <c r="M56" s="18" t="n">
        <v>47556</v>
      </c>
      <c r="N56" s="18" t="n">
        <v>58053</v>
      </c>
      <c r="O56" s="18" t="n">
        <v>58919</v>
      </c>
      <c r="P56" s="18" t="n">
        <v>67150</v>
      </c>
      <c r="Q56" s="18" t="n">
        <v>67084</v>
      </c>
      <c r="R56" s="18" t="n">
        <v>63092</v>
      </c>
      <c r="S56" s="18" t="n">
        <v>61098</v>
      </c>
      <c r="T56" s="18" t="n">
        <v>58314</v>
      </c>
      <c r="U56" s="18" t="n">
        <v>57634</v>
      </c>
      <c r="V56" s="18" t="n">
        <v>54889</v>
      </c>
      <c r="W56" s="18" t="n">
        <v>54890</v>
      </c>
      <c r="X56" s="18" t="n">
        <v>52623</v>
      </c>
      <c r="Y56" s="18" t="n">
        <v>53374</v>
      </c>
      <c r="Z56" s="18" t="n">
        <v>50718</v>
      </c>
      <c r="AA56" s="18" t="n">
        <v>50742</v>
      </c>
      <c r="AB56" s="18" t="n">
        <v>65648</v>
      </c>
      <c r="AC56" s="18" t="n">
        <v>119074</v>
      </c>
    </row>
    <row r="57">
      <c r="A57" s="4" t="inlineStr">
        <is>
          <t>Total Equity</t>
        </is>
      </c>
      <c r="B57" s="18" t="n">
        <v>53061</v>
      </c>
      <c r="C57" s="18" t="n">
        <v>56508</v>
      </c>
      <c r="D57" s="18" t="n">
        <v>62060</v>
      </c>
      <c r="E57" s="18" t="n">
        <v>65272</v>
      </c>
      <c r="F57" s="18" t="n">
        <v>73728</v>
      </c>
      <c r="G57" s="18" t="n">
        <v>82775</v>
      </c>
      <c r="H57" s="18" t="n">
        <v>93404</v>
      </c>
      <c r="I57" s="18" t="n">
        <v>103320</v>
      </c>
      <c r="J57" s="18" t="n">
        <v>114803</v>
      </c>
      <c r="K57" s="18" t="n">
        <v>120564</v>
      </c>
      <c r="L57" s="18" t="n">
        <v>138245</v>
      </c>
      <c r="M57" s="18" t="n">
        <v>134001</v>
      </c>
      <c r="N57" s="18" t="n">
        <v>131402</v>
      </c>
      <c r="O57" s="18" t="n">
        <v>137489</v>
      </c>
      <c r="P57" s="18" t="n">
        <v>146043</v>
      </c>
      <c r="Q57" s="18" t="n">
        <v>154526</v>
      </c>
      <c r="R57" s="18" t="n">
        <v>168602</v>
      </c>
      <c r="S57" s="18" t="n">
        <v>182973</v>
      </c>
      <c r="T57" s="18" t="n">
        <v>201875</v>
      </c>
      <c r="U57" s="18" t="n">
        <v>216661</v>
      </c>
      <c r="V57" s="18" t="n">
        <v>236447</v>
      </c>
      <c r="W57" s="18" t="n">
        <v>259151</v>
      </c>
      <c r="X57" s="18" t="n">
        <v>285970</v>
      </c>
      <c r="Y57" s="18" t="n">
        <v>305867</v>
      </c>
      <c r="Z57" s="18" t="n">
        <v>333775</v>
      </c>
      <c r="AA57" s="18" t="n">
        <v>369631</v>
      </c>
      <c r="AB57" s="18" t="n">
        <v>411065</v>
      </c>
      <c r="AC57" s="18" t="n">
        <v>441914</v>
      </c>
    </row>
    <row r="58">
      <c r="A58" s="5" t="inlineStr">
        <is>
          <t xml:space="preserve">  CASH FLOW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</row>
    <row r="59">
      <c r="A59" s="4" t="inlineStr">
        <is>
          <t>D&amp;A</t>
        </is>
      </c>
      <c r="B59" s="18" t="n">
        <v>5202</v>
      </c>
      <c r="C59" s="18" t="n">
        <v>5563</v>
      </c>
      <c r="D59" s="18" t="n">
        <v>6170</v>
      </c>
      <c r="E59" s="18" t="n">
        <v>5362</v>
      </c>
      <c r="F59" s="18" t="n">
        <v>5748</v>
      </c>
      <c r="G59" s="18" t="n">
        <v>6523</v>
      </c>
      <c r="H59" s="18" t="n">
        <v>7618</v>
      </c>
      <c r="I59" s="18" t="n">
        <v>7508</v>
      </c>
      <c r="J59" s="18" t="n">
        <v>8038</v>
      </c>
      <c r="K59" s="18" t="n">
        <v>8948</v>
      </c>
      <c r="L59" s="18" t="n">
        <v>9802</v>
      </c>
      <c r="M59" s="18" t="n">
        <v>8978</v>
      </c>
      <c r="N59" s="18" t="n">
        <v>9594</v>
      </c>
      <c r="O59" s="18" t="n">
        <v>10204</v>
      </c>
      <c r="P59" s="18" t="n">
        <v>12685</v>
      </c>
      <c r="Q59" s="18" t="n">
        <v>11123</v>
      </c>
      <c r="R59" s="18" t="n">
        <v>11589</v>
      </c>
      <c r="S59" s="18" t="n">
        <v>12131</v>
      </c>
      <c r="T59" s="18" t="n">
        <v>13820</v>
      </c>
      <c r="U59" s="18" t="n">
        <v>11684</v>
      </c>
      <c r="V59" s="18" t="n">
        <v>12038</v>
      </c>
      <c r="W59" s="18" t="n">
        <v>13442</v>
      </c>
      <c r="X59" s="18" t="n">
        <v>15631</v>
      </c>
      <c r="Y59" s="18" t="n">
        <v>14262</v>
      </c>
      <c r="Z59" s="18" t="n">
        <v>15227</v>
      </c>
      <c r="AA59" s="18" t="n">
        <v>16796</v>
      </c>
      <c r="AB59" s="18" t="n">
        <v>19471</v>
      </c>
      <c r="AC59" s="18" t="n">
        <v>18945</v>
      </c>
    </row>
    <row r="60">
      <c r="A60" s="4" t="inlineStr">
        <is>
          <t>Stock-based Compensation</t>
        </is>
      </c>
      <c r="B60" s="18" t="n">
        <v>1971</v>
      </c>
      <c r="C60" s="18" t="n">
        <v>1779</v>
      </c>
      <c r="D60" s="18" t="n">
        <v>1840</v>
      </c>
      <c r="E60" s="18" t="n">
        <v>1757</v>
      </c>
      <c r="F60" s="18" t="n">
        <v>2601</v>
      </c>
      <c r="G60" s="18" t="n">
        <v>2288</v>
      </c>
      <c r="H60" s="18" t="n">
        <v>2562</v>
      </c>
      <c r="I60" s="18" t="n">
        <v>2306</v>
      </c>
      <c r="J60" s="18" t="n">
        <v>3591</v>
      </c>
      <c r="K60" s="18" t="n">
        <v>3180</v>
      </c>
      <c r="L60" s="18" t="n">
        <v>3680</v>
      </c>
      <c r="M60" s="18" t="n">
        <v>3250</v>
      </c>
      <c r="N60" s="18" t="n">
        <v>5209</v>
      </c>
      <c r="O60" s="18" t="n">
        <v>5556</v>
      </c>
      <c r="P60" s="18" t="n">
        <v>5606</v>
      </c>
      <c r="Q60" s="18" t="n">
        <v>4748</v>
      </c>
      <c r="R60" s="18" t="n">
        <v>7127</v>
      </c>
      <c r="S60" s="18" t="n">
        <v>5829</v>
      </c>
      <c r="T60" s="18" t="n">
        <v>6319</v>
      </c>
      <c r="U60" s="18" t="n">
        <v>4961</v>
      </c>
      <c r="V60" s="18" t="n">
        <v>6722</v>
      </c>
      <c r="W60" s="18" t="n">
        <v>5333</v>
      </c>
      <c r="X60" s="18" t="n">
        <v>4995</v>
      </c>
      <c r="Y60" s="18" t="n">
        <v>3689</v>
      </c>
      <c r="Z60" s="18" t="n">
        <v>6534</v>
      </c>
      <c r="AA60" s="18" t="n">
        <v>4847</v>
      </c>
      <c r="AB60" s="18" t="n">
        <v>4397</v>
      </c>
      <c r="AC60" s="18" t="n">
        <v>4032</v>
      </c>
    </row>
    <row r="61">
      <c r="A61" s="4" t="inlineStr">
        <is>
          <t>Change in Working Capital</t>
        </is>
      </c>
      <c r="B61" s="18" t="n">
        <v>-858</v>
      </c>
      <c r="C61" s="18" t="n">
        <v>-2111</v>
      </c>
      <c r="D61" s="18" t="n">
        <v>8642</v>
      </c>
      <c r="E61" s="18" t="n">
        <v>-7544</v>
      </c>
      <c r="F61" s="18" t="n">
        <v>7036</v>
      </c>
      <c r="G61" s="18" t="n">
        <v>-2489</v>
      </c>
      <c r="H61" s="18" t="n">
        <v>16479</v>
      </c>
      <c r="I61" s="18" t="n">
        <v>-13985</v>
      </c>
      <c r="J61" s="18" t="n">
        <v>-6153</v>
      </c>
      <c r="K61" s="18" t="n">
        <v>-9244</v>
      </c>
      <c r="L61" s="18" t="n">
        <v>9771</v>
      </c>
      <c r="M61" s="18" t="n">
        <v>-18077</v>
      </c>
      <c r="N61" s="18" t="n">
        <v>-8081</v>
      </c>
      <c r="O61" s="18" t="n">
        <v>-5254</v>
      </c>
      <c r="P61" s="18" t="n">
        <v>10526</v>
      </c>
      <c r="Q61" s="18" t="n">
        <v>-14317</v>
      </c>
      <c r="R61" s="18" t="n">
        <v>-6293</v>
      </c>
      <c r="S61" s="18" t="n">
        <v>-4436</v>
      </c>
      <c r="T61" s="18" t="n">
        <v>13505</v>
      </c>
      <c r="U61" s="18" t="n">
        <v>-9883</v>
      </c>
      <c r="V61" s="18" t="n">
        <v>-6084</v>
      </c>
      <c r="W61" s="18" t="n">
        <v>-6674</v>
      </c>
      <c r="X61" s="18" t="n">
        <v>7100</v>
      </c>
      <c r="Y61" s="18" t="n">
        <v>-15753</v>
      </c>
      <c r="Z61" s="18" t="n">
        <v>-6163</v>
      </c>
      <c r="AA61" s="18" t="n">
        <v>-7323</v>
      </c>
      <c r="AB61" s="18" t="n">
        <v>9270</v>
      </c>
      <c r="AC61" s="18" t="n">
        <v>-12865</v>
      </c>
    </row>
    <row r="62">
      <c r="A62" s="4" t="inlineStr">
        <is>
          <t>Operating Cash Flow</t>
        </is>
      </c>
      <c r="B62" s="18" t="n">
        <v>9118</v>
      </c>
      <c r="C62" s="18" t="n">
        <v>7892</v>
      </c>
      <c r="D62" s="18" t="n">
        <v>19659</v>
      </c>
      <c r="E62" s="18" t="n">
        <v>3064</v>
      </c>
      <c r="F62" s="18" t="n">
        <v>20606</v>
      </c>
      <c r="G62" s="18" t="n">
        <v>11964</v>
      </c>
      <c r="H62" s="18" t="n">
        <v>30431</v>
      </c>
      <c r="I62" s="18" t="n">
        <v>4213</v>
      </c>
      <c r="J62" s="18" t="n">
        <v>12715</v>
      </c>
      <c r="K62" s="18" t="n">
        <v>7313</v>
      </c>
      <c r="L62" s="18" t="n">
        <v>22086</v>
      </c>
      <c r="M62" s="18" t="n">
        <v>-2790</v>
      </c>
      <c r="N62" s="18" t="n">
        <v>8965</v>
      </c>
      <c r="O62" s="18" t="n">
        <v>11404</v>
      </c>
      <c r="P62" s="18" t="n">
        <v>29173</v>
      </c>
      <c r="Q62" s="18" t="n">
        <v>4788</v>
      </c>
      <c r="R62" s="18" t="n">
        <v>16476</v>
      </c>
      <c r="S62" s="18" t="n">
        <v>21217</v>
      </c>
      <c r="T62" s="18" t="n">
        <v>42465</v>
      </c>
      <c r="U62" s="18" t="n">
        <v>18989</v>
      </c>
      <c r="V62" s="18" t="n">
        <v>25281</v>
      </c>
      <c r="W62" s="18" t="n">
        <v>25971</v>
      </c>
      <c r="X62" s="18" t="n">
        <v>45636</v>
      </c>
      <c r="Y62" s="18" t="n">
        <v>17015</v>
      </c>
      <c r="Z62" s="18" t="n">
        <v>32515</v>
      </c>
      <c r="AA62" s="18" t="n">
        <v>35525</v>
      </c>
      <c r="AB62" s="18" t="n">
        <v>54459</v>
      </c>
      <c r="AC62" s="18" t="n">
        <v>26032</v>
      </c>
    </row>
    <row r="63">
      <c r="A63" s="4" t="inlineStr">
        <is>
          <t>Capex</t>
        </is>
      </c>
      <c r="B63" s="18" t="n">
        <v>-3562</v>
      </c>
      <c r="C63" s="18" t="n">
        <v>-4697</v>
      </c>
      <c r="D63" s="18" t="n">
        <v>-5312</v>
      </c>
      <c r="E63" s="18" t="n">
        <v>-6795</v>
      </c>
      <c r="F63" s="18" t="n">
        <v>-7459</v>
      </c>
      <c r="G63" s="18" t="n">
        <v>-11063</v>
      </c>
      <c r="H63" s="18" t="n">
        <v>-14823</v>
      </c>
      <c r="I63" s="18" t="n">
        <v>-12082</v>
      </c>
      <c r="J63" s="18" t="n">
        <v>-14288</v>
      </c>
      <c r="K63" s="18" t="n">
        <v>-15748</v>
      </c>
      <c r="L63" s="18" t="n">
        <v>-18935</v>
      </c>
      <c r="M63" s="18" t="n">
        <v>-14951</v>
      </c>
      <c r="N63" s="18" t="n">
        <v>-15724</v>
      </c>
      <c r="O63" s="18" t="n">
        <v>-16378</v>
      </c>
      <c r="P63" s="18" t="n">
        <v>-16592</v>
      </c>
      <c r="Q63" s="18" t="n">
        <v>-14207</v>
      </c>
      <c r="R63" s="18" t="n">
        <v>-11455</v>
      </c>
      <c r="S63" s="18" t="n">
        <v>-12479</v>
      </c>
      <c r="T63" s="18" t="n">
        <v>-14588</v>
      </c>
      <c r="U63" s="18" t="n">
        <v>-14925</v>
      </c>
      <c r="V63" s="18" t="n">
        <v>-17620</v>
      </c>
      <c r="W63" s="18" t="n">
        <v>-22620</v>
      </c>
      <c r="X63" s="18" t="n">
        <v>-27834</v>
      </c>
      <c r="Y63" s="18" t="n">
        <v>-25019</v>
      </c>
      <c r="Z63" s="18" t="n">
        <v>-32183</v>
      </c>
      <c r="AA63" s="18" t="n">
        <v>-35095</v>
      </c>
      <c r="AB63" s="18" t="n">
        <v>-39522</v>
      </c>
      <c r="AC63" s="18" t="n">
        <v>-44203</v>
      </c>
    </row>
    <row r="64">
      <c r="A64" s="4" t="inlineStr">
        <is>
          <t>Free Cash Flow</t>
        </is>
      </c>
      <c r="B64" s="18" t="n">
        <v>5556</v>
      </c>
      <c r="C64" s="18" t="n">
        <v>3195</v>
      </c>
      <c r="D64" s="18" t="n">
        <v>14347</v>
      </c>
      <c r="E64" s="18" t="n">
        <v>-3731</v>
      </c>
      <c r="F64" s="18" t="n">
        <v>13147</v>
      </c>
      <c r="G64" s="18" t="n">
        <v>901</v>
      </c>
      <c r="H64" s="18" t="n">
        <v>15608</v>
      </c>
      <c r="I64" s="18" t="n">
        <v>-7869</v>
      </c>
      <c r="J64" s="18" t="n">
        <v>-1573</v>
      </c>
      <c r="K64" s="18" t="n">
        <v>-8435</v>
      </c>
      <c r="L64" s="18" t="n">
        <v>3151</v>
      </c>
      <c r="M64" s="18" t="n">
        <v>-17741</v>
      </c>
      <c r="N64" s="18" t="n">
        <v>-6759</v>
      </c>
      <c r="O64" s="18" t="n">
        <v>-4974</v>
      </c>
      <c r="P64" s="18" t="n">
        <v>12581</v>
      </c>
      <c r="Q64" s="18" t="n">
        <v>-9419</v>
      </c>
      <c r="R64" s="18" t="n">
        <v>5021</v>
      </c>
      <c r="S64" s="18" t="n">
        <v>8738</v>
      </c>
      <c r="T64" s="18" t="n">
        <v>27877</v>
      </c>
      <c r="U64" s="18" t="n">
        <v>4064</v>
      </c>
      <c r="V64" s="18" t="n">
        <v>7661</v>
      </c>
      <c r="W64" s="18" t="n">
        <v>3351</v>
      </c>
      <c r="X64" s="18" t="n">
        <v>17802</v>
      </c>
      <c r="Y64" s="18" t="n">
        <v>-8004</v>
      </c>
      <c r="Z64" s="18" t="n">
        <v>332</v>
      </c>
      <c r="AA64" s="18" t="n">
        <v>430</v>
      </c>
      <c r="AB64" s="18" t="n">
        <v>14937</v>
      </c>
      <c r="AC64" s="18" t="n">
        <v>-18171</v>
      </c>
    </row>
    <row r="66">
      <c r="A66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821989.5387790001</v>
      </c>
      <c r="C4" s="18" t="n">
        <v>928838.384159</v>
      </c>
      <c r="D4" s="18" t="n">
        <v>1062879.407191</v>
      </c>
      <c r="E4" s="18" t="n">
        <v>1185101.772925</v>
      </c>
      <c r="F4" s="18" t="n">
        <v>1339958.675</v>
      </c>
    </row>
    <row r="5">
      <c r="A5" s="4" t="inlineStr">
        <is>
          <t xml:space="preserve">  model</t>
        </is>
      </c>
      <c r="B5" s="28">
        <f>Model!G18</f>
        <v/>
      </c>
      <c r="C5" s="28">
        <f>Model!H18</f>
        <v/>
      </c>
      <c r="D5" s="28">
        <f>Model!I18</f>
        <v/>
      </c>
      <c r="E5" s="28">
        <f>Model!J18</f>
        <v/>
      </c>
      <c r="F5" s="28">
        <f>Model!K18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133689.287719</v>
      </c>
      <c r="C8" s="18" t="n">
        <v>151067.302108</v>
      </c>
      <c r="D8" s="18" t="n">
        <v>172867.882345</v>
      </c>
      <c r="E8" s="18" t="n">
        <v>192746.263087</v>
      </c>
      <c r="F8" s="18" t="n">
        <v>217932.360915</v>
      </c>
    </row>
    <row r="9">
      <c r="A9" s="4" t="inlineStr">
        <is>
          <t xml:space="preserve">  model</t>
        </is>
      </c>
      <c r="B9" s="28">
        <f>Model!G31+Model!G36</f>
        <v/>
      </c>
      <c r="C9" s="28">
        <f>Model!H31+Model!H36</f>
        <v/>
      </c>
      <c r="D9" s="28">
        <f>Model!I31+Model!I36</f>
        <v/>
      </c>
      <c r="E9" s="28">
        <f>Model!J31+Model!J36</f>
        <v/>
      </c>
      <c r="F9" s="28">
        <f>Model!K31+Model!K36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65630.327913</v>
      </c>
      <c r="C12" s="18" t="n">
        <v>74161.48850399999</v>
      </c>
      <c r="D12" s="18" t="n">
        <v>84863.76132000001</v>
      </c>
      <c r="E12" s="18" t="n">
        <v>94622.393958</v>
      </c>
      <c r="F12" s="18" t="n">
        <v>106986.674504</v>
      </c>
    </row>
    <row r="13">
      <c r="A13" s="4" t="inlineStr">
        <is>
          <t xml:space="preserve">  model</t>
        </is>
      </c>
      <c r="B13" s="28">
        <f>Model!G31</f>
        <v/>
      </c>
      <c r="C13" s="28">
        <f>Model!H31</f>
        <v/>
      </c>
      <c r="D13" s="28">
        <f>Model!I31</f>
        <v/>
      </c>
      <c r="E13" s="28">
        <f>Model!J31</f>
        <v/>
      </c>
      <c r="F13" s="28">
        <f>Model!K31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75471.41628999999</v>
      </c>
      <c r="C16" s="18" t="n">
        <v>85281.801106</v>
      </c>
      <c r="D16" s="18" t="n">
        <v>97588.85049300001</v>
      </c>
      <c r="E16" s="18" t="n">
        <v>108810.763436</v>
      </c>
      <c r="F16" s="18" t="n">
        <v>123029.034071</v>
      </c>
    </row>
    <row r="17">
      <c r="A17" s="4" t="inlineStr">
        <is>
          <t xml:space="preserve">  model</t>
        </is>
      </c>
      <c r="B17" s="28">
        <f>Model!G26</f>
        <v/>
      </c>
      <c r="C17" s="28">
        <f>Model!H26</f>
        <v/>
      </c>
      <c r="D17" s="28">
        <f>Model!I26</f>
        <v/>
      </c>
      <c r="E17" s="28">
        <f>Model!J26</f>
        <v/>
      </c>
      <c r="F17" s="28">
        <f>Model!K26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94390.10987</v>
      </c>
      <c r="C20" s="18" t="n">
        <v>108208.08306</v>
      </c>
      <c r="D20" s="18" t="n">
        <v>139279.27644</v>
      </c>
      <c r="E20" s="18" t="n">
        <v>164763.012345</v>
      </c>
      <c r="F20" s="18" t="n">
        <v>206919.452629</v>
      </c>
    </row>
    <row r="21">
      <c r="A21" s="4" t="inlineStr">
        <is>
          <t xml:space="preserve">  model</t>
        </is>
      </c>
      <c r="B21" s="28">
        <f>Model!G35</f>
        <v/>
      </c>
      <c r="C21" s="28">
        <f>Model!H35</f>
        <v/>
      </c>
      <c r="D21" s="28">
        <f>Model!I35</f>
        <v/>
      </c>
      <c r="E21" s="28">
        <f>Model!J35</f>
        <v/>
      </c>
      <c r="F21" s="28">
        <f>Model!K35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8.7165</v>
      </c>
      <c r="C24" s="38" t="n">
        <v>10.04592</v>
      </c>
      <c r="D24" s="38" t="n">
        <v>12.98028</v>
      </c>
      <c r="E24" s="38" t="n">
        <v>15.21779</v>
      </c>
      <c r="F24" s="38" t="n">
        <v>19.11143</v>
      </c>
    </row>
    <row r="25">
      <c r="A25" s="4" t="inlineStr">
        <is>
          <t xml:space="preserve">  model</t>
        </is>
      </c>
      <c r="B25" s="8">
        <f>Model!G35/Financials!AC17</f>
        <v/>
      </c>
      <c r="C25" s="8">
        <f>Model!H35/Financials!AC17</f>
        <v/>
      </c>
      <c r="D25" s="8">
        <f>Model!I35/Financials!AC17</f>
        <v/>
      </c>
      <c r="E25" s="8">
        <f>Model!J35/Financials!AC17</f>
        <v/>
      </c>
      <c r="F25" s="8">
        <f>Model!K35/Financials!AC17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Amazon.com,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Model!G43</f>
        <v/>
      </c>
      <c r="D12" s="28">
        <f>Model!H43</f>
        <v/>
      </c>
      <c r="E12" s="28">
        <f>Model!I43</f>
        <v/>
      </c>
      <c r="F12" s="28">
        <f>Model!J43</f>
        <v/>
      </c>
      <c r="G12" s="28">
        <f>Model!K43</f>
        <v/>
      </c>
      <c r="H12" s="28">
        <f>Model!L43</f>
        <v/>
      </c>
      <c r="I12" s="28">
        <f>Model!M43</f>
        <v/>
      </c>
      <c r="J12" s="28">
        <f>Model!N43</f>
        <v/>
      </c>
      <c r="K12" s="28">
        <f>Model!O43</f>
        <v/>
      </c>
      <c r="L12" s="28">
        <f>Model!P43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Model!P18</f>
        <v/>
      </c>
    </row>
    <row r="21">
      <c r="A21" s="4" t="inlineStr">
        <is>
          <t>Terminal EBIT</t>
        </is>
      </c>
      <c r="B21" s="28">
        <f>Model!P31</f>
        <v/>
      </c>
    </row>
    <row r="22">
      <c r="A22" s="4" t="inlineStr">
        <is>
          <t>Terminal EBITDA</t>
        </is>
      </c>
      <c r="B22" s="28">
        <f>Model!P31+Model!P36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Financials!AC51</f>
        <v/>
      </c>
    </row>
    <row r="33">
      <c r="A33" s="4" t="inlineStr">
        <is>
          <t>- Long-term debt</t>
        </is>
      </c>
      <c r="B33" s="28">
        <f>-Financials!AC56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Model!F18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Model!F32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0.09171962439533339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1.744446742502585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(Model!P18/Model!F18)^(1/10)-1</f>
        <v/>
      </c>
      <c r="D6" s="15" t="n">
        <v>0.012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1.020146773603244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Financials!AC51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Financials!AC56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2026-06-04T06:25:59Z</dcterms:created>
  <dcterms:modified xmlns:dcterms="http://purl.org/dc/terms/" xmlns:xsi="http://www.w3.org/2001/XMLSchema-instance" xsi:type="dcterms:W3CDTF">2026-06-04T06:25:59Z</dcterms:modified>
</cp:coreProperties>
</file>