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User-edited — overridden from Opus 26.0% on 2026-06-11</t>
      </text>
    </comment>
    <comment ref="C20" authorId="0" shapeId="0">
      <text>
        <t>User-edited — overridden from Opus 4.0% on 2026-06-11</t>
      </text>
    </comment>
    <comment ref="B21" authorId="0" shapeId="0">
      <text>
        <t>User-edited — overridden from Opus 6.0% on 2026-06-11</t>
      </text>
    </comment>
    <comment ref="C21" authorId="0" shapeId="0">
      <text>
        <t>User-edited — overridden from Opus 3.0% on 2026-06-11</t>
      </text>
    </comment>
    <comment ref="B22" authorId="0" shapeId="0">
      <text>
        <t>User-edited — overridden from Opus 12.0% on 2026-06-11</t>
      </text>
    </comment>
    <comment ref="C22" authorId="0" shapeId="0">
      <text>
        <t>User-edited — overridden from Opus 3.0% on 2026-06-11</t>
      </text>
    </comment>
    <comment ref="B29" authorId="0" shapeId="0">
      <text>
        <t>User-edited — overridden from Opus 10.0% on 2026-06-11</t>
      </text>
    </comment>
    <comment ref="B30" authorId="0" shapeId="0">
      <text>
        <t>User-edited — overridden from Opus 26.0% on 2026-06-11</t>
      </text>
    </comment>
    <comment ref="B31" authorId="0" shapeId="0">
      <text>
        <t>User-edited — overridden from Opus 23.0% on 2026-06-11</t>
      </text>
    </comment>
    <comment ref="B34" authorId="0" shapeId="0">
      <text>
        <t>Opus: —
set from Opus 0% of FY1E revenue; edits not tracked (unit differs from the JSON)</t>
      </text>
    </comment>
    <comment ref="B35" authorId="0" shapeId="0">
      <text>
        <t>User-edited — overridden from Opus 1.1x on 2026-06-11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User-edited — overridden from Opus Perpetuity on 2026-06-11</t>
      </text>
    </comment>
    <comment ref="B44" authorId="0" shapeId="0">
      <text>
        <t>User-edited — overridden from Opus EV/Sales on 2026-06-11</t>
      </text>
    </comment>
    <comment ref="B45" authorId="0" shapeId="0">
      <text>
        <t>User-edited — overridden from Opus 6.0x on 2026-06-11</t>
      </text>
    </comment>
    <comment ref="B46" authorId="0" shapeId="0">
      <text>
        <t>User-edited — overridden from Opus 4.0% on 2026-06-11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MongoDB, Inc. (MDB)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Q4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MongoDB is a consumption-priced document database whose Atlas engine compounds in the mid-20s% as both workload count and per-workload usage rise; total revenue growth stays above 20% near-term before fading toward a mature ~5-6% blended rate by year 10. GAAP operating margins, today still slightly negative, normalize through operating leverage on a high-gross-margin subscription base toward a mature mid-20s% level. Capex is structurally light (cloud-hosted on hyperscalers), so FCFF conversion is strong as margins inflect.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MongoDB, Inc. (MDB)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IF(Model!F38&lt;=0,"n/a (neg. capital)",Model!G40-WACC!B15)</f>
        <v/>
      </c>
      <c r="C15" s="10">
        <f>IF(Model!F38&lt;=0,"n/a",IF(Model!G40-WACC!B15&lt;0,"!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MongoDB Atlas Related</t>
        </is>
      </c>
      <c r="B20" s="15" t="n">
        <v>0.2030341060450466</v>
      </c>
      <c r="C20" s="15" t="n">
        <v>0.05</v>
      </c>
      <c r="D20" s="16" t="n">
        <v>0.2030341060450466</v>
      </c>
      <c r="E20" s="2" t="inlineStr"/>
    </row>
    <row r="21">
      <c r="A21" s="4" t="inlineStr">
        <is>
          <t>Other Subscription</t>
        </is>
      </c>
      <c r="B21" s="15" t="n">
        <v>0.03707999262930591</v>
      </c>
      <c r="C21" s="15" t="n">
        <v>0.05</v>
      </c>
      <c r="D21" s="16" t="n">
        <v>0.03707999262930591</v>
      </c>
      <c r="E21" s="2" t="inlineStr"/>
    </row>
    <row r="22">
      <c r="A22" s="4" t="inlineStr">
        <is>
          <t>Service</t>
        </is>
      </c>
      <c r="B22" s="15" t="n">
        <v>0.1695735450672021</v>
      </c>
      <c r="C22" s="15" t="n">
        <v>0.05</v>
      </c>
      <c r="D22" s="16" t="n">
        <v>0.1695735450672021</v>
      </c>
      <c r="E22" s="2" t="inlineStr"/>
    </row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0.2186778701778603</v>
      </c>
      <c r="D29" s="16" t="n">
        <v>0.2186778701778603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0.2252797681739284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5.807212123999999</v>
      </c>
      <c r="D34" s="18" t="n">
        <v>5.807212123999999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1.486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22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334.6900024414062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94.24831950052314</v>
      </c>
      <c r="C58" s="28" t="n">
        <v>128.2887924683928</v>
      </c>
      <c r="D58" s="28" t="n">
        <v>69.07103102520206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0.2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0.223416945470751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0.1340501672824506</v>
      </c>
      <c r="E66" s="2" t="inlineStr">
        <is>
          <t>fades near-&gt;terminal; also burdens the exit-multiple EBITDA</t>
        </is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MDB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MongoDB is a consumption-priced document database whose Atlas engine compounds in the mid-20s% as both workload count and per-workload usage rise; total revenue growth stays above 20% near-term before fading toward a mature ~5-6% blended rate by year 10. GAAP operating margins, today still slightly negative, normalize through operating leverage on a high-gross-margin subscription base toward a mature mid-20s% level. Capex is structurally light (cloud-hosted on hyperscalers), so FCFF conversion is strong as margins inflect.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Anchored near-term Atlas growth to the ~28% reported trend, fading to a GDP-like 4% terminal as the database TAM matures; total growth respects the &gt;=20% thesis early but does not extrapolate it indefinitely. Terminal op margin of 26% reflects mature infrastructure-software economics (below best-in-class 30%+ given consumption-pricing reinvestment), and I used a perpetuity at a ~4% risk-free-anchored g rather than a frothy SaaS multiple to stay defensible.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MongoDB Atlas Related — near-term growth</t>
        </is>
      </c>
      <c r="B20" t="inlineStr">
        <is>
          <t>B20</t>
        </is>
      </c>
      <c r="C20" s="11">
        <f>Dashboard!B20</f>
        <v/>
      </c>
      <c r="D20" s="32" t="inlineStr">
        <is>
          <t>user-edited</t>
        </is>
      </c>
      <c r="E20" t="inlineStr">
        <is>
          <t>26.0%</t>
        </is>
      </c>
      <c r="F20" s="31" t="inlineStr">
        <is>
          <t>overridden from Opus 26.0% on 2026-06-11</t>
        </is>
      </c>
    </row>
    <row r="21">
      <c r="A21" t="inlineStr">
        <is>
          <t>MongoDB Atlas Related — terminal growth</t>
        </is>
      </c>
      <c r="B21" t="inlineStr">
        <is>
          <t>C20</t>
        </is>
      </c>
      <c r="C21" s="11">
        <f>Dashboard!C20</f>
        <v/>
      </c>
      <c r="D21" s="32" t="inlineStr">
        <is>
          <t>user-edited</t>
        </is>
      </c>
      <c r="E21" t="inlineStr">
        <is>
          <t>4.0%</t>
        </is>
      </c>
      <c r="F21" s="31" t="inlineStr">
        <is>
          <t>overridden from Opus 4.0% on 2026-06-11</t>
        </is>
      </c>
    </row>
    <row r="22">
      <c r="A22" t="inlineStr">
        <is>
          <t>Other Subscription — near-term growth</t>
        </is>
      </c>
      <c r="B22" t="inlineStr">
        <is>
          <t>B21</t>
        </is>
      </c>
      <c r="C22" s="11">
        <f>Dashboard!B21</f>
        <v/>
      </c>
      <c r="D22" s="32" t="inlineStr">
        <is>
          <t>user-edited</t>
        </is>
      </c>
      <c r="E22" t="inlineStr">
        <is>
          <t>6.0%</t>
        </is>
      </c>
      <c r="F22" s="31" t="inlineStr">
        <is>
          <t>overridden from Opus 6.0% on 2026-06-11</t>
        </is>
      </c>
    </row>
    <row r="23">
      <c r="A23" t="inlineStr">
        <is>
          <t>Other Subscription — terminal growth</t>
        </is>
      </c>
      <c r="B23" t="inlineStr">
        <is>
          <t>C21</t>
        </is>
      </c>
      <c r="C23" s="11">
        <f>Dashboard!C21</f>
        <v/>
      </c>
      <c r="D23" s="32" t="inlineStr">
        <is>
          <t>user-edited</t>
        </is>
      </c>
      <c r="E23" t="inlineStr">
        <is>
          <t>3.0%</t>
        </is>
      </c>
      <c r="F23" s="31" t="inlineStr">
        <is>
          <t>overridden from Opus 3.0% on 2026-06-11</t>
        </is>
      </c>
    </row>
    <row r="24">
      <c r="A24" t="inlineStr">
        <is>
          <t>Service — near-term growth</t>
        </is>
      </c>
      <c r="B24" t="inlineStr">
        <is>
          <t>B22</t>
        </is>
      </c>
      <c r="C24" s="11">
        <f>Dashboard!B22</f>
        <v/>
      </c>
      <c r="D24" s="32" t="inlineStr">
        <is>
          <t>user-edited</t>
        </is>
      </c>
      <c r="E24" t="inlineStr">
        <is>
          <t>12.0%</t>
        </is>
      </c>
      <c r="F24" s="31" t="inlineStr">
        <is>
          <t>overridden from Opus 12.0% on 2026-06-11</t>
        </is>
      </c>
    </row>
    <row r="25">
      <c r="A25" t="inlineStr">
        <is>
          <t>Service — terminal growth</t>
        </is>
      </c>
      <c r="B25" t="inlineStr">
        <is>
          <t>C22</t>
        </is>
      </c>
      <c r="C25" s="11">
        <f>Dashboard!C22</f>
        <v/>
      </c>
      <c r="D25" s="32" t="inlineStr">
        <is>
          <t>user-edited</t>
        </is>
      </c>
      <c r="E25" t="inlineStr">
        <is>
          <t>3.0%</t>
        </is>
      </c>
      <c r="F25" s="31" t="inlineStr">
        <is>
          <t>overridden from Opus 3.0% on 2026-06-11</t>
        </is>
      </c>
    </row>
    <row r="26">
      <c r="A26" t="inlineStr">
        <is>
          <t>Near-term operating margin</t>
        </is>
      </c>
      <c r="B26" t="inlineStr">
        <is>
          <t>B29</t>
        </is>
      </c>
      <c r="C26" s="11">
        <f>Dashboard!B29</f>
        <v/>
      </c>
      <c r="D26" s="32" t="inlineStr">
        <is>
          <t>user-edited</t>
        </is>
      </c>
      <c r="E26" t="inlineStr">
        <is>
          <t>10.0%</t>
        </is>
      </c>
      <c r="F26" s="31" t="inlineStr">
        <is>
          <t>overridden from Opus 10.0% on 2026-06-11</t>
        </is>
      </c>
    </row>
    <row r="27">
      <c r="A27" t="inlineStr">
        <is>
          <t>Terminal operating margin</t>
        </is>
      </c>
      <c r="B27" t="inlineStr">
        <is>
          <t>B30</t>
        </is>
      </c>
      <c r="C27" s="11">
        <f>Dashboard!B30</f>
        <v/>
      </c>
      <c r="D27" s="32" t="inlineStr">
        <is>
          <t>user-edited</t>
        </is>
      </c>
      <c r="E27" t="inlineStr">
        <is>
          <t>26.0%</t>
        </is>
      </c>
      <c r="F27" s="31" t="inlineStr">
        <is>
          <t>overridden from Opus 26.0% on 2026-06-11</t>
        </is>
      </c>
    </row>
    <row r="28">
      <c r="A28" t="inlineStr">
        <is>
          <t>Tax rate</t>
        </is>
      </c>
      <c r="B28" t="inlineStr">
        <is>
          <t>B31</t>
        </is>
      </c>
      <c r="C28" s="11">
        <f>Dashboard!B31</f>
        <v/>
      </c>
      <c r="D28" s="32" t="inlineStr">
        <is>
          <t>user-edited</t>
        </is>
      </c>
      <c r="E28" t="inlineStr">
        <is>
          <t>23.0%</t>
        </is>
      </c>
      <c r="F28" s="31" t="inlineStr">
        <is>
          <t>overridden from Opus 23.0% on 2026-06-11</t>
        </is>
      </c>
    </row>
    <row r="29">
      <c r="A29" t="inlineStr">
        <is>
          <t>Terminal capex / D&amp;A</t>
        </is>
      </c>
      <c r="B29" t="inlineStr">
        <is>
          <t>B35</t>
        </is>
      </c>
      <c r="C29" s="13">
        <f>Dashboard!B35</f>
        <v/>
      </c>
      <c r="D29" s="32" t="inlineStr">
        <is>
          <t>user-edited</t>
        </is>
      </c>
      <c r="E29" t="inlineStr">
        <is>
          <t>1.1x</t>
        </is>
      </c>
      <c r="F29" s="31" t="inlineStr">
        <is>
          <t>overridden from Opus 1.1x on 2026-06-11</t>
        </is>
      </c>
    </row>
    <row r="30">
      <c r="A30" t="inlineStr">
        <is>
          <t>Risk-free rate (10Y)</t>
        </is>
      </c>
      <c r="B30" t="inlineStr">
        <is>
          <t>B38</t>
        </is>
      </c>
      <c r="C30" s="11">
        <f>Dashboard!B38</f>
        <v/>
      </c>
      <c r="D30" t="inlineStr">
        <is>
          <t>builder default</t>
        </is>
      </c>
      <c r="E30" t="inlineStr">
        <is>
          <t>—</t>
        </is>
      </c>
      <c r="F30" s="31" t="inlineStr"/>
    </row>
    <row r="31">
      <c r="A31" t="inlineStr">
        <is>
          <t>Equity risk premium</t>
        </is>
      </c>
      <c r="B31" t="inlineStr">
        <is>
          <t>B39</t>
        </is>
      </c>
      <c r="C31" s="11">
        <f>Dashboard!B39</f>
        <v/>
      </c>
      <c r="D31" t="inlineStr">
        <is>
          <t>builder default</t>
        </is>
      </c>
      <c r="E31" t="inlineStr">
        <is>
          <t>—</t>
        </is>
      </c>
      <c r="F31" s="31" t="inlineStr"/>
    </row>
    <row r="32">
      <c r="A32" t="inlineStr">
        <is>
          <t>Beta (levered)</t>
        </is>
      </c>
      <c r="B32" t="inlineStr">
        <is>
          <t>B40</t>
        </is>
      </c>
      <c r="C32" s="33">
        <f>Dashboard!B40</f>
        <v/>
      </c>
      <c r="D32" t="inlineStr">
        <is>
          <t>builder default</t>
        </is>
      </c>
      <c r="E32" t="inlineStr">
        <is>
          <t>—</t>
        </is>
      </c>
      <c r="F32" s="31" t="inlineStr"/>
    </row>
    <row r="33">
      <c r="A33" t="inlineStr">
        <is>
          <t>Pre-tax cost of debt</t>
        </is>
      </c>
      <c r="B33" t="inlineStr">
        <is>
          <t>B41</t>
        </is>
      </c>
      <c r="C33" s="11">
        <f>Dashboard!B41</f>
        <v/>
      </c>
      <c r="D33" t="inlineStr">
        <is>
          <t>builder default</t>
        </is>
      </c>
      <c r="E33" t="inlineStr">
        <is>
          <t>—</t>
        </is>
      </c>
      <c r="F33" s="31" t="inlineStr"/>
    </row>
    <row r="34">
      <c r="A34" t="inlineStr">
        <is>
          <t>Terminal method</t>
        </is>
      </c>
      <c r="B34" t="inlineStr">
        <is>
          <t>B43</t>
        </is>
      </c>
      <c r="C34" s="12">
        <f>Dashboard!B43</f>
        <v/>
      </c>
      <c r="D34" s="32" t="inlineStr">
        <is>
          <t>user-edited</t>
        </is>
      </c>
      <c r="E34" t="inlineStr">
        <is>
          <t>Perpetuity</t>
        </is>
      </c>
      <c r="F34" s="31" t="inlineStr">
        <is>
          <t>overridden from Opus Perpetuity on 2026-06-11</t>
        </is>
      </c>
    </row>
    <row r="35">
      <c r="A35" t="inlineStr">
        <is>
          <t>Exit basis</t>
        </is>
      </c>
      <c r="B35" t="inlineStr">
        <is>
          <t>B44</t>
        </is>
      </c>
      <c r="C35" s="12">
        <f>Dashboard!B44</f>
        <v/>
      </c>
      <c r="D35" s="32" t="inlineStr">
        <is>
          <t>user-edited</t>
        </is>
      </c>
      <c r="E35" t="inlineStr">
        <is>
          <t>EV/Sales</t>
        </is>
      </c>
      <c r="F35" s="31" t="inlineStr">
        <is>
          <t>overridden from Opus EV/Sales on 2026-06-11</t>
        </is>
      </c>
    </row>
    <row r="36">
      <c r="A36" t="inlineStr">
        <is>
          <t>Exit multiple</t>
        </is>
      </c>
      <c r="B36" t="inlineStr">
        <is>
          <t>B45</t>
        </is>
      </c>
      <c r="C36" s="13">
        <f>Dashboard!B45</f>
        <v/>
      </c>
      <c r="D36" s="32" t="inlineStr">
        <is>
          <t>user-edited</t>
        </is>
      </c>
      <c r="E36" t="inlineStr">
        <is>
          <t>6.0x</t>
        </is>
      </c>
      <c r="F36" s="31" t="inlineStr">
        <is>
          <t>overridden from Opus 6.0x on 2026-06-11</t>
        </is>
      </c>
    </row>
    <row r="37">
      <c r="A37" t="inlineStr">
        <is>
          <t>Terminal growth (g)</t>
        </is>
      </c>
      <c r="B37" t="inlineStr">
        <is>
          <t>B46</t>
        </is>
      </c>
      <c r="C37" s="11">
        <f>Dashboard!B46</f>
        <v/>
      </c>
      <c r="D37" s="32" t="inlineStr">
        <is>
          <t>user-edited</t>
        </is>
      </c>
      <c r="E37" t="inlineStr">
        <is>
          <t>4.0%</t>
        </is>
      </c>
      <c r="F37" s="31" t="inlineStr">
        <is>
          <t>overridden from Opus 4.0% on 2026-06-11</t>
        </is>
      </c>
    </row>
    <row r="38">
      <c r="A38" t="inlineStr">
        <is>
          <t>2026 capex ($M)</t>
        </is>
      </c>
      <c r="B38" t="inlineStr">
        <is>
          <t>B34</t>
        </is>
      </c>
      <c r="C38" s="34">
        <f>Dashboard!B34</f>
        <v/>
      </c>
      <c r="D38" t="inlineStr">
        <is>
          <t>Opus</t>
        </is>
      </c>
      <c r="E38" t="inlineStr">
        <is>
          <t>—</t>
        </is>
      </c>
      <c r="F38" s="31" t="inlineStr">
        <is>
          <t>set from Opus 0% of FY1E revenue; edits not tracked (unit differs from the JSON)</t>
        </is>
      </c>
    </row>
    <row r="39">
      <c r="A39" t="inlineStr">
        <is>
          <t>Bull Δ — segment growth, near-term</t>
        </is>
      </c>
      <c r="B39" t="inlineStr">
        <is>
          <t>C52</t>
        </is>
      </c>
      <c r="C39" s="35">
        <f>Dashboard!C52</f>
        <v/>
      </c>
      <c r="D39" t="inlineStr">
        <is>
          <t>seed default</t>
        </is>
      </c>
      <c r="E39" t="inlineStr">
        <is>
          <t>3.0%</t>
        </is>
      </c>
      <c r="F39" s="31" t="inlineStr"/>
    </row>
    <row r="40">
      <c r="A40" t="inlineStr">
        <is>
          <t>Bear Δ — segment growth, near-term</t>
        </is>
      </c>
      <c r="B40" t="inlineStr">
        <is>
          <t>D52</t>
        </is>
      </c>
      <c r="C40" s="35">
        <f>Dashboard!D52</f>
        <v/>
      </c>
      <c r="D40" t="inlineStr">
        <is>
          <t>seed default</t>
        </is>
      </c>
      <c r="E40" t="inlineStr">
        <is>
          <t>-3.0%</t>
        </is>
      </c>
      <c r="F40" s="31" t="inlineStr"/>
    </row>
    <row r="41">
      <c r="A41" t="inlineStr">
        <is>
          <t>Bull Δ — segment growth, terminal</t>
        </is>
      </c>
      <c r="B41" t="inlineStr">
        <is>
          <t>C53</t>
        </is>
      </c>
      <c r="C41" s="35">
        <f>Dashboard!C53</f>
        <v/>
      </c>
      <c r="D41" t="inlineStr">
        <is>
          <t>seed default</t>
        </is>
      </c>
      <c r="E41" t="inlineStr">
        <is>
          <t>1.0%</t>
        </is>
      </c>
      <c r="F41" s="31" t="inlineStr"/>
    </row>
    <row r="42">
      <c r="A42" t="inlineStr">
        <is>
          <t>Bear Δ — segment growth, terminal</t>
        </is>
      </c>
      <c r="B42" t="inlineStr">
        <is>
          <t>D53</t>
        </is>
      </c>
      <c r="C42" s="35">
        <f>Dashboard!D53</f>
        <v/>
      </c>
      <c r="D42" t="inlineStr">
        <is>
          <t>seed default</t>
        </is>
      </c>
      <c r="E42" t="inlineStr">
        <is>
          <t>-1.0%</t>
        </is>
      </c>
      <c r="F42" s="31" t="inlineStr"/>
    </row>
    <row r="43">
      <c r="A43" t="inlineStr">
        <is>
          <t>Bull Δ — operating margin, near-term</t>
        </is>
      </c>
      <c r="B43" t="inlineStr">
        <is>
          <t>C54</t>
        </is>
      </c>
      <c r="C43" s="35">
        <f>Dashboard!C54</f>
        <v/>
      </c>
      <c r="D43" t="inlineStr">
        <is>
          <t>seed default</t>
        </is>
      </c>
      <c r="E43" t="inlineStr">
        <is>
          <t>1.0%</t>
        </is>
      </c>
      <c r="F43" s="31" t="inlineStr"/>
    </row>
    <row r="44">
      <c r="A44" t="inlineStr">
        <is>
          <t>Bear Δ — operating margin, near-term</t>
        </is>
      </c>
      <c r="B44" t="inlineStr">
        <is>
          <t>D54</t>
        </is>
      </c>
      <c r="C44" s="35">
        <f>Dashboard!D54</f>
        <v/>
      </c>
      <c r="D44" t="inlineStr">
        <is>
          <t>seed default</t>
        </is>
      </c>
      <c r="E44" t="inlineStr">
        <is>
          <t>-1.0%</t>
        </is>
      </c>
      <c r="F44" s="31" t="inlineStr"/>
    </row>
    <row r="45">
      <c r="A45" t="inlineStr">
        <is>
          <t>Bull Δ — operating margin, terminal</t>
        </is>
      </c>
      <c r="B45" t="inlineStr">
        <is>
          <t>C55</t>
        </is>
      </c>
      <c r="C45" s="35">
        <f>Dashboard!C55</f>
        <v/>
      </c>
      <c r="D45" t="inlineStr">
        <is>
          <t>seed default</t>
        </is>
      </c>
      <c r="E45" t="inlineStr">
        <is>
          <t>2.0%</t>
        </is>
      </c>
      <c r="F45" s="31" t="inlineStr"/>
    </row>
    <row r="46">
      <c r="A46" t="inlineStr">
        <is>
          <t>Bear Δ — operating margin, terminal</t>
        </is>
      </c>
      <c r="B46" t="inlineStr">
        <is>
          <t>D55</t>
        </is>
      </c>
      <c r="C46" s="35">
        <f>Dashboard!D55</f>
        <v/>
      </c>
      <c r="D46" t="inlineStr">
        <is>
          <t>seed default</t>
        </is>
      </c>
      <c r="E46" t="inlineStr">
        <is>
          <t>-2.0%</t>
        </is>
      </c>
      <c r="F46" s="31" t="inlineStr"/>
    </row>
    <row r="47">
      <c r="A47" t="inlineStr">
        <is>
          <t>Bull Δ — exit multiple</t>
        </is>
      </c>
      <c r="B47" t="inlineStr">
        <is>
          <t>C56</t>
        </is>
      </c>
      <c r="C47" s="36">
        <f>Dashboard!C56</f>
        <v/>
      </c>
      <c r="D47" t="inlineStr">
        <is>
          <t>seed default</t>
        </is>
      </c>
      <c r="E47" t="inlineStr">
        <is>
          <t>2.0x</t>
        </is>
      </c>
      <c r="F47" s="31" t="inlineStr"/>
    </row>
    <row r="48">
      <c r="A48" t="inlineStr">
        <is>
          <t>Bear Δ — exit multiple</t>
        </is>
      </c>
      <c r="B48" t="inlineStr">
        <is>
          <t>D56</t>
        </is>
      </c>
      <c r="C48" s="36">
        <f>Dashboard!D56</f>
        <v/>
      </c>
      <c r="D48" t="inlineStr">
        <is>
          <t>seed default</t>
        </is>
      </c>
      <c r="E48" t="inlineStr">
        <is>
          <t>-2.0x</t>
        </is>
      </c>
      <c r="F48" s="31" t="inlineStr"/>
    </row>
    <row r="49">
      <c r="A49" t="inlineStr">
        <is>
          <t>Bull Δ — terminal growth (g)</t>
        </is>
      </c>
      <c r="B49" t="inlineStr">
        <is>
          <t>C57</t>
        </is>
      </c>
      <c r="C49" s="35">
        <f>Dashboard!C57</f>
        <v/>
      </c>
      <c r="D49" t="inlineStr">
        <is>
          <t>seed default</t>
        </is>
      </c>
      <c r="E49" t="inlineStr">
        <is>
          <t>0.5%</t>
        </is>
      </c>
      <c r="F49" s="31" t="inlineStr"/>
    </row>
    <row r="50">
      <c r="A50" t="inlineStr">
        <is>
          <t>Bear Δ — terminal growth (g)</t>
        </is>
      </c>
      <c r="B50" t="inlineStr">
        <is>
          <t>D57</t>
        </is>
      </c>
      <c r="C50" s="35">
        <f>Dashboard!D57</f>
        <v/>
      </c>
      <c r="D50" t="inlineStr">
        <is>
          <t>seed default</t>
        </is>
      </c>
      <c r="E50" t="inlineStr">
        <is>
          <t>-0.5%</t>
        </is>
      </c>
      <c r="F50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Financials!AC44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FY2022A</t>
        </is>
      </c>
      <c r="C1" s="40" t="inlineStr">
        <is>
          <t>FY2023A</t>
        </is>
      </c>
      <c r="D1" s="40" t="inlineStr">
        <is>
          <t>FY2024A</t>
        </is>
      </c>
      <c r="E1" s="40" t="inlineStr">
        <is>
          <t>FY2025A</t>
        </is>
      </c>
      <c r="F1" s="40" t="inlineStr">
        <is>
          <t>FY2026A</t>
        </is>
      </c>
      <c r="G1" s="41" t="inlineStr">
        <is>
          <t>FY2027E</t>
        </is>
      </c>
      <c r="H1" s="41" t="inlineStr">
        <is>
          <t>FY2028E</t>
        </is>
      </c>
      <c r="I1" s="41" t="inlineStr">
        <is>
          <t>FY2029E</t>
        </is>
      </c>
      <c r="J1" s="41" t="inlineStr">
        <is>
          <t>FY2030E</t>
        </is>
      </c>
      <c r="K1" s="41" t="inlineStr">
        <is>
          <t>FY2031E</t>
        </is>
      </c>
      <c r="L1" s="41" t="inlineStr">
        <is>
          <t>FY2032E</t>
        </is>
      </c>
      <c r="M1" s="41" t="inlineStr">
        <is>
          <t>FY2033E</t>
        </is>
      </c>
      <c r="N1" s="41" t="inlineStr">
        <is>
          <t>FY2034E</t>
        </is>
      </c>
      <c r="O1" s="41" t="inlineStr">
        <is>
          <t>FY2035E</t>
        </is>
      </c>
      <c r="P1" s="41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MongoDB Atlas Related</t>
        </is>
      </c>
      <c r="B4" s="34">
        <f>SUM(Financials!J19:M19)</f>
        <v/>
      </c>
      <c r="C4" s="34">
        <f>SUM(Financials!N19:Q19)</f>
        <v/>
      </c>
      <c r="D4" s="34">
        <f>SUM(Financials!R19:U19)</f>
        <v/>
      </c>
      <c r="E4" s="34">
        <f>SUM(Financials!V19:Y19)</f>
        <v/>
      </c>
      <c r="F4" s="34">
        <f>SUM(Financials!Z19:AC19)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Other Subscription</t>
        </is>
      </c>
      <c r="B6" s="34">
        <f>SUM(Financials!J22:M22)</f>
        <v/>
      </c>
      <c r="C6" s="34">
        <f>SUM(Financials!N22:Q22)</f>
        <v/>
      </c>
      <c r="D6" s="34">
        <f>SUM(Financials!R22:U22)</f>
        <v/>
      </c>
      <c r="E6" s="34">
        <f>SUM(Financials!V22:Y22)</f>
        <v/>
      </c>
      <c r="F6" s="34">
        <f>SUM(Financials!Z22:AC22)</f>
        <v/>
      </c>
      <c r="G6" s="42">
        <f>F6*(1+G7)</f>
        <v/>
      </c>
      <c r="H6" s="42">
        <f>G6*(1+H7)</f>
        <v/>
      </c>
      <c r="I6" s="42">
        <f>H6*(1+I7)</f>
        <v/>
      </c>
      <c r="J6" s="42">
        <f>I6*(1+J7)</f>
        <v/>
      </c>
      <c r="K6" s="42">
        <f>J6*(1+K7)</f>
        <v/>
      </c>
      <c r="L6" s="42">
        <f>K6*(1+L7)</f>
        <v/>
      </c>
      <c r="M6" s="42">
        <f>L6*(1+M7)</f>
        <v/>
      </c>
      <c r="N6" s="42">
        <f>M6*(1+N7)</f>
        <v/>
      </c>
      <c r="O6" s="42">
        <f>N6*(1+O7)</f>
        <v/>
      </c>
      <c r="P6" s="42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Service</t>
        </is>
      </c>
      <c r="B8" s="34">
        <f>SUM(Financials!J25:M25)</f>
        <v/>
      </c>
      <c r="C8" s="34">
        <f>SUM(Financials!N25:Q25)</f>
        <v/>
      </c>
      <c r="D8" s="34">
        <f>SUM(Financials!R25:U25)</f>
        <v/>
      </c>
      <c r="E8" s="34">
        <f>SUM(Financials!V25:Y25)</f>
        <v/>
      </c>
      <c r="F8" s="34">
        <f>SUM(Financials!Z25:AC25)</f>
        <v/>
      </c>
      <c r="G8" s="42">
        <f>F8*(1+G9)</f>
        <v/>
      </c>
      <c r="H8" s="42">
        <f>G8*(1+H9)</f>
        <v/>
      </c>
      <c r="I8" s="42">
        <f>H8*(1+I9)</f>
        <v/>
      </c>
      <c r="J8" s="42">
        <f>I8*(1+J9)</f>
        <v/>
      </c>
      <c r="K8" s="42">
        <f>J8*(1+K9)</f>
        <v/>
      </c>
      <c r="L8" s="42">
        <f>K8*(1+L9)</f>
        <v/>
      </c>
      <c r="M8" s="42">
        <f>L8*(1+M9)</f>
        <v/>
      </c>
      <c r="N8" s="42">
        <f>M8*(1+N9)</f>
        <v/>
      </c>
      <c r="O8" s="42">
        <f>N8*(1+O9)</f>
        <v/>
      </c>
      <c r="P8" s="42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3" t="inlineStr">
        <is>
          <t>Total revenue</t>
        </is>
      </c>
      <c r="B10" s="43">
        <f>B4+B6+B8</f>
        <v/>
      </c>
      <c r="C10" s="43">
        <f>C4+C6+C8</f>
        <v/>
      </c>
      <c r="D10" s="43">
        <f>D4+D6+D8</f>
        <v/>
      </c>
      <c r="E10" s="43">
        <f>E4+E6+E8</f>
        <v/>
      </c>
      <c r="F10" s="43">
        <f>F4+F6+F8</f>
        <v/>
      </c>
      <c r="G10" s="43">
        <f>G4+G6+G8</f>
        <v/>
      </c>
      <c r="H10" s="43">
        <f>H4+H6+H8</f>
        <v/>
      </c>
      <c r="I10" s="43">
        <f>I4+I6+I8</f>
        <v/>
      </c>
      <c r="J10" s="43">
        <f>J4+J6+J8</f>
        <v/>
      </c>
      <c r="K10" s="43">
        <f>K4+K6+K8</f>
        <v/>
      </c>
      <c r="L10" s="43">
        <f>L4+L6+L8</f>
        <v/>
      </c>
      <c r="M10" s="43">
        <f>M4+M6+M8</f>
        <v/>
      </c>
      <c r="N10" s="43">
        <f>N4+N6+N8</f>
        <v/>
      </c>
      <c r="O10" s="43">
        <f>O4+O6+O8</f>
        <v/>
      </c>
      <c r="P10" s="43">
        <f>P4+P6+P8</f>
        <v/>
      </c>
    </row>
    <row r="11">
      <c r="A11" s="4" t="inlineStr">
        <is>
          <t xml:space="preserve">    growth %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25">
        <f>IFERROR(G10/F10-1,"")</f>
        <v/>
      </c>
      <c r="H11" s="25">
        <f>IFERROR(H10/G10-1,"")</f>
        <v/>
      </c>
      <c r="I11" s="25">
        <f>IFERROR(I10/H10-1,"")</f>
        <v/>
      </c>
      <c r="J11" s="25">
        <f>IFERROR(J10/I10-1,"")</f>
        <v/>
      </c>
      <c r="K11" s="25">
        <f>IFERROR(K10/J10-1,"")</f>
        <v/>
      </c>
      <c r="L11" s="25">
        <f>IFERROR(L10/K10-1,"")</f>
        <v/>
      </c>
      <c r="M11" s="25">
        <f>IFERROR(M10/L10-1,"")</f>
        <v/>
      </c>
      <c r="N11" s="25">
        <f>IFERROR(N10/M10-1,"")</f>
        <v/>
      </c>
      <c r="O11" s="25">
        <f>IFERROR(O10/N10-1,"")</f>
        <v/>
      </c>
      <c r="P11" s="25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34">
        <f>SUM(Financials!J5:M5)</f>
        <v/>
      </c>
      <c r="C14" s="34">
        <f>SUM(Financials!N5:Q5)</f>
        <v/>
      </c>
      <c r="D14" s="34">
        <f>SUM(Financials!R5:U5)</f>
        <v/>
      </c>
      <c r="E14" s="34">
        <f>SUM(Financials!V5:Y5)</f>
        <v/>
      </c>
      <c r="F14" s="34">
        <f>SUM(Financials!Z5:AC5)</f>
        <v/>
      </c>
      <c r="G14" s="42">
        <f>G10*G15</f>
        <v/>
      </c>
      <c r="H14" s="42">
        <f>H10*H15</f>
        <v/>
      </c>
      <c r="I14" s="42">
        <f>I10*I15</f>
        <v/>
      </c>
      <c r="J14" s="42">
        <f>J10*J15</f>
        <v/>
      </c>
      <c r="K14" s="42">
        <f>K10*K15</f>
        <v/>
      </c>
      <c r="L14" s="42">
        <f>L10*L15</f>
        <v/>
      </c>
      <c r="M14" s="42">
        <f>M10*M15</f>
        <v/>
      </c>
      <c r="N14" s="42">
        <f>N10*N15</f>
        <v/>
      </c>
      <c r="O14" s="42">
        <f>O10*O15</f>
        <v/>
      </c>
      <c r="P14" s="42">
        <f>P10*P15</f>
        <v/>
      </c>
    </row>
    <row r="15">
      <c r="A15" s="4" t="inlineStr">
        <is>
          <t xml:space="preserve">    % of revenue</t>
        </is>
      </c>
      <c r="B15" s="25">
        <f>IFERROR(B14/B10,"")</f>
        <v/>
      </c>
      <c r="C15" s="25">
        <f>IFERROR(C14/C10,"")</f>
        <v/>
      </c>
      <c r="D15" s="25">
        <f>IFERROR(D14/D10,"")</f>
        <v/>
      </c>
      <c r="E15" s="25">
        <f>IFERROR(E14/E10,"")</f>
        <v/>
      </c>
      <c r="F15" s="25">
        <f>IFERROR(F14/F10,"")</f>
        <v/>
      </c>
      <c r="G15" s="15" t="n">
        <v>0.2825143467582759</v>
      </c>
      <c r="H15" s="15" t="n">
        <v>0.2825143467582759</v>
      </c>
      <c r="I15" s="15" t="n">
        <v>0.2825143467582759</v>
      </c>
      <c r="J15" s="15" t="n">
        <v>0.2825143467582759</v>
      </c>
      <c r="K15" s="15" t="n">
        <v>0.2825143467582759</v>
      </c>
      <c r="L15" s="15" t="n">
        <v>0.2825143467582759</v>
      </c>
      <c r="M15" s="15" t="n">
        <v>0.2825143467582759</v>
      </c>
      <c r="N15" s="15" t="n">
        <v>0.2825143467582759</v>
      </c>
      <c r="O15" s="15" t="n">
        <v>0.2825143467582759</v>
      </c>
      <c r="P15" s="15" t="n">
        <v>0.2825143467582759</v>
      </c>
    </row>
    <row r="16">
      <c r="A16" s="4" t="inlineStr">
        <is>
          <t>R&amp;D / Technology</t>
        </is>
      </c>
      <c r="B16" s="34">
        <f>SUM(Financials!J7:M7)</f>
        <v/>
      </c>
      <c r="C16" s="34">
        <f>SUM(Financials!N7:Q7)</f>
        <v/>
      </c>
      <c r="D16" s="34">
        <f>SUM(Financials!R7:U7)</f>
        <v/>
      </c>
      <c r="E16" s="34">
        <f>SUM(Financials!V7:Y7)</f>
        <v/>
      </c>
      <c r="F16" s="34">
        <f>SUM(Financials!Z7:AC7)</f>
        <v/>
      </c>
      <c r="G16" s="42">
        <f>G10*G17</f>
        <v/>
      </c>
      <c r="H16" s="42">
        <f>H10*H17</f>
        <v/>
      </c>
      <c r="I16" s="42">
        <f>I10*I17</f>
        <v/>
      </c>
      <c r="J16" s="42">
        <f>J10*J17</f>
        <v/>
      </c>
      <c r="K16" s="42">
        <f>K10*K17</f>
        <v/>
      </c>
      <c r="L16" s="42">
        <f>L10*L17</f>
        <v/>
      </c>
      <c r="M16" s="42">
        <f>M10*M17</f>
        <v/>
      </c>
      <c r="N16" s="42">
        <f>N10*N17</f>
        <v/>
      </c>
      <c r="O16" s="42">
        <f>O10*O17</f>
        <v/>
      </c>
      <c r="P16" s="42">
        <f>P10*P17</f>
        <v/>
      </c>
    </row>
    <row r="17">
      <c r="A17" s="4" t="inlineStr">
        <is>
          <t xml:space="preserve">    % of revenue</t>
        </is>
      </c>
      <c r="B17" s="25">
        <f>IFERROR(B16/B10,"")</f>
        <v/>
      </c>
      <c r="C17" s="25">
        <f>IFERROR(C16/C10,"")</f>
        <v/>
      </c>
      <c r="D17" s="25">
        <f>IFERROR(D16/D10,"")</f>
        <v/>
      </c>
      <c r="E17" s="25">
        <f>IFERROR(E16/E10,"")</f>
        <v/>
      </c>
      <c r="F17" s="25">
        <f>IFERROR(F16/F10,"")</f>
        <v/>
      </c>
      <c r="G17" s="15" t="n">
        <v>0.2907313386614238</v>
      </c>
      <c r="H17" s="15" t="n">
        <v>0.2907313386614238</v>
      </c>
      <c r="I17" s="15" t="n">
        <v>0.2907313386614238</v>
      </c>
      <c r="J17" s="15" t="n">
        <v>0.2907313386614238</v>
      </c>
      <c r="K17" s="15" t="n">
        <v>0.2907313386614238</v>
      </c>
      <c r="L17" s="15" t="n">
        <v>0.2907313386614238</v>
      </c>
      <c r="M17" s="15" t="n">
        <v>0.2907313386614238</v>
      </c>
      <c r="N17" s="15" t="n">
        <v>0.2907313386614238</v>
      </c>
      <c r="O17" s="15" t="n">
        <v>0.2907313386614238</v>
      </c>
      <c r="P17" s="15" t="n">
        <v>0.2907313386614238</v>
      </c>
    </row>
    <row r="18">
      <c r="A18" s="4" t="inlineStr">
        <is>
          <t>SG&amp;A</t>
        </is>
      </c>
      <c r="B18" s="34">
        <f>SUM(Financials!J9:M9)</f>
        <v/>
      </c>
      <c r="C18" s="34">
        <f>SUM(Financials!N9:Q9)</f>
        <v/>
      </c>
      <c r="D18" s="34">
        <f>SUM(Financials!R9:U9)</f>
        <v/>
      </c>
      <c r="E18" s="34">
        <f>SUM(Financials!V9:Y9)</f>
        <v/>
      </c>
      <c r="F18" s="34">
        <f>SUM(Financials!Z9:AC9)</f>
        <v/>
      </c>
      <c r="G18" s="42">
        <f>G10*G19</f>
        <v/>
      </c>
      <c r="H18" s="42">
        <f>H10*H19</f>
        <v/>
      </c>
      <c r="I18" s="42">
        <f>I10*I19</f>
        <v/>
      </c>
      <c r="J18" s="42">
        <f>J10*J19</f>
        <v/>
      </c>
      <c r="K18" s="42">
        <f>K10*K19</f>
        <v/>
      </c>
      <c r="L18" s="42">
        <f>L10*L19</f>
        <v/>
      </c>
      <c r="M18" s="42">
        <f>M10*M19</f>
        <v/>
      </c>
      <c r="N18" s="42">
        <f>N10*N19</f>
        <v/>
      </c>
      <c r="O18" s="42">
        <f>O10*O19</f>
        <v/>
      </c>
      <c r="P18" s="42">
        <f>P10*P19</f>
        <v/>
      </c>
    </row>
    <row r="19">
      <c r="A19" s="4" t="inlineStr">
        <is>
          <t xml:space="preserve">    % of revenue</t>
        </is>
      </c>
      <c r="B19" s="25">
        <f>IFERROR(B18/B10,"")</f>
        <v/>
      </c>
      <c r="C19" s="25">
        <f>IFERROR(C18/C10,"")</f>
        <v/>
      </c>
      <c r="D19" s="25">
        <f>IFERROR(D18/D10,"")</f>
        <v/>
      </c>
      <c r="E19" s="25">
        <f>IFERROR(E18/E10,"")</f>
        <v/>
      </c>
      <c r="F19" s="25">
        <f>IFERROR(F18/F10,"")</f>
        <v/>
      </c>
      <c r="G19" s="15" t="n">
        <v>0.4823465569606587</v>
      </c>
      <c r="H19" s="15" t="n">
        <v>0.4823465569606587</v>
      </c>
      <c r="I19" s="15" t="n">
        <v>0.4823465569606587</v>
      </c>
      <c r="J19" s="15" t="n">
        <v>0.4823465569606587</v>
      </c>
      <c r="K19" s="15" t="n">
        <v>0.4823465569606587</v>
      </c>
      <c r="L19" s="15" t="n">
        <v>0.4823465569606587</v>
      </c>
      <c r="M19" s="15" t="n">
        <v>0.4823465569606587</v>
      </c>
      <c r="N19" s="15" t="n">
        <v>0.4823465569606587</v>
      </c>
      <c r="O19" s="15" t="n">
        <v>0.4823465569606587</v>
      </c>
      <c r="P19" s="15" t="n">
        <v>0.4823465569606587</v>
      </c>
    </row>
    <row r="20">
      <c r="A20" s="4" t="inlineStr">
        <is>
          <t>Other opex (fulfilment, etc.)</t>
        </is>
      </c>
      <c r="B20" s="34">
        <f>B10-(B14+B16+B18)-SUM(Financials!J13:M13)</f>
        <v/>
      </c>
      <c r="C20" s="34">
        <f>C10-(C14+C16+C18)-SUM(Financials!N13:Q13)</f>
        <v/>
      </c>
      <c r="D20" s="34">
        <f>D10-(D14+D16+D18)-SUM(Financials!R13:U13)</f>
        <v/>
      </c>
      <c r="E20" s="34">
        <f>E10-(E14+E16+E18)-SUM(Financials!V13:Y13)</f>
        <v/>
      </c>
      <c r="F20" s="34">
        <f>F10-(F14+F16+F18)-SUM(Financials!Z13:AC13)</f>
        <v/>
      </c>
      <c r="G20" s="34">
        <f>G10*(1-(Dashboard!$B$29+(Dashboard!$B$30-Dashboard!$B$29)*MIN(1,0/4)))-(G14+G16+G18)</f>
        <v/>
      </c>
      <c r="H20" s="34">
        <f>H10*(1-(Dashboard!$B$29+(Dashboard!$B$30-Dashboard!$B$29)*MIN(1,1/4)))-(H14+H16+H18)</f>
        <v/>
      </c>
      <c r="I20" s="34">
        <f>I10*(1-(Dashboard!$B$29+(Dashboard!$B$30-Dashboard!$B$29)*MIN(1,2/4)))-(I14+I16+I18)</f>
        <v/>
      </c>
      <c r="J20" s="34">
        <f>J10*(1-(Dashboard!$B$29+(Dashboard!$B$30-Dashboard!$B$29)*MIN(1,3/4)))-(J14+J16+J18)</f>
        <v/>
      </c>
      <c r="K20" s="34">
        <f>K10*(1-(Dashboard!$B$29+(Dashboard!$B$30-Dashboard!$B$29)*MIN(1,4/4)))-(K14+K16+K18)</f>
        <v/>
      </c>
      <c r="L20" s="34">
        <f>L10*(1-(Dashboard!$B$29+(Dashboard!$B$30-Dashboard!$B$29)*MIN(1,5/4)))-(L14+L16+L18)</f>
        <v/>
      </c>
      <c r="M20" s="34">
        <f>M10*(1-(Dashboard!$B$29+(Dashboard!$B$30-Dashboard!$B$29)*MIN(1,6/4)))-(M14+M16+M18)</f>
        <v/>
      </c>
      <c r="N20" s="34">
        <f>N10*(1-(Dashboard!$B$29+(Dashboard!$B$30-Dashboard!$B$29)*MIN(1,7/4)))-(N14+N16+N18)</f>
        <v/>
      </c>
      <c r="O20" s="34">
        <f>O10*(1-(Dashboard!$B$29+(Dashboard!$B$30-Dashboard!$B$29)*MIN(1,8/4)))-(O14+O16+O18)</f>
        <v/>
      </c>
      <c r="P20" s="34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25">
        <f>IFERROR(B20/B10,"")</f>
        <v/>
      </c>
      <c r="C21" s="25">
        <f>IFERROR(C20/C10,"")</f>
        <v/>
      </c>
      <c r="D21" s="25">
        <f>IFERROR(D20/D10,"")</f>
        <v/>
      </c>
      <c r="E21" s="25">
        <f>IFERROR(E20/E10,"")</f>
        <v/>
      </c>
      <c r="F21" s="25">
        <f>IFERROR(F20/F10,"")</f>
        <v/>
      </c>
      <c r="G21" s="25">
        <f>IFERROR(G20/G10,"")</f>
        <v/>
      </c>
      <c r="H21" s="25">
        <f>IFERROR(H20/H10,"")</f>
        <v/>
      </c>
      <c r="I21" s="25">
        <f>IFERROR(I20/I10,"")</f>
        <v/>
      </c>
      <c r="J21" s="25">
        <f>IFERROR(J20/J10,"")</f>
        <v/>
      </c>
      <c r="K21" s="25">
        <f>IFERROR(K20/K10,"")</f>
        <v/>
      </c>
      <c r="L21" s="25">
        <f>IFERROR(L20/L10,"")</f>
        <v/>
      </c>
      <c r="M21" s="25">
        <f>IFERROR(M20/M10,"")</f>
        <v/>
      </c>
      <c r="N21" s="25">
        <f>IFERROR(N20/N10,"")</f>
        <v/>
      </c>
      <c r="O21" s="25">
        <f>IFERROR(O20/O10,"")</f>
        <v/>
      </c>
      <c r="P21" s="25">
        <f>IFERROR(P20/P10,"")</f>
        <v/>
      </c>
    </row>
    <row r="23">
      <c r="A23" s="3" t="inlineStr">
        <is>
          <t>Operating income (EBIT)</t>
        </is>
      </c>
      <c r="B23" s="43">
        <f>B10-(B14+B16+B18)-B20</f>
        <v/>
      </c>
      <c r="C23" s="43">
        <f>C10-(C14+C16+C18)-C20</f>
        <v/>
      </c>
      <c r="D23" s="43">
        <f>D10-(D14+D16+D18)-D20</f>
        <v/>
      </c>
      <c r="E23" s="43">
        <f>E10-(E14+E16+E18)-E20</f>
        <v/>
      </c>
      <c r="F23" s="43">
        <f>F10-(F14+F16+F18)-F20</f>
        <v/>
      </c>
      <c r="G23" s="43">
        <f>G10-(G14+G16+G18)-G20</f>
        <v/>
      </c>
      <c r="H23" s="43">
        <f>H10-(H14+H16+H18)-H20</f>
        <v/>
      </c>
      <c r="I23" s="43">
        <f>I10-(I14+I16+I18)-I20</f>
        <v/>
      </c>
      <c r="J23" s="43">
        <f>J10-(J14+J16+J18)-J20</f>
        <v/>
      </c>
      <c r="K23" s="43">
        <f>K10-(K14+K16+K18)-K20</f>
        <v/>
      </c>
      <c r="L23" s="43">
        <f>L10-(L14+L16+L18)-L20</f>
        <v/>
      </c>
      <c r="M23" s="43">
        <f>M10-(M14+M16+M18)-M20</f>
        <v/>
      </c>
      <c r="N23" s="43">
        <f>N10-(N14+N16+N18)-N20</f>
        <v/>
      </c>
      <c r="O23" s="43">
        <f>O10-(O14+O16+O18)-O20</f>
        <v/>
      </c>
      <c r="P23" s="43">
        <f>P10-(P14+P16+P18)-P20</f>
        <v/>
      </c>
    </row>
    <row r="24">
      <c r="A24" s="4" t="inlineStr">
        <is>
          <t xml:space="preserve">    operating margin</t>
        </is>
      </c>
      <c r="B24" s="25">
        <f>IFERROR(B23/B10,"")</f>
        <v/>
      </c>
      <c r="C24" s="25">
        <f>IFERROR(C23/C10,"")</f>
        <v/>
      </c>
      <c r="D24" s="25">
        <f>IFERROR(D23/D10,"")</f>
        <v/>
      </c>
      <c r="E24" s="25">
        <f>IFERROR(E23/E10,"")</f>
        <v/>
      </c>
      <c r="F24" s="25">
        <f>IFERROR(F23/F10,"")</f>
        <v/>
      </c>
      <c r="G24" s="25">
        <f>IFERROR(G23/G10,"")</f>
        <v/>
      </c>
      <c r="H24" s="25">
        <f>IFERROR(H23/H10,"")</f>
        <v/>
      </c>
      <c r="I24" s="25">
        <f>IFERROR(I23/I10,"")</f>
        <v/>
      </c>
      <c r="J24" s="25">
        <f>IFERROR(J23/J10,"")</f>
        <v/>
      </c>
      <c r="K24" s="25">
        <f>IFERROR(K23/K10,"")</f>
        <v/>
      </c>
      <c r="L24" s="25">
        <f>IFERROR(L23/L10,"")</f>
        <v/>
      </c>
      <c r="M24" s="25">
        <f>IFERROR(M23/M10,"")</f>
        <v/>
      </c>
      <c r="N24" s="25">
        <f>IFERROR(N23/N10,"")</f>
        <v/>
      </c>
      <c r="O24" s="25">
        <f>IFERROR(O23/O10,"")</f>
        <v/>
      </c>
      <c r="P24" s="25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34">
        <f>B23*(1-Valuation!$B$5)</f>
        <v/>
      </c>
      <c r="C27" s="34">
        <f>C23*(1-Valuation!$B$5)</f>
        <v/>
      </c>
      <c r="D27" s="34">
        <f>D23*(1-Valuation!$B$5)</f>
        <v/>
      </c>
      <c r="E27" s="34">
        <f>E23*(1-Valuation!$B$5)</f>
        <v/>
      </c>
      <c r="F27" s="34">
        <f>F23*(1-Valuation!$B$5)</f>
        <v/>
      </c>
      <c r="G27" s="34">
        <f>G23*(1-Valuation!$B$5)</f>
        <v/>
      </c>
      <c r="H27" s="34">
        <f>H23*(1-Valuation!$B$5)</f>
        <v/>
      </c>
      <c r="I27" s="34">
        <f>I23*(1-Valuation!$B$5)</f>
        <v/>
      </c>
      <c r="J27" s="34">
        <f>J23*(1-Valuation!$B$5)</f>
        <v/>
      </c>
      <c r="K27" s="34">
        <f>K23*(1-Valuation!$B$5)</f>
        <v/>
      </c>
      <c r="L27" s="34">
        <f>L23*(1-Valuation!$B$5)</f>
        <v/>
      </c>
      <c r="M27" s="34">
        <f>M23*(1-Valuation!$B$5)</f>
        <v/>
      </c>
      <c r="N27" s="34">
        <f>N23*(1-Valuation!$B$5)</f>
        <v/>
      </c>
      <c r="O27" s="34">
        <f>O23*(1-Valuation!$B$5)</f>
        <v/>
      </c>
      <c r="P27" s="34">
        <f>P23*(1-Valuation!$B$5)</f>
        <v/>
      </c>
    </row>
    <row r="28">
      <c r="A28" s="4" t="inlineStr">
        <is>
          <t>+ D&amp;A</t>
        </is>
      </c>
      <c r="B28" s="34">
        <f>SUM(Financials!J47:M47)</f>
        <v/>
      </c>
      <c r="C28" s="34">
        <f>SUM(Financials!N47:Q47)</f>
        <v/>
      </c>
      <c r="D28" s="34">
        <f>SUM(Financials!R47:U47)</f>
        <v/>
      </c>
      <c r="E28" s="34">
        <f>SUM(Financials!V47:Y47)</f>
        <v/>
      </c>
      <c r="F28" s="34">
        <f>SUM(Financials!Z47:AC47)</f>
        <v/>
      </c>
      <c r="G28" s="42">
        <f>G10*0.0142</f>
        <v/>
      </c>
      <c r="H28" s="42">
        <f>H10*0.0142</f>
        <v/>
      </c>
      <c r="I28" s="42">
        <f>I10*0.0142</f>
        <v/>
      </c>
      <c r="J28" s="42">
        <f>J10*0.0142</f>
        <v/>
      </c>
      <c r="K28" s="42">
        <f>K10*0.0142</f>
        <v/>
      </c>
      <c r="L28" s="42">
        <f>L10*0.0142</f>
        <v/>
      </c>
      <c r="M28" s="42">
        <f>M10*0.0142</f>
        <v/>
      </c>
      <c r="N28" s="42">
        <f>N10*0.0142</f>
        <v/>
      </c>
      <c r="O28" s="42">
        <f>O10*0.0142</f>
        <v/>
      </c>
      <c r="P28" s="42">
        <f>P10*0.0142</f>
        <v/>
      </c>
    </row>
    <row r="29">
      <c r="A29" s="4" t="inlineStr">
        <is>
          <t>+ SBC (non-cash)</t>
        </is>
      </c>
      <c r="B29" s="34">
        <f>SUM(Financials!J48:M48)</f>
        <v/>
      </c>
      <c r="C29" s="34">
        <f>SUM(Financials!N48:Q48)</f>
        <v/>
      </c>
      <c r="D29" s="34">
        <f>SUM(Financials!R48:U48)</f>
        <v/>
      </c>
      <c r="E29" s="34">
        <f>SUM(Financials!V48:Y48)</f>
        <v/>
      </c>
      <c r="F29" s="34">
        <f>SUM(Financials!Z48:AC48)</f>
        <v/>
      </c>
      <c r="G29" s="34">
        <f>G10*(Dashboard!$B$65+(Dashboard!$B$66-Dashboard!$B$65)*0/9)</f>
        <v/>
      </c>
      <c r="H29" s="34">
        <f>H10*(Dashboard!$B$65+(Dashboard!$B$66-Dashboard!$B$65)*1/9)</f>
        <v/>
      </c>
      <c r="I29" s="34">
        <f>I10*(Dashboard!$B$65+(Dashboard!$B$66-Dashboard!$B$65)*2/9)</f>
        <v/>
      </c>
      <c r="J29" s="34">
        <f>J10*(Dashboard!$B$65+(Dashboard!$B$66-Dashboard!$B$65)*3/9)</f>
        <v/>
      </c>
      <c r="K29" s="34">
        <f>K10*(Dashboard!$B$65+(Dashboard!$B$66-Dashboard!$B$65)*4/9)</f>
        <v/>
      </c>
      <c r="L29" s="34">
        <f>L10*(Dashboard!$B$65+(Dashboard!$B$66-Dashboard!$B$65)*5/9)</f>
        <v/>
      </c>
      <c r="M29" s="34">
        <f>M10*(Dashboard!$B$65+(Dashboard!$B$66-Dashboard!$B$65)*6/9)</f>
        <v/>
      </c>
      <c r="N29" s="34">
        <f>N10*(Dashboard!$B$65+(Dashboard!$B$66-Dashboard!$B$65)*7/9)</f>
        <v/>
      </c>
      <c r="O29" s="34">
        <f>O10*(Dashboard!$B$65+(Dashboard!$B$66-Dashboard!$B$65)*8/9)</f>
        <v/>
      </c>
      <c r="P29" s="34">
        <f>P10*(Dashboard!$B$65+(Dashboard!$B$66-Dashboard!$B$65)*9/9)</f>
        <v/>
      </c>
    </row>
    <row r="30">
      <c r="A30" s="4" t="inlineStr">
        <is>
          <t>- dNWC</t>
        </is>
      </c>
      <c r="G30" s="42">
        <f>(G10-F10)*0.0050</f>
        <v/>
      </c>
      <c r="H30" s="42">
        <f>(H10-G10)*0.0050</f>
        <v/>
      </c>
      <c r="I30" s="42">
        <f>(I10-H10)*0.0050</f>
        <v/>
      </c>
      <c r="J30" s="42">
        <f>(J10-I10)*0.0050</f>
        <v/>
      </c>
      <c r="K30" s="42">
        <f>(K10-J10)*0.0050</f>
        <v/>
      </c>
      <c r="L30" s="42">
        <f>(L10-K10)*0.0050</f>
        <v/>
      </c>
      <c r="M30" s="42">
        <f>(M10-L10)*0.0050</f>
        <v/>
      </c>
      <c r="N30" s="42">
        <f>(N10-M10)*0.0050</f>
        <v/>
      </c>
      <c r="O30" s="42">
        <f>(O10-N10)*0.0050</f>
        <v/>
      </c>
      <c r="P30" s="42">
        <f>(P10-O10)*0.0050</f>
        <v/>
      </c>
    </row>
    <row r="31">
      <c r="A31" s="4" t="inlineStr">
        <is>
          <t>- Capex</t>
        </is>
      </c>
      <c r="B31" s="34">
        <f>-SUM(Financials!J51:M51)</f>
        <v/>
      </c>
      <c r="C31" s="34">
        <f>-SUM(Financials!N51:Q51)</f>
        <v/>
      </c>
      <c r="D31" s="34">
        <f>-SUM(Financials!R51:U51)</f>
        <v/>
      </c>
      <c r="E31" s="34">
        <f>-SUM(Financials!V51:Y51)</f>
        <v/>
      </c>
      <c r="F31" s="34">
        <f>-SUM(Financials!Z51:AC51)</f>
        <v/>
      </c>
      <c r="G31" s="42">
        <f>G28*G32</f>
        <v/>
      </c>
      <c r="H31" s="42">
        <f>H28*H32</f>
        <v/>
      </c>
      <c r="I31" s="42">
        <f>I28*I32</f>
        <v/>
      </c>
      <c r="J31" s="42">
        <f>J28*J32</f>
        <v/>
      </c>
      <c r="K31" s="42">
        <f>K28*K32</f>
        <v/>
      </c>
      <c r="L31" s="42">
        <f>L28*L32</f>
        <v/>
      </c>
      <c r="M31" s="42">
        <f>M28*M32</f>
        <v/>
      </c>
      <c r="N31" s="42">
        <f>N28*N32</f>
        <v/>
      </c>
      <c r="O31" s="42">
        <f>O28*O32</f>
        <v/>
      </c>
      <c r="P31" s="42">
        <f>P28*P32</f>
        <v/>
      </c>
    </row>
    <row r="32">
      <c r="A32" s="4" t="inlineStr">
        <is>
          <t xml:space="preserve">    Capex / D&amp;A  (from Dashboard: $cap'26 -&gt; terminal)</t>
        </is>
      </c>
      <c r="B32" s="26">
        <f>IFERROR(B31/B28,"")</f>
        <v/>
      </c>
      <c r="C32" s="26">
        <f>IFERROR(C31/C28,"")</f>
        <v/>
      </c>
      <c r="D32" s="26">
        <f>IFERROR(D31/D28,"")</f>
        <v/>
      </c>
      <c r="E32" s="26">
        <f>IFERROR(E31/E28,"")</f>
        <v/>
      </c>
      <c r="F32" s="26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43">
        <f>B27+B28+B29-B30-B31</f>
        <v/>
      </c>
      <c r="C34" s="43">
        <f>C27+C28+C29-C30-C31</f>
        <v/>
      </c>
      <c r="D34" s="43">
        <f>D27+D28+D29-D30-D31</f>
        <v/>
      </c>
      <c r="E34" s="43">
        <f>E27+E28+E29-E30-E31</f>
        <v/>
      </c>
      <c r="F34" s="43">
        <f>F27+F28+F29-F30-F31</f>
        <v/>
      </c>
      <c r="G34" s="43">
        <f>G27+G28+G29-G30-G31</f>
        <v/>
      </c>
      <c r="H34" s="43">
        <f>H27+H28+H29-H30-H31</f>
        <v/>
      </c>
      <c r="I34" s="43">
        <f>I27+I28+I29-I30-I31</f>
        <v/>
      </c>
      <c r="J34" s="43">
        <f>J27+J28+J29-J30-J31</f>
        <v/>
      </c>
      <c r="K34" s="43">
        <f>K27+K28+K29-K30-K31</f>
        <v/>
      </c>
      <c r="L34" s="43">
        <f>L27+L28+L29-L30-L31</f>
        <v/>
      </c>
      <c r="M34" s="43">
        <f>M27+M28+M29-M30-M31</f>
        <v/>
      </c>
      <c r="N34" s="43">
        <f>N27+N28+N29-N30-N31</f>
        <v/>
      </c>
      <c r="O34" s="43">
        <f>O27+O28+O29-O30-O31</f>
        <v/>
      </c>
      <c r="P34" s="43">
        <f>P27+P28+P29-P30-P31</f>
        <v/>
      </c>
    </row>
    <row r="35">
      <c r="A35" s="3" t="inlineStr">
        <is>
          <t>Valuation FCF (NOPAT + D&amp;A - dNWC - Capex - after-tax SBC)</t>
        </is>
      </c>
      <c r="B35" s="44">
        <f>B34-B29-B29*(1-Valuation!$B$5)</f>
        <v/>
      </c>
      <c r="C35" s="44">
        <f>C34-C29-C29*(1-Valuation!$B$5)</f>
        <v/>
      </c>
      <c r="D35" s="44">
        <f>D34-D29-D29*(1-Valuation!$B$5)</f>
        <v/>
      </c>
      <c r="E35" s="44">
        <f>E34-E29-E29*(1-Valuation!$B$5)</f>
        <v/>
      </c>
      <c r="F35" s="44">
        <f>F34-F29-F29*(1-Valuation!$B$5)</f>
        <v/>
      </c>
      <c r="G35" s="44">
        <f>G34-G29-G29*(1-Valuation!$B$5)</f>
        <v/>
      </c>
      <c r="H35" s="44">
        <f>H34-H29-H29*(1-Valuation!$B$5)</f>
        <v/>
      </c>
      <c r="I35" s="44">
        <f>I34-I29-I29*(1-Valuation!$B$5)</f>
        <v/>
      </c>
      <c r="J35" s="44">
        <f>J34-J29-J29*(1-Valuation!$B$5)</f>
        <v/>
      </c>
      <c r="K35" s="44">
        <f>K34-K29-K29*(1-Valuation!$B$5)</f>
        <v/>
      </c>
      <c r="L35" s="44">
        <f>L34-L29-L29*(1-Valuation!$B$5)</f>
        <v/>
      </c>
      <c r="M35" s="44">
        <f>M34-M29-M29*(1-Valuation!$B$5)</f>
        <v/>
      </c>
      <c r="N35" s="44">
        <f>N34-N29-N29*(1-Valuation!$B$5)</f>
        <v/>
      </c>
      <c r="O35" s="44">
        <f>O34-O29-O29*(1-Valuation!$B$5)</f>
        <v/>
      </c>
      <c r="P35" s="44">
        <f>P34-P29-P29*(1-Valuation!$B$5)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34">
        <f>Financials!M45+Financials!M44-Financials!M39</f>
        <v/>
      </c>
      <c r="C38" s="34">
        <f>Financials!Q45+Financials!Q44-Financials!Q39</f>
        <v/>
      </c>
      <c r="D38" s="34">
        <f>Financials!U45+Financials!U44-Financials!U39</f>
        <v/>
      </c>
      <c r="E38" s="34">
        <f>Financials!Y45+Financials!Y44-Financials!Y39</f>
        <v/>
      </c>
      <c r="F38" s="34">
        <f>Financials!AC45+Financials!AC44-Financials!AC39</f>
        <v/>
      </c>
      <c r="G38" s="42">
        <f>F38+G31-G28+G30</f>
        <v/>
      </c>
      <c r="H38" s="42">
        <f>G38+H31-H28+H30</f>
        <v/>
      </c>
      <c r="I38" s="42">
        <f>H38+I31-I28+I30</f>
        <v/>
      </c>
      <c r="J38" s="42">
        <f>I38+J31-J28+J30</f>
        <v/>
      </c>
      <c r="K38" s="42">
        <f>J38+K31-K28+K30</f>
        <v/>
      </c>
      <c r="L38" s="42">
        <f>K38+L31-L28+L30</f>
        <v/>
      </c>
      <c r="M38" s="42">
        <f>L38+M31-M28+M30</f>
        <v/>
      </c>
      <c r="N38" s="42">
        <f>M38+N31-N28+N30</f>
        <v/>
      </c>
      <c r="O38" s="42">
        <f>N38+O31-O28+O30</f>
        <v/>
      </c>
      <c r="P38" s="42">
        <f>O38+P31-P28+P30</f>
        <v/>
      </c>
    </row>
    <row r="39">
      <c r="A39" s="4" t="inlineStr">
        <is>
          <t>Book equity (year-end)</t>
        </is>
      </c>
      <c r="B39" s="34">
        <f>Financials!M45</f>
        <v/>
      </c>
      <c r="C39" s="34">
        <f>Financials!Q45</f>
        <v/>
      </c>
      <c r="D39" s="34">
        <f>Financials!U45</f>
        <v/>
      </c>
      <c r="E39" s="34">
        <f>Financials!Y45</f>
        <v/>
      </c>
      <c r="F39" s="34">
        <f>Financials!AC45</f>
        <v/>
      </c>
      <c r="G39" s="42">
        <f>F39+G27</f>
        <v/>
      </c>
      <c r="H39" s="42">
        <f>G39+H27</f>
        <v/>
      </c>
      <c r="I39" s="42">
        <f>H39+I27</f>
        <v/>
      </c>
      <c r="J39" s="42">
        <f>I39+J27</f>
        <v/>
      </c>
      <c r="K39" s="42">
        <f>J39+K27</f>
        <v/>
      </c>
      <c r="L39" s="42">
        <f>K39+L27</f>
        <v/>
      </c>
      <c r="M39" s="42">
        <f>L39+M27</f>
        <v/>
      </c>
      <c r="N39" s="42">
        <f>M39+N27</f>
        <v/>
      </c>
      <c r="O39" s="42">
        <f>N39+O27</f>
        <v/>
      </c>
      <c r="P39" s="42">
        <f>O39+P27</f>
        <v/>
      </c>
    </row>
    <row r="40">
      <c r="A40" s="3" t="inlineStr">
        <is>
          <t xml:space="preserve">  ROIC (NOPAT / beg. invested capital)</t>
        </is>
      </c>
      <c r="C40" s="25">
        <f>IFERROR(C27/B38,"")</f>
        <v/>
      </c>
      <c r="D40" s="25">
        <f>IFERROR(D27/C38,"")</f>
        <v/>
      </c>
      <c r="E40" s="25">
        <f>IFERROR(E27/D38,"")</f>
        <v/>
      </c>
      <c r="F40" s="25">
        <f>IFERROR(F27/E38,"")</f>
        <v/>
      </c>
      <c r="G40" s="25">
        <f>IFERROR(G27/F38,"")</f>
        <v/>
      </c>
      <c r="H40" s="25">
        <f>IFERROR(H27/G38,"")</f>
        <v/>
      </c>
      <c r="I40" s="25">
        <f>IFERROR(I27/H38,"")</f>
        <v/>
      </c>
      <c r="J40" s="25">
        <f>IFERROR(J27/I38,"")</f>
        <v/>
      </c>
      <c r="K40" s="25">
        <f>IFERROR(K27/J38,"")</f>
        <v/>
      </c>
      <c r="L40" s="25">
        <f>IFERROR(L27/K38,"")</f>
        <v/>
      </c>
      <c r="M40" s="25">
        <f>IFERROR(M27/L38,"")</f>
        <v/>
      </c>
      <c r="N40" s="25">
        <f>IFERROR(N27/M38,"")</f>
        <v/>
      </c>
      <c r="O40" s="25">
        <f>IFERROR(O27/N38,"")</f>
        <v/>
      </c>
      <c r="P40" s="25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IFERROR(SUM(Financials!N15:Q15)/B39,"")</f>
        <v/>
      </c>
      <c r="D41" s="11">
        <f>IFERROR(SUM(Financials!R15:U15)/C39,"")</f>
        <v/>
      </c>
      <c r="E41" s="11">
        <f>IFERROR(SUM(Financials!V15:Y15)/D39,"")</f>
        <v/>
      </c>
      <c r="F41" s="11">
        <f>IFERROR(SUM(Financials!Z15:AC15)/E39,"")</f>
        <v/>
      </c>
      <c r="G41" s="25">
        <f>IFERROR(G27/F39,"")</f>
        <v/>
      </c>
      <c r="H41" s="25">
        <f>IFERROR(H27/G39,"")</f>
        <v/>
      </c>
      <c r="I41" s="25">
        <f>IFERROR(I27/H39,"")</f>
        <v/>
      </c>
      <c r="J41" s="25">
        <f>IFERROR(J27/I39,"")</f>
        <v/>
      </c>
      <c r="K41" s="25">
        <f>IFERROR(K27/J39,"")</f>
        <v/>
      </c>
      <c r="L41" s="25">
        <f>IFERROR(L27/K39,"")</f>
        <v/>
      </c>
      <c r="M41" s="25">
        <f>IFERROR(M27/L39,"")</f>
        <v/>
      </c>
      <c r="N41" s="25">
        <f>IFERROR(N27/M39,"")</f>
        <v/>
      </c>
      <c r="O41" s="25">
        <f>IFERROR(O27/N39,"")</f>
        <v/>
      </c>
      <c r="P41" s="25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IFERROR(C40-WACC!$B$15,"")</f>
        <v/>
      </c>
      <c r="D42" s="11">
        <f>IFERROR(D40-WACC!$B$15,"")</f>
        <v/>
      </c>
      <c r="E42" s="11">
        <f>IFERROR(E40-WACC!$B$15,"")</f>
        <v/>
      </c>
      <c r="F42" s="11">
        <f>IFERROR(F40-WACC!$B$15,"")</f>
        <v/>
      </c>
      <c r="G42" s="11">
        <f>IFERROR(G40-WACC!$B$15,"")</f>
        <v/>
      </c>
      <c r="H42" s="11">
        <f>IFERROR(H40-WACC!$B$15,"")</f>
        <v/>
      </c>
      <c r="I42" s="11">
        <f>IFERROR(I40-WACC!$B$15,"")</f>
        <v/>
      </c>
      <c r="J42" s="11">
        <f>IFERROR(J40-WACC!$B$15,"")</f>
        <v/>
      </c>
      <c r="K42" s="11">
        <f>IFERROR(K40-WACC!$B$15,"")</f>
        <v/>
      </c>
      <c r="L42" s="11">
        <f>IFERROR(L40-WACC!$B$15,"")</f>
        <v/>
      </c>
      <c r="M42" s="11">
        <f>IFERROR(M40-WACC!$B$15,"")</f>
        <v/>
      </c>
      <c r="N42" s="11">
        <f>IFERROR(N40-WACC!$B$15,"")</f>
        <v/>
      </c>
      <c r="O42" s="11">
        <f>IFERROR(O40-WACC!$B$15,"")</f>
        <v/>
      </c>
      <c r="P42" s="11">
        <f>IFERROR(P40-WACC!$B$15,"")</f>
        <v/>
      </c>
    </row>
    <row r="43">
      <c r="A43" s="4" t="inlineStr">
        <is>
          <t xml:space="preserve">  Incremental op margin (ΔEBIT / ΔRev)</t>
        </is>
      </c>
      <c r="C43" s="25">
        <f>IFERROR((C23-B23)/(C10-B10),"")</f>
        <v/>
      </c>
      <c r="D43" s="25">
        <f>IFERROR((D23-C23)/(D10-C10),"")</f>
        <v/>
      </c>
      <c r="E43" s="25">
        <f>IFERROR((E23-D23)/(E10-D10),"")</f>
        <v/>
      </c>
      <c r="F43" s="25">
        <f>IFERROR((F23-E23)/(F10-E10),"")</f>
        <v/>
      </c>
      <c r="G43" s="25">
        <f>IFERROR((G23-F23)/(G10-F10),"")</f>
        <v/>
      </c>
      <c r="H43" s="25">
        <f>IFERROR((H23-G23)/(H10-G10),"")</f>
        <v/>
      </c>
      <c r="I43" s="25">
        <f>IFERROR((I23-H23)/(I10-H10),"")</f>
        <v/>
      </c>
      <c r="J43" s="25">
        <f>IFERROR((J23-I23)/(J10-I10),"")</f>
        <v/>
      </c>
      <c r="K43" s="25">
        <f>IFERROR((K23-J23)/(K10-J10),"")</f>
        <v/>
      </c>
      <c r="L43" s="25">
        <f>IFERROR((L23-K23)/(L10-K10),"")</f>
        <v/>
      </c>
      <c r="M43" s="25">
        <f>IFERROR((M23-L23)/(M10-L10),"")</f>
        <v/>
      </c>
      <c r="N43" s="25">
        <f>IFERROR((N23-M23)/(N10-M10),"")</f>
        <v/>
      </c>
      <c r="O43" s="25">
        <f>IFERROR((O23-N23)/(O10-N10),"")</f>
        <v/>
      </c>
      <c r="P43" s="25">
        <f>IFERROR((P23-O23)/(P10-O10),"")</f>
        <v/>
      </c>
    </row>
    <row r="44">
      <c r="A44" s="3" t="inlineStr">
        <is>
          <t xml:space="preserve">  ROIIC (ΔNOPAT / ΔInvested capital)</t>
        </is>
      </c>
      <c r="C44" s="25">
        <f>IFERROR((C27-B27)/(C38-B38),"")</f>
        <v/>
      </c>
      <c r="D44" s="25">
        <f>IFERROR((D27-C27)/(D38-C38),"")</f>
        <v/>
      </c>
      <c r="E44" s="25">
        <f>IFERROR((E27-D27)/(E38-D38),"")</f>
        <v/>
      </c>
      <c r="F44" s="25">
        <f>IFERROR((F27-E27)/(F38-E38),"")</f>
        <v/>
      </c>
      <c r="G44" s="25">
        <f>IFERROR((G27-F27)/(G38-F38),"")</f>
        <v/>
      </c>
      <c r="H44" s="25">
        <f>IFERROR((H27-G27)/(H38-G38),"")</f>
        <v/>
      </c>
      <c r="I44" s="25">
        <f>IFERROR((I27-H27)/(I38-H38),"")</f>
        <v/>
      </c>
      <c r="J44" s="25">
        <f>IFERROR((J27-I27)/(J38-I38),"")</f>
        <v/>
      </c>
      <c r="K44" s="25">
        <f>IFERROR((K27-J27)/(K38-J38),"")</f>
        <v/>
      </c>
      <c r="L44" s="25">
        <f>IFERROR((L27-K27)/(L38-K38),"")</f>
        <v/>
      </c>
      <c r="M44" s="25">
        <f>IFERROR((M27-L27)/(M38-L38),"")</f>
        <v/>
      </c>
      <c r="N44" s="25">
        <f>IFERROR((N27-M27)/(N38-M38),"")</f>
        <v/>
      </c>
      <c r="O44" s="25">
        <f>IFERROR((O27-N27)/(O38-N38),"")</f>
        <v/>
      </c>
      <c r="P44" s="25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45">
        <f>IFERROR((C10-B10)/(C38-B38),"")</f>
        <v/>
      </c>
      <c r="D45" s="45">
        <f>IFERROR((D10-C10)/(D38-C38),"")</f>
        <v/>
      </c>
      <c r="E45" s="45">
        <f>IFERROR((E10-D10)/(E38-D38),"")</f>
        <v/>
      </c>
      <c r="F45" s="45">
        <f>IFERROR((F10-E10)/(F38-E38),"")</f>
        <v/>
      </c>
      <c r="G45" s="45">
        <f>IFERROR((G10-F10)/(G38-F38),"")</f>
        <v/>
      </c>
      <c r="H45" s="45">
        <f>IFERROR((H10-G10)/(H38-G38),"")</f>
        <v/>
      </c>
      <c r="I45" s="45">
        <f>IFERROR((I10-H10)/(I38-H38),"")</f>
        <v/>
      </c>
      <c r="J45" s="45">
        <f>IFERROR((J10-I10)/(J38-I38),"")</f>
        <v/>
      </c>
      <c r="K45" s="45">
        <f>IFERROR((K10-J10)/(K38-J38),"")</f>
        <v/>
      </c>
      <c r="L45" s="45">
        <f>IFERROR((L10-K10)/(L38-K38),"")</f>
        <v/>
      </c>
      <c r="M45" s="45">
        <f>IFERROR((M10-L10)/(M38-L38),"")</f>
        <v/>
      </c>
      <c r="N45" s="45">
        <f>IFERROR((N10-M10)/(N38-M38),"")</f>
        <v/>
      </c>
      <c r="O45" s="45">
        <f>IFERROR((O10-N10)/(O38-N38),"")</f>
        <v/>
      </c>
      <c r="P45" s="45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5">
        <f>IFERROR((C38-B38)/C27,"")</f>
        <v/>
      </c>
      <c r="D46" s="25">
        <f>IFERROR((D38-C38)/D27,"")</f>
        <v/>
      </c>
      <c r="E46" s="25">
        <f>IFERROR((E38-D38)/E27,"")</f>
        <v/>
      </c>
      <c r="F46" s="25">
        <f>IFERROR((F38-E38)/F27,"")</f>
        <v/>
      </c>
      <c r="G46" s="25">
        <f>IFERROR((G38-F38)/G27,"")</f>
        <v/>
      </c>
      <c r="H46" s="25">
        <f>IFERROR((H38-G38)/H27,"")</f>
        <v/>
      </c>
      <c r="I46" s="25">
        <f>IFERROR((I38-H38)/I27,"")</f>
        <v/>
      </c>
      <c r="J46" s="25">
        <f>IFERROR((J38-I38)/J27,"")</f>
        <v/>
      </c>
      <c r="K46" s="25">
        <f>IFERROR((K38-J38)/K27,"")</f>
        <v/>
      </c>
      <c r="L46" s="25">
        <f>IFERROR((L38-K38)/L27,"")</f>
        <v/>
      </c>
      <c r="M46" s="25">
        <f>IFERROR((M38-L38)/M27,"")</f>
        <v/>
      </c>
      <c r="N46" s="25">
        <f>IFERROR((N38-M38)/N27,"")</f>
        <v/>
      </c>
      <c r="O46" s="25">
        <f>IFERROR((O38-N38)/O27,"")</f>
        <v/>
      </c>
      <c r="P46" s="25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Q1 2020</t>
        </is>
      </c>
      <c r="C1" s="46" t="inlineStr">
        <is>
          <t>Q2 2020</t>
        </is>
      </c>
      <c r="D1" s="46" t="inlineStr">
        <is>
          <t>Q3 2020</t>
        </is>
      </c>
      <c r="E1" s="46" t="inlineStr">
        <is>
          <t>Q4 2020</t>
        </is>
      </c>
      <c r="F1" s="46" t="inlineStr">
        <is>
          <t>Q1 2021</t>
        </is>
      </c>
      <c r="G1" s="46" t="inlineStr">
        <is>
          <t>Q2 2021</t>
        </is>
      </c>
      <c r="H1" s="46" t="inlineStr">
        <is>
          <t>Q3 2021</t>
        </is>
      </c>
      <c r="I1" s="46" t="inlineStr">
        <is>
          <t>Q4 2021</t>
        </is>
      </c>
      <c r="J1" s="46" t="inlineStr">
        <is>
          <t>Q1 2022</t>
        </is>
      </c>
      <c r="K1" s="46" t="inlineStr">
        <is>
          <t>Q2 2022</t>
        </is>
      </c>
      <c r="L1" s="46" t="inlineStr">
        <is>
          <t>Q3 2022</t>
        </is>
      </c>
      <c r="M1" s="46" t="inlineStr">
        <is>
          <t>Q4 2022</t>
        </is>
      </c>
      <c r="N1" s="46" t="inlineStr">
        <is>
          <t>Q1 2023</t>
        </is>
      </c>
      <c r="O1" s="46" t="inlineStr">
        <is>
          <t>Q2 2023</t>
        </is>
      </c>
      <c r="P1" s="46" t="inlineStr">
        <is>
          <t>Q3 2023</t>
        </is>
      </c>
      <c r="Q1" s="46" t="inlineStr">
        <is>
          <t>Q4 2023</t>
        </is>
      </c>
      <c r="R1" s="46" t="inlineStr">
        <is>
          <t>Q1 2024</t>
        </is>
      </c>
      <c r="S1" s="46" t="inlineStr">
        <is>
          <t>Q2 2024</t>
        </is>
      </c>
      <c r="T1" s="46" t="inlineStr">
        <is>
          <t>Q3 2024</t>
        </is>
      </c>
      <c r="U1" s="46" t="inlineStr">
        <is>
          <t>Q4 2024</t>
        </is>
      </c>
      <c r="V1" s="46" t="inlineStr">
        <is>
          <t>Q1 2025</t>
        </is>
      </c>
      <c r="W1" s="46" t="inlineStr">
        <is>
          <t>Q2 2025</t>
        </is>
      </c>
      <c r="X1" s="46" t="inlineStr">
        <is>
          <t>Q3 2025</t>
        </is>
      </c>
      <c r="Y1" s="46" t="inlineStr">
        <is>
          <t>Q4 2025</t>
        </is>
      </c>
      <c r="Z1" s="46" t="inlineStr">
        <is>
          <t>Q1 2026</t>
        </is>
      </c>
      <c r="AA1" s="46" t="inlineStr">
        <is>
          <t>Q2 2026</t>
        </is>
      </c>
      <c r="AB1" s="46" t="inlineStr">
        <is>
          <t>Q3 2026</t>
        </is>
      </c>
      <c r="AC1" s="46" t="inlineStr">
        <is>
          <t>Q4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89.38800000000001</v>
      </c>
      <c r="C3" s="18" t="n">
        <v>99.36799999999999</v>
      </c>
      <c r="D3" s="18" t="n">
        <v>109.441</v>
      </c>
      <c r="E3" s="18" t="n">
        <v>123.523</v>
      </c>
      <c r="F3" s="18" t="n">
        <v>130.329</v>
      </c>
      <c r="G3" s="18" t="n">
        <v>138.281</v>
      </c>
      <c r="H3" s="18" t="n">
        <v>150.771</v>
      </c>
      <c r="I3" s="18" t="n">
        <v>170.999</v>
      </c>
      <c r="J3" s="18" t="n">
        <v>181.648</v>
      </c>
      <c r="K3" s="18" t="n">
        <v>198.747</v>
      </c>
      <c r="L3" s="18" t="n">
        <v>226.893</v>
      </c>
      <c r="M3" s="18" t="n">
        <v>266.494</v>
      </c>
      <c r="N3" s="18" t="n">
        <v>285.447</v>
      </c>
      <c r="O3" s="18" t="n">
        <v>303.66</v>
      </c>
      <c r="P3" s="18" t="n">
        <v>333.621</v>
      </c>
      <c r="Q3" s="18" t="n">
        <v>361.312</v>
      </c>
      <c r="R3" s="18" t="n">
        <v>368.28</v>
      </c>
      <c r="S3" s="18" t="n">
        <v>423.791</v>
      </c>
      <c r="T3" s="18" t="n">
        <v>432.938</v>
      </c>
      <c r="U3" s="18" t="n">
        <v>458.002</v>
      </c>
      <c r="V3" s="18" t="n">
        <v>450.561</v>
      </c>
      <c r="W3" s="18" t="n">
        <v>478.109</v>
      </c>
      <c r="X3" s="18" t="n">
        <v>529.375</v>
      </c>
      <c r="Y3" s="18" t="n">
        <v>548.398</v>
      </c>
      <c r="Z3" s="18" t="n">
        <v>549.014</v>
      </c>
      <c r="AA3" s="18" t="n">
        <v>591.402</v>
      </c>
      <c r="AB3" s="18" t="n">
        <v>628.309</v>
      </c>
      <c r="AC3" s="18" t="n">
        <v>695.072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28.172</v>
      </c>
      <c r="C5" s="18" t="n">
        <v>30.202</v>
      </c>
      <c r="D5" s="18" t="n">
        <v>32.191</v>
      </c>
      <c r="E5" s="18" t="n">
        <v>34.791</v>
      </c>
      <c r="F5" s="18" t="n">
        <v>37.677</v>
      </c>
      <c r="G5" s="18" t="n">
        <v>42.304</v>
      </c>
      <c r="H5" s="18" t="n">
        <v>46.11</v>
      </c>
      <c r="I5" s="18" t="n">
        <v>50.985</v>
      </c>
      <c r="J5" s="18" t="n">
        <v>54.528</v>
      </c>
      <c r="K5" s="18" t="n">
        <v>60.702</v>
      </c>
      <c r="L5" s="18" t="n">
        <v>68.464</v>
      </c>
      <c r="M5" s="18" t="n">
        <v>75.798</v>
      </c>
      <c r="N5" s="18" t="n">
        <v>78.215</v>
      </c>
      <c r="O5" s="18" t="n">
        <v>88.277</v>
      </c>
      <c r="P5" s="18" t="n">
        <v>93.652</v>
      </c>
      <c r="Q5" s="18" t="n">
        <v>89.16</v>
      </c>
      <c r="R5" s="18" t="n">
        <v>97.449</v>
      </c>
      <c r="S5" s="18" t="n">
        <v>105.337</v>
      </c>
      <c r="T5" s="18" t="n">
        <v>107.058</v>
      </c>
      <c r="U5" s="18" t="n">
        <v>114.641</v>
      </c>
      <c r="V5" s="18" t="n">
        <v>125.397</v>
      </c>
      <c r="W5" s="18" t="n">
        <v>128.253</v>
      </c>
      <c r="X5" s="18" t="n">
        <v>135.331</v>
      </c>
      <c r="Y5" s="18" t="n">
        <v>149.015</v>
      </c>
      <c r="Z5" s="18" t="n">
        <v>158.041</v>
      </c>
      <c r="AA5" s="18" t="n">
        <v>171.428</v>
      </c>
      <c r="AB5" s="18" t="n">
        <v>179.177</v>
      </c>
      <c r="AC5" s="18" t="n">
        <v>187.412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30.868</v>
      </c>
      <c r="C7" s="18" t="n">
        <v>37.14</v>
      </c>
      <c r="D7" s="18" t="n">
        <v>39.387</v>
      </c>
      <c r="E7" s="18" t="n">
        <v>41.638</v>
      </c>
      <c r="F7" s="18" t="n">
        <v>45.632</v>
      </c>
      <c r="G7" s="18" t="n">
        <v>49.255</v>
      </c>
      <c r="H7" s="18" t="n">
        <v>54.363</v>
      </c>
      <c r="I7" s="18" t="n">
        <v>55.911</v>
      </c>
      <c r="J7" s="18" t="n">
        <v>64.751</v>
      </c>
      <c r="K7" s="18" t="n">
        <v>72.396</v>
      </c>
      <c r="L7" s="18" t="n">
        <v>82.256</v>
      </c>
      <c r="M7" s="18" t="n">
        <v>89.417</v>
      </c>
      <c r="N7" s="18" t="n">
        <v>96.372</v>
      </c>
      <c r="O7" s="18" t="n">
        <v>108.037</v>
      </c>
      <c r="P7" s="18" t="n">
        <v>106.392</v>
      </c>
      <c r="Q7" s="18" t="n">
        <v>110.891</v>
      </c>
      <c r="R7" s="18" t="n">
        <v>116.817</v>
      </c>
      <c r="S7" s="18" t="n">
        <v>125.42</v>
      </c>
      <c r="T7" s="18" t="n">
        <v>128.15</v>
      </c>
      <c r="U7" s="18" t="n">
        <v>145.553</v>
      </c>
      <c r="V7" s="18" t="n">
        <v>143.445</v>
      </c>
      <c r="W7" s="18" t="n">
        <v>148.967</v>
      </c>
      <c r="X7" s="18" t="n">
        <v>151.41</v>
      </c>
      <c r="Y7" s="18" t="n">
        <v>150.4</v>
      </c>
      <c r="Z7" s="18" t="n">
        <v>168.829</v>
      </c>
      <c r="AA7" s="18" t="n">
        <v>181.739</v>
      </c>
      <c r="AB7" s="18" t="n">
        <v>176.61</v>
      </c>
      <c r="AC7" s="18" t="n">
        <v>189.125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60.925</v>
      </c>
      <c r="C9" s="18" t="n">
        <v>69.69799999999999</v>
      </c>
      <c r="D9" s="18" t="n">
        <v>76.577</v>
      </c>
      <c r="E9" s="18" t="n">
        <v>87.997</v>
      </c>
      <c r="F9" s="18" t="n">
        <v>89.06</v>
      </c>
      <c r="G9" s="18" t="n">
        <v>96.502</v>
      </c>
      <c r="H9" s="18" t="n">
        <v>108.389</v>
      </c>
      <c r="I9" s="18" t="n">
        <v>123.496</v>
      </c>
      <c r="J9" s="18" t="n">
        <v>123.815</v>
      </c>
      <c r="K9" s="18" t="n">
        <v>138.18</v>
      </c>
      <c r="L9" s="18" t="n">
        <v>152.941</v>
      </c>
      <c r="M9" s="18" t="n">
        <v>179.898</v>
      </c>
      <c r="N9" s="18" t="n">
        <v>186.8</v>
      </c>
      <c r="O9" s="18" t="n">
        <v>222.189</v>
      </c>
      <c r="P9" s="18" t="n">
        <v>216.5</v>
      </c>
      <c r="Q9" s="18" t="n">
        <v>234.21</v>
      </c>
      <c r="R9" s="18" t="n">
        <v>222.561</v>
      </c>
      <c r="S9" s="18" t="n">
        <v>242.037</v>
      </c>
      <c r="T9" s="18" t="n">
        <v>242.946</v>
      </c>
      <c r="U9" s="18" t="n">
        <v>268.774</v>
      </c>
      <c r="V9" s="18" t="n">
        <v>279.905</v>
      </c>
      <c r="W9" s="18" t="n">
        <v>272.329</v>
      </c>
      <c r="X9" s="18" t="n">
        <v>270.51</v>
      </c>
      <c r="Y9" s="18" t="n">
        <v>267.545</v>
      </c>
      <c r="Z9" s="18" t="n">
        <v>275.698</v>
      </c>
      <c r="AA9" s="18" t="n">
        <v>303.529</v>
      </c>
      <c r="AB9" s="18" t="n">
        <v>290.946</v>
      </c>
      <c r="AC9" s="18" t="n">
        <v>318.231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61.216</v>
      </c>
      <c r="C11" s="18" t="n">
        <v>69.166</v>
      </c>
      <c r="D11" s="18" t="n">
        <v>77.25</v>
      </c>
      <c r="E11" s="18" t="n">
        <v>88.732</v>
      </c>
      <c r="F11" s="18" t="n">
        <v>92.652</v>
      </c>
      <c r="G11" s="18" t="n">
        <v>95.977</v>
      </c>
      <c r="H11" s="18" t="n">
        <v>104.661</v>
      </c>
      <c r="I11" s="18" t="n">
        <v>120.014</v>
      </c>
      <c r="J11" s="18" t="n">
        <v>127.12</v>
      </c>
      <c r="K11" s="18" t="n">
        <v>138.045</v>
      </c>
      <c r="L11" s="18" t="n">
        <v>158.429</v>
      </c>
      <c r="M11" s="18" t="n">
        <v>190.696</v>
      </c>
      <c r="N11" s="18" t="n">
        <v>207.232</v>
      </c>
      <c r="O11" s="18" t="n">
        <v>215.383</v>
      </c>
      <c r="P11" s="18" t="n">
        <v>239.969</v>
      </c>
      <c r="Q11" s="18" t="n">
        <v>272.152</v>
      </c>
      <c r="R11" s="18" t="n">
        <v>270.831</v>
      </c>
      <c r="S11" s="18" t="n">
        <v>318.454</v>
      </c>
      <c r="T11" s="18" t="n">
        <v>325.88</v>
      </c>
      <c r="U11" s="18" t="n">
        <v>343.361</v>
      </c>
      <c r="V11" s="18" t="n">
        <v>325.164</v>
      </c>
      <c r="W11" s="18" t="n">
        <v>349.856</v>
      </c>
      <c r="X11" s="18" t="n">
        <v>394.044</v>
      </c>
      <c r="Y11" s="18" t="n">
        <v>399.383</v>
      </c>
      <c r="Z11" s="18" t="n">
        <v>390.973</v>
      </c>
      <c r="AA11" s="18" t="n">
        <v>419.974</v>
      </c>
      <c r="AB11" s="18" t="n">
        <v>449.132</v>
      </c>
      <c r="AC11" s="18" t="n">
        <v>507.66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-30.577</v>
      </c>
      <c r="C13" s="18" t="n">
        <v>-37.672</v>
      </c>
      <c r="D13" s="18" t="n">
        <v>-38.714</v>
      </c>
      <c r="E13" s="18" t="n">
        <v>-40.903</v>
      </c>
      <c r="F13" s="18" t="n">
        <v>-42.04</v>
      </c>
      <c r="G13" s="18" t="n">
        <v>-49.78</v>
      </c>
      <c r="H13" s="18" t="n">
        <v>-58.091</v>
      </c>
      <c r="I13" s="18" t="n">
        <v>-59.393</v>
      </c>
      <c r="J13" s="18" t="n">
        <v>-61.446</v>
      </c>
      <c r="K13" s="18" t="n">
        <v>-72.53100000000001</v>
      </c>
      <c r="L13" s="18" t="n">
        <v>-76.768</v>
      </c>
      <c r="M13" s="18" t="n">
        <v>-78.619</v>
      </c>
      <c r="N13" s="18" t="n">
        <v>-75.94</v>
      </c>
      <c r="O13" s="18" t="n">
        <v>-114.843</v>
      </c>
      <c r="P13" s="18" t="n">
        <v>-82.923</v>
      </c>
      <c r="Q13" s="18" t="n">
        <v>-72.949</v>
      </c>
      <c r="R13" s="18" t="n">
        <v>-68.547</v>
      </c>
      <c r="S13" s="18" t="n">
        <v>-49.003</v>
      </c>
      <c r="T13" s="18" t="n">
        <v>-45.216</v>
      </c>
      <c r="U13" s="18" t="n">
        <v>-70.96599999999999</v>
      </c>
      <c r="V13" s="18" t="n">
        <v>-98.18600000000001</v>
      </c>
      <c r="W13" s="18" t="n">
        <v>-71.44</v>
      </c>
      <c r="X13" s="18" t="n">
        <v>-27.876</v>
      </c>
      <c r="Y13" s="18" t="n">
        <v>-18.562</v>
      </c>
      <c r="Z13" s="18" t="n">
        <v>-53.554</v>
      </c>
      <c r="AA13" s="18" t="n">
        <v>-65.294</v>
      </c>
      <c r="AB13" s="18" t="n">
        <v>-18.17</v>
      </c>
      <c r="AC13" s="18" t="n">
        <v>0.05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-33.24</v>
      </c>
      <c r="C15" s="18" t="n">
        <v>-37.336</v>
      </c>
      <c r="D15" s="18" t="n">
        <v>-42.383</v>
      </c>
      <c r="E15" s="18" t="n">
        <v>-62.563</v>
      </c>
      <c r="F15" s="18" t="n">
        <v>-53.967</v>
      </c>
      <c r="G15" s="18" t="n">
        <v>-64.52500000000001</v>
      </c>
      <c r="H15" s="18" t="n">
        <v>-72.651</v>
      </c>
      <c r="I15" s="18" t="n">
        <v>-75.801</v>
      </c>
      <c r="J15" s="18" t="n">
        <v>-63.992</v>
      </c>
      <c r="K15" s="18" t="n">
        <v>-77.133</v>
      </c>
      <c r="L15" s="18" t="n">
        <v>-81.29300000000001</v>
      </c>
      <c r="M15" s="18" t="n">
        <v>-84.44799999999999</v>
      </c>
      <c r="N15" s="18" t="n">
        <v>-77.294</v>
      </c>
      <c r="O15" s="18" t="n">
        <v>-118.865</v>
      </c>
      <c r="P15" s="18" t="n">
        <v>-84.84099999999999</v>
      </c>
      <c r="Q15" s="18" t="n">
        <v>-64.398</v>
      </c>
      <c r="R15" s="18" t="n">
        <v>-54.246</v>
      </c>
      <c r="S15" s="18" t="n">
        <v>-37.597</v>
      </c>
      <c r="T15" s="18" t="n">
        <v>-29.297</v>
      </c>
      <c r="U15" s="18" t="n">
        <v>-55.46</v>
      </c>
      <c r="V15" s="18" t="n">
        <v>-80.593</v>
      </c>
      <c r="W15" s="18" t="n">
        <v>-54.529</v>
      </c>
      <c r="X15" s="18" t="n">
        <v>-9.776</v>
      </c>
      <c r="Y15" s="18" t="n">
        <v>15.826</v>
      </c>
      <c r="Z15" s="18" t="n">
        <v>-37.626</v>
      </c>
      <c r="AA15" s="18" t="n">
        <v>-47.048</v>
      </c>
      <c r="AB15" s="18" t="n">
        <v>-2.007</v>
      </c>
      <c r="AC15" s="18" t="n">
        <v>15.53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54.710746</v>
      </c>
      <c r="C17" s="18" t="n">
        <v>55.647707</v>
      </c>
      <c r="D17" s="18" t="n">
        <v>56.411779</v>
      </c>
      <c r="E17" s="18" t="n">
        <v>56.943622</v>
      </c>
      <c r="F17" s="18" t="n">
        <v>57.649524</v>
      </c>
      <c r="G17" s="18" t="n">
        <v>58.393894</v>
      </c>
      <c r="H17" s="18" t="n">
        <v>59.368167</v>
      </c>
      <c r="I17" s="18" t="n">
        <v>60.49781</v>
      </c>
      <c r="J17" s="18" t="n">
        <v>61.36167</v>
      </c>
      <c r="K17" s="18" t="n">
        <v>63.426694</v>
      </c>
      <c r="L17" s="18" t="n">
        <v>66.38637900000001</v>
      </c>
      <c r="M17" s="18" t="n">
        <v>66.97299099999999</v>
      </c>
      <c r="N17" s="18" t="n">
        <v>67.706502</v>
      </c>
      <c r="O17" s="18" t="n">
        <v>68.334464</v>
      </c>
      <c r="P17" s="18" t="n">
        <v>68.916813</v>
      </c>
      <c r="Q17" s="18" t="n">
        <v>69.525238</v>
      </c>
      <c r="R17" s="18" t="n">
        <v>70.177499</v>
      </c>
      <c r="S17" s="18" t="n">
        <v>70.874117</v>
      </c>
      <c r="T17" s="18" t="n">
        <v>71.560023</v>
      </c>
      <c r="U17" s="18" t="n">
        <v>72.34935</v>
      </c>
      <c r="V17" s="18" t="n">
        <v>72.99014099999999</v>
      </c>
      <c r="W17" s="18" t="n">
        <v>73.54300000000001</v>
      </c>
      <c r="X17" s="18" t="n">
        <v>74.02059300000001</v>
      </c>
      <c r="Y17" s="18" t="n">
        <v>84.59399999999999</v>
      </c>
      <c r="Z17" s="18" t="n">
        <v>81.06100000000001</v>
      </c>
      <c r="AA17" s="18" t="n">
        <v>81.078</v>
      </c>
      <c r="AB17" s="18" t="n">
        <v>81.24533099999999</v>
      </c>
      <c r="AC17" s="18" t="n">
        <v>86.457703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MongoDB Atlas Related</t>
        </is>
      </c>
      <c r="E19" s="18" t="n">
        <v>50.727</v>
      </c>
      <c r="F19" s="18" t="n">
        <v>54.17</v>
      </c>
      <c r="G19" s="18" t="n">
        <v>61.074</v>
      </c>
      <c r="H19" s="18" t="n">
        <v>71.11</v>
      </c>
      <c r="I19" s="18" t="n">
        <v>84.45099999999999</v>
      </c>
      <c r="J19" s="18" t="n">
        <v>93.51000000000001</v>
      </c>
      <c r="K19" s="18" t="n">
        <v>111.756</v>
      </c>
      <c r="L19" s="18" t="n">
        <v>131.123</v>
      </c>
      <c r="M19" s="18" t="n">
        <v>155.897</v>
      </c>
      <c r="N19" s="18" t="n">
        <v>169.995</v>
      </c>
      <c r="O19" s="18" t="n">
        <v>193.354</v>
      </c>
      <c r="P19" s="18" t="n">
        <v>211.378</v>
      </c>
      <c r="Q19" s="18" t="n">
        <v>233.536</v>
      </c>
      <c r="T19" s="18" t="n">
        <v>286.856</v>
      </c>
      <c r="U19" s="18" t="n">
        <v>818.495</v>
      </c>
      <c r="V19" s="18" t="n">
        <v>313.855</v>
      </c>
      <c r="W19" s="18" t="n">
        <v>339.683</v>
      </c>
      <c r="X19" s="18" t="n">
        <v>362.604</v>
      </c>
      <c r="Y19" s="18" t="n">
        <v>389.042</v>
      </c>
      <c r="Z19" s="18" t="n">
        <v>395.893</v>
      </c>
      <c r="AB19" s="18" t="n">
        <v>470.399</v>
      </c>
      <c r="AC19" s="18" t="n">
        <v>941.574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Other Subscription</t>
        </is>
      </c>
      <c r="E22" s="18" t="n">
        <v>67.122</v>
      </c>
      <c r="F22" s="18" t="n">
        <v>70.68600000000001</v>
      </c>
      <c r="G22" s="18" t="n">
        <v>71.404</v>
      </c>
      <c r="H22" s="18" t="n">
        <v>72.959</v>
      </c>
      <c r="I22" s="18" t="n">
        <v>79.495</v>
      </c>
      <c r="J22" s="18" t="n">
        <v>81.06</v>
      </c>
      <c r="K22" s="18" t="n">
        <v>79.625</v>
      </c>
      <c r="L22" s="18" t="n">
        <v>86.748</v>
      </c>
      <c r="M22" s="18" t="n">
        <v>102.328</v>
      </c>
      <c r="N22" s="18" t="n">
        <v>104.586</v>
      </c>
      <c r="O22" s="18" t="n">
        <v>98.253</v>
      </c>
      <c r="P22" s="18" t="n">
        <v>109.378</v>
      </c>
      <c r="Q22" s="18" t="n">
        <v>114.642</v>
      </c>
      <c r="T22" s="18" t="n">
        <v>131.483</v>
      </c>
      <c r="U22" s="18" t="n">
        <v>390.492</v>
      </c>
      <c r="V22" s="18" t="n">
        <v>123.041</v>
      </c>
      <c r="W22" s="18" t="n">
        <v>124.122</v>
      </c>
      <c r="X22" s="18" t="n">
        <v>149.601</v>
      </c>
      <c r="Y22" s="18" t="n">
        <v>141.916</v>
      </c>
      <c r="Z22" s="18" t="n">
        <v>135.562</v>
      </c>
      <c r="AB22" s="18" t="n">
        <v>138.668</v>
      </c>
      <c r="AC22" s="18" t="n">
        <v>303.881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Service</t>
        </is>
      </c>
      <c r="B25" s="18" t="n">
        <v>5.394</v>
      </c>
      <c r="C25" s="18" t="n">
        <v>5.212</v>
      </c>
      <c r="D25" s="18" t="n">
        <v>5.614</v>
      </c>
      <c r="E25" s="18" t="n">
        <v>5.674</v>
      </c>
      <c r="F25" s="18" t="n">
        <v>5.473</v>
      </c>
      <c r="G25" s="18" t="n">
        <v>5.803</v>
      </c>
      <c r="H25" s="18" t="n">
        <v>6.702</v>
      </c>
      <c r="I25" s="18" t="n">
        <v>7.053</v>
      </c>
      <c r="J25" s="18" t="n">
        <v>7.078</v>
      </c>
      <c r="K25" s="18" t="n">
        <v>7.366</v>
      </c>
      <c r="L25" s="18" t="n">
        <v>9.022</v>
      </c>
      <c r="M25" s="18" t="n">
        <v>8.269</v>
      </c>
      <c r="N25" s="18" t="n">
        <v>10.866</v>
      </c>
      <c r="O25" s="18" t="n">
        <v>12.053</v>
      </c>
      <c r="P25" s="18" t="n">
        <v>12.865</v>
      </c>
      <c r="Q25" s="18" t="n">
        <v>13.134</v>
      </c>
      <c r="R25" s="18" t="n">
        <v>13.566</v>
      </c>
      <c r="S25" s="18" t="n">
        <v>14.457</v>
      </c>
      <c r="T25" s="18" t="n">
        <v>14.599</v>
      </c>
      <c r="U25" s="18" t="n">
        <v>13.063</v>
      </c>
      <c r="V25" s="18" t="n">
        <v>13.665</v>
      </c>
      <c r="W25" s="18" t="n">
        <v>14.304</v>
      </c>
      <c r="X25" s="18" t="n">
        <v>17.17</v>
      </c>
      <c r="Y25" s="18" t="n">
        <v>17.44</v>
      </c>
      <c r="Z25" s="18" t="n">
        <v>17.559</v>
      </c>
      <c r="AB25" s="18" t="n">
        <v>19.242</v>
      </c>
      <c r="AC25" s="18" t="n">
        <v>41.019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5" t="inlineStr">
        <is>
          <t xml:space="preserve">  REVENUE BY SEGMENT — GEOGRAPHY (% YoY, % of revenue)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Americas</t>
        </is>
      </c>
      <c r="B29" s="18" t="n">
        <v>57.756</v>
      </c>
      <c r="C29" s="18" t="n">
        <v>64.967</v>
      </c>
      <c r="D29" s="18" t="n">
        <v>71.33199999999999</v>
      </c>
      <c r="E29" s="18" t="n">
        <v>78.303</v>
      </c>
      <c r="F29" s="18" t="n">
        <v>81.538</v>
      </c>
      <c r="G29" s="18" t="n">
        <v>87.04300000000001</v>
      </c>
      <c r="H29" s="18" t="n">
        <v>93.255</v>
      </c>
      <c r="I29" s="18" t="n">
        <v>99.515</v>
      </c>
      <c r="J29" s="18" t="n">
        <v>109.476</v>
      </c>
      <c r="K29" s="18" t="n">
        <v>120.827</v>
      </c>
      <c r="L29" s="18" t="n">
        <v>138.036</v>
      </c>
      <c r="M29" s="18" t="n">
        <v>158.742</v>
      </c>
      <c r="N29" s="18" t="n">
        <v>174.056</v>
      </c>
      <c r="O29" s="18" t="n">
        <v>185.796</v>
      </c>
      <c r="P29" s="18" t="n">
        <v>205.887</v>
      </c>
      <c r="Q29" s="18" t="n">
        <v>216.024</v>
      </c>
      <c r="R29" s="18" t="n">
        <v>222.346</v>
      </c>
      <c r="S29" s="18" t="n">
        <v>253.485</v>
      </c>
      <c r="T29" s="18" t="n">
        <v>265.698</v>
      </c>
      <c r="U29" s="18" t="n">
        <v>274.795</v>
      </c>
      <c r="V29" s="18" t="n">
        <v>272.093</v>
      </c>
      <c r="W29" s="18" t="n">
        <v>284.789</v>
      </c>
      <c r="X29" s="18" t="n">
        <v>325.076</v>
      </c>
      <c r="Y29" s="18" t="n">
        <v>331.103</v>
      </c>
      <c r="Z29" s="18" t="n">
        <v>332.867</v>
      </c>
      <c r="AB29" s="18" t="n">
        <v>380.004</v>
      </c>
      <c r="AC29" s="18" t="n">
        <v>784.606</v>
      </c>
    </row>
    <row r="30">
      <c r="A30" s="4" t="inlineStr">
        <is>
          <t xml:space="preserve">    % YoY</t>
        </is>
      </c>
      <c r="F30" s="25">
        <f>IFERROR(F29/B29-1,"")</f>
        <v/>
      </c>
      <c r="G30" s="25">
        <f>IFERROR(G29/C29-1,"")</f>
        <v/>
      </c>
      <c r="H30" s="25">
        <f>IFERROR(H29/D29-1,"")</f>
        <v/>
      </c>
      <c r="I30" s="25">
        <f>IFERROR(I29/E29-1,"")</f>
        <v/>
      </c>
      <c r="J30" s="25">
        <f>IFERROR(J29/F29-1,"")</f>
        <v/>
      </c>
      <c r="K30" s="25">
        <f>IFERROR(K29/G29-1,"")</f>
        <v/>
      </c>
      <c r="L30" s="25">
        <f>IFERROR(L29/H29-1,"")</f>
        <v/>
      </c>
      <c r="M30" s="25">
        <f>IFERROR(M29/I29-1,"")</f>
        <v/>
      </c>
      <c r="N30" s="25">
        <f>IFERROR(N29/J29-1,"")</f>
        <v/>
      </c>
      <c r="O30" s="25">
        <f>IFERROR(O29/K29-1,"")</f>
        <v/>
      </c>
      <c r="P30" s="25">
        <f>IFERROR(P29/L29-1,"")</f>
        <v/>
      </c>
      <c r="Q30" s="25">
        <f>IFERROR(Q29/M29-1,"")</f>
        <v/>
      </c>
      <c r="R30" s="25">
        <f>IFERROR(R29/N29-1,"")</f>
        <v/>
      </c>
      <c r="S30" s="25">
        <f>IFERROR(S29/O29-1,"")</f>
        <v/>
      </c>
      <c r="T30" s="25">
        <f>IFERROR(T29/P29-1,"")</f>
        <v/>
      </c>
      <c r="U30" s="25">
        <f>IFERROR(U29/Q29-1,"")</f>
        <v/>
      </c>
      <c r="V30" s="25">
        <f>IFERROR(V29/R29-1,"")</f>
        <v/>
      </c>
      <c r="W30" s="25">
        <f>IFERROR(W29/S29-1,"")</f>
        <v/>
      </c>
      <c r="X30" s="25">
        <f>IFERROR(X29/T29-1,"")</f>
        <v/>
      </c>
      <c r="Y30" s="25">
        <f>IFERROR(Y29/U29-1,"")</f>
        <v/>
      </c>
      <c r="Z30" s="25">
        <f>IFERROR(Z29/V29-1,"")</f>
        <v/>
      </c>
      <c r="AA30" s="25">
        <f>IFERROR(AA29/W29-1,"")</f>
        <v/>
      </c>
      <c r="AB30" s="25">
        <f>IFERROR(AB29/X29-1,"")</f>
        <v/>
      </c>
      <c r="AC30" s="25">
        <f>IFERROR(AC29/Y29-1,"")</f>
        <v/>
      </c>
    </row>
    <row r="31">
      <c r="A31" s="4" t="inlineStr">
        <is>
          <t xml:space="preserve">    % of revenue</t>
        </is>
      </c>
      <c r="B31" s="25">
        <f>IFERROR(B29/B3,"")</f>
        <v/>
      </c>
      <c r="C31" s="25">
        <f>IFERROR(C29/C3,"")</f>
        <v/>
      </c>
      <c r="D31" s="25">
        <f>IFERROR(D29/D3,"")</f>
        <v/>
      </c>
      <c r="E31" s="25">
        <f>IFERROR(E29/E3,"")</f>
        <v/>
      </c>
      <c r="F31" s="25">
        <f>IFERROR(F29/F3,"")</f>
        <v/>
      </c>
      <c r="G31" s="25">
        <f>IFERROR(G29/G3,"")</f>
        <v/>
      </c>
      <c r="H31" s="25">
        <f>IFERROR(H29/H3,"")</f>
        <v/>
      </c>
      <c r="I31" s="25">
        <f>IFERROR(I29/I3,"")</f>
        <v/>
      </c>
      <c r="J31" s="25">
        <f>IFERROR(J29/J3,"")</f>
        <v/>
      </c>
      <c r="K31" s="25">
        <f>IFERROR(K29/K3,"")</f>
        <v/>
      </c>
      <c r="L31" s="25">
        <f>IFERROR(L29/L3,"")</f>
        <v/>
      </c>
      <c r="M31" s="25">
        <f>IFERROR(M29/M3,"")</f>
        <v/>
      </c>
      <c r="N31" s="25">
        <f>IFERROR(N29/N3,"")</f>
        <v/>
      </c>
      <c r="O31" s="25">
        <f>IFERROR(O29/O3,"")</f>
        <v/>
      </c>
      <c r="P31" s="25">
        <f>IFERROR(P29/P3,"")</f>
        <v/>
      </c>
      <c r="Q31" s="25">
        <f>IFERROR(Q29/Q3,"")</f>
        <v/>
      </c>
      <c r="R31" s="25">
        <f>IFERROR(R29/R3,"")</f>
        <v/>
      </c>
      <c r="S31" s="25">
        <f>IFERROR(S29/S3,"")</f>
        <v/>
      </c>
      <c r="T31" s="25">
        <f>IFERROR(T29/T3,"")</f>
        <v/>
      </c>
      <c r="U31" s="25">
        <f>IFERROR(U29/U3,"")</f>
        <v/>
      </c>
      <c r="V31" s="25">
        <f>IFERROR(V29/V3,"")</f>
        <v/>
      </c>
      <c r="W31" s="25">
        <f>IFERROR(W29/W3,"")</f>
        <v/>
      </c>
      <c r="X31" s="25">
        <f>IFERROR(X29/X3,"")</f>
        <v/>
      </c>
      <c r="Y31" s="25">
        <f>IFERROR(Y29/Y3,"")</f>
        <v/>
      </c>
      <c r="Z31" s="25">
        <f>IFERROR(Z29/Z3,"")</f>
        <v/>
      </c>
      <c r="AA31" s="25">
        <f>IFERROR(AA29/AA3,"")</f>
        <v/>
      </c>
      <c r="AB31" s="25">
        <f>IFERROR(AB29/AB3,"")</f>
        <v/>
      </c>
      <c r="AC31" s="25">
        <f>IFERROR(AC29/AC3,"")</f>
        <v/>
      </c>
    </row>
    <row r="32">
      <c r="A32" s="4" t="inlineStr">
        <is>
          <t>EMEA</t>
        </is>
      </c>
      <c r="B32" s="18" t="n">
        <v>25.32</v>
      </c>
      <c r="C32" s="18" t="n">
        <v>27.81</v>
      </c>
      <c r="D32" s="18" t="n">
        <v>30.374</v>
      </c>
      <c r="E32" s="18" t="n">
        <v>35.156</v>
      </c>
      <c r="F32" s="18" t="n">
        <v>39.009</v>
      </c>
      <c r="G32" s="18" t="n">
        <v>40.201</v>
      </c>
      <c r="H32" s="18" t="n">
        <v>44.552</v>
      </c>
      <c r="I32" s="18" t="n">
        <v>53.686</v>
      </c>
      <c r="J32" s="18" t="n">
        <v>54.725</v>
      </c>
      <c r="K32" s="18" t="n">
        <v>57.582</v>
      </c>
      <c r="L32" s="18" t="n">
        <v>66.18300000000001</v>
      </c>
      <c r="M32" s="18" t="n">
        <v>79.35599999999999</v>
      </c>
      <c r="N32" s="18" t="n">
        <v>81.96899999999999</v>
      </c>
      <c r="O32" s="18" t="n">
        <v>84.627</v>
      </c>
      <c r="P32" s="18" t="n">
        <v>91.023</v>
      </c>
      <c r="Q32" s="18" t="n">
        <v>103.947</v>
      </c>
      <c r="R32" s="18" t="n">
        <v>105.123</v>
      </c>
      <c r="S32" s="18" t="n">
        <v>113.446</v>
      </c>
      <c r="T32" s="18" t="n">
        <v>119.355</v>
      </c>
      <c r="U32" s="18" t="n">
        <v>131.158</v>
      </c>
      <c r="V32" s="18" t="n">
        <v>123.296</v>
      </c>
      <c r="W32" s="18" t="n">
        <v>136.824</v>
      </c>
      <c r="X32" s="18" t="n">
        <v>140.744</v>
      </c>
      <c r="Y32" s="18" t="n">
        <v>152.226</v>
      </c>
      <c r="Z32" s="18" t="n">
        <v>150.766</v>
      </c>
      <c r="AB32" s="18" t="n">
        <v>175.348</v>
      </c>
      <c r="AC32" s="18" t="n">
        <v>354.726</v>
      </c>
    </row>
    <row r="33">
      <c r="A33" s="4" t="inlineStr">
        <is>
          <t xml:space="preserve">    % YoY</t>
        </is>
      </c>
      <c r="F33" s="25">
        <f>IFERROR(F32/B32-1,"")</f>
        <v/>
      </c>
      <c r="G33" s="25">
        <f>IFERROR(G32/C32-1,"")</f>
        <v/>
      </c>
      <c r="H33" s="25">
        <f>IFERROR(H32/D32-1,"")</f>
        <v/>
      </c>
      <c r="I33" s="25">
        <f>IFERROR(I32/E32-1,"")</f>
        <v/>
      </c>
      <c r="J33" s="25">
        <f>IFERROR(J32/F32-1,"")</f>
        <v/>
      </c>
      <c r="K33" s="25">
        <f>IFERROR(K32/G32-1,"")</f>
        <v/>
      </c>
      <c r="L33" s="25">
        <f>IFERROR(L32/H32-1,"")</f>
        <v/>
      </c>
      <c r="M33" s="25">
        <f>IFERROR(M32/I32-1,"")</f>
        <v/>
      </c>
      <c r="N33" s="25">
        <f>IFERROR(N32/J32-1,"")</f>
        <v/>
      </c>
      <c r="O33" s="25">
        <f>IFERROR(O32/K32-1,"")</f>
        <v/>
      </c>
      <c r="P33" s="25">
        <f>IFERROR(P32/L32-1,"")</f>
        <v/>
      </c>
      <c r="Q33" s="25">
        <f>IFERROR(Q32/M32-1,"")</f>
        <v/>
      </c>
      <c r="R33" s="25">
        <f>IFERROR(R32/N32-1,"")</f>
        <v/>
      </c>
      <c r="S33" s="25">
        <f>IFERROR(S32/O32-1,"")</f>
        <v/>
      </c>
      <c r="T33" s="25">
        <f>IFERROR(T32/P32-1,"")</f>
        <v/>
      </c>
      <c r="U33" s="25">
        <f>IFERROR(U32/Q32-1,"")</f>
        <v/>
      </c>
      <c r="V33" s="25">
        <f>IFERROR(V32/R32-1,"")</f>
        <v/>
      </c>
      <c r="W33" s="25">
        <f>IFERROR(W32/S32-1,"")</f>
        <v/>
      </c>
      <c r="X33" s="25">
        <f>IFERROR(X32/T32-1,"")</f>
        <v/>
      </c>
      <c r="Y33" s="25">
        <f>IFERROR(Y32/U32-1,"")</f>
        <v/>
      </c>
      <c r="Z33" s="25">
        <f>IFERROR(Z32/V32-1,"")</f>
        <v/>
      </c>
      <c r="AA33" s="25">
        <f>IFERROR(AA32/W32-1,"")</f>
        <v/>
      </c>
      <c r="AB33" s="25">
        <f>IFERROR(AB32/X32-1,"")</f>
        <v/>
      </c>
      <c r="AC33" s="25">
        <f>IFERROR(AC32/Y32-1,"")</f>
        <v/>
      </c>
    </row>
    <row r="34">
      <c r="A34" s="4" t="inlineStr">
        <is>
          <t xml:space="preserve">    % of revenue</t>
        </is>
      </c>
      <c r="B34" s="25">
        <f>IFERROR(B32/B3,"")</f>
        <v/>
      </c>
      <c r="C34" s="25">
        <f>IFERROR(C32/C3,"")</f>
        <v/>
      </c>
      <c r="D34" s="25">
        <f>IFERROR(D32/D3,"")</f>
        <v/>
      </c>
      <c r="E34" s="25">
        <f>IFERROR(E32/E3,"")</f>
        <v/>
      </c>
      <c r="F34" s="25">
        <f>IFERROR(F32/F3,"")</f>
        <v/>
      </c>
      <c r="G34" s="25">
        <f>IFERROR(G32/G3,"")</f>
        <v/>
      </c>
      <c r="H34" s="25">
        <f>IFERROR(H32/H3,"")</f>
        <v/>
      </c>
      <c r="I34" s="25">
        <f>IFERROR(I32/I3,"")</f>
        <v/>
      </c>
      <c r="J34" s="25">
        <f>IFERROR(J32/J3,"")</f>
        <v/>
      </c>
      <c r="K34" s="25">
        <f>IFERROR(K32/K3,"")</f>
        <v/>
      </c>
      <c r="L34" s="25">
        <f>IFERROR(L32/L3,"")</f>
        <v/>
      </c>
      <c r="M34" s="25">
        <f>IFERROR(M32/M3,"")</f>
        <v/>
      </c>
      <c r="N34" s="25">
        <f>IFERROR(N32/N3,"")</f>
        <v/>
      </c>
      <c r="O34" s="25">
        <f>IFERROR(O32/O3,"")</f>
        <v/>
      </c>
      <c r="P34" s="25">
        <f>IFERROR(P32/P3,"")</f>
        <v/>
      </c>
      <c r="Q34" s="25">
        <f>IFERROR(Q32/Q3,"")</f>
        <v/>
      </c>
      <c r="R34" s="25">
        <f>IFERROR(R32/R3,"")</f>
        <v/>
      </c>
      <c r="S34" s="25">
        <f>IFERROR(S32/S3,"")</f>
        <v/>
      </c>
      <c r="T34" s="25">
        <f>IFERROR(T32/T3,"")</f>
        <v/>
      </c>
      <c r="U34" s="25">
        <f>IFERROR(U32/U3,"")</f>
        <v/>
      </c>
      <c r="V34" s="25">
        <f>IFERROR(V32/V3,"")</f>
        <v/>
      </c>
      <c r="W34" s="25">
        <f>IFERROR(W32/W3,"")</f>
        <v/>
      </c>
      <c r="X34" s="25">
        <f>IFERROR(X32/X3,"")</f>
        <v/>
      </c>
      <c r="Y34" s="25">
        <f>IFERROR(Y32/Y3,"")</f>
        <v/>
      </c>
      <c r="Z34" s="25">
        <f>IFERROR(Z32/Z3,"")</f>
        <v/>
      </c>
      <c r="AA34" s="25">
        <f>IFERROR(AA32/AA3,"")</f>
        <v/>
      </c>
      <c r="AB34" s="25">
        <f>IFERROR(AB32/AB3,"")</f>
        <v/>
      </c>
      <c r="AC34" s="25">
        <f>IFERROR(AC32/AC3,"")</f>
        <v/>
      </c>
    </row>
    <row r="35">
      <c r="A35" s="4" t="inlineStr">
        <is>
          <t>Asia Pacific</t>
        </is>
      </c>
      <c r="B35" s="18" t="n">
        <v>6.312</v>
      </c>
      <c r="C35" s="18" t="n">
        <v>6.591</v>
      </c>
      <c r="D35" s="18" t="n">
        <v>7.735</v>
      </c>
      <c r="E35" s="18" t="n">
        <v>10.064</v>
      </c>
      <c r="F35" s="18" t="n">
        <v>9.782</v>
      </c>
      <c r="G35" s="18" t="n">
        <v>11.037</v>
      </c>
      <c r="H35" s="18" t="n">
        <v>12.964</v>
      </c>
      <c r="I35" s="18" t="n">
        <v>17.798</v>
      </c>
      <c r="J35" s="18" t="n">
        <v>17.447</v>
      </c>
      <c r="K35" s="18" t="n">
        <v>20.338</v>
      </c>
      <c r="L35" s="18" t="n">
        <v>22.674</v>
      </c>
      <c r="M35" s="18" t="n">
        <v>28.396</v>
      </c>
      <c r="N35" s="18" t="n">
        <v>29.422</v>
      </c>
      <c r="O35" s="18" t="n">
        <v>33.237</v>
      </c>
      <c r="P35" s="18" t="n">
        <v>36.711</v>
      </c>
      <c r="Q35" s="18" t="n">
        <v>41.341</v>
      </c>
      <c r="R35" s="18" t="n">
        <v>40.811</v>
      </c>
      <c r="S35" s="18" t="n">
        <v>56.86</v>
      </c>
      <c r="T35" s="18" t="n">
        <v>47.885</v>
      </c>
      <c r="U35" s="18" t="n">
        <v>52.049</v>
      </c>
      <c r="V35" s="18" t="n">
        <v>55.172</v>
      </c>
      <c r="W35" s="18" t="n">
        <v>56.496</v>
      </c>
      <c r="X35" s="18" t="n">
        <v>63.555</v>
      </c>
      <c r="Y35" s="18" t="n">
        <v>65.069</v>
      </c>
      <c r="Z35" s="18" t="n">
        <v>65.381</v>
      </c>
      <c r="AB35" s="18" t="n">
        <v>72.95699999999999</v>
      </c>
      <c r="AC35" s="18" t="n">
        <v>147.142</v>
      </c>
    </row>
    <row r="36">
      <c r="A36" s="4" t="inlineStr">
        <is>
          <t xml:space="preserve">    % YoY</t>
        </is>
      </c>
      <c r="F36" s="25">
        <f>IFERROR(F35/B35-1,"")</f>
        <v/>
      </c>
      <c r="G36" s="25">
        <f>IFERROR(G35/C35-1,"")</f>
        <v/>
      </c>
      <c r="H36" s="25">
        <f>IFERROR(H35/D35-1,"")</f>
        <v/>
      </c>
      <c r="I36" s="25">
        <f>IFERROR(I35/E35-1,"")</f>
        <v/>
      </c>
      <c r="J36" s="25">
        <f>IFERROR(J35/F35-1,"")</f>
        <v/>
      </c>
      <c r="K36" s="25">
        <f>IFERROR(K35/G35-1,"")</f>
        <v/>
      </c>
      <c r="L36" s="25">
        <f>IFERROR(L35/H35-1,"")</f>
        <v/>
      </c>
      <c r="M36" s="25">
        <f>IFERROR(M35/I35-1,"")</f>
        <v/>
      </c>
      <c r="N36" s="25">
        <f>IFERROR(N35/J35-1,"")</f>
        <v/>
      </c>
      <c r="O36" s="25">
        <f>IFERROR(O35/K35-1,"")</f>
        <v/>
      </c>
      <c r="P36" s="25">
        <f>IFERROR(P35/L35-1,"")</f>
        <v/>
      </c>
      <c r="Q36" s="25">
        <f>IFERROR(Q35/M35-1,"")</f>
        <v/>
      </c>
      <c r="R36" s="25">
        <f>IFERROR(R35/N35-1,"")</f>
        <v/>
      </c>
      <c r="S36" s="25">
        <f>IFERROR(S35/O35-1,"")</f>
        <v/>
      </c>
      <c r="T36" s="25">
        <f>IFERROR(T35/P35-1,"")</f>
        <v/>
      </c>
      <c r="U36" s="25">
        <f>IFERROR(U35/Q35-1,"")</f>
        <v/>
      </c>
      <c r="V36" s="25">
        <f>IFERROR(V35/R35-1,"")</f>
        <v/>
      </c>
      <c r="W36" s="25">
        <f>IFERROR(W35/S35-1,"")</f>
        <v/>
      </c>
      <c r="X36" s="25">
        <f>IFERROR(X35/T35-1,"")</f>
        <v/>
      </c>
      <c r="Y36" s="25">
        <f>IFERROR(Y35/U35-1,"")</f>
        <v/>
      </c>
      <c r="Z36" s="25">
        <f>IFERROR(Z35/V35-1,"")</f>
        <v/>
      </c>
      <c r="AA36" s="25">
        <f>IFERROR(AA35/W35-1,"")</f>
        <v/>
      </c>
      <c r="AB36" s="25">
        <f>IFERROR(AB35/X35-1,"")</f>
        <v/>
      </c>
      <c r="AC36" s="25">
        <f>IFERROR(AC35/Y35-1,"")</f>
        <v/>
      </c>
    </row>
    <row r="37">
      <c r="A37" s="4" t="inlineStr">
        <is>
          <t xml:space="preserve">    % of revenue</t>
        </is>
      </c>
      <c r="B37" s="25">
        <f>IFERROR(B35/B3,"")</f>
        <v/>
      </c>
      <c r="C37" s="25">
        <f>IFERROR(C35/C3,"")</f>
        <v/>
      </c>
      <c r="D37" s="25">
        <f>IFERROR(D35/D3,"")</f>
        <v/>
      </c>
      <c r="E37" s="25">
        <f>IFERROR(E35/E3,"")</f>
        <v/>
      </c>
      <c r="F37" s="25">
        <f>IFERROR(F35/F3,"")</f>
        <v/>
      </c>
      <c r="G37" s="25">
        <f>IFERROR(G35/G3,"")</f>
        <v/>
      </c>
      <c r="H37" s="25">
        <f>IFERROR(H35/H3,"")</f>
        <v/>
      </c>
      <c r="I37" s="25">
        <f>IFERROR(I35/I3,"")</f>
        <v/>
      </c>
      <c r="J37" s="25">
        <f>IFERROR(J35/J3,"")</f>
        <v/>
      </c>
      <c r="K37" s="25">
        <f>IFERROR(K35/K3,"")</f>
        <v/>
      </c>
      <c r="L37" s="25">
        <f>IFERROR(L35/L3,"")</f>
        <v/>
      </c>
      <c r="M37" s="25">
        <f>IFERROR(M35/M3,"")</f>
        <v/>
      </c>
      <c r="N37" s="25">
        <f>IFERROR(N35/N3,"")</f>
        <v/>
      </c>
      <c r="O37" s="25">
        <f>IFERROR(O35/O3,"")</f>
        <v/>
      </c>
      <c r="P37" s="25">
        <f>IFERROR(P35/P3,"")</f>
        <v/>
      </c>
      <c r="Q37" s="25">
        <f>IFERROR(Q35/Q3,"")</f>
        <v/>
      </c>
      <c r="R37" s="25">
        <f>IFERROR(R35/R3,"")</f>
        <v/>
      </c>
      <c r="S37" s="25">
        <f>IFERROR(S35/S3,"")</f>
        <v/>
      </c>
      <c r="T37" s="25">
        <f>IFERROR(T35/T3,"")</f>
        <v/>
      </c>
      <c r="U37" s="25">
        <f>IFERROR(U35/U3,"")</f>
        <v/>
      </c>
      <c r="V37" s="25">
        <f>IFERROR(V35/V3,"")</f>
        <v/>
      </c>
      <c r="W37" s="25">
        <f>IFERROR(W35/W3,"")</f>
        <v/>
      </c>
      <c r="X37" s="25">
        <f>IFERROR(X35/X3,"")</f>
        <v/>
      </c>
      <c r="Y37" s="25">
        <f>IFERROR(Y35/Y3,"")</f>
        <v/>
      </c>
      <c r="Z37" s="25">
        <f>IFERROR(Z35/Z3,"")</f>
        <v/>
      </c>
      <c r="AA37" s="25">
        <f>IFERROR(AA35/AA3,"")</f>
        <v/>
      </c>
      <c r="AB37" s="25">
        <f>IFERROR(AB35/AB3,"")</f>
        <v/>
      </c>
      <c r="AC37" s="25">
        <f>IFERROR(AC35/AC3,"")</f>
        <v/>
      </c>
    </row>
    <row r="38">
      <c r="A38" s="5" t="inlineStr">
        <is>
          <t xml:space="preserve">  BALANCE SHEET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4" t="inlineStr">
        <is>
          <t>Cash &amp; ST Investments</t>
        </is>
      </c>
      <c r="B39" s="18" t="n">
        <v>476.406</v>
      </c>
      <c r="C39" s="18" t="n">
        <v>436.053</v>
      </c>
      <c r="D39" s="18" t="n">
        <v>425.867</v>
      </c>
      <c r="E39" s="18" t="n">
        <v>986.518</v>
      </c>
      <c r="F39" s="18" t="n">
        <v>977.0170000000001</v>
      </c>
      <c r="G39" s="18" t="n">
        <v>974.896</v>
      </c>
      <c r="H39" s="18" t="n">
        <v>966.301</v>
      </c>
      <c r="I39" s="18" t="n">
        <v>957.742</v>
      </c>
      <c r="J39" s="18" t="n">
        <v>935.043</v>
      </c>
      <c r="K39" s="18" t="n">
        <v>1814.825</v>
      </c>
      <c r="L39" s="18" t="n">
        <v>1802.886</v>
      </c>
      <c r="M39" s="18" t="n">
        <v>1825.923</v>
      </c>
      <c r="N39" s="18" t="n">
        <v>1828.695</v>
      </c>
      <c r="O39" s="18" t="n">
        <v>1795.612</v>
      </c>
      <c r="P39" s="18" t="n">
        <v>1787.532</v>
      </c>
      <c r="Q39" s="18" t="n">
        <v>1836.63</v>
      </c>
      <c r="R39" s="18" t="n">
        <v>1903.428</v>
      </c>
      <c r="S39" s="18" t="n">
        <v>1901.101</v>
      </c>
      <c r="T39" s="18" t="n">
        <v>1924.711</v>
      </c>
      <c r="U39" s="18" t="n">
        <v>2015.407</v>
      </c>
      <c r="V39" s="18" t="n">
        <v>2073.996</v>
      </c>
      <c r="W39" s="18" t="n">
        <v>2264.834</v>
      </c>
      <c r="X39" s="18" t="n">
        <v>2302.092</v>
      </c>
      <c r="Y39" s="18" t="n">
        <v>2336.577</v>
      </c>
      <c r="Z39" s="18" t="n">
        <v>2453.938</v>
      </c>
      <c r="AA39" s="18" t="n">
        <v>2345.386</v>
      </c>
      <c r="AB39" s="18" t="n">
        <v>2305.761</v>
      </c>
      <c r="AC39" s="18" t="n">
        <v>2387.241</v>
      </c>
    </row>
    <row r="40">
      <c r="A40" s="4" t="inlineStr">
        <is>
          <t>Total Current Assets</t>
        </is>
      </c>
      <c r="B40" s="18" t="n">
        <v>567.189</v>
      </c>
      <c r="C40" s="18" t="n">
        <v>533.373</v>
      </c>
      <c r="D40" s="18" t="n">
        <v>525.621</v>
      </c>
      <c r="E40" s="18" t="n">
        <v>1113.196</v>
      </c>
      <c r="F40" s="18" t="n">
        <v>1100.406</v>
      </c>
      <c r="G40" s="18" t="n">
        <v>1104.823</v>
      </c>
      <c r="H40" s="18" t="n">
        <v>1103.786</v>
      </c>
      <c r="I40" s="18" t="n">
        <v>1141.887</v>
      </c>
      <c r="J40" s="18" t="n">
        <v>1096.022</v>
      </c>
      <c r="K40" s="18" t="n">
        <v>1996.111</v>
      </c>
      <c r="L40" s="18" t="n">
        <v>2054.57</v>
      </c>
      <c r="M40" s="18" t="n">
        <v>2117.402</v>
      </c>
      <c r="N40" s="18" t="n">
        <v>2096.307</v>
      </c>
      <c r="O40" s="18" t="n">
        <v>2108.514</v>
      </c>
      <c r="P40" s="18" t="n">
        <v>2122.255</v>
      </c>
      <c r="Q40" s="18" t="n">
        <v>2236.584</v>
      </c>
      <c r="R40" s="18" t="n">
        <v>2232.294</v>
      </c>
      <c r="S40" s="18" t="n">
        <v>2294.962</v>
      </c>
      <c r="T40" s="18" t="n">
        <v>2320.593</v>
      </c>
      <c r="U40" s="18" t="n">
        <v>2483.636</v>
      </c>
      <c r="V40" s="18" t="n">
        <v>2652.325</v>
      </c>
      <c r="W40" s="18" t="n">
        <v>2722.047</v>
      </c>
      <c r="X40" s="18" t="n">
        <v>2794.263</v>
      </c>
      <c r="Y40" s="18" t="n">
        <v>2923.522</v>
      </c>
      <c r="Z40" s="18" t="n">
        <v>2972.53</v>
      </c>
      <c r="AA40" s="18" t="n">
        <v>2904.539</v>
      </c>
      <c r="AB40" s="18" t="n">
        <v>2932.314</v>
      </c>
      <c r="AC40" s="18" t="n">
        <v>3114.855</v>
      </c>
    </row>
    <row r="41">
      <c r="A41" s="4" t="inlineStr">
        <is>
          <t>PP&amp;E (net)</t>
        </is>
      </c>
      <c r="B41" s="18" t="n">
        <v>72.687</v>
      </c>
      <c r="C41" s="18" t="n">
        <v>71.327</v>
      </c>
      <c r="D41" s="18" t="n">
        <v>71.569</v>
      </c>
      <c r="E41" s="18" t="n">
        <v>69.46299999999999</v>
      </c>
      <c r="F41" s="18" t="n">
        <v>90.879</v>
      </c>
      <c r="G41" s="18" t="n">
        <v>102.635</v>
      </c>
      <c r="H41" s="18" t="n">
        <v>100.497</v>
      </c>
      <c r="I41" s="18" t="n">
        <v>96.95099999999999</v>
      </c>
      <c r="J41" s="18" t="n">
        <v>105.925</v>
      </c>
      <c r="K41" s="18" t="n">
        <v>104.078</v>
      </c>
      <c r="L41" s="18" t="n">
        <v>104.088</v>
      </c>
      <c r="M41" s="18" t="n">
        <v>104.37</v>
      </c>
      <c r="N41" s="18" t="n">
        <v>108.009</v>
      </c>
      <c r="O41" s="18" t="n">
        <v>108.022</v>
      </c>
      <c r="P41" s="18" t="n">
        <v>102.974</v>
      </c>
      <c r="Q41" s="18" t="n">
        <v>99.035</v>
      </c>
      <c r="R41" s="18" t="n">
        <v>95.28400000000001</v>
      </c>
      <c r="S41" s="18" t="n">
        <v>96.084</v>
      </c>
      <c r="T41" s="18" t="n">
        <v>94.07299999999999</v>
      </c>
      <c r="U41" s="18" t="n">
        <v>90.407</v>
      </c>
      <c r="V41" s="18" t="n">
        <v>85.021</v>
      </c>
      <c r="W41" s="18" t="n">
        <v>85.262</v>
      </c>
      <c r="X41" s="18" t="n">
        <v>83.20399999999999</v>
      </c>
      <c r="Y41" s="18" t="n">
        <v>80.98399999999999</v>
      </c>
      <c r="Z41" s="18" t="n">
        <v>77.42</v>
      </c>
      <c r="AA41" s="18" t="n">
        <v>73.357</v>
      </c>
      <c r="AB41" s="18" t="n">
        <v>71.61799999999999</v>
      </c>
      <c r="AC41" s="18" t="n">
        <v>68.751</v>
      </c>
    </row>
    <row r="42">
      <c r="A42" s="4" t="inlineStr">
        <is>
          <t>Total Assets</t>
        </is>
      </c>
      <c r="B42" s="18" t="n">
        <v>734.241</v>
      </c>
      <c r="C42" s="18" t="n">
        <v>741.597</v>
      </c>
      <c r="D42" s="18" t="n">
        <v>734.985</v>
      </c>
      <c r="E42" s="18" t="n">
        <v>1328.567</v>
      </c>
      <c r="F42" s="18" t="n">
        <v>1336.842</v>
      </c>
      <c r="G42" s="18" t="n">
        <v>1355.163</v>
      </c>
      <c r="H42" s="18" t="n">
        <v>1355.861</v>
      </c>
      <c r="I42" s="18" t="n">
        <v>1407.495</v>
      </c>
      <c r="J42" s="18" t="n">
        <v>1377.627</v>
      </c>
      <c r="K42" s="18" t="n">
        <v>2281.411</v>
      </c>
      <c r="L42" s="18" t="n">
        <v>2351.612</v>
      </c>
      <c r="M42" s="18" t="n">
        <v>2449.588</v>
      </c>
      <c r="N42" s="18" t="n">
        <v>2434.541</v>
      </c>
      <c r="O42" s="18" t="n">
        <v>2451.598</v>
      </c>
      <c r="P42" s="18" t="n">
        <v>2467.186</v>
      </c>
      <c r="Q42" s="18" t="n">
        <v>2588.893</v>
      </c>
      <c r="R42" s="18" t="n">
        <v>2580.525</v>
      </c>
      <c r="S42" s="18" t="n">
        <v>2648.234</v>
      </c>
      <c r="T42" s="18" t="n">
        <v>2694.017</v>
      </c>
      <c r="U42" s="18" t="n">
        <v>2869.642</v>
      </c>
      <c r="V42" s="18" t="n">
        <v>3034.429</v>
      </c>
      <c r="W42" s="18" t="n">
        <v>3131.23</v>
      </c>
      <c r="X42" s="18" t="n">
        <v>3224.785</v>
      </c>
      <c r="Y42" s="18" t="n">
        <v>3430.293</v>
      </c>
      <c r="Z42" s="18" t="n">
        <v>3624.42</v>
      </c>
      <c r="AA42" s="18" t="n">
        <v>3542.061</v>
      </c>
      <c r="AB42" s="18" t="n">
        <v>3566.649</v>
      </c>
      <c r="AC42" s="18" t="n">
        <v>3758.848</v>
      </c>
    </row>
    <row r="43">
      <c r="A43" s="4" t="inlineStr">
        <is>
          <t>Total Current Liabilities</t>
        </is>
      </c>
      <c r="B43" s="18" t="n">
        <v>178.167</v>
      </c>
      <c r="C43" s="18" t="n">
        <v>189.002</v>
      </c>
      <c r="D43" s="18" t="n">
        <v>204.522</v>
      </c>
      <c r="E43" s="18" t="n">
        <v>242.384</v>
      </c>
      <c r="F43" s="18" t="n">
        <v>241.017</v>
      </c>
      <c r="G43" s="18" t="n">
        <v>252.661</v>
      </c>
      <c r="H43" s="18" t="n">
        <v>271.539</v>
      </c>
      <c r="I43" s="18" t="n">
        <v>354.541</v>
      </c>
      <c r="J43" s="18" t="n">
        <v>328.681</v>
      </c>
      <c r="K43" s="18" t="n">
        <v>347.903</v>
      </c>
      <c r="L43" s="18" t="n">
        <v>432.199</v>
      </c>
      <c r="M43" s="18" t="n">
        <v>526.735</v>
      </c>
      <c r="N43" s="18" t="n">
        <v>503.722</v>
      </c>
      <c r="O43" s="18" t="n">
        <v>524.897</v>
      </c>
      <c r="P43" s="18" t="n">
        <v>517.807</v>
      </c>
      <c r="Q43" s="18" t="n">
        <v>588.5119999999999</v>
      </c>
      <c r="R43" s="18" t="n">
        <v>532.567</v>
      </c>
      <c r="S43" s="18" t="n">
        <v>512.296</v>
      </c>
      <c r="T43" s="18" t="n">
        <v>489.563</v>
      </c>
      <c r="U43" s="18" t="n">
        <v>564.22</v>
      </c>
      <c r="V43" s="18" t="n">
        <v>537.494</v>
      </c>
      <c r="W43" s="18" t="n">
        <v>541.155</v>
      </c>
      <c r="X43" s="18" t="n">
        <v>1640.775</v>
      </c>
      <c r="Y43" s="18" t="n">
        <v>561.987</v>
      </c>
      <c r="Z43" s="18" t="n">
        <v>504.998</v>
      </c>
      <c r="AA43" s="18" t="n">
        <v>509.833</v>
      </c>
      <c r="AB43" s="18" t="n">
        <v>558.033</v>
      </c>
      <c r="AC43" s="18" t="n">
        <v>669.496</v>
      </c>
    </row>
    <row r="44">
      <c r="A44" s="4" t="inlineStr">
        <is>
          <t>Long-term Debt</t>
        </is>
      </c>
      <c r="B44" s="18" t="n">
        <v>220.079</v>
      </c>
      <c r="C44" s="18" t="n">
        <v>223.356</v>
      </c>
      <c r="D44" s="18" t="n">
        <v>226.69</v>
      </c>
      <c r="E44" s="18" t="n">
        <v>911.075</v>
      </c>
      <c r="F44" s="18" t="n">
        <v>923.098</v>
      </c>
      <c r="G44" s="18" t="n">
        <v>935.292</v>
      </c>
      <c r="H44" s="18" t="n">
        <v>947.652</v>
      </c>
      <c r="I44" s="18" t="n">
        <v>937.729</v>
      </c>
      <c r="J44" s="18" t="n">
        <v>1192.488</v>
      </c>
      <c r="K44" s="18" t="n">
        <v>1136.697</v>
      </c>
      <c r="L44" s="18" t="n">
        <v>1135.684</v>
      </c>
      <c r="M44" s="18" t="n">
        <v>1136.521</v>
      </c>
      <c r="N44" s="18" t="n">
        <v>1137.361</v>
      </c>
      <c r="O44" s="18" t="n">
        <v>1138.2</v>
      </c>
      <c r="P44" s="18" t="n">
        <v>1139.042</v>
      </c>
      <c r="Q44" s="18" t="n">
        <v>1139.88</v>
      </c>
      <c r="R44" s="18" t="n">
        <v>1140.727</v>
      </c>
      <c r="S44" s="18" t="n">
        <v>1141.574</v>
      </c>
      <c r="T44" s="18" t="n">
        <v>1142.423</v>
      </c>
      <c r="U44" s="18" t="n">
        <v>1143.273</v>
      </c>
      <c r="V44" s="18" t="n">
        <v>1144.125</v>
      </c>
      <c r="W44" s="18" t="n">
        <v>1144.977</v>
      </c>
      <c r="X44" s="18" t="n">
        <v>0</v>
      </c>
      <c r="Y44" s="18" t="n">
        <v>0</v>
      </c>
      <c r="Z44" s="18" t="n">
        <v>0</v>
      </c>
      <c r="AA44" s="18" t="n">
        <v>0</v>
      </c>
      <c r="AB44" s="18" t="n">
        <v>0</v>
      </c>
      <c r="AC44" s="18" t="n">
        <v>0</v>
      </c>
    </row>
    <row r="45">
      <c r="A45" s="4" t="inlineStr">
        <is>
          <t>Total Equity</t>
        </is>
      </c>
      <c r="B45" s="18" t="n">
        <v>247.868</v>
      </c>
      <c r="C45" s="18" t="n">
        <v>239.343</v>
      </c>
      <c r="D45" s="18" t="n">
        <v>218.835</v>
      </c>
      <c r="E45" s="18" t="n">
        <v>82.858</v>
      </c>
      <c r="F45" s="18" t="n">
        <v>63.041</v>
      </c>
      <c r="G45" s="18" t="n">
        <v>48.151</v>
      </c>
      <c r="H45" s="18" t="n">
        <v>21.804</v>
      </c>
      <c r="I45" s="18" t="n">
        <v>-5.033</v>
      </c>
      <c r="J45" s="18" t="n">
        <v>-268.364</v>
      </c>
      <c r="K45" s="18" t="n">
        <v>673.724</v>
      </c>
      <c r="L45" s="18" t="n">
        <v>662.905</v>
      </c>
      <c r="M45" s="18" t="n">
        <v>666.7</v>
      </c>
      <c r="N45" s="18" t="n">
        <v>672.879</v>
      </c>
      <c r="O45" s="18" t="n">
        <v>668.168</v>
      </c>
      <c r="P45" s="18" t="n">
        <v>684.282</v>
      </c>
      <c r="Q45" s="18" t="n">
        <v>739.508</v>
      </c>
      <c r="R45" s="18" t="n">
        <v>792.429</v>
      </c>
      <c r="S45" s="18" t="n">
        <v>885.085</v>
      </c>
      <c r="T45" s="18" t="n">
        <v>967.54</v>
      </c>
      <c r="U45" s="18" t="n">
        <v>1068.989</v>
      </c>
      <c r="V45" s="18" t="n">
        <v>1269.256</v>
      </c>
      <c r="W45" s="18" t="n">
        <v>1363.047</v>
      </c>
      <c r="X45" s="18" t="n">
        <v>1501.976</v>
      </c>
      <c r="Y45" s="18" t="n">
        <v>2782.224</v>
      </c>
      <c r="Z45" s="18" t="n">
        <v>3032.95</v>
      </c>
      <c r="AA45" s="18" t="n">
        <v>2942.974</v>
      </c>
      <c r="AB45" s="18" t="n">
        <v>2888.439</v>
      </c>
      <c r="AC45" s="18" t="n">
        <v>2952.358</v>
      </c>
    </row>
    <row r="46">
      <c r="A46" s="5" t="inlineStr">
        <is>
          <t xml:space="preserve">  CASH FLOW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4" t="inlineStr">
        <is>
          <t>D&amp;A</t>
        </is>
      </c>
      <c r="B47" s="18" t="n">
        <v>3.512</v>
      </c>
      <c r="C47" s="18" t="n">
        <v>5.624</v>
      </c>
      <c r="D47" s="18" t="n">
        <v>5.725</v>
      </c>
      <c r="E47" s="18" t="n">
        <v>4.913</v>
      </c>
      <c r="F47" s="18" t="n">
        <v>5.23</v>
      </c>
      <c r="G47" s="18" t="n">
        <v>5.334</v>
      </c>
      <c r="H47" s="18" t="n">
        <v>6.679</v>
      </c>
      <c r="I47" s="18" t="n">
        <v>7.289</v>
      </c>
      <c r="J47" s="18" t="n">
        <v>5.767</v>
      </c>
      <c r="K47" s="18" t="n">
        <v>6.075</v>
      </c>
      <c r="L47" s="18" t="n">
        <v>6.138</v>
      </c>
      <c r="M47" s="18" t="n">
        <v>6.475</v>
      </c>
      <c r="N47" s="18" t="n">
        <v>6.799</v>
      </c>
      <c r="O47" s="18" t="n">
        <v>7.391</v>
      </c>
      <c r="P47" s="18" t="n">
        <v>7.492</v>
      </c>
      <c r="Q47" s="18" t="n">
        <v>7.5</v>
      </c>
      <c r="R47" s="18" t="n">
        <v>7.592</v>
      </c>
      <c r="S47" s="18" t="n">
        <v>7.42</v>
      </c>
      <c r="T47" s="18" t="n">
        <v>8.007</v>
      </c>
      <c r="U47" s="18" t="n">
        <v>9.106</v>
      </c>
      <c r="V47" s="18" t="n">
        <v>8.298</v>
      </c>
      <c r="W47" s="18" t="n">
        <v>5.935</v>
      </c>
      <c r="X47" s="18" t="n">
        <v>6.628</v>
      </c>
      <c r="Y47" s="18" t="n">
        <v>6.112</v>
      </c>
      <c r="Z47" s="18" t="n">
        <v>9.06</v>
      </c>
      <c r="AA47" s="18" t="n">
        <v>9.510999999999999</v>
      </c>
      <c r="AB47" s="18" t="n">
        <v>9.561999999999999</v>
      </c>
      <c r="AC47" s="18" t="n">
        <v>6.733</v>
      </c>
    </row>
    <row r="48">
      <c r="A48" s="4" t="inlineStr">
        <is>
          <t>Stock-based Compensation</t>
        </is>
      </c>
      <c r="B48" s="18" t="n">
        <v>14.009</v>
      </c>
      <c r="C48" s="18" t="n">
        <v>17.662</v>
      </c>
      <c r="D48" s="18" t="n">
        <v>19.367</v>
      </c>
      <c r="E48" s="18" t="n">
        <v>24.738</v>
      </c>
      <c r="F48" s="18" t="n">
        <v>30.567</v>
      </c>
      <c r="G48" s="18" t="n">
        <v>37.525</v>
      </c>
      <c r="H48" s="18" t="n">
        <v>39.952</v>
      </c>
      <c r="I48" s="18" t="n">
        <v>41.269</v>
      </c>
      <c r="J48" s="18" t="n">
        <v>50.914</v>
      </c>
      <c r="K48" s="18" t="n">
        <v>57.705</v>
      </c>
      <c r="L48" s="18" t="n">
        <v>68.708</v>
      </c>
      <c r="M48" s="18" t="n">
        <v>73.742</v>
      </c>
      <c r="N48" s="18" t="n">
        <v>83.566</v>
      </c>
      <c r="O48" s="18" t="n">
        <v>96.554</v>
      </c>
      <c r="P48" s="18" t="n">
        <v>99.19799999999999</v>
      </c>
      <c r="Q48" s="18" t="n">
        <v>102.136</v>
      </c>
      <c r="R48" s="18" t="n">
        <v>103.955</v>
      </c>
      <c r="S48" s="18" t="n">
        <v>113.312</v>
      </c>
      <c r="T48" s="18" t="n">
        <v>115.829</v>
      </c>
      <c r="U48" s="18" t="n">
        <v>123.811</v>
      </c>
      <c r="V48" s="18" t="n">
        <v>120.763</v>
      </c>
      <c r="W48" s="18" t="n">
        <v>122.423</v>
      </c>
      <c r="X48" s="18" t="n">
        <v>125.712</v>
      </c>
      <c r="Y48" s="18" t="n">
        <v>125.042</v>
      </c>
      <c r="Z48" s="18" t="n">
        <v>132.431</v>
      </c>
      <c r="AA48" s="18" t="n">
        <v>140.4</v>
      </c>
      <c r="AB48" s="18" t="n">
        <v>133.63</v>
      </c>
      <c r="AC48" s="18" t="n">
        <v>143.993</v>
      </c>
    </row>
    <row r="49">
      <c r="A49" s="4" t="inlineStr">
        <is>
          <t>Change in Working Capital</t>
        </is>
      </c>
      <c r="B49" s="18" t="n">
        <v>16.873</v>
      </c>
      <c r="C49" s="18" t="n">
        <v>2.179</v>
      </c>
      <c r="D49" s="18" t="n">
        <v>3.59</v>
      </c>
      <c r="E49" s="18" t="n">
        <v>3.95</v>
      </c>
      <c r="F49" s="18" t="n">
        <v>0.752</v>
      </c>
      <c r="G49" s="18" t="n">
        <v>-0.672</v>
      </c>
      <c r="H49" s="18" t="n">
        <v>6.791</v>
      </c>
      <c r="I49" s="18" t="n">
        <v>-5.332</v>
      </c>
      <c r="J49" s="18" t="n">
        <v>15.844</v>
      </c>
      <c r="K49" s="18" t="n">
        <v>-8.699999999999999</v>
      </c>
      <c r="L49" s="18" t="n">
        <v>-1.295</v>
      </c>
      <c r="M49" s="18" t="n">
        <v>21.988</v>
      </c>
      <c r="N49" s="18" t="n">
        <v>-3.337</v>
      </c>
      <c r="O49" s="18" t="n">
        <v>-30.532</v>
      </c>
      <c r="P49" s="18" t="n">
        <v>-27.622</v>
      </c>
      <c r="Q49" s="18" t="n">
        <v>-12.979</v>
      </c>
      <c r="R49" s="18" t="n">
        <v>10.797</v>
      </c>
      <c r="S49" s="18" t="n">
        <v>-98.61799999999999</v>
      </c>
      <c r="T49" s="18" t="n">
        <v>-44.254</v>
      </c>
      <c r="U49" s="18" t="n">
        <v>-16.901</v>
      </c>
      <c r="V49" s="18" t="n">
        <v>22.431</v>
      </c>
      <c r="W49" s="18" t="n">
        <v>-71.134</v>
      </c>
      <c r="X49" s="18" t="n">
        <v>-79.81</v>
      </c>
      <c r="Y49" s="18" t="n">
        <v>-71.80200000000001</v>
      </c>
      <c r="Z49" s="18" t="n">
        <v>7.597</v>
      </c>
      <c r="AA49" s="18" t="n">
        <v>-26.101</v>
      </c>
      <c r="AB49" s="18" t="n">
        <v>12.289</v>
      </c>
      <c r="AC49" s="18" t="n">
        <v>13.789</v>
      </c>
    </row>
    <row r="50">
      <c r="A50" s="4" t="inlineStr">
        <is>
          <t>Operating Cash Flow</t>
        </is>
      </c>
      <c r="B50" s="18" t="n">
        <v>3.214</v>
      </c>
      <c r="C50" s="18" t="n">
        <v>-12.593</v>
      </c>
      <c r="D50" s="18" t="n">
        <v>-11.543</v>
      </c>
      <c r="E50" s="18" t="n">
        <v>-8.618</v>
      </c>
      <c r="F50" s="18" t="n">
        <v>-5.878</v>
      </c>
      <c r="G50" s="18" t="n">
        <v>-10.03</v>
      </c>
      <c r="H50" s="18" t="n">
        <v>-8.119999999999999</v>
      </c>
      <c r="I50" s="18" t="n">
        <v>-18.645</v>
      </c>
      <c r="J50" s="18" t="n">
        <v>10.217</v>
      </c>
      <c r="K50" s="18" t="n">
        <v>-19.758</v>
      </c>
      <c r="L50" s="18" t="n">
        <v>-5.79</v>
      </c>
      <c r="M50" s="18" t="n">
        <v>22.311</v>
      </c>
      <c r="N50" s="18" t="n">
        <v>11.574</v>
      </c>
      <c r="O50" s="18" t="n">
        <v>-44.671</v>
      </c>
      <c r="P50" s="18" t="n">
        <v>-5.744</v>
      </c>
      <c r="Q50" s="18" t="n">
        <v>25.871</v>
      </c>
      <c r="R50" s="18" t="n">
        <v>53.73</v>
      </c>
      <c r="S50" s="18" t="n">
        <v>-25.302</v>
      </c>
      <c r="T50" s="18" t="n">
        <v>38.422</v>
      </c>
      <c r="U50" s="18" t="n">
        <v>54.627</v>
      </c>
      <c r="V50" s="18" t="n">
        <v>63.613</v>
      </c>
      <c r="W50" s="18" t="n">
        <v>-1.398</v>
      </c>
      <c r="X50" s="18" t="n">
        <v>37.438</v>
      </c>
      <c r="Y50" s="18" t="n">
        <v>50.538</v>
      </c>
      <c r="Z50" s="18" t="n">
        <v>109.929</v>
      </c>
      <c r="AA50" s="18" t="n">
        <v>72.105</v>
      </c>
      <c r="AB50" s="18" t="n">
        <v>151.831</v>
      </c>
      <c r="AC50" s="18" t="n">
        <v>179.604</v>
      </c>
    </row>
    <row r="51">
      <c r="A51" s="4" t="inlineStr">
        <is>
          <t>Capex</t>
        </is>
      </c>
      <c r="B51" s="18" t="n">
        <v>-0.389</v>
      </c>
      <c r="C51" s="18" t="n">
        <v>-1.207</v>
      </c>
      <c r="D51" s="18" t="n">
        <v>-0.754</v>
      </c>
      <c r="E51" s="18" t="n">
        <v>-1.214</v>
      </c>
      <c r="F51" s="18" t="n">
        <v>-1.505</v>
      </c>
      <c r="G51" s="18" t="n">
        <v>-3.791</v>
      </c>
      <c r="H51" s="18" t="n">
        <v>-5.646</v>
      </c>
      <c r="I51" s="18" t="n">
        <v>-0.831</v>
      </c>
      <c r="J51" s="18" t="n">
        <v>-0.627</v>
      </c>
      <c r="K51" s="18" t="n">
        <v>-1.705</v>
      </c>
      <c r="L51" s="18" t="n">
        <v>-2.184</v>
      </c>
      <c r="M51" s="18" t="n">
        <v>-3.556</v>
      </c>
      <c r="N51" s="18" t="n">
        <v>-2.538</v>
      </c>
      <c r="O51" s="18" t="n">
        <v>-2.614</v>
      </c>
      <c r="P51" s="18" t="n">
        <v>-1.381</v>
      </c>
      <c r="Q51" s="18" t="n">
        <v>-0.711</v>
      </c>
      <c r="R51" s="18" t="n">
        <v>-0.623</v>
      </c>
      <c r="S51" s="18" t="n">
        <v>-0.635</v>
      </c>
      <c r="T51" s="18" t="n">
        <v>-2.078</v>
      </c>
      <c r="U51" s="18" t="n">
        <v>-2.738</v>
      </c>
      <c r="V51" s="18" t="n">
        <v>-0.539</v>
      </c>
      <c r="W51" s="18" t="n">
        <v>-1.051</v>
      </c>
      <c r="X51" s="18" t="n">
        <v>-1.981</v>
      </c>
      <c r="Y51" s="18" t="n">
        <v>-25.979</v>
      </c>
      <c r="Z51" s="18" t="n">
        <v>-1.611</v>
      </c>
      <c r="AA51" s="18" t="n">
        <v>-0.537</v>
      </c>
      <c r="AB51" s="18" t="n">
        <v>-1.678</v>
      </c>
      <c r="AC51" s="18" t="n">
        <v>-1.134</v>
      </c>
    </row>
    <row r="52">
      <c r="A52" s="4" t="inlineStr">
        <is>
          <t>Free Cash Flow</t>
        </is>
      </c>
      <c r="B52" s="18" t="n">
        <v>2.825</v>
      </c>
      <c r="C52" s="18" t="n">
        <v>-13.8</v>
      </c>
      <c r="D52" s="18" t="n">
        <v>-12.297</v>
      </c>
      <c r="E52" s="18" t="n">
        <v>-9.832000000000001</v>
      </c>
      <c r="F52" s="18" t="n">
        <v>-7.383</v>
      </c>
      <c r="G52" s="18" t="n">
        <v>-13.821</v>
      </c>
      <c r="H52" s="18" t="n">
        <v>-13.766</v>
      </c>
      <c r="I52" s="18" t="n">
        <v>-19.476</v>
      </c>
      <c r="J52" s="18" t="n">
        <v>9.59</v>
      </c>
      <c r="K52" s="18" t="n">
        <v>-21.463</v>
      </c>
      <c r="L52" s="18" t="n">
        <v>-7.974</v>
      </c>
      <c r="M52" s="18" t="n">
        <v>18.755</v>
      </c>
      <c r="N52" s="18" t="n">
        <v>9.036</v>
      </c>
      <c r="O52" s="18" t="n">
        <v>-47.285</v>
      </c>
      <c r="P52" s="18" t="n">
        <v>-7.125</v>
      </c>
      <c r="Q52" s="18" t="n">
        <v>25.16</v>
      </c>
      <c r="R52" s="18" t="n">
        <v>53.107</v>
      </c>
      <c r="S52" s="18" t="n">
        <v>-25.937</v>
      </c>
      <c r="T52" s="18" t="n">
        <v>36.344</v>
      </c>
      <c r="U52" s="18" t="n">
        <v>51.889</v>
      </c>
      <c r="V52" s="18" t="n">
        <v>63.074</v>
      </c>
      <c r="W52" s="18" t="n">
        <v>-2.449</v>
      </c>
      <c r="X52" s="18" t="n">
        <v>35.457</v>
      </c>
      <c r="Y52" s="18" t="n">
        <v>24.559</v>
      </c>
      <c r="Z52" s="18" t="n">
        <v>108.318</v>
      </c>
      <c r="AA52" s="18" t="n">
        <v>71.568</v>
      </c>
      <c r="AB52" s="18" t="n">
        <v>150.153</v>
      </c>
      <c r="AC52" s="18" t="n">
        <v>178.47</v>
      </c>
    </row>
    <row r="54">
      <c r="A5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2027</v>
      </c>
      <c r="C2" s="46" t="n">
        <v>2028</v>
      </c>
      <c r="D2" s="46" t="n">
        <v>2029</v>
      </c>
      <c r="E2" s="46" t="n">
        <v>2030</v>
      </c>
      <c r="F2" s="46" t="n">
        <v>2031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2903.606062</v>
      </c>
      <c r="C4" s="18" t="n">
        <v>3406.663129</v>
      </c>
      <c r="D4" s="18" t="n">
        <v>4130.713477</v>
      </c>
      <c r="E4" s="18" t="n">
        <v>5145.3</v>
      </c>
      <c r="F4" s="18" t="n">
        <v>5367</v>
      </c>
    </row>
    <row r="5">
      <c r="A5" s="4" t="inlineStr">
        <is>
          <t xml:space="preserve">  model</t>
        </is>
      </c>
      <c r="B5" s="34">
        <f>Model!G10</f>
        <v/>
      </c>
      <c r="C5" s="34">
        <f>Model!H10</f>
        <v/>
      </c>
      <c r="D5" s="34">
        <f>Model!I10</f>
        <v/>
      </c>
      <c r="E5" s="34">
        <f>Model!J10</f>
        <v/>
      </c>
      <c r="F5" s="34">
        <f>Model!K10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  <c r="F6" s="47">
        <f>IFERROR(F5/F4-1,"")</f>
        <v/>
      </c>
    </row>
    <row r="8">
      <c r="A8" s="3" t="inlineStr">
        <is>
          <t>EBITDA* — consensus</t>
        </is>
      </c>
      <c r="B8" s="18" t="n">
        <v>800.960784</v>
      </c>
      <c r="C8" s="18" t="n">
        <v>939.729258</v>
      </c>
      <c r="D8" s="18" t="n">
        <v>1139.458809</v>
      </c>
      <c r="E8" s="18" t="n">
        <v>1419.33287</v>
      </c>
      <c r="F8" s="18" t="n">
        <v>1480.488895</v>
      </c>
    </row>
    <row r="9">
      <c r="A9" s="4" t="inlineStr">
        <is>
          <t xml:space="preserve">  model</t>
        </is>
      </c>
      <c r="B9" s="34">
        <f>Model!G23+Model!G28</f>
        <v/>
      </c>
      <c r="C9" s="34">
        <f>Model!H23+Model!H28</f>
        <v/>
      </c>
      <c r="D9" s="34">
        <f>Model!I23+Model!I28</f>
        <v/>
      </c>
      <c r="E9" s="34">
        <f>Model!J23+Model!J28</f>
        <v/>
      </c>
      <c r="F9" s="34">
        <f>Model!K23+Model!K28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  <c r="F10" s="47">
        <f>IFERROR(F9/F8-1,"")</f>
        <v/>
      </c>
    </row>
    <row r="12">
      <c r="A12" s="3" t="inlineStr">
        <is>
          <t>EBIT* — consensus</t>
        </is>
      </c>
      <c r="B12" s="18" t="n">
        <v>807.164453</v>
      </c>
      <c r="C12" s="18" t="n">
        <v>947.007728</v>
      </c>
      <c r="D12" s="18" t="n">
        <v>1148.284241</v>
      </c>
      <c r="E12" s="18" t="n">
        <v>1430.326005</v>
      </c>
      <c r="F12" s="18" t="n">
        <v>1491.955701</v>
      </c>
    </row>
    <row r="13">
      <c r="A13" s="4" t="inlineStr">
        <is>
          <t xml:space="preserve">  model</t>
        </is>
      </c>
      <c r="B13" s="34">
        <f>Model!G23</f>
        <v/>
      </c>
      <c r="C13" s="34">
        <f>Model!H23</f>
        <v/>
      </c>
      <c r="D13" s="34">
        <f>Model!I23</f>
        <v/>
      </c>
      <c r="E13" s="34">
        <f>Model!J23</f>
        <v/>
      </c>
      <c r="F13" s="34">
        <f>Model!K23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  <c r="F14" s="47">
        <f>IFERROR(F13/F12-1,"")</f>
        <v/>
      </c>
    </row>
    <row r="16">
      <c r="A16" s="3" t="inlineStr">
        <is>
          <t>SG&amp;A — consensus</t>
        </is>
      </c>
      <c r="B16" s="18" t="n">
        <v>1716.710277</v>
      </c>
      <c r="C16" s="18" t="n">
        <v>2014.134659</v>
      </c>
      <c r="D16" s="18" t="n">
        <v>2442.217756</v>
      </c>
      <c r="E16" s="18" t="n">
        <v>3042.075682</v>
      </c>
      <c r="F16" s="18" t="n">
        <v>3173.152233</v>
      </c>
    </row>
    <row r="17">
      <c r="A17" s="4" t="inlineStr">
        <is>
          <t xml:space="preserve">  model</t>
        </is>
      </c>
      <c r="B17" s="34">
        <f>Model!G18</f>
        <v/>
      </c>
      <c r="C17" s="34">
        <f>Model!H18</f>
        <v/>
      </c>
      <c r="D17" s="34">
        <f>Model!I18</f>
        <v/>
      </c>
      <c r="E17" s="34">
        <f>Model!J18</f>
        <v/>
      </c>
      <c r="F17" s="34">
        <f>Model!K18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  <c r="F18" s="47">
        <f>IFERROR(F17/F16-1,"")</f>
        <v/>
      </c>
    </row>
    <row r="20">
      <c r="A20" s="3" t="inlineStr">
        <is>
          <t>Net income (NOPAT) — consensus</t>
        </is>
      </c>
      <c r="B20" s="18" t="n">
        <v>482.565336</v>
      </c>
      <c r="C20" s="18" t="n">
        <v>575.6799425</v>
      </c>
      <c r="D20" s="18" t="n">
        <v>783.001565</v>
      </c>
      <c r="E20" s="18" t="n">
        <v>784.028927</v>
      </c>
      <c r="F20" s="18" t="n">
        <v>918.898152</v>
      </c>
    </row>
    <row r="21">
      <c r="A21" s="4" t="inlineStr">
        <is>
          <t xml:space="preserve">  model</t>
        </is>
      </c>
      <c r="B21" s="34">
        <f>Model!G27</f>
        <v/>
      </c>
      <c r="C21" s="34">
        <f>Model!H27</f>
        <v/>
      </c>
      <c r="D21" s="34">
        <f>Model!I27</f>
        <v/>
      </c>
      <c r="E21" s="34">
        <f>Model!J27</f>
        <v/>
      </c>
      <c r="F21" s="34">
        <f>Model!K27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  <c r="F22" s="47">
        <f>IFERROR(F21/F20-1,"")</f>
        <v/>
      </c>
    </row>
    <row r="24">
      <c r="A24" s="3" t="inlineStr">
        <is>
          <t>EPS — consensus</t>
        </is>
      </c>
      <c r="B24" s="48" t="n">
        <v>5.91928</v>
      </c>
      <c r="C24" s="48" t="n">
        <v>7.07541</v>
      </c>
      <c r="D24" s="48" t="n">
        <v>8.786</v>
      </c>
      <c r="E24" s="48" t="n">
        <v>9.65</v>
      </c>
      <c r="F24" s="48" t="n">
        <v>11.31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  <c r="F25" s="8">
        <f>Model!K27/Financials!AC17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  <c r="F26" s="4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MongoDB,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2027</v>
      </c>
      <c r="D11" s="46" t="n">
        <v>2028</v>
      </c>
      <c r="E11" s="46" t="n">
        <v>2029</v>
      </c>
      <c r="F11" s="46" t="n">
        <v>2030</v>
      </c>
      <c r="G11" s="46" t="n">
        <v>2031</v>
      </c>
      <c r="H11" s="46" t="n">
        <v>2032</v>
      </c>
      <c r="I11" s="46" t="n">
        <v>2033</v>
      </c>
      <c r="J11" s="46" t="n">
        <v>2034</v>
      </c>
      <c r="K11" s="46" t="n">
        <v>2035</v>
      </c>
      <c r="L11" s="46" t="n">
        <v>2036</v>
      </c>
    </row>
    <row r="12">
      <c r="A12" s="4" t="inlineStr">
        <is>
          <t>FCFF ($M)</t>
        </is>
      </c>
      <c r="C12" s="34">
        <f>Model!G35</f>
        <v/>
      </c>
      <c r="D12" s="34">
        <f>Model!H35</f>
        <v/>
      </c>
      <c r="E12" s="34">
        <f>Model!I35</f>
        <v/>
      </c>
      <c r="F12" s="34">
        <f>Model!J35</f>
        <v/>
      </c>
      <c r="G12" s="34">
        <f>Model!K35</f>
        <v/>
      </c>
      <c r="H12" s="34">
        <f>Model!L35</f>
        <v/>
      </c>
      <c r="I12" s="34">
        <f>Model!M35</f>
        <v/>
      </c>
      <c r="J12" s="34">
        <f>Model!N35</f>
        <v/>
      </c>
      <c r="K12" s="34">
        <f>Model!O35</f>
        <v/>
      </c>
      <c r="L12" s="34">
        <f>Model!P35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Model!P10</f>
        <v/>
      </c>
    </row>
    <row r="21">
      <c r="A21" s="4" t="inlineStr">
        <is>
          <t>Terminal EBIT</t>
        </is>
      </c>
      <c r="B21" s="34">
        <f>Model!P23</f>
        <v/>
      </c>
    </row>
    <row r="22">
      <c r="A22" s="4" t="inlineStr">
        <is>
          <t>Terminal EBITDA (SBC-burdened)</t>
        </is>
      </c>
      <c r="B22" s="34">
        <f>Model!P23+Model!P28-Model!P29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Financials!AC39</f>
        <v/>
      </c>
    </row>
    <row r="33">
      <c r="A33" s="4" t="inlineStr">
        <is>
          <t>- Long-term debt</t>
        </is>
      </c>
      <c r="B33" s="34">
        <f>-Financials!AC44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0.09487</v>
      </c>
      <c r="C4" s="52" t="n">
        <v>0.09987</v>
      </c>
      <c r="D4" s="52" t="n">
        <v>0.10487</v>
      </c>
      <c r="E4" s="52" t="n">
        <v>0.10987</v>
      </c>
      <c r="F4" s="52" t="n">
        <v>0.11487</v>
      </c>
      <c r="G4" s="52" t="n">
        <v>0.11987</v>
      </c>
      <c r="H4" s="52" t="n">
        <v>0.12487</v>
      </c>
    </row>
    <row r="5">
      <c r="A5" s="53" t="n">
        <v>19</v>
      </c>
      <c r="B5" s="54" t="n">
        <v>94.71175683874618</v>
      </c>
      <c r="C5" s="54" t="n">
        <v>91.89283898160843</v>
      </c>
      <c r="D5" s="54" t="n">
        <v>89.20771959486036</v>
      </c>
      <c r="E5" s="54" t="n">
        <v>86.64942261162217</v>
      </c>
      <c r="F5" s="54" t="n">
        <v>84.21136641706896</v>
      </c>
      <c r="G5" s="54" t="n">
        <v>81.8873398609022</v>
      </c>
      <c r="H5" s="54" t="n">
        <v>79.67147982886823</v>
      </c>
    </row>
    <row r="6">
      <c r="A6" s="53" t="n">
        <v>20</v>
      </c>
      <c r="B6" s="54" t="n">
        <v>97.61394028960122</v>
      </c>
      <c r="C6" s="54" t="n">
        <v>94.66575590022681</v>
      </c>
      <c r="D6" s="54" t="n">
        <v>91.85767524874954</v>
      </c>
      <c r="E6" s="54" t="n">
        <v>89.18238824125584</v>
      </c>
      <c r="F6" s="54" t="n">
        <v>86.63299832134089</v>
      </c>
      <c r="G6" s="54" t="n">
        <v>84.2029973133577</v>
      </c>
      <c r="H6" s="54" t="n">
        <v>81.88624190112311</v>
      </c>
    </row>
    <row r="7">
      <c r="A7" s="53" t="n">
        <v>21</v>
      </c>
      <c r="B7" s="54" t="n">
        <v>100.5161237404562</v>
      </c>
      <c r="C7" s="54" t="n">
        <v>97.43867281884519</v>
      </c>
      <c r="D7" s="54" t="n">
        <v>94.50763090263871</v>
      </c>
      <c r="E7" s="54" t="n">
        <v>91.71535387088949</v>
      </c>
      <c r="F7" s="54" t="n">
        <v>89.05463022561284</v>
      </c>
      <c r="G7" s="54" t="n">
        <v>86.51865476581318</v>
      </c>
      <c r="H7" s="54" t="n">
        <v>84.101003973378</v>
      </c>
    </row>
    <row r="8">
      <c r="A8" s="53" t="n">
        <v>22</v>
      </c>
      <c r="B8" s="54" t="n">
        <v>103.4183071913112</v>
      </c>
      <c r="C8" s="54" t="n">
        <v>100.2115897374636</v>
      </c>
      <c r="D8" s="54" t="n">
        <v>97.15758655652787</v>
      </c>
      <c r="E8" s="55" t="n">
        <v>94.24831950052314</v>
      </c>
      <c r="F8" s="54" t="n">
        <v>91.47626212988479</v>
      </c>
      <c r="G8" s="54" t="n">
        <v>88.83431221826866</v>
      </c>
      <c r="H8" s="54" t="n">
        <v>86.31576604563288</v>
      </c>
    </row>
    <row r="9">
      <c r="A9" s="53" t="n">
        <v>23</v>
      </c>
      <c r="B9" s="54" t="n">
        <v>106.3204906421662</v>
      </c>
      <c r="C9" s="54" t="n">
        <v>102.9845066560819</v>
      </c>
      <c r="D9" s="54" t="n">
        <v>99.80754221041704</v>
      </c>
      <c r="E9" s="54" t="n">
        <v>96.78128513015679</v>
      </c>
      <c r="F9" s="54" t="n">
        <v>93.89789403415671</v>
      </c>
      <c r="G9" s="54" t="n">
        <v>91.14996967072415</v>
      </c>
      <c r="H9" s="54" t="n">
        <v>88.53052811788777</v>
      </c>
    </row>
    <row r="10">
      <c r="A10" s="53" t="n">
        <v>24</v>
      </c>
      <c r="B10" s="54" t="n">
        <v>109.2226740930213</v>
      </c>
      <c r="C10" s="54" t="n">
        <v>105.7574235747003</v>
      </c>
      <c r="D10" s="54" t="n">
        <v>102.4574978643062</v>
      </c>
      <c r="E10" s="54" t="n">
        <v>99.31425075979043</v>
      </c>
      <c r="F10" s="54" t="n">
        <v>96.31952593842865</v>
      </c>
      <c r="G10" s="54" t="n">
        <v>93.46562712317963</v>
      </c>
      <c r="H10" s="54" t="n">
        <v>90.74529019014264</v>
      </c>
    </row>
    <row r="11">
      <c r="A11" s="53" t="n">
        <v>25</v>
      </c>
      <c r="B11" s="54" t="n">
        <v>112.1248575438763</v>
      </c>
      <c r="C11" s="54" t="n">
        <v>108.5303404933187</v>
      </c>
      <c r="D11" s="54" t="n">
        <v>105.1074535181954</v>
      </c>
      <c r="E11" s="54" t="n">
        <v>101.8472163894241</v>
      </c>
      <c r="F11" s="54" t="n">
        <v>98.7411578427006</v>
      </c>
      <c r="G11" s="54" t="n">
        <v>95.78128457563513</v>
      </c>
      <c r="H11" s="54" t="n">
        <v>92.96005226239753</v>
      </c>
    </row>
    <row r="13">
      <c r="A13" s="3" t="inlineStr">
        <is>
          <t>Current price</t>
        </is>
      </c>
      <c r="B13" s="54" t="n">
        <v>334.6900024414062</v>
      </c>
    </row>
    <row r="14">
      <c r="A14" s="3" t="inlineStr">
        <is>
          <t>Base WACC / multiple</t>
        </is>
      </c>
      <c r="B14" s="56" t="n">
        <v>0.10987</v>
      </c>
      <c r="C14" s="57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0.01415132821413452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0.1413294900476109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0.03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0.5409720073883493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2026-07-08T07:03:52Z</dcterms:created>
  <dcterms:modified xmlns:dcterms="http://purl.org/dc/terms/" xmlns:xsi="http://www.w3.org/2001/XMLSchema-instance" xsi:type="dcterms:W3CDTF">2026-07-08T07:03:52Z</dcterms:modified>
</cp:coreProperties>
</file>