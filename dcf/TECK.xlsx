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Teck Resources Limited (TECK)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Teck Resources Limited (TECK)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0.04581514857717407</v>
      </c>
      <c r="C20" s="15" t="n">
        <v>0.05</v>
      </c>
      <c r="D20" s="16" t="n">
        <v>0.04581514857717407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0.2179104210088647</v>
      </c>
      <c r="D29" s="16" t="n">
        <v>0.2179104210088647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0.03077847520325617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2214.7456078</v>
      </c>
      <c r="D34" s="18" t="n">
        <v>2214.7456078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1.568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0.004895199537304801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60.0099983215332</v>
      </c>
    </row>
    <row r="49">
      <c r="A49" s="4" t="inlineStr">
        <is>
          <t>Growth fade curvature</t>
        </is>
      </c>
      <c r="B49" s="20" t="n">
        <v>4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24.74230280389597</v>
      </c>
      <c r="C58" s="28" t="n">
        <v>38.45675607576264</v>
      </c>
      <c r="D58" s="28" t="n">
        <v>14.36341819112576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TECK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builder default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0.7599616467888761</v>
      </c>
      <c r="H11" s="15" t="n">
        <v>0.7599616467888761</v>
      </c>
      <c r="I11" s="15" t="n">
        <v>0.7599616467888761</v>
      </c>
      <c r="J11" s="15" t="n">
        <v>0.7599616467888761</v>
      </c>
      <c r="K11" s="15" t="n">
        <v>0.7599616467888761</v>
      </c>
      <c r="L11" s="15" t="n">
        <v>0.7599616467888761</v>
      </c>
      <c r="M11" s="15" t="n">
        <v>0.7599616467888761</v>
      </c>
      <c r="N11" s="15" t="n">
        <v>0.7599616467888761</v>
      </c>
      <c r="O11" s="15" t="n">
        <v>0.7599616467888761</v>
      </c>
      <c r="P11" s="15" t="n">
        <v>0.7599616467888761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0.003253766605698335</v>
      </c>
      <c r="H13" s="15" t="n">
        <v>0.003253766605698335</v>
      </c>
      <c r="I13" s="15" t="n">
        <v>0.003253766605698335</v>
      </c>
      <c r="J13" s="15" t="n">
        <v>0.003253766605698335</v>
      </c>
      <c r="K13" s="15" t="n">
        <v>0.003253766605698335</v>
      </c>
      <c r="L13" s="15" t="n">
        <v>0.003253766605698335</v>
      </c>
      <c r="M13" s="15" t="n">
        <v>0.003253766605698335</v>
      </c>
      <c r="N13" s="15" t="n">
        <v>0.003253766605698335</v>
      </c>
      <c r="O13" s="15" t="n">
        <v>0.003253766605698335</v>
      </c>
      <c r="P13" s="15" t="n">
        <v>0.003253766605698335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0.02984428263402561</v>
      </c>
      <c r="H15" s="15" t="n">
        <v>0.02984428263402561</v>
      </c>
      <c r="I15" s="15" t="n">
        <v>0.02984428263402561</v>
      </c>
      <c r="J15" s="15" t="n">
        <v>0.02984428263402561</v>
      </c>
      <c r="K15" s="15" t="n">
        <v>0.02984428263402561</v>
      </c>
      <c r="L15" s="15" t="n">
        <v>0.02984428263402561</v>
      </c>
      <c r="M15" s="15" t="n">
        <v>0.02984428263402561</v>
      </c>
      <c r="N15" s="15" t="n">
        <v>0.02984428263402561</v>
      </c>
      <c r="O15" s="15" t="n">
        <v>0.02984428263402561</v>
      </c>
      <c r="P15" s="15" t="n">
        <v>0.02984428263402561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G6*(1-(Dashboard!$B$29+(Dashboard!$B$30-Dashboard!$B$29)*MIN(1,0/4)))-(G10+G12+G14)</f>
        <v/>
      </c>
      <c r="H16" s="33">
        <f>H6*(1-(Dashboard!$B$29+(Dashboard!$B$30-Dashboard!$B$29)*MIN(1,1/4)))-(H10+H12+H14)</f>
        <v/>
      </c>
      <c r="I16" s="33">
        <f>I6*(1-(Dashboard!$B$29+(Dashboard!$B$30-Dashboard!$B$29)*MIN(1,2/4)))-(I10+I12+I14)</f>
        <v/>
      </c>
      <c r="J16" s="33">
        <f>J6*(1-(Dashboard!$B$29+(Dashboard!$B$30-Dashboard!$B$29)*MIN(1,3/4)))-(J10+J12+J14)</f>
        <v/>
      </c>
      <c r="K16" s="33">
        <f>K6*(1-(Dashboard!$B$29+(Dashboard!$B$30-Dashboard!$B$29)*MIN(1,4/4)))-(K10+K12+K14)</f>
        <v/>
      </c>
      <c r="L16" s="33">
        <f>L6*(1-(Dashboard!$B$29+(Dashboard!$B$30-Dashboard!$B$29)*MIN(1,5/4)))-(L10+L12+L14)</f>
        <v/>
      </c>
      <c r="M16" s="33">
        <f>M6*(1-(Dashboard!$B$29+(Dashboard!$B$30-Dashboard!$B$29)*MIN(1,6/4)))-(M10+M12+M14)</f>
        <v/>
      </c>
      <c r="N16" s="33">
        <f>N6*(1-(Dashboard!$B$29+(Dashboard!$B$30-Dashboard!$B$29)*MIN(1,7/4)))-(N10+N12+N14)</f>
        <v/>
      </c>
      <c r="O16" s="33">
        <f>O6*(1-(Dashboard!$B$29+(Dashboard!$B$30-Dashboard!$B$29)*MIN(1,8/4)))-(O10+O12+O14)</f>
        <v/>
      </c>
      <c r="P16" s="33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SUM(Financials!I27:L27)</f>
        <v/>
      </c>
      <c r="C24" s="33">
        <f>SUM(Financials!M27:P27)</f>
        <v/>
      </c>
      <c r="D24" s="33">
        <f>SUM(Financials!Q27:T27)</f>
        <v/>
      </c>
      <c r="E24" s="33">
        <f>SUM(Financials!U27:X27)</f>
        <v/>
      </c>
      <c r="F24" s="33">
        <f>SUM(Financials!Y27:AB27)</f>
        <v/>
      </c>
      <c r="G24" s="41">
        <f>G6*0.1667</f>
        <v/>
      </c>
      <c r="H24" s="41">
        <f>H6*0.1667</f>
        <v/>
      </c>
      <c r="I24" s="41">
        <f>I6*0.1667</f>
        <v/>
      </c>
      <c r="J24" s="41">
        <f>J6*0.1667</f>
        <v/>
      </c>
      <c r="K24" s="41">
        <f>K6*0.1667</f>
        <v/>
      </c>
      <c r="L24" s="41">
        <f>L6*0.1667</f>
        <v/>
      </c>
      <c r="M24" s="41">
        <f>M6*0.1667</f>
        <v/>
      </c>
      <c r="N24" s="41">
        <f>N6*0.1667</f>
        <v/>
      </c>
      <c r="O24" s="41">
        <f>O6*0.1667</f>
        <v/>
      </c>
      <c r="P24" s="41">
        <f>P6*0.1667</f>
        <v/>
      </c>
    </row>
    <row r="25">
      <c r="A25" s="4" t="inlineStr">
        <is>
          <t>+ SBC (non-cash)</t>
        </is>
      </c>
      <c r="B25" s="33">
        <f>SUM(Financials!I28:L28)</f>
        <v/>
      </c>
      <c r="C25" s="33">
        <f>SUM(Financials!M28:P28)</f>
        <v/>
      </c>
      <c r="D25" s="33">
        <f>SUM(Financials!Q28:T28)</f>
        <v/>
      </c>
      <c r="E25" s="33">
        <f>SUM(Financials!U28:X28)</f>
        <v/>
      </c>
      <c r="F25" s="33">
        <f>SUM(Financials!Y28:AB28)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-SUM(Financials!I31:L31)</f>
        <v/>
      </c>
      <c r="C27" s="33">
        <f>-SUM(Financials!M31:P31)</f>
        <v/>
      </c>
      <c r="D27" s="33">
        <f>-SUM(Financials!Q31:T31)</f>
        <v/>
      </c>
      <c r="E27" s="33">
        <f>-SUM(Financials!U31:X31)</f>
        <v/>
      </c>
      <c r="F27" s="33">
        <f>-SUM(Financials!Y31:AB31)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Financials!L25+Financials!L24-Financials!L19</f>
        <v/>
      </c>
      <c r="C34" s="33">
        <f>Financials!P25+Financials!P24-Financials!P19</f>
        <v/>
      </c>
      <c r="D34" s="33">
        <f>Financials!T25+Financials!T24-Financials!T19</f>
        <v/>
      </c>
      <c r="E34" s="33">
        <f>Financials!X25+Financials!X24-Financials!X19</f>
        <v/>
      </c>
      <c r="F34" s="33">
        <f>Financials!AB25+Financials!AB24-Financials!AB19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Financials!L25</f>
        <v/>
      </c>
      <c r="C35" s="33">
        <f>Financials!P25</f>
        <v/>
      </c>
      <c r="D35" s="33">
        <f>Financials!T25</f>
        <v/>
      </c>
      <c r="E35" s="33">
        <f>Financials!X25</f>
        <v/>
      </c>
      <c r="F35" s="33">
        <f>Financials!AB25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3138</v>
      </c>
      <c r="C3" s="18" t="n">
        <v>3035</v>
      </c>
      <c r="D3" s="18" t="n">
        <v>2655</v>
      </c>
      <c r="E3" s="18" t="n">
        <v>2377</v>
      </c>
      <c r="F3" s="18" t="n">
        <v>1720</v>
      </c>
      <c r="G3" s="18" t="n">
        <v>2291</v>
      </c>
      <c r="H3" s="18" t="n">
        <v>2560</v>
      </c>
      <c r="I3" s="18" t="n">
        <v>2547</v>
      </c>
      <c r="J3" s="18" t="n">
        <v>2558</v>
      </c>
      <c r="K3" s="18" t="n">
        <v>3970</v>
      </c>
      <c r="L3" s="18" t="n">
        <v>4406</v>
      </c>
      <c r="M3" s="18" t="n">
        <v>4616</v>
      </c>
      <c r="N3" s="18" t="n">
        <v>5300</v>
      </c>
      <c r="O3" s="18" t="n">
        <v>4260</v>
      </c>
      <c r="P3" s="18" t="n">
        <v>1828</v>
      </c>
      <c r="Q3" s="18" t="n">
        <v>3785</v>
      </c>
      <c r="R3" s="18" t="n">
        <v>3519</v>
      </c>
      <c r="S3" s="18" t="n">
        <v>1989</v>
      </c>
      <c r="T3" s="18" t="n">
        <v>4108</v>
      </c>
      <c r="U3" s="18" t="n">
        <v>1619</v>
      </c>
      <c r="V3" s="18" t="n">
        <v>1802</v>
      </c>
      <c r="W3" s="18" t="n">
        <v>2858</v>
      </c>
      <c r="X3" s="18" t="n">
        <v>2786</v>
      </c>
      <c r="Y3" s="18" t="n">
        <v>2290</v>
      </c>
      <c r="Z3" s="18" t="n">
        <v>2023</v>
      </c>
      <c r="AA3" s="18" t="n">
        <v>3385</v>
      </c>
      <c r="AB3" s="18" t="n">
        <v>3055.507931</v>
      </c>
      <c r="AC3" s="18" t="n">
        <v>3943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2087</v>
      </c>
      <c r="C5" s="18" t="n">
        <v>2248</v>
      </c>
      <c r="D5" s="18" t="n">
        <v>2195</v>
      </c>
      <c r="E5" s="18" t="n">
        <v>1979</v>
      </c>
      <c r="F5" s="18" t="n">
        <v>1581</v>
      </c>
      <c r="G5" s="18" t="n">
        <v>2000</v>
      </c>
      <c r="H5" s="18" t="n">
        <v>2055</v>
      </c>
      <c r="I5" s="18" t="n">
        <v>1893</v>
      </c>
      <c r="J5" s="18" t="n">
        <v>1869</v>
      </c>
      <c r="K5" s="18" t="n">
        <v>2308</v>
      </c>
      <c r="L5" s="18" t="n">
        <v>2330</v>
      </c>
      <c r="M5" s="18" t="n">
        <v>2138</v>
      </c>
      <c r="N5" s="18" t="n">
        <v>2158</v>
      </c>
      <c r="O5" s="18" t="n">
        <v>2463</v>
      </c>
      <c r="P5" s="18" t="n">
        <v>994</v>
      </c>
      <c r="Q5" s="18" t="n">
        <v>2119</v>
      </c>
      <c r="R5" s="18" t="n">
        <v>2109</v>
      </c>
      <c r="S5" s="18" t="n">
        <v>1728</v>
      </c>
      <c r="T5" s="18" t="n">
        <v>2872</v>
      </c>
      <c r="U5" s="18" t="n">
        <v>1450</v>
      </c>
      <c r="V5" s="18" t="n">
        <v>1384</v>
      </c>
      <c r="W5" s="18" t="n">
        <v>2380</v>
      </c>
      <c r="X5" s="18" t="n">
        <v>2244</v>
      </c>
      <c r="Y5" s="18" t="n">
        <v>1754</v>
      </c>
      <c r="Z5" s="18" t="n">
        <v>1552</v>
      </c>
      <c r="AA5" s="18" t="n">
        <v>2725</v>
      </c>
      <c r="AB5" s="18" t="n">
        <v>2141.253596</v>
      </c>
      <c r="AC5" s="18" t="n">
        <v>2228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11</v>
      </c>
      <c r="C7" s="18" t="n">
        <v>24</v>
      </c>
      <c r="D7" s="18" t="n">
        <v>22</v>
      </c>
      <c r="E7" s="18" t="n">
        <v>22</v>
      </c>
      <c r="F7" s="18" t="n">
        <v>14</v>
      </c>
      <c r="G7" s="18" t="n">
        <v>15</v>
      </c>
      <c r="H7" s="18" t="n">
        <v>46</v>
      </c>
      <c r="I7" s="18" t="n">
        <v>25</v>
      </c>
      <c r="J7" s="18" t="n">
        <v>32</v>
      </c>
      <c r="K7" s="18" t="n">
        <v>41</v>
      </c>
      <c r="L7" s="18" t="n">
        <v>31</v>
      </c>
      <c r="M7" s="18" t="n">
        <v>39</v>
      </c>
      <c r="N7" s="18" t="n">
        <v>34</v>
      </c>
      <c r="O7" s="18" t="n">
        <v>40</v>
      </c>
      <c r="P7" s="18" t="n">
        <v>44</v>
      </c>
      <c r="Q7" s="18" t="n">
        <v>38</v>
      </c>
      <c r="R7" s="18" t="n">
        <v>40</v>
      </c>
      <c r="S7" s="18" t="n">
        <v>36</v>
      </c>
      <c r="T7" s="18" t="n">
        <v>36</v>
      </c>
      <c r="U7" s="18" t="n">
        <v>18</v>
      </c>
      <c r="V7" s="18" t="n">
        <v>14</v>
      </c>
      <c r="W7" s="18" t="n">
        <v>6</v>
      </c>
      <c r="X7" s="18" t="n">
        <v>12</v>
      </c>
      <c r="Y7" s="18" t="n">
        <v>10</v>
      </c>
      <c r="Z7" s="18" t="n">
        <v>7</v>
      </c>
      <c r="AA7" s="18" t="n">
        <v>5</v>
      </c>
      <c r="AB7" s="18" t="n">
        <v>12.989405</v>
      </c>
      <c r="AC7" s="18" t="n">
        <v>4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52</v>
      </c>
      <c r="C9" s="18" t="n">
        <v>8</v>
      </c>
      <c r="D9" s="18" t="n">
        <v>49</v>
      </c>
      <c r="E9" s="18" t="n">
        <v>1</v>
      </c>
      <c r="F9" s="18" t="n">
        <v>47</v>
      </c>
      <c r="G9" s="18" t="n">
        <v>51</v>
      </c>
      <c r="H9" s="18" t="n">
        <v>80</v>
      </c>
      <c r="I9" s="18" t="n">
        <v>55</v>
      </c>
      <c r="J9" s="18" t="n">
        <v>68</v>
      </c>
      <c r="K9" s="18" t="n">
        <v>74</v>
      </c>
      <c r="L9" s="18" t="n">
        <v>102</v>
      </c>
      <c r="M9" s="18" t="n">
        <v>159</v>
      </c>
      <c r="N9" s="18" t="n">
        <v>55</v>
      </c>
      <c r="O9" s="18" t="n">
        <v>87</v>
      </c>
      <c r="P9" s="18" t="n">
        <v>170</v>
      </c>
      <c r="Q9" s="18" t="n">
        <v>89</v>
      </c>
      <c r="R9" s="18" t="n">
        <v>138</v>
      </c>
      <c r="S9" s="18" t="n">
        <v>92</v>
      </c>
      <c r="T9" s="18" t="n">
        <v>98</v>
      </c>
      <c r="U9" s="18" t="n">
        <v>95</v>
      </c>
      <c r="V9" s="18" t="n">
        <v>101</v>
      </c>
      <c r="W9" s="18" t="n">
        <v>106</v>
      </c>
      <c r="X9" s="18" t="n">
        <v>64</v>
      </c>
      <c r="Y9" s="18" t="n">
        <v>87</v>
      </c>
      <c r="Z9" s="18" t="n">
        <v>81</v>
      </c>
      <c r="AA9" s="18" t="n">
        <v>68</v>
      </c>
      <c r="AB9" s="18" t="n">
        <v>84.93073</v>
      </c>
      <c r="AC9" s="18" t="n">
        <v>99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1051</v>
      </c>
      <c r="C11" s="18" t="n">
        <v>787</v>
      </c>
      <c r="D11" s="18" t="n">
        <v>460</v>
      </c>
      <c r="E11" s="18" t="n">
        <v>398</v>
      </c>
      <c r="F11" s="18" t="n">
        <v>139</v>
      </c>
      <c r="G11" s="18" t="n">
        <v>291</v>
      </c>
      <c r="H11" s="18" t="n">
        <v>505</v>
      </c>
      <c r="I11" s="18" t="n">
        <v>654</v>
      </c>
      <c r="J11" s="18" t="n">
        <v>689</v>
      </c>
      <c r="K11" s="18" t="n">
        <v>1662</v>
      </c>
      <c r="L11" s="18" t="n">
        <v>2076</v>
      </c>
      <c r="M11" s="18" t="n">
        <v>2478</v>
      </c>
      <c r="N11" s="18" t="n">
        <v>3142</v>
      </c>
      <c r="O11" s="18" t="n">
        <v>1797</v>
      </c>
      <c r="P11" s="18" t="n">
        <v>834</v>
      </c>
      <c r="Q11" s="18" t="n">
        <v>1666</v>
      </c>
      <c r="R11" s="18" t="n">
        <v>1410</v>
      </c>
      <c r="S11" s="18" t="n">
        <v>261</v>
      </c>
      <c r="T11" s="18" t="n">
        <v>1236</v>
      </c>
      <c r="U11" s="18" t="n">
        <v>169</v>
      </c>
      <c r="V11" s="18" t="n">
        <v>418</v>
      </c>
      <c r="W11" s="18" t="n">
        <v>478</v>
      </c>
      <c r="X11" s="18" t="n">
        <v>542</v>
      </c>
      <c r="Y11" s="18" t="n">
        <v>536</v>
      </c>
      <c r="Z11" s="18" t="n">
        <v>471</v>
      </c>
      <c r="AA11" s="18" t="n">
        <v>660</v>
      </c>
      <c r="AB11" s="18" t="n">
        <v>914.254335</v>
      </c>
      <c r="AC11" s="18" t="n">
        <v>1715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613</v>
      </c>
      <c r="C13" s="18" t="n">
        <v>601</v>
      </c>
      <c r="D13" s="18" t="n">
        <v>-2326</v>
      </c>
      <c r="E13" s="18" t="n">
        <v>-351</v>
      </c>
      <c r="F13" s="18" t="n">
        <v>-172</v>
      </c>
      <c r="G13" s="18" t="n">
        <v>111</v>
      </c>
      <c r="H13" s="18" t="n">
        <v>-498</v>
      </c>
      <c r="I13" s="18" t="n">
        <v>603</v>
      </c>
      <c r="J13" s="18" t="n">
        <v>539</v>
      </c>
      <c r="K13" s="18" t="n">
        <v>1505</v>
      </c>
      <c r="L13" s="18" t="n">
        <v>2203</v>
      </c>
      <c r="M13" s="18" t="n">
        <v>2490</v>
      </c>
      <c r="N13" s="18" t="n">
        <v>2666</v>
      </c>
      <c r="O13" s="18" t="n">
        <v>1241</v>
      </c>
      <c r="P13" s="18" t="n">
        <v>1504</v>
      </c>
      <c r="Q13" s="18" t="n">
        <v>1855</v>
      </c>
      <c r="R13" s="18" t="n">
        <v>1055</v>
      </c>
      <c r="S13" s="18" t="n">
        <v>-4</v>
      </c>
      <c r="T13" s="18" t="n">
        <v>899</v>
      </c>
      <c r="U13" s="18" t="n">
        <v>2</v>
      </c>
      <c r="V13" s="18" t="n">
        <v>312</v>
      </c>
      <c r="W13" s="18" t="n">
        <v>-628</v>
      </c>
      <c r="X13" s="18" t="n">
        <v>305</v>
      </c>
      <c r="Y13" s="18" t="n">
        <v>501</v>
      </c>
      <c r="Z13" s="18" t="n">
        <v>312</v>
      </c>
      <c r="AA13" s="18" t="n">
        <v>514</v>
      </c>
      <c r="AB13" s="18" t="n">
        <v>650.469477</v>
      </c>
      <c r="AC13" s="18" t="n">
        <v>1483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231</v>
      </c>
      <c r="C15" s="18" t="n">
        <v>369</v>
      </c>
      <c r="D15" s="18" t="n">
        <v>-1835</v>
      </c>
      <c r="E15" s="18" t="n">
        <v>-312</v>
      </c>
      <c r="F15" s="18" t="n">
        <v>-149</v>
      </c>
      <c r="G15" s="18" t="n">
        <v>61</v>
      </c>
      <c r="H15" s="18" t="n">
        <v>-464</v>
      </c>
      <c r="I15" s="18" t="n">
        <v>305</v>
      </c>
      <c r="J15" s="18" t="n">
        <v>260</v>
      </c>
      <c r="K15" s="18" t="n">
        <v>816</v>
      </c>
      <c r="L15" s="18" t="n">
        <v>1487</v>
      </c>
      <c r="M15" s="18" t="n">
        <v>1571</v>
      </c>
      <c r="N15" s="18" t="n">
        <v>1675</v>
      </c>
      <c r="O15" s="18" t="n">
        <v>-195</v>
      </c>
      <c r="P15" s="18" t="n">
        <v>266</v>
      </c>
      <c r="Q15" s="18" t="n">
        <v>1140</v>
      </c>
      <c r="R15" s="18" t="n">
        <v>510</v>
      </c>
      <c r="S15" s="18" t="n">
        <v>276</v>
      </c>
      <c r="T15" s="18" t="n">
        <v>483</v>
      </c>
      <c r="U15" s="18" t="n">
        <v>343</v>
      </c>
      <c r="V15" s="18" t="n">
        <v>363</v>
      </c>
      <c r="W15" s="18" t="n">
        <v>-699</v>
      </c>
      <c r="X15" s="18" t="n">
        <v>399</v>
      </c>
      <c r="Y15" s="18" t="n">
        <v>370</v>
      </c>
      <c r="Z15" s="18" t="n">
        <v>206</v>
      </c>
      <c r="AA15" s="18" t="n">
        <v>281</v>
      </c>
      <c r="AB15" s="18" t="n">
        <v>543.556675</v>
      </c>
      <c r="AC15" s="18" t="n">
        <v>819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569.6</v>
      </c>
      <c r="C17" s="18" t="n">
        <v>561.9</v>
      </c>
      <c r="D17" s="18" t="n">
        <v>551.7</v>
      </c>
      <c r="E17" s="18" t="n">
        <v>544.4</v>
      </c>
      <c r="F17" s="18" t="n">
        <v>531</v>
      </c>
      <c r="G17" s="18" t="n">
        <v>534.6</v>
      </c>
      <c r="H17" s="18" t="n">
        <v>531.1</v>
      </c>
      <c r="I17" s="18" t="n">
        <v>538.4</v>
      </c>
      <c r="J17" s="18" t="n">
        <v>539.6</v>
      </c>
      <c r="K17" s="18" t="n">
        <v>540.3</v>
      </c>
      <c r="L17" s="18" t="n">
        <v>542.7</v>
      </c>
      <c r="M17" s="18" t="n">
        <v>546.9</v>
      </c>
      <c r="N17" s="18" t="n">
        <v>545.9</v>
      </c>
      <c r="O17" s="18" t="n">
        <v>529.9</v>
      </c>
      <c r="P17" s="18" t="n">
        <v>535.854</v>
      </c>
      <c r="Q17" s="18" t="n">
        <v>522.299999</v>
      </c>
      <c r="R17" s="18" t="n">
        <v>525.6</v>
      </c>
      <c r="S17" s="18" t="n">
        <v>527.1</v>
      </c>
      <c r="T17" s="18" t="n">
        <v>526.4</v>
      </c>
      <c r="U17" s="18" t="n">
        <v>524.1</v>
      </c>
      <c r="V17" s="18" t="n">
        <v>523.799999</v>
      </c>
      <c r="W17" s="18" t="n">
        <v>519.8</v>
      </c>
      <c r="X17" s="18" t="n">
        <v>512.4</v>
      </c>
      <c r="Y17" s="18" t="n">
        <v>505.3</v>
      </c>
      <c r="Z17" s="18" t="n">
        <v>496.8</v>
      </c>
      <c r="AA17" s="18" t="n">
        <v>489.8</v>
      </c>
      <c r="AB17" s="18" t="n">
        <v>489.9</v>
      </c>
      <c r="AC17" s="18" t="n">
        <v>490.9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1529</v>
      </c>
      <c r="C19" s="18" t="n">
        <v>1619</v>
      </c>
      <c r="D19" s="18" t="n">
        <v>1026</v>
      </c>
      <c r="E19" s="18" t="n">
        <v>219</v>
      </c>
      <c r="F19" s="18" t="n">
        <v>336</v>
      </c>
      <c r="G19" s="18" t="n">
        <v>403</v>
      </c>
      <c r="H19" s="18" t="n">
        <v>450</v>
      </c>
      <c r="I19" s="18" t="n">
        <v>369</v>
      </c>
      <c r="J19" s="18" t="n">
        <v>312</v>
      </c>
      <c r="K19" s="18" t="n">
        <v>390</v>
      </c>
      <c r="L19" s="18" t="n">
        <v>1427</v>
      </c>
      <c r="M19" s="18" t="n">
        <v>2465</v>
      </c>
      <c r="N19" s="18" t="n">
        <v>2702</v>
      </c>
      <c r="O19" s="18" t="n">
        <v>2638</v>
      </c>
      <c r="P19" s="18" t="n">
        <v>1883</v>
      </c>
      <c r="Q19" s="18" t="n">
        <v>2265</v>
      </c>
      <c r="R19" s="18" t="n">
        <v>1773</v>
      </c>
      <c r="S19" s="18" t="n">
        <v>1343</v>
      </c>
      <c r="T19" s="18" t="n">
        <v>744</v>
      </c>
      <c r="U19" s="18" t="n">
        <v>1295</v>
      </c>
      <c r="V19" s="18" t="n">
        <v>918</v>
      </c>
      <c r="W19" s="18" t="n">
        <v>7230</v>
      </c>
      <c r="X19" s="18" t="n">
        <v>7587</v>
      </c>
      <c r="Y19" s="18" t="n">
        <v>6214</v>
      </c>
      <c r="Z19" s="18" t="n">
        <v>4767</v>
      </c>
      <c r="AA19" s="18" t="n">
        <v>4756</v>
      </c>
      <c r="AB19" s="18" t="n">
        <v>5007.91555</v>
      </c>
      <c r="AC19" s="18" t="n">
        <v>5427</v>
      </c>
    </row>
    <row r="20">
      <c r="A20" s="4" t="inlineStr">
        <is>
          <t>Total Current Assets</t>
        </is>
      </c>
      <c r="B20" s="18" t="n">
        <v>5734</v>
      </c>
      <c r="C20" s="18" t="n">
        <v>5418</v>
      </c>
      <c r="D20" s="18" t="n">
        <v>4495</v>
      </c>
      <c r="E20" s="18" t="n">
        <v>3516</v>
      </c>
      <c r="F20" s="18" t="n">
        <v>3408</v>
      </c>
      <c r="G20" s="18" t="n">
        <v>3775</v>
      </c>
      <c r="H20" s="18" t="n">
        <v>4000</v>
      </c>
      <c r="I20" s="18" t="n">
        <v>4032</v>
      </c>
      <c r="J20" s="18" t="n">
        <v>4056</v>
      </c>
      <c r="K20" s="18" t="n">
        <v>4845</v>
      </c>
      <c r="L20" s="18" t="n">
        <v>6103</v>
      </c>
      <c r="M20" s="18" t="n">
        <v>7656</v>
      </c>
      <c r="N20" s="18" t="n">
        <v>7662</v>
      </c>
      <c r="O20" s="18" t="n">
        <v>7512</v>
      </c>
      <c r="P20" s="18" t="n">
        <v>8293</v>
      </c>
      <c r="Q20" s="18" t="n">
        <v>7357</v>
      </c>
      <c r="R20" s="18" t="n">
        <v>6638</v>
      </c>
      <c r="S20" s="18" t="n">
        <v>6749</v>
      </c>
      <c r="T20" s="18" t="n">
        <v>6465</v>
      </c>
      <c r="U20" s="18" t="n">
        <v>7302</v>
      </c>
      <c r="V20" s="18" t="n">
        <v>7101</v>
      </c>
      <c r="W20" s="18" t="n">
        <v>12404</v>
      </c>
      <c r="X20" s="18" t="n">
        <v>12574</v>
      </c>
      <c r="Y20" s="18" t="n">
        <v>11352</v>
      </c>
      <c r="Z20" s="18" t="n">
        <v>9713</v>
      </c>
      <c r="AA20" s="18" t="n">
        <v>10515</v>
      </c>
      <c r="AB20" s="18" t="n">
        <v>11154.902076</v>
      </c>
      <c r="AC20" s="18" t="n">
        <v>11733</v>
      </c>
    </row>
    <row r="21">
      <c r="A21" s="4" t="inlineStr">
        <is>
          <t>PP&amp;E (net)</t>
        </is>
      </c>
      <c r="B21" s="18" t="n">
        <v>32210</v>
      </c>
      <c r="C21" s="18" t="n">
        <v>33041</v>
      </c>
      <c r="D21" s="18" t="n">
        <v>31355</v>
      </c>
      <c r="E21" s="18" t="n">
        <v>31653</v>
      </c>
      <c r="F21" s="18" t="n">
        <v>32191</v>
      </c>
      <c r="G21" s="18" t="n">
        <v>32792</v>
      </c>
      <c r="H21" s="18" t="n">
        <v>33578</v>
      </c>
      <c r="I21" s="18" t="n">
        <v>33868</v>
      </c>
      <c r="J21" s="18" t="n">
        <v>35009</v>
      </c>
      <c r="K21" s="18" t="n">
        <v>36309</v>
      </c>
      <c r="L21" s="18" t="n">
        <v>37382</v>
      </c>
      <c r="M21" s="18" t="n">
        <v>37451</v>
      </c>
      <c r="N21" s="18" t="n">
        <v>38408</v>
      </c>
      <c r="O21" s="18" t="n">
        <v>39060</v>
      </c>
      <c r="P21" s="18" t="n">
        <v>40095</v>
      </c>
      <c r="Q21" s="18" t="n">
        <v>42254</v>
      </c>
      <c r="R21" s="18" t="n">
        <v>42483</v>
      </c>
      <c r="S21" s="18" t="n">
        <v>43986</v>
      </c>
      <c r="T21" s="18" t="n">
        <v>45565</v>
      </c>
      <c r="U21" s="18" t="n">
        <v>46782</v>
      </c>
      <c r="V21" s="18" t="n">
        <v>47355</v>
      </c>
      <c r="W21" s="18" t="n">
        <v>28756</v>
      </c>
      <c r="X21" s="18" t="n">
        <v>30568</v>
      </c>
      <c r="Y21" s="18" t="n">
        <v>30521</v>
      </c>
      <c r="Z21" s="18" t="n">
        <v>29201</v>
      </c>
      <c r="AA21" s="18" t="n">
        <v>29657</v>
      </c>
      <c r="AB21" s="18" t="n">
        <v>29696.779346</v>
      </c>
      <c r="AC21" s="18" t="n">
        <v>30330</v>
      </c>
    </row>
    <row r="22">
      <c r="A22" s="4" t="inlineStr">
        <is>
          <t>Total Assets</t>
        </is>
      </c>
      <c r="B22" s="18" t="n">
        <v>41215</v>
      </c>
      <c r="C22" s="18" t="n">
        <v>41817</v>
      </c>
      <c r="D22" s="18" t="n">
        <v>39350</v>
      </c>
      <c r="E22" s="18" t="n">
        <v>38774</v>
      </c>
      <c r="F22" s="18" t="n">
        <v>39238</v>
      </c>
      <c r="G22" s="18" t="n">
        <v>40267</v>
      </c>
      <c r="H22" s="18" t="n">
        <v>41278</v>
      </c>
      <c r="I22" s="18" t="n">
        <v>41712</v>
      </c>
      <c r="J22" s="18" t="n">
        <v>42779</v>
      </c>
      <c r="K22" s="18" t="n">
        <v>44936</v>
      </c>
      <c r="L22" s="18" t="n">
        <v>47368</v>
      </c>
      <c r="M22" s="18" t="n">
        <v>48824</v>
      </c>
      <c r="N22" s="18" t="n">
        <v>49635</v>
      </c>
      <c r="O22" s="18" t="n">
        <v>50324</v>
      </c>
      <c r="P22" s="18" t="n">
        <v>52359</v>
      </c>
      <c r="Q22" s="18" t="n">
        <v>53758</v>
      </c>
      <c r="R22" s="18" t="n">
        <v>53090</v>
      </c>
      <c r="S22" s="18" t="n">
        <v>54787</v>
      </c>
      <c r="T22" s="18" t="n">
        <v>56193</v>
      </c>
      <c r="U22" s="18" t="n">
        <v>58326</v>
      </c>
      <c r="V22" s="18" t="n">
        <v>58787</v>
      </c>
      <c r="W22" s="18" t="n">
        <v>44483</v>
      </c>
      <c r="X22" s="18" t="n">
        <v>47037</v>
      </c>
      <c r="Y22" s="18" t="n">
        <v>45893</v>
      </c>
      <c r="Z22" s="18" t="n">
        <v>42967</v>
      </c>
      <c r="AA22" s="18" t="n">
        <v>44550</v>
      </c>
      <c r="AB22" s="18" t="n">
        <v>45398.972658</v>
      </c>
      <c r="AC22" s="18" t="n">
        <v>46639</v>
      </c>
    </row>
    <row r="23">
      <c r="A23" s="4" t="inlineStr">
        <is>
          <t>Total Current Liabilities</t>
        </is>
      </c>
      <c r="B23" s="18" t="n">
        <v>2324</v>
      </c>
      <c r="C23" s="18" t="n">
        <v>2599</v>
      </c>
      <c r="D23" s="18" t="n">
        <v>2776</v>
      </c>
      <c r="E23" s="18" t="n">
        <v>2603</v>
      </c>
      <c r="F23" s="18" t="n">
        <v>2246</v>
      </c>
      <c r="G23" s="18" t="n">
        <v>2815</v>
      </c>
      <c r="H23" s="18" t="n">
        <v>3245</v>
      </c>
      <c r="I23" s="18" t="n">
        <v>3482</v>
      </c>
      <c r="J23" s="18" t="n">
        <v>3214</v>
      </c>
      <c r="K23" s="18" t="n">
        <v>3435</v>
      </c>
      <c r="L23" s="18" t="n">
        <v>3760</v>
      </c>
      <c r="M23" s="18" t="n">
        <v>3984</v>
      </c>
      <c r="N23" s="18" t="n">
        <v>4220</v>
      </c>
      <c r="O23" s="18" t="n">
        <v>4549</v>
      </c>
      <c r="P23" s="18" t="n">
        <v>5864</v>
      </c>
      <c r="Q23" s="18" t="n">
        <v>5757</v>
      </c>
      <c r="R23" s="18" t="n">
        <v>5133</v>
      </c>
      <c r="S23" s="18" t="n">
        <v>5611</v>
      </c>
      <c r="T23" s="18" t="n">
        <v>5892</v>
      </c>
      <c r="U23" s="18" t="n">
        <v>4914</v>
      </c>
      <c r="V23" s="18" t="n">
        <v>4812</v>
      </c>
      <c r="W23" s="18" t="n">
        <v>4250</v>
      </c>
      <c r="X23" s="18" t="n">
        <v>4370</v>
      </c>
      <c r="Y23" s="18" t="n">
        <v>3377</v>
      </c>
      <c r="Z23" s="18" t="n">
        <v>2800</v>
      </c>
      <c r="AA23" s="18" t="n">
        <v>3778</v>
      </c>
      <c r="AB23" s="18" t="n">
        <v>4399.411845</v>
      </c>
      <c r="AC23" s="18" t="n">
        <v>4143</v>
      </c>
    </row>
    <row r="24">
      <c r="A24" s="4" t="inlineStr">
        <is>
          <t>Long-term Debt</t>
        </is>
      </c>
      <c r="B24" s="18" t="n">
        <v>5058</v>
      </c>
      <c r="C24" s="18" t="n">
        <v>5119</v>
      </c>
      <c r="D24" s="18" t="n">
        <v>5045</v>
      </c>
      <c r="E24" s="18" t="n">
        <v>5573</v>
      </c>
      <c r="F24" s="18" t="n">
        <v>6365</v>
      </c>
      <c r="G24" s="18" t="n">
        <v>6740</v>
      </c>
      <c r="H24" s="18" t="n">
        <v>7074</v>
      </c>
      <c r="I24" s="18" t="n">
        <v>7315</v>
      </c>
      <c r="J24" s="18" t="n">
        <v>7937</v>
      </c>
      <c r="K24" s="18" t="n">
        <v>8229</v>
      </c>
      <c r="L24" s="18" t="n">
        <v>8424</v>
      </c>
      <c r="M24" s="18" t="n">
        <v>8627</v>
      </c>
      <c r="N24" s="18" t="n">
        <v>8165</v>
      </c>
      <c r="O24" s="18" t="n">
        <v>8898</v>
      </c>
      <c r="P24" s="18" t="n">
        <v>8830</v>
      </c>
      <c r="Q24" s="18" t="n">
        <v>9128</v>
      </c>
      <c r="R24" s="18" t="n">
        <v>9115</v>
      </c>
      <c r="S24" s="18" t="n">
        <v>9589</v>
      </c>
      <c r="T24" s="18" t="n">
        <v>9516</v>
      </c>
      <c r="U24" s="18" t="n">
        <v>9840</v>
      </c>
      <c r="V24" s="18" t="n">
        <v>10009</v>
      </c>
      <c r="W24" s="18" t="n">
        <v>8102</v>
      </c>
      <c r="X24" s="18" t="n">
        <v>8591</v>
      </c>
      <c r="Y24" s="18" t="n">
        <v>8566</v>
      </c>
      <c r="Z24" s="18" t="n">
        <v>8121</v>
      </c>
      <c r="AA24" s="18" t="n">
        <v>8349</v>
      </c>
      <c r="AB24" s="18" t="n">
        <v>9027.637070999999</v>
      </c>
      <c r="AC24" s="18" t="n">
        <v>8389</v>
      </c>
    </row>
    <row r="25">
      <c r="A25" s="4" t="inlineStr">
        <is>
          <t>Total Equity</t>
        </is>
      </c>
      <c r="B25" s="18" t="n">
        <v>23136</v>
      </c>
      <c r="C25" s="18" t="n">
        <v>23402</v>
      </c>
      <c r="D25" s="18" t="n">
        <v>21304</v>
      </c>
      <c r="E25" s="18" t="n">
        <v>21223</v>
      </c>
      <c r="F25" s="18" t="n">
        <v>20814</v>
      </c>
      <c r="G25" s="18" t="n">
        <v>20778</v>
      </c>
      <c r="H25" s="18" t="n">
        <v>20039</v>
      </c>
      <c r="I25" s="18" t="n">
        <v>20372</v>
      </c>
      <c r="J25" s="18" t="n">
        <v>20557</v>
      </c>
      <c r="K25" s="18" t="n">
        <v>21530</v>
      </c>
      <c r="L25" s="18" t="n">
        <v>23005</v>
      </c>
      <c r="M25" s="18" t="n">
        <v>24205</v>
      </c>
      <c r="N25" s="18" t="n">
        <v>25438</v>
      </c>
      <c r="O25" s="18" t="n">
        <v>25215</v>
      </c>
      <c r="P25" s="18" t="n">
        <v>25473</v>
      </c>
      <c r="Q25" s="18" t="n">
        <v>26316</v>
      </c>
      <c r="R25" s="18" t="n">
        <v>26415</v>
      </c>
      <c r="S25" s="18" t="n">
        <v>27018</v>
      </c>
      <c r="T25" s="18" t="n">
        <v>26988</v>
      </c>
      <c r="U25" s="18" t="n">
        <v>26184</v>
      </c>
      <c r="V25" s="18" t="n">
        <v>26509</v>
      </c>
      <c r="W25" s="18" t="n">
        <v>24863</v>
      </c>
      <c r="X25" s="18" t="n">
        <v>26077</v>
      </c>
      <c r="Y25" s="18" t="n">
        <v>25821</v>
      </c>
      <c r="Z25" s="18" t="n">
        <v>24380</v>
      </c>
      <c r="AA25" s="18" t="n">
        <v>24923</v>
      </c>
      <c r="AB25" s="18" t="n">
        <v>25075.548416</v>
      </c>
      <c r="AC25" s="18" t="n">
        <v>26265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395</v>
      </c>
      <c r="C27" s="18" t="n">
        <v>436</v>
      </c>
      <c r="D27" s="18" t="n">
        <v>415</v>
      </c>
      <c r="E27" s="18" t="n">
        <v>378</v>
      </c>
      <c r="F27" s="18" t="n">
        <v>314</v>
      </c>
      <c r="G27" s="18" t="n">
        <v>412</v>
      </c>
      <c r="H27" s="18" t="n">
        <v>406</v>
      </c>
      <c r="I27" s="18" t="n">
        <v>378</v>
      </c>
      <c r="J27" s="18" t="n">
        <v>370</v>
      </c>
      <c r="K27" s="18" t="n">
        <v>431</v>
      </c>
      <c r="L27" s="18" t="n">
        <v>404</v>
      </c>
      <c r="M27" s="18" t="n">
        <v>415</v>
      </c>
      <c r="N27" s="18" t="n">
        <v>452</v>
      </c>
      <c r="O27" s="18" t="n">
        <v>493</v>
      </c>
      <c r="P27" s="18" t="n">
        <v>384</v>
      </c>
      <c r="Q27" s="18" t="n">
        <v>423</v>
      </c>
      <c r="R27" s="18" t="n">
        <v>431</v>
      </c>
      <c r="S27" s="18" t="n">
        <v>529</v>
      </c>
      <c r="T27" s="18" t="n">
        <v>548</v>
      </c>
      <c r="U27" s="18" t="n">
        <v>630</v>
      </c>
      <c r="V27" s="18" t="n">
        <v>666</v>
      </c>
      <c r="W27" s="18" t="n">
        <v>498</v>
      </c>
      <c r="X27" s="18" t="n">
        <v>523</v>
      </c>
      <c r="Y27" s="18" t="n">
        <v>412</v>
      </c>
      <c r="Z27" s="18" t="n">
        <v>378</v>
      </c>
      <c r="AA27" s="18" t="n">
        <v>554</v>
      </c>
      <c r="AB27" s="18" t="n">
        <v>448.634094</v>
      </c>
      <c r="AC27" s="18" t="n">
        <v>508</v>
      </c>
    </row>
    <row r="28">
      <c r="A28" s="4" t="inlineStr">
        <is>
          <t>Stock-based Compensation</t>
        </is>
      </c>
      <c r="B28" s="18" t="n">
        <v>0</v>
      </c>
      <c r="C28" s="18" t="n">
        <v>0</v>
      </c>
      <c r="D28" s="18" t="n">
        <v>6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5</v>
      </c>
      <c r="O28" s="18" t="n">
        <v>33</v>
      </c>
      <c r="P28" s="18" t="n">
        <v>0</v>
      </c>
      <c r="Q28" s="18" t="n">
        <v>0</v>
      </c>
      <c r="R28" s="18" t="n">
        <v>0</v>
      </c>
      <c r="S28" s="18" t="n">
        <v>26</v>
      </c>
      <c r="T28" s="18" t="n">
        <v>0</v>
      </c>
      <c r="U28" s="18" t="n">
        <v>0</v>
      </c>
      <c r="V28" s="18" t="n">
        <v>28</v>
      </c>
      <c r="W28" s="18" t="n">
        <v>0</v>
      </c>
      <c r="X28" s="18" t="n">
        <v>0</v>
      </c>
      <c r="Y28" s="18" t="n">
        <v>0</v>
      </c>
      <c r="Z28" s="18" t="n">
        <v>0</v>
      </c>
      <c r="AA28" s="18" t="n">
        <v>0</v>
      </c>
      <c r="AB28" s="18" t="n">
        <v>0</v>
      </c>
      <c r="AC28" s="18" t="n">
        <v>0</v>
      </c>
    </row>
    <row r="29">
      <c r="A29" s="4" t="inlineStr">
        <is>
          <t>Change in Working Capital</t>
        </is>
      </c>
      <c r="B29" s="18" t="n">
        <v>139</v>
      </c>
      <c r="C29" s="18" t="n">
        <v>189</v>
      </c>
      <c r="D29" s="18" t="n">
        <v>210</v>
      </c>
      <c r="E29" s="18" t="n">
        <v>-139</v>
      </c>
      <c r="F29" s="18" t="n">
        <v>76</v>
      </c>
      <c r="G29" s="18" t="n">
        <v>-74</v>
      </c>
      <c r="H29" s="18" t="n">
        <v>-104</v>
      </c>
      <c r="I29" s="18" t="n">
        <v>-326</v>
      </c>
      <c r="J29" s="18" t="n">
        <v>-200</v>
      </c>
      <c r="K29" s="18" t="n">
        <v>-295</v>
      </c>
      <c r="L29" s="18" t="n">
        <v>-53</v>
      </c>
      <c r="M29" s="18" t="n">
        <v>-606</v>
      </c>
      <c r="N29" s="18" t="n">
        <v>301</v>
      </c>
      <c r="O29" s="18" t="n">
        <v>307</v>
      </c>
      <c r="P29" s="18" t="n">
        <v>-126</v>
      </c>
      <c r="Q29" s="18" t="n">
        <v>-654</v>
      </c>
      <c r="R29" s="18" t="n">
        <v>81</v>
      </c>
      <c r="S29" s="18" t="n">
        <v>-233</v>
      </c>
      <c r="T29" s="18" t="n">
        <v>-227</v>
      </c>
      <c r="U29" s="18" t="n">
        <v>-243</v>
      </c>
      <c r="V29" s="18" t="n">
        <v>-179</v>
      </c>
      <c r="W29" s="18" t="n">
        <v>-468</v>
      </c>
      <c r="X29" s="18" t="n">
        <v>757</v>
      </c>
      <c r="Y29" s="18" t="n">
        <v>-607</v>
      </c>
      <c r="Z29" s="18" t="n">
        <v>-300</v>
      </c>
      <c r="AA29" s="18" t="n">
        <v>-272</v>
      </c>
      <c r="AB29" s="18" t="n">
        <v>200.836198</v>
      </c>
      <c r="AC29" s="18" t="n">
        <v>-834</v>
      </c>
    </row>
    <row r="30">
      <c r="A30" s="4" t="inlineStr">
        <is>
          <t>Operating Cash Flow</t>
        </is>
      </c>
      <c r="B30" s="18" t="n">
        <v>1120</v>
      </c>
      <c r="C30" s="18" t="n">
        <v>1062</v>
      </c>
      <c r="D30" s="18" t="n">
        <v>782</v>
      </c>
      <c r="E30" s="18" t="n">
        <v>279</v>
      </c>
      <c r="F30" s="18" t="n">
        <v>300</v>
      </c>
      <c r="G30" s="18" t="n">
        <v>390</v>
      </c>
      <c r="H30" s="18" t="n">
        <v>594</v>
      </c>
      <c r="I30" s="18" t="n">
        <v>585</v>
      </c>
      <c r="J30" s="18" t="n">
        <v>575</v>
      </c>
      <c r="K30" s="18" t="n">
        <v>1480</v>
      </c>
      <c r="L30" s="18" t="n">
        <v>2098</v>
      </c>
      <c r="M30" s="18" t="n">
        <v>2323</v>
      </c>
      <c r="N30" s="18" t="n">
        <v>2921</v>
      </c>
      <c r="O30" s="18" t="n">
        <v>1809</v>
      </c>
      <c r="P30" s="18" t="n">
        <v>930</v>
      </c>
      <c r="Q30" s="18" t="n">
        <v>1092</v>
      </c>
      <c r="R30" s="18" t="n">
        <v>1130</v>
      </c>
      <c r="S30" s="18" t="n">
        <v>736</v>
      </c>
      <c r="T30" s="18" t="n">
        <v>1126</v>
      </c>
      <c r="U30" s="18" t="n">
        <v>42</v>
      </c>
      <c r="V30" s="18" t="n">
        <v>1326</v>
      </c>
      <c r="W30" s="18" t="n">
        <v>134</v>
      </c>
      <c r="X30" s="18" t="n">
        <v>1288</v>
      </c>
      <c r="Y30" s="18" t="n">
        <v>-515</v>
      </c>
      <c r="Z30" s="18" t="n">
        <v>88</v>
      </c>
      <c r="AA30" s="18" t="n">
        <v>647</v>
      </c>
      <c r="AB30" s="18" t="n">
        <v>1023.165507</v>
      </c>
      <c r="AC30" s="18" t="n">
        <v>1024</v>
      </c>
    </row>
    <row r="31">
      <c r="A31" s="4" t="inlineStr">
        <is>
          <t>Capex</t>
        </is>
      </c>
      <c r="B31" s="18" t="n">
        <v>-769</v>
      </c>
      <c r="C31" s="18" t="n">
        <v>-983</v>
      </c>
      <c r="D31" s="18" t="n">
        <v>-1035</v>
      </c>
      <c r="E31" s="18" t="n">
        <v>-990</v>
      </c>
      <c r="F31" s="18" t="n">
        <v>-889</v>
      </c>
      <c r="G31" s="18" t="n">
        <v>-699</v>
      </c>
      <c r="H31" s="18" t="n">
        <v>-1050</v>
      </c>
      <c r="I31" s="18" t="n">
        <v>-1003</v>
      </c>
      <c r="J31" s="18" t="n">
        <v>-1223</v>
      </c>
      <c r="K31" s="18" t="n">
        <v>-1210</v>
      </c>
      <c r="L31" s="18" t="n">
        <v>-1277</v>
      </c>
      <c r="M31" s="18" t="n">
        <v>-1069</v>
      </c>
      <c r="N31" s="18" t="n">
        <v>-1321</v>
      </c>
      <c r="O31" s="18" t="n">
        <v>-1314</v>
      </c>
      <c r="P31" s="18" t="n">
        <v>-1761</v>
      </c>
      <c r="Q31" s="18" t="n">
        <v>-1581</v>
      </c>
      <c r="R31" s="18" t="n">
        <v>-1499</v>
      </c>
      <c r="S31" s="18" t="n">
        <v>-1382</v>
      </c>
      <c r="T31" s="18" t="n">
        <v>-871</v>
      </c>
      <c r="U31" s="18" t="n">
        <v>-1101</v>
      </c>
      <c r="V31" s="18" t="n">
        <v>-1217</v>
      </c>
      <c r="W31" s="18" t="n">
        <v>-627</v>
      </c>
      <c r="X31" s="18" t="n">
        <v>-504</v>
      </c>
      <c r="Y31" s="18" t="n">
        <v>-393</v>
      </c>
      <c r="Z31" s="18" t="n">
        <v>-403</v>
      </c>
      <c r="AA31" s="18" t="n">
        <v>-488</v>
      </c>
      <c r="AB31" s="18" t="n">
        <v>-729.405098</v>
      </c>
      <c r="AC31" s="18" t="n">
        <v>-680</v>
      </c>
    </row>
    <row r="32">
      <c r="A32" s="4" t="inlineStr">
        <is>
          <t>Free Cash Flow</t>
        </is>
      </c>
      <c r="B32" s="18" t="n">
        <v>351</v>
      </c>
      <c r="C32" s="18" t="n">
        <v>79</v>
      </c>
      <c r="D32" s="18" t="n">
        <v>-253</v>
      </c>
      <c r="E32" s="18" t="n">
        <v>-711</v>
      </c>
      <c r="F32" s="18" t="n">
        <v>-589</v>
      </c>
      <c r="G32" s="18" t="n">
        <v>-309</v>
      </c>
      <c r="H32" s="18" t="n">
        <v>-456</v>
      </c>
      <c r="I32" s="18" t="n">
        <v>-418</v>
      </c>
      <c r="J32" s="18" t="n">
        <v>-648</v>
      </c>
      <c r="K32" s="18" t="n">
        <v>270</v>
      </c>
      <c r="L32" s="18" t="n">
        <v>821</v>
      </c>
      <c r="M32" s="18" t="n">
        <v>1254</v>
      </c>
      <c r="N32" s="18" t="n">
        <v>1600</v>
      </c>
      <c r="O32" s="18" t="n">
        <v>495</v>
      </c>
      <c r="P32" s="18" t="n">
        <v>-831</v>
      </c>
      <c r="Q32" s="18" t="n">
        <v>-489</v>
      </c>
      <c r="R32" s="18" t="n">
        <v>-369</v>
      </c>
      <c r="S32" s="18" t="n">
        <v>-646</v>
      </c>
      <c r="T32" s="18" t="n">
        <v>255</v>
      </c>
      <c r="U32" s="18" t="n">
        <v>-1059</v>
      </c>
      <c r="V32" s="18" t="n">
        <v>109</v>
      </c>
      <c r="W32" s="18" t="n">
        <v>-493</v>
      </c>
      <c r="X32" s="18" t="n">
        <v>784</v>
      </c>
      <c r="Y32" s="18" t="n">
        <v>-908</v>
      </c>
      <c r="Z32" s="18" t="n">
        <v>-315</v>
      </c>
      <c r="AA32" s="18" t="n">
        <v>159</v>
      </c>
      <c r="AB32" s="18" t="n">
        <v>293.760409</v>
      </c>
      <c r="AC32" s="18" t="n">
        <v>344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14366.16425</v>
      </c>
      <c r="C4" s="18" t="n">
        <v>14289.010883</v>
      </c>
      <c r="D4" s="18" t="n">
        <v>12219.224639</v>
      </c>
      <c r="E4" s="18" t="n">
        <v>13315.886065</v>
      </c>
      <c r="F4" s="18" t="n">
        <v>12697.996521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  <c r="F5" s="33">
        <f>Model!K6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4865.436127</v>
      </c>
      <c r="C8" s="18" t="n">
        <v>4839.306343</v>
      </c>
      <c r="D8" s="18" t="n">
        <v>4138.325023</v>
      </c>
      <c r="E8" s="18" t="n">
        <v>4509.734958</v>
      </c>
      <c r="F8" s="18" t="n">
        <v>4300.472272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  <c r="F9" s="33">
        <f>Model!K19+Model!K24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2786.910508</v>
      </c>
      <c r="C12" s="18" t="n">
        <v>2771.943428</v>
      </c>
      <c r="D12" s="18" t="n">
        <v>2370.422957</v>
      </c>
      <c r="E12" s="18" t="n">
        <v>2583.165705</v>
      </c>
      <c r="F12" s="18" t="n">
        <v>2463.300525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  <c r="F13" s="33">
        <f>Model!K19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517.924279</v>
      </c>
      <c r="C16" s="18" t="n">
        <v>515.142771</v>
      </c>
      <c r="D16" s="18" t="n">
        <v>440.523511</v>
      </c>
      <c r="E16" s="18" t="n">
        <v>480.059992</v>
      </c>
      <c r="F16" s="18" t="n">
        <v>457.784039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  <c r="F17" s="33">
        <f>Model!K14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2379.208044</v>
      </c>
      <c r="C20" s="18" t="n">
        <v>2163.758584</v>
      </c>
      <c r="D20" s="18" t="n">
        <v>1515.369155</v>
      </c>
      <c r="E20" s="18" t="n">
        <v>1814.412411</v>
      </c>
      <c r="F20" s="18" t="n">
        <v>297.026978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  <c r="F21" s="33">
        <f>Model!K23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4.8026</v>
      </c>
      <c r="C24" s="47" t="n">
        <v>4.3677</v>
      </c>
      <c r="D24" s="47" t="n">
        <v>3.05888</v>
      </c>
      <c r="E24" s="47" t="n">
        <v>3.66252</v>
      </c>
      <c r="F24" s="47" t="n">
        <v>0.59957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Teck Resources Limited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Financials!AC19</f>
        <v/>
      </c>
    </row>
    <row r="33">
      <c r="A33" s="4" t="inlineStr">
        <is>
          <t>- Long-term debt</t>
        </is>
      </c>
      <c r="B33" s="33">
        <f>-Financials!AC24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B34/B35*0.73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0.08478000973207547</v>
      </c>
      <c r="C4" s="51" t="n">
        <v>0.08978000973207548</v>
      </c>
      <c r="D4" s="51" t="n">
        <v>0.09478000973207547</v>
      </c>
      <c r="E4" s="51" t="n">
        <v>0.09978000973207547</v>
      </c>
      <c r="F4" s="51" t="n">
        <v>0.1047800097320755</v>
      </c>
      <c r="G4" s="51" t="n">
        <v>0.1097800097320755</v>
      </c>
      <c r="H4" s="51" t="n">
        <v>0.1147800097320755</v>
      </c>
    </row>
    <row r="5">
      <c r="A5" s="52" t="n">
        <v>9</v>
      </c>
      <c r="B5" s="53" t="n">
        <v>21.64827747472309</v>
      </c>
      <c r="C5" s="53" t="n">
        <v>20.66499800323884</v>
      </c>
      <c r="D5" s="53" t="n">
        <v>19.72841966634835</v>
      </c>
      <c r="E5" s="53" t="n">
        <v>18.8360750227035</v>
      </c>
      <c r="F5" s="53" t="n">
        <v>17.98563815778854</v>
      </c>
      <c r="G5" s="53" t="n">
        <v>17.1749159599387</v>
      </c>
      <c r="H5" s="53" t="n">
        <v>16.40183997058836</v>
      </c>
    </row>
    <row r="6">
      <c r="A6" s="52" t="n">
        <v>10</v>
      </c>
      <c r="B6" s="53" t="n">
        <v>23.90683115491922</v>
      </c>
      <c r="C6" s="53" t="n">
        <v>22.82204088783432</v>
      </c>
      <c r="D6" s="53" t="n">
        <v>21.78894787288881</v>
      </c>
      <c r="E6" s="53" t="n">
        <v>20.80481761643432</v>
      </c>
      <c r="F6" s="53" t="n">
        <v>19.86707254686092</v>
      </c>
      <c r="G6" s="53" t="n">
        <v>18.97328233906622</v>
      </c>
      <c r="H6" s="53" t="n">
        <v>18.1211548758906</v>
      </c>
    </row>
    <row r="7">
      <c r="A7" s="52" t="n">
        <v>11</v>
      </c>
      <c r="B7" s="53" t="n">
        <v>26.16538483511534</v>
      </c>
      <c r="C7" s="53" t="n">
        <v>24.9790837724298</v>
      </c>
      <c r="D7" s="53" t="n">
        <v>23.84947607942929</v>
      </c>
      <c r="E7" s="53" t="n">
        <v>22.77356021016515</v>
      </c>
      <c r="F7" s="53" t="n">
        <v>21.74850693593331</v>
      </c>
      <c r="G7" s="53" t="n">
        <v>20.77164871819374</v>
      </c>
      <c r="H7" s="53" t="n">
        <v>19.84046978119284</v>
      </c>
    </row>
    <row r="8">
      <c r="A8" s="52" t="n">
        <v>12</v>
      </c>
      <c r="B8" s="53" t="n">
        <v>28.42393851531148</v>
      </c>
      <c r="C8" s="53" t="n">
        <v>27.13612665702529</v>
      </c>
      <c r="D8" s="53" t="n">
        <v>25.91000428596976</v>
      </c>
      <c r="E8" s="54" t="n">
        <v>24.74230280389597</v>
      </c>
      <c r="F8" s="53" t="n">
        <v>23.6299413250057</v>
      </c>
      <c r="G8" s="53" t="n">
        <v>22.57001509732126</v>
      </c>
      <c r="H8" s="53" t="n">
        <v>21.55978468649509</v>
      </c>
    </row>
    <row r="9">
      <c r="A9" s="52" t="n">
        <v>13</v>
      </c>
      <c r="B9" s="53" t="n">
        <v>30.68249219550761</v>
      </c>
      <c r="C9" s="53" t="n">
        <v>29.29316954162078</v>
      </c>
      <c r="D9" s="53" t="n">
        <v>27.97053249251023</v>
      </c>
      <c r="E9" s="53" t="n">
        <v>26.7110453976268</v>
      </c>
      <c r="F9" s="53" t="n">
        <v>25.51137571407808</v>
      </c>
      <c r="G9" s="53" t="n">
        <v>24.36838147644878</v>
      </c>
      <c r="H9" s="53" t="n">
        <v>23.27909959179733</v>
      </c>
    </row>
    <row r="10">
      <c r="A10" s="52" t="n">
        <v>14</v>
      </c>
      <c r="B10" s="53" t="n">
        <v>32.94104587570374</v>
      </c>
      <c r="C10" s="53" t="n">
        <v>31.45021242621626</v>
      </c>
      <c r="D10" s="53" t="n">
        <v>30.03106069905071</v>
      </c>
      <c r="E10" s="53" t="n">
        <v>28.67978799135763</v>
      </c>
      <c r="F10" s="53" t="n">
        <v>27.39281010315046</v>
      </c>
      <c r="G10" s="53" t="n">
        <v>26.16674785557631</v>
      </c>
      <c r="H10" s="53" t="n">
        <v>24.99841449709958</v>
      </c>
    </row>
    <row r="11">
      <c r="A11" s="52" t="n">
        <v>15</v>
      </c>
      <c r="B11" s="53" t="n">
        <v>35.19959955589987</v>
      </c>
      <c r="C11" s="53" t="n">
        <v>33.60725531081175</v>
      </c>
      <c r="D11" s="53" t="n">
        <v>32.09158890559118</v>
      </c>
      <c r="E11" s="53" t="n">
        <v>30.64853058508846</v>
      </c>
      <c r="F11" s="53" t="n">
        <v>29.27424449222285</v>
      </c>
      <c r="G11" s="53" t="n">
        <v>27.96511423470383</v>
      </c>
      <c r="H11" s="53" t="n">
        <v>26.71772940240183</v>
      </c>
    </row>
    <row r="13">
      <c r="A13" s="3" t="inlineStr">
        <is>
          <t>Current price</t>
        </is>
      </c>
      <c r="B13" s="53" t="n">
        <v>60.0099983215332</v>
      </c>
    </row>
    <row r="14">
      <c r="A14" s="3" t="inlineStr">
        <is>
          <t>Base WACC / multiple</t>
        </is>
      </c>
      <c r="B14" s="55" t="n">
        <v>0.09978000973207547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0.1667022617644824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0.9247866023579686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0.6855143943910452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2026-07-06T20:35:45Z</dcterms:created>
  <dcterms:modified xmlns:dcterms="http://purl.org/dc/terms/" xmlns:xsi="http://www.w3.org/2001/XMLSchema-instance" xsi:type="dcterms:W3CDTF">2026-07-06T20:35:45Z</dcterms:modified>
</cp:coreProperties>
</file>