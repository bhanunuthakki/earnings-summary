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User-edited — overridden from Opus 26.0% on 2026-06-11</t>
      </text>
    </comment>
    <comment ref="C20" authorId="0" shapeId="0">
      <text>
        <t>User-edited — overridden from Opus 4.0% on 2026-06-11</t>
      </text>
    </comment>
    <comment ref="B21" authorId="0" shapeId="0">
      <text>
        <t>User-edited — overridden from Opus 20.0% on 2026-06-11</t>
      </text>
    </comment>
    <comment ref="C21" authorId="0" shapeId="0">
      <text>
        <t>User-edited — overridden from Opus 4.0% on 2026-06-11</t>
      </text>
    </comment>
    <comment ref="B29" authorId="0" shapeId="0">
      <text>
        <t>User-edited — overridden from Opus 12.0% on 2026-06-11</t>
      </text>
    </comment>
    <comment ref="B30" authorId="0" shapeId="0">
      <text>
        <t>User-edited — overridden from Opus 27.0% on 2026-06-11</t>
      </text>
    </comment>
    <comment ref="B31" authorId="0" shapeId="0">
      <text>
        <t>User-edited — overridden from Opus 25.0% on 2026-06-11</t>
      </text>
    </comment>
    <comment ref="B34" authorId="0" shapeId="0">
      <text>
        <t>Opus: —
set from Opus 2%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2026-06-11</t>
      </text>
    </comment>
    <comment ref="B44" authorId="0" shapeId="0">
      <text>
        <t>User-edited — overridden from Opus EV/Sales on 2026-06-11</t>
      </text>
    </comment>
    <comment ref="B45" authorId="0" shapeId="0">
      <text>
        <t>User-edited — overridden from Opus 6.0x on 2026-06-11</t>
      </text>
    </comment>
    <comment ref="B46" authorId="0" shapeId="0">
      <text>
        <t>User-edited — overridden from Opus 4.0% on 2026-06-11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Snowflake Inc. (SNOW)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Snowflake is a consumption-priced cloud data platform with ~29% revenue growth, a ~$9.8B RPO (~2x revenue), and NRR holding above 120%, positioning it to monetize the AI-driven explosion in data queried and stored. We fade product growth from the mid-20s toward a 4% mature rate over ten years while GAAP-negative margins (driven largely by heavy SBC) normalize through operating leverage toward a ~27% mature operating margin consistent with scaled software peers. Capex stays light (~2% of revenue) and converges to ~1.1x D&amp;A in the terminal year as the consumption model rides hyperscaler infrastructure rather than owned capacity.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Snowflake Inc. (SNOW)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Product</t>
        </is>
      </c>
      <c r="B20" s="15" t="n">
        <v>0.2072600336805733</v>
      </c>
      <c r="C20" s="15" t="n">
        <v>0.05</v>
      </c>
      <c r="D20" s="16" t="n">
        <v>0.2072600336805733</v>
      </c>
      <c r="E20" s="2" t="inlineStr"/>
    </row>
    <row r="21">
      <c r="A21" s="4" t="inlineStr">
        <is>
          <t>Professional Services And Other</t>
        </is>
      </c>
      <c r="B21" s="15" t="n">
        <v>0.2064451920770101</v>
      </c>
      <c r="C21" s="15" t="n">
        <v>0.05</v>
      </c>
      <c r="D21" s="16" t="n">
        <v>0.2064451920770101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0.1392173772499262</v>
      </c>
      <c r="D29" s="16" t="n">
        <v>0.1392173772499262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0.2025611255842802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130.142443904</v>
      </c>
      <c r="D34" s="18" t="n">
        <v>130.142443904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1.079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0.0004148319412615782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234.5200042724609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5.582433271022018</v>
      </c>
      <c r="C58" s="28" t="n">
        <v>18.0290901802935</v>
      </c>
      <c r="D58" s="28" t="n">
        <v>-2.255913923205896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0.3414956107521308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0.2048973664512785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SNOW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Snowflake is a consumption-priced cloud data platform with ~29% revenue growth, a ~$9.8B RPO (~2x revenue), and NRR holding above 120%, positioning it to monetize the AI-driven explosion in data queried and stored. We fade product growth from the mid-20s toward a 4% mature rate over ten years while GAAP-negative margins (driven largely by heavy SBC) normalize through operating leverage toward a ~27% mature operating margin consistent with scaled software peers. Capex stays light (~2% of revenue) and converges to ~1.1x D&amp;A in the terminal year as the consumption model rides hyperscaler infrastructure rather than owned capacity.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growth and margins are anchored to Street consensus (2027 revenue +26%, ~10-11% net margin) rather than the deeply negative GAAP operating margins, which reflect stock-based comp more than cash economics. We chose perpetuity (g=4%, ~risk-free) over an exit multiple to avoid embedding today's elevated EV/Sales into a mature terminal value, and set the terminal operating margin at 27% to reflect realistic mature-SaaS profitability rather than best-in-class outliers.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Product — near-term growth</t>
        </is>
      </c>
      <c r="B20" t="inlineStr">
        <is>
          <t>B20</t>
        </is>
      </c>
      <c r="C20" s="11">
        <f>Dashboard!B20</f>
        <v/>
      </c>
      <c r="D20" s="32" t="inlineStr">
        <is>
          <t>user-edited</t>
        </is>
      </c>
      <c r="E20" t="inlineStr">
        <is>
          <t>26.0%</t>
        </is>
      </c>
      <c r="F20" s="31" t="inlineStr">
        <is>
          <t>overridden from Opus 26.0% on 2026-06-11</t>
        </is>
      </c>
    </row>
    <row r="21">
      <c r="A21" t="inlineStr">
        <is>
          <t>Product — terminal growth</t>
        </is>
      </c>
      <c r="B21" t="inlineStr">
        <is>
          <t>C20</t>
        </is>
      </c>
      <c r="C21" s="11">
        <f>Dashboard!C20</f>
        <v/>
      </c>
      <c r="D21" s="32" t="inlineStr">
        <is>
          <t>user-edited</t>
        </is>
      </c>
      <c r="E21" t="inlineStr">
        <is>
          <t>4.0%</t>
        </is>
      </c>
      <c r="F21" s="31" t="inlineStr">
        <is>
          <t>overridden from Opus 4.0% on 2026-06-11</t>
        </is>
      </c>
    </row>
    <row r="22">
      <c r="A22" t="inlineStr">
        <is>
          <t>Professional Services And Other — near-term growth</t>
        </is>
      </c>
      <c r="B22" t="inlineStr">
        <is>
          <t>B21</t>
        </is>
      </c>
      <c r="C22" s="11">
        <f>Dashboard!B21</f>
        <v/>
      </c>
      <c r="D22" s="32" t="inlineStr">
        <is>
          <t>user-edited</t>
        </is>
      </c>
      <c r="E22" t="inlineStr">
        <is>
          <t>20.0%</t>
        </is>
      </c>
      <c r="F22" s="31" t="inlineStr">
        <is>
          <t>overridden from Opus 20.0% on 2026-06-11</t>
        </is>
      </c>
    </row>
    <row r="23">
      <c r="A23" t="inlineStr">
        <is>
          <t>Professional Services And Other — terminal growth</t>
        </is>
      </c>
      <c r="B23" t="inlineStr">
        <is>
          <t>C21</t>
        </is>
      </c>
      <c r="C23" s="11">
        <f>Dashboard!C21</f>
        <v/>
      </c>
      <c r="D23" s="32" t="inlineStr">
        <is>
          <t>user-edited</t>
        </is>
      </c>
      <c r="E23" t="inlineStr">
        <is>
          <t>4.0%</t>
        </is>
      </c>
      <c r="F23" s="31" t="inlineStr">
        <is>
          <t>overridden from Opus 4.0% on 2026-06-11</t>
        </is>
      </c>
    </row>
    <row r="24">
      <c r="A24" t="inlineStr">
        <is>
          <t>Near-term operating margin</t>
        </is>
      </c>
      <c r="B24" t="inlineStr">
        <is>
          <t>B29</t>
        </is>
      </c>
      <c r="C24" s="11">
        <f>Dashboard!B29</f>
        <v/>
      </c>
      <c r="D24" s="32" t="inlineStr">
        <is>
          <t>user-edited</t>
        </is>
      </c>
      <c r="E24" t="inlineStr">
        <is>
          <t>12.0%</t>
        </is>
      </c>
      <c r="F24" s="31" t="inlineStr">
        <is>
          <t>overridden from Opus 12.0% on 2026-06-11</t>
        </is>
      </c>
    </row>
    <row r="25">
      <c r="A25" t="inlineStr">
        <is>
          <t>Terminal operating margin</t>
        </is>
      </c>
      <c r="B25" t="inlineStr">
        <is>
          <t>B30</t>
        </is>
      </c>
      <c r="C25" s="11">
        <f>Dashboard!B30</f>
        <v/>
      </c>
      <c r="D25" s="32" t="inlineStr">
        <is>
          <t>user-edited</t>
        </is>
      </c>
      <c r="E25" t="inlineStr">
        <is>
          <t>27.0%</t>
        </is>
      </c>
      <c r="F25" s="31" t="inlineStr">
        <is>
          <t>overridden from Opus 27.0% on 2026-06-11</t>
        </is>
      </c>
    </row>
    <row r="26">
      <c r="A26" t="inlineStr">
        <is>
          <t>Tax rate</t>
        </is>
      </c>
      <c r="B26" t="inlineStr">
        <is>
          <t>B31</t>
        </is>
      </c>
      <c r="C26" s="11">
        <f>Dashboard!B31</f>
        <v/>
      </c>
      <c r="D26" s="32" t="inlineStr">
        <is>
          <t>user-edited</t>
        </is>
      </c>
      <c r="E26" t="inlineStr">
        <is>
          <t>25.0%</t>
        </is>
      </c>
      <c r="F26" s="31" t="inlineStr">
        <is>
          <t>overridden from Opus 25.0% on 2026-06-11</t>
        </is>
      </c>
    </row>
    <row r="27">
      <c r="A27" t="inlineStr">
        <is>
          <t>Terminal capex / D&amp;A</t>
        </is>
      </c>
      <c r="B27" t="inlineStr">
        <is>
          <t>B35</t>
        </is>
      </c>
      <c r="C27" s="13">
        <f>Dashboard!B35</f>
        <v/>
      </c>
      <c r="D27" s="32" t="inlineStr">
        <is>
          <t>user-edited</t>
        </is>
      </c>
      <c r="E27" t="inlineStr">
        <is>
          <t>1.1x</t>
        </is>
      </c>
      <c r="F27" s="31" t="inlineStr">
        <is>
          <t>overridden from Opus 1.1x on 2026-06-11</t>
        </is>
      </c>
    </row>
    <row r="28">
      <c r="A28" t="inlineStr">
        <is>
          <t>Risk-free rate (10Y)</t>
        </is>
      </c>
      <c r="B28" t="inlineStr">
        <is>
          <t>B38</t>
        </is>
      </c>
      <c r="C28" s="11">
        <f>Dashboard!B38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Equity risk premium</t>
        </is>
      </c>
      <c r="B29" t="inlineStr">
        <is>
          <t>B39</t>
        </is>
      </c>
      <c r="C29" s="11">
        <f>Dashboard!B39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Beta (levered)</t>
        </is>
      </c>
      <c r="B30" t="inlineStr">
        <is>
          <t>B40</t>
        </is>
      </c>
      <c r="C30" s="33">
        <f>Dashboard!B40</f>
        <v/>
      </c>
      <c r="D30" t="inlineStr">
        <is>
          <t>builder default</t>
        </is>
      </c>
      <c r="E30" t="inlineStr">
        <is>
          <t>—</t>
        </is>
      </c>
      <c r="F30" s="31" t="inlineStr"/>
    </row>
    <row r="31">
      <c r="A31" t="inlineStr">
        <is>
          <t>Pre-tax cost of debt</t>
        </is>
      </c>
      <c r="B31" t="inlineStr">
        <is>
          <t>B41</t>
        </is>
      </c>
      <c r="C31" s="11">
        <f>Dashboard!B41</f>
        <v/>
      </c>
      <c r="D31" t="inlineStr">
        <is>
          <t>builder default</t>
        </is>
      </c>
      <c r="E31" t="inlineStr">
        <is>
          <t>—</t>
        </is>
      </c>
      <c r="F31" s="31" t="inlineStr"/>
    </row>
    <row r="32">
      <c r="A32" t="inlineStr">
        <is>
          <t>Terminal method</t>
        </is>
      </c>
      <c r="B32" t="inlineStr">
        <is>
          <t>B43</t>
        </is>
      </c>
      <c r="C32" s="12">
        <f>Dashboard!B43</f>
        <v/>
      </c>
      <c r="D32" s="32" t="inlineStr">
        <is>
          <t>user-edited</t>
        </is>
      </c>
      <c r="E32" t="inlineStr">
        <is>
          <t>Perpetuity</t>
        </is>
      </c>
      <c r="F32" s="31" t="inlineStr">
        <is>
          <t>overridden from Opus Perpetuity on 2026-06-11</t>
        </is>
      </c>
    </row>
    <row r="33">
      <c r="A33" t="inlineStr">
        <is>
          <t>Exit basis</t>
        </is>
      </c>
      <c r="B33" t="inlineStr">
        <is>
          <t>B44</t>
        </is>
      </c>
      <c r="C33" s="12">
        <f>Dashboard!B44</f>
        <v/>
      </c>
      <c r="D33" s="32" t="inlineStr">
        <is>
          <t>user-edited</t>
        </is>
      </c>
      <c r="E33" t="inlineStr">
        <is>
          <t>EV/Sales</t>
        </is>
      </c>
      <c r="F33" s="31" t="inlineStr">
        <is>
          <t>overridden from Opus EV/Sales on 2026-06-11</t>
        </is>
      </c>
    </row>
    <row r="34">
      <c r="A34" t="inlineStr">
        <is>
          <t>Exit multiple</t>
        </is>
      </c>
      <c r="B34" t="inlineStr">
        <is>
          <t>B45</t>
        </is>
      </c>
      <c r="C34" s="13">
        <f>Dashboard!B45</f>
        <v/>
      </c>
      <c r="D34" s="32" t="inlineStr">
        <is>
          <t>user-edited</t>
        </is>
      </c>
      <c r="E34" t="inlineStr">
        <is>
          <t>6.0x</t>
        </is>
      </c>
      <c r="F34" s="31" t="inlineStr">
        <is>
          <t>overridden from Opus 6.0x on 2026-06-11</t>
        </is>
      </c>
    </row>
    <row r="35">
      <c r="A35" t="inlineStr">
        <is>
          <t>Terminal growth (g)</t>
        </is>
      </c>
      <c r="B35" t="inlineStr">
        <is>
          <t>B46</t>
        </is>
      </c>
      <c r="C35" s="11">
        <f>Dashboard!B46</f>
        <v/>
      </c>
      <c r="D35" s="32" t="inlineStr">
        <is>
          <t>user-edited</t>
        </is>
      </c>
      <c r="E35" t="inlineStr">
        <is>
          <t>4.0%</t>
        </is>
      </c>
      <c r="F35" s="31" t="inlineStr">
        <is>
          <t>overridden from Opus 4.0% on 2026-06-11</t>
        </is>
      </c>
    </row>
    <row r="36">
      <c r="A36" t="inlineStr">
        <is>
          <t>2026 capex ($M)</t>
        </is>
      </c>
      <c r="B36" t="inlineStr">
        <is>
          <t>B34</t>
        </is>
      </c>
      <c r="C36" s="34">
        <f>Dashboard!B34</f>
        <v/>
      </c>
      <c r="D36" t="inlineStr">
        <is>
          <t>Opus</t>
        </is>
      </c>
      <c r="E36" t="inlineStr">
        <is>
          <t>—</t>
        </is>
      </c>
      <c r="F36" s="31" t="inlineStr">
        <is>
          <t>set from Opus 2% of FY1E revenue; edits not tracked (unit differs from the JSON)</t>
        </is>
      </c>
    </row>
    <row r="37">
      <c r="A37" t="inlineStr">
        <is>
          <t>Bull Δ — segment growth, near-term</t>
        </is>
      </c>
      <c r="B37" t="inlineStr">
        <is>
          <t>C52</t>
        </is>
      </c>
      <c r="C37" s="35">
        <f>Dashboard!C52</f>
        <v/>
      </c>
      <c r="D37" t="inlineStr">
        <is>
          <t>seed default</t>
        </is>
      </c>
      <c r="E37" t="inlineStr">
        <is>
          <t>3.0%</t>
        </is>
      </c>
      <c r="F37" s="31" t="inlineStr"/>
    </row>
    <row r="38">
      <c r="A38" t="inlineStr">
        <is>
          <t>Bear Δ — segment growth, near-term</t>
        </is>
      </c>
      <c r="B38" t="inlineStr">
        <is>
          <t>D52</t>
        </is>
      </c>
      <c r="C38" s="35">
        <f>Dashboard!D52</f>
        <v/>
      </c>
      <c r="D38" t="inlineStr">
        <is>
          <t>seed default</t>
        </is>
      </c>
      <c r="E38" t="inlineStr">
        <is>
          <t>-3.0%</t>
        </is>
      </c>
      <c r="F38" s="31" t="inlineStr"/>
    </row>
    <row r="39">
      <c r="A39" t="inlineStr">
        <is>
          <t>Bull Δ — segment growth, terminal</t>
        </is>
      </c>
      <c r="B39" t="inlineStr">
        <is>
          <t>C53</t>
        </is>
      </c>
      <c r="C39" s="35">
        <f>Dashboard!C53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segment growth, terminal</t>
        </is>
      </c>
      <c r="B40" t="inlineStr">
        <is>
          <t>D53</t>
        </is>
      </c>
      <c r="C40" s="35">
        <f>Dashboard!D53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near-term</t>
        </is>
      </c>
      <c r="B41" t="inlineStr">
        <is>
          <t>C54</t>
        </is>
      </c>
      <c r="C41" s="35">
        <f>Dashboard!C54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operating margin, near-term</t>
        </is>
      </c>
      <c r="B42" t="inlineStr">
        <is>
          <t>D54</t>
        </is>
      </c>
      <c r="C42" s="35">
        <f>Dashboard!D54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terminal</t>
        </is>
      </c>
      <c r="B43" t="inlineStr">
        <is>
          <t>C55</t>
        </is>
      </c>
      <c r="C43" s="35">
        <f>Dashboard!C55</f>
        <v/>
      </c>
      <c r="D43" t="inlineStr">
        <is>
          <t>seed default</t>
        </is>
      </c>
      <c r="E43" t="inlineStr">
        <is>
          <t>2.0%</t>
        </is>
      </c>
      <c r="F43" s="31" t="inlineStr"/>
    </row>
    <row r="44">
      <c r="A44" t="inlineStr">
        <is>
          <t>Bear Δ — operating margin, terminal</t>
        </is>
      </c>
      <c r="B44" t="inlineStr">
        <is>
          <t>D55</t>
        </is>
      </c>
      <c r="C44" s="35">
        <f>Dashboard!D55</f>
        <v/>
      </c>
      <c r="D44" t="inlineStr">
        <is>
          <t>seed default</t>
        </is>
      </c>
      <c r="E44" t="inlineStr">
        <is>
          <t>-2.0%</t>
        </is>
      </c>
      <c r="F44" s="31" t="inlineStr"/>
    </row>
    <row r="45">
      <c r="A45" t="inlineStr">
        <is>
          <t>Bull Δ — exit multiple</t>
        </is>
      </c>
      <c r="B45" t="inlineStr">
        <is>
          <t>C56</t>
        </is>
      </c>
      <c r="C45" s="36">
        <f>Dashboard!C56</f>
        <v/>
      </c>
      <c r="D45" t="inlineStr">
        <is>
          <t>seed default</t>
        </is>
      </c>
      <c r="E45" t="inlineStr">
        <is>
          <t>2.0x</t>
        </is>
      </c>
      <c r="F45" s="31" t="inlineStr"/>
    </row>
    <row r="46">
      <c r="A46" t="inlineStr">
        <is>
          <t>Bear Δ — exit multiple</t>
        </is>
      </c>
      <c r="B46" t="inlineStr">
        <is>
          <t>D56</t>
        </is>
      </c>
      <c r="C46" s="36">
        <f>Dashboard!D56</f>
        <v/>
      </c>
      <c r="D46" t="inlineStr">
        <is>
          <t>seed default</t>
        </is>
      </c>
      <c r="E46" t="inlineStr">
        <is>
          <t>-2.0x</t>
        </is>
      </c>
      <c r="F46" s="31" t="inlineStr"/>
    </row>
    <row r="47">
      <c r="A47" t="inlineStr">
        <is>
          <t>Bull Δ — terminal growth (g)</t>
        </is>
      </c>
      <c r="B47" t="inlineStr">
        <is>
          <t>C57</t>
        </is>
      </c>
      <c r="C47" s="35">
        <f>Dashboard!C57</f>
        <v/>
      </c>
      <c r="D47" t="inlineStr">
        <is>
          <t>seed default</t>
        </is>
      </c>
      <c r="E47" t="inlineStr">
        <is>
          <t>0.5%</t>
        </is>
      </c>
      <c r="F47" s="31" t="inlineStr"/>
    </row>
    <row r="48">
      <c r="A48" t="inlineStr">
        <is>
          <t>Bear Δ — terminal growth (g)</t>
        </is>
      </c>
      <c r="B48" t="inlineStr">
        <is>
          <t>D57</t>
        </is>
      </c>
      <c r="C48" s="35">
        <f>Dashboard!D57</f>
        <v/>
      </c>
      <c r="D48" t="inlineStr">
        <is>
          <t>seed default</t>
        </is>
      </c>
      <c r="E48" t="inlineStr">
        <is>
          <t>-0.5%</t>
        </is>
      </c>
      <c r="F48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Financials!AC41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FY2022A</t>
        </is>
      </c>
      <c r="C1" s="40" t="inlineStr">
        <is>
          <t>FY2023A</t>
        </is>
      </c>
      <c r="D1" s="40" t="inlineStr">
        <is>
          <t>FY2024A</t>
        </is>
      </c>
      <c r="E1" s="40" t="inlineStr">
        <is>
          <t>FY2025A</t>
        </is>
      </c>
      <c r="F1" s="40" t="inlineStr">
        <is>
          <t>FY2026A</t>
        </is>
      </c>
      <c r="G1" s="41" t="inlineStr">
        <is>
          <t>FY2027E</t>
        </is>
      </c>
      <c r="H1" s="41" t="inlineStr">
        <is>
          <t>FY2028E</t>
        </is>
      </c>
      <c r="I1" s="41" t="inlineStr">
        <is>
          <t>FY2029E</t>
        </is>
      </c>
      <c r="J1" s="41" t="inlineStr">
        <is>
          <t>FY2030E</t>
        </is>
      </c>
      <c r="K1" s="41" t="inlineStr">
        <is>
          <t>FY2031E</t>
        </is>
      </c>
      <c r="L1" s="41" t="inlineStr">
        <is>
          <t>FY2032E</t>
        </is>
      </c>
      <c r="M1" s="41" t="inlineStr">
        <is>
          <t>FY2033E</t>
        </is>
      </c>
      <c r="N1" s="41" t="inlineStr">
        <is>
          <t>FY2034E</t>
        </is>
      </c>
      <c r="O1" s="41" t="inlineStr">
        <is>
          <t>FY2035E</t>
        </is>
      </c>
      <c r="P1" s="4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Product</t>
        </is>
      </c>
      <c r="B4" s="34">
        <f>SUM(Financials!J19:M19)</f>
        <v/>
      </c>
      <c r="C4" s="34">
        <f>SUM(Financials!N19:Q19)</f>
        <v/>
      </c>
      <c r="D4" s="34">
        <f>SUM(Financials!R19:U19)</f>
        <v/>
      </c>
      <c r="E4" s="34">
        <f>SUM(Financials!V19:Y19)</f>
        <v/>
      </c>
      <c r="F4" s="34">
        <f>SUM(Financials!Z19:AC19)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Professional Services And Other</t>
        </is>
      </c>
      <c r="B6" s="34">
        <f>SUM(Financials!J22:M22)</f>
        <v/>
      </c>
      <c r="C6" s="34">
        <f>SUM(Financials!N22:Q22)</f>
        <v/>
      </c>
      <c r="D6" s="34">
        <f>SUM(Financials!R22:U22)</f>
        <v/>
      </c>
      <c r="E6" s="34">
        <f>SUM(Financials!V22:Y22)</f>
        <v/>
      </c>
      <c r="F6" s="34">
        <f>SUM(Financials!Z22:AC22)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3">
        <f>B4+B6</f>
        <v/>
      </c>
      <c r="C8" s="43">
        <f>C4+C6</f>
        <v/>
      </c>
      <c r="D8" s="43">
        <f>D4+D6</f>
        <v/>
      </c>
      <c r="E8" s="43">
        <f>E4+E6</f>
        <v/>
      </c>
      <c r="F8" s="43">
        <f>F4+F6</f>
        <v/>
      </c>
      <c r="G8" s="43">
        <f>G4+G6</f>
        <v/>
      </c>
      <c r="H8" s="43">
        <f>H4+H6</f>
        <v/>
      </c>
      <c r="I8" s="43">
        <f>I4+I6</f>
        <v/>
      </c>
      <c r="J8" s="43">
        <f>J4+J6</f>
        <v/>
      </c>
      <c r="K8" s="43">
        <f>K4+K6</f>
        <v/>
      </c>
      <c r="L8" s="43">
        <f>L4+L6</f>
        <v/>
      </c>
      <c r="M8" s="43">
        <f>M4+M6</f>
        <v/>
      </c>
      <c r="N8" s="43">
        <f>N4+N6</f>
        <v/>
      </c>
      <c r="O8" s="43">
        <f>O4+O6</f>
        <v/>
      </c>
      <c r="P8" s="43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4">
        <f>SUM(Financials!J5:M5)</f>
        <v/>
      </c>
      <c r="C12" s="34">
        <f>SUM(Financials!N5:Q5)</f>
        <v/>
      </c>
      <c r="D12" s="34">
        <f>SUM(Financials!R5:U5)</f>
        <v/>
      </c>
      <c r="E12" s="34">
        <f>SUM(Financials!V5:Y5)</f>
        <v/>
      </c>
      <c r="F12" s="34">
        <f>SUM(Financials!Z5:AC5)</f>
        <v/>
      </c>
      <c r="G12" s="42">
        <f>G8*G13</f>
        <v/>
      </c>
      <c r="H12" s="42">
        <f>H8*H13</f>
        <v/>
      </c>
      <c r="I12" s="42">
        <f>I8*I13</f>
        <v/>
      </c>
      <c r="J12" s="42">
        <f>J8*J13</f>
        <v/>
      </c>
      <c r="K12" s="42">
        <f>K8*K13</f>
        <v/>
      </c>
      <c r="L12" s="42">
        <f>L8*L13</f>
        <v/>
      </c>
      <c r="M12" s="42">
        <f>M8*M13</f>
        <v/>
      </c>
      <c r="N12" s="42">
        <f>N8*N13</f>
        <v/>
      </c>
      <c r="O12" s="42">
        <f>O8*O13</f>
        <v/>
      </c>
      <c r="P12" s="42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0.3283139899563317</v>
      </c>
      <c r="H13" s="15" t="n">
        <v>0.3283139899563317</v>
      </c>
      <c r="I13" s="15" t="n">
        <v>0.3283139899563317</v>
      </c>
      <c r="J13" s="15" t="n">
        <v>0.3283139899563317</v>
      </c>
      <c r="K13" s="15" t="n">
        <v>0.3283139899563317</v>
      </c>
      <c r="L13" s="15" t="n">
        <v>0.3283139899563317</v>
      </c>
      <c r="M13" s="15" t="n">
        <v>0.3283139899563317</v>
      </c>
      <c r="N13" s="15" t="n">
        <v>0.3283139899563317</v>
      </c>
      <c r="O13" s="15" t="n">
        <v>0.3283139899563317</v>
      </c>
      <c r="P13" s="15" t="n">
        <v>0.3283139899563317</v>
      </c>
    </row>
    <row r="14">
      <c r="A14" s="4" t="inlineStr">
        <is>
          <t>R&amp;D / Technology</t>
        </is>
      </c>
      <c r="B14" s="34">
        <f>SUM(Financials!J7:M7)</f>
        <v/>
      </c>
      <c r="C14" s="34">
        <f>SUM(Financials!N7:Q7)</f>
        <v/>
      </c>
      <c r="D14" s="34">
        <f>SUM(Financials!R7:U7)</f>
        <v/>
      </c>
      <c r="E14" s="34">
        <f>SUM(Financials!V7:Y7)</f>
        <v/>
      </c>
      <c r="F14" s="34">
        <f>SUM(Financials!Z7:AC7)</f>
        <v/>
      </c>
      <c r="G14" s="42">
        <f>G8*G15</f>
        <v/>
      </c>
      <c r="H14" s="42">
        <f>H8*H15</f>
        <v/>
      </c>
      <c r="I14" s="42">
        <f>I8*I15</f>
        <v/>
      </c>
      <c r="J14" s="42">
        <f>J8*J15</f>
        <v/>
      </c>
      <c r="K14" s="42">
        <f>K8*K15</f>
        <v/>
      </c>
      <c r="L14" s="42">
        <f>L8*L15</f>
        <v/>
      </c>
      <c r="M14" s="42">
        <f>M8*M15</f>
        <v/>
      </c>
      <c r="N14" s="42">
        <f>N8*N15</f>
        <v/>
      </c>
      <c r="O14" s="42">
        <f>O8*O15</f>
        <v/>
      </c>
      <c r="P14" s="42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0.4204728235551819</v>
      </c>
      <c r="H15" s="15" t="n">
        <v>0.4204728235551819</v>
      </c>
      <c r="I15" s="15" t="n">
        <v>0.4204728235551819</v>
      </c>
      <c r="J15" s="15" t="n">
        <v>0.4204728235551819</v>
      </c>
      <c r="K15" s="15" t="n">
        <v>0.4204728235551819</v>
      </c>
      <c r="L15" s="15" t="n">
        <v>0.4204728235551819</v>
      </c>
      <c r="M15" s="15" t="n">
        <v>0.4204728235551819</v>
      </c>
      <c r="N15" s="15" t="n">
        <v>0.4204728235551819</v>
      </c>
      <c r="O15" s="15" t="n">
        <v>0.4204728235551819</v>
      </c>
      <c r="P15" s="15" t="n">
        <v>0.4204728235551819</v>
      </c>
    </row>
    <row r="16">
      <c r="A16" s="4" t="inlineStr">
        <is>
          <t>SG&amp;A</t>
        </is>
      </c>
      <c r="B16" s="34">
        <f>SUM(Financials!J9:M9)</f>
        <v/>
      </c>
      <c r="C16" s="34">
        <f>SUM(Financials!N9:Q9)</f>
        <v/>
      </c>
      <c r="D16" s="34">
        <f>SUM(Financials!R9:U9)</f>
        <v/>
      </c>
      <c r="E16" s="34">
        <f>SUM(Financials!V9:Y9)</f>
        <v/>
      </c>
      <c r="F16" s="34">
        <f>SUM(Financials!Z9:AC9)</f>
        <v/>
      </c>
      <c r="G16" s="42">
        <f>G8*G17</f>
        <v/>
      </c>
      <c r="H16" s="42">
        <f>H8*H17</f>
        <v/>
      </c>
      <c r="I16" s="42">
        <f>I8*I17</f>
        <v/>
      </c>
      <c r="J16" s="42">
        <f>J8*J17</f>
        <v/>
      </c>
      <c r="K16" s="42">
        <f>K8*K17</f>
        <v/>
      </c>
      <c r="L16" s="42">
        <f>L8*L17</f>
        <v/>
      </c>
      <c r="M16" s="42">
        <f>M8*M17</f>
        <v/>
      </c>
      <c r="N16" s="42">
        <f>N8*N17</f>
        <v/>
      </c>
      <c r="O16" s="42">
        <f>O8*O17</f>
        <v/>
      </c>
      <c r="P16" s="42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0.5576140288551575</v>
      </c>
      <c r="H17" s="15" t="n">
        <v>0.5576140288551575</v>
      </c>
      <c r="I17" s="15" t="n">
        <v>0.5576140288551575</v>
      </c>
      <c r="J17" s="15" t="n">
        <v>0.5576140288551575</v>
      </c>
      <c r="K17" s="15" t="n">
        <v>0.5576140288551575</v>
      </c>
      <c r="L17" s="15" t="n">
        <v>0.5576140288551575</v>
      </c>
      <c r="M17" s="15" t="n">
        <v>0.5576140288551575</v>
      </c>
      <c r="N17" s="15" t="n">
        <v>0.5576140288551575</v>
      </c>
      <c r="O17" s="15" t="n">
        <v>0.5576140288551575</v>
      </c>
      <c r="P17" s="15" t="n">
        <v>0.5576140288551575</v>
      </c>
    </row>
    <row r="18">
      <c r="A18" s="4" t="inlineStr">
        <is>
          <t>Other opex (fulfilment, etc.)</t>
        </is>
      </c>
      <c r="B18" s="34">
        <f>B8-(B12+B14+B16)-SUM(Financials!J13:M13)</f>
        <v/>
      </c>
      <c r="C18" s="34">
        <f>C8-(C12+C14+C16)-SUM(Financials!N13:Q13)</f>
        <v/>
      </c>
      <c r="D18" s="34">
        <f>D8-(D12+D14+D16)-SUM(Financials!R13:U13)</f>
        <v/>
      </c>
      <c r="E18" s="34">
        <f>E8-(E12+E14+E16)-SUM(Financials!V13:Y13)</f>
        <v/>
      </c>
      <c r="F18" s="34">
        <f>F8-(F12+F14+F16)-SUM(Financials!Z13:AC13)</f>
        <v/>
      </c>
      <c r="G18" s="34">
        <f>G8*(1-(Dashboard!$B$29+(Dashboard!$B$30-Dashboard!$B$29)*MIN(1,0/4)))-(G12+G14+G16)</f>
        <v/>
      </c>
      <c r="H18" s="34">
        <f>H8*(1-(Dashboard!$B$29+(Dashboard!$B$30-Dashboard!$B$29)*MIN(1,1/4)))-(H12+H14+H16)</f>
        <v/>
      </c>
      <c r="I18" s="34">
        <f>I8*(1-(Dashboard!$B$29+(Dashboard!$B$30-Dashboard!$B$29)*MIN(1,2/4)))-(I12+I14+I16)</f>
        <v/>
      </c>
      <c r="J18" s="34">
        <f>J8*(1-(Dashboard!$B$29+(Dashboard!$B$30-Dashboard!$B$29)*MIN(1,3/4)))-(J12+J14+J16)</f>
        <v/>
      </c>
      <c r="K18" s="34">
        <f>K8*(1-(Dashboard!$B$29+(Dashboard!$B$30-Dashboard!$B$29)*MIN(1,4/4)))-(K12+K14+K16)</f>
        <v/>
      </c>
      <c r="L18" s="34">
        <f>L8*(1-(Dashboard!$B$29+(Dashboard!$B$30-Dashboard!$B$29)*MIN(1,5/4)))-(L12+L14+L16)</f>
        <v/>
      </c>
      <c r="M18" s="34">
        <f>M8*(1-(Dashboard!$B$29+(Dashboard!$B$30-Dashboard!$B$29)*MIN(1,6/4)))-(M12+M14+M16)</f>
        <v/>
      </c>
      <c r="N18" s="34">
        <f>N8*(1-(Dashboard!$B$29+(Dashboard!$B$30-Dashboard!$B$29)*MIN(1,7/4)))-(N12+N14+N16)</f>
        <v/>
      </c>
      <c r="O18" s="34">
        <f>O8*(1-(Dashboard!$B$29+(Dashboard!$B$30-Dashboard!$B$29)*MIN(1,8/4)))-(O12+O14+O16)</f>
        <v/>
      </c>
      <c r="P18" s="34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3">
        <f>B8-(B12+B14+B16)-B18</f>
        <v/>
      </c>
      <c r="C21" s="43">
        <f>C8-(C12+C14+C16)-C18</f>
        <v/>
      </c>
      <c r="D21" s="43">
        <f>D8-(D12+D14+D16)-D18</f>
        <v/>
      </c>
      <c r="E21" s="43">
        <f>E8-(E12+E14+E16)-E18</f>
        <v/>
      </c>
      <c r="F21" s="43">
        <f>F8-(F12+F14+F16)-F18</f>
        <v/>
      </c>
      <c r="G21" s="43">
        <f>G8-(G12+G14+G16)-G18</f>
        <v/>
      </c>
      <c r="H21" s="43">
        <f>H8-(H12+H14+H16)-H18</f>
        <v/>
      </c>
      <c r="I21" s="43">
        <f>I8-(I12+I14+I16)-I18</f>
        <v/>
      </c>
      <c r="J21" s="43">
        <f>J8-(J12+J14+J16)-J18</f>
        <v/>
      </c>
      <c r="K21" s="43">
        <f>K8-(K12+K14+K16)-K18</f>
        <v/>
      </c>
      <c r="L21" s="43">
        <f>L8-(L12+L14+L16)-L18</f>
        <v/>
      </c>
      <c r="M21" s="43">
        <f>M8-(M12+M14+M16)-M18</f>
        <v/>
      </c>
      <c r="N21" s="43">
        <f>N8-(N12+N14+N16)-N18</f>
        <v/>
      </c>
      <c r="O21" s="43">
        <f>O8-(O12+O14+O16)-O18</f>
        <v/>
      </c>
      <c r="P21" s="43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4">
        <f>B21*(1-Valuation!$B$5)</f>
        <v/>
      </c>
      <c r="C25" s="34">
        <f>C21*(1-Valuation!$B$5)</f>
        <v/>
      </c>
      <c r="D25" s="34">
        <f>D21*(1-Valuation!$B$5)</f>
        <v/>
      </c>
      <c r="E25" s="34">
        <f>E21*(1-Valuation!$B$5)</f>
        <v/>
      </c>
      <c r="F25" s="34">
        <f>F21*(1-Valuation!$B$5)</f>
        <v/>
      </c>
      <c r="G25" s="34">
        <f>G21*(1-Valuation!$B$5)</f>
        <v/>
      </c>
      <c r="H25" s="34">
        <f>H21*(1-Valuation!$B$5)</f>
        <v/>
      </c>
      <c r="I25" s="34">
        <f>I21*(1-Valuation!$B$5)</f>
        <v/>
      </c>
      <c r="J25" s="34">
        <f>J21*(1-Valuation!$B$5)</f>
        <v/>
      </c>
      <c r="K25" s="34">
        <f>K21*(1-Valuation!$B$5)</f>
        <v/>
      </c>
      <c r="L25" s="34">
        <f>L21*(1-Valuation!$B$5)</f>
        <v/>
      </c>
      <c r="M25" s="34">
        <f>M21*(1-Valuation!$B$5)</f>
        <v/>
      </c>
      <c r="N25" s="34">
        <f>N21*(1-Valuation!$B$5)</f>
        <v/>
      </c>
      <c r="O25" s="34">
        <f>O21*(1-Valuation!$B$5)</f>
        <v/>
      </c>
      <c r="P25" s="34">
        <f>P21*(1-Valuation!$B$5)</f>
        <v/>
      </c>
    </row>
    <row r="26">
      <c r="A26" s="4" t="inlineStr">
        <is>
          <t>+ D&amp;A</t>
        </is>
      </c>
      <c r="B26" s="34">
        <f>SUM(Financials!J44:M44)</f>
        <v/>
      </c>
      <c r="C26" s="34">
        <f>SUM(Financials!N44:Q44)</f>
        <v/>
      </c>
      <c r="D26" s="34">
        <f>SUM(Financials!R44:U44)</f>
        <v/>
      </c>
      <c r="E26" s="34">
        <f>SUM(Financials!V44:Y44)</f>
        <v/>
      </c>
      <c r="F26" s="34">
        <f>SUM(Financials!Z44:AC44)</f>
        <v/>
      </c>
      <c r="G26" s="42">
        <f>G8*0.0471</f>
        <v/>
      </c>
      <c r="H26" s="42">
        <f>H8*0.0471</f>
        <v/>
      </c>
      <c r="I26" s="42">
        <f>I8*0.0471</f>
        <v/>
      </c>
      <c r="J26" s="42">
        <f>J8*0.0471</f>
        <v/>
      </c>
      <c r="K26" s="42">
        <f>K8*0.0471</f>
        <v/>
      </c>
      <c r="L26" s="42">
        <f>L8*0.0471</f>
        <v/>
      </c>
      <c r="M26" s="42">
        <f>M8*0.0471</f>
        <v/>
      </c>
      <c r="N26" s="42">
        <f>N8*0.0471</f>
        <v/>
      </c>
      <c r="O26" s="42">
        <f>O8*0.0471</f>
        <v/>
      </c>
      <c r="P26" s="42">
        <f>P8*0.0471</f>
        <v/>
      </c>
    </row>
    <row r="27">
      <c r="A27" s="4" t="inlineStr">
        <is>
          <t>+ SBC (non-cash)</t>
        </is>
      </c>
      <c r="B27" s="34">
        <f>SUM(Financials!J45:M45)</f>
        <v/>
      </c>
      <c r="C27" s="34">
        <f>SUM(Financials!N45:Q45)</f>
        <v/>
      </c>
      <c r="D27" s="34">
        <f>SUM(Financials!R45:U45)</f>
        <v/>
      </c>
      <c r="E27" s="34">
        <f>SUM(Financials!V45:Y45)</f>
        <v/>
      </c>
      <c r="F27" s="34">
        <f>SUM(Financials!Z45:AC45)</f>
        <v/>
      </c>
      <c r="G27" s="34">
        <f>G8*(Dashboard!$B$65+(Dashboard!$B$66-Dashboard!$B$65)*0/9)</f>
        <v/>
      </c>
      <c r="H27" s="34">
        <f>H8*(Dashboard!$B$65+(Dashboard!$B$66-Dashboard!$B$65)*1/9)</f>
        <v/>
      </c>
      <c r="I27" s="34">
        <f>I8*(Dashboard!$B$65+(Dashboard!$B$66-Dashboard!$B$65)*2/9)</f>
        <v/>
      </c>
      <c r="J27" s="34">
        <f>J8*(Dashboard!$B$65+(Dashboard!$B$66-Dashboard!$B$65)*3/9)</f>
        <v/>
      </c>
      <c r="K27" s="34">
        <f>K8*(Dashboard!$B$65+(Dashboard!$B$66-Dashboard!$B$65)*4/9)</f>
        <v/>
      </c>
      <c r="L27" s="34">
        <f>L8*(Dashboard!$B$65+(Dashboard!$B$66-Dashboard!$B$65)*5/9)</f>
        <v/>
      </c>
      <c r="M27" s="34">
        <f>M8*(Dashboard!$B$65+(Dashboard!$B$66-Dashboard!$B$65)*6/9)</f>
        <v/>
      </c>
      <c r="N27" s="34">
        <f>N8*(Dashboard!$B$65+(Dashboard!$B$66-Dashboard!$B$65)*7/9)</f>
        <v/>
      </c>
      <c r="O27" s="34">
        <f>O8*(Dashboard!$B$65+(Dashboard!$B$66-Dashboard!$B$65)*8/9)</f>
        <v/>
      </c>
      <c r="P27" s="34">
        <f>P8*(Dashboard!$B$65+(Dashboard!$B$66-Dashboard!$B$65)*9/9)</f>
        <v/>
      </c>
    </row>
    <row r="28">
      <c r="A28" s="4" t="inlineStr">
        <is>
          <t>- dNWC</t>
        </is>
      </c>
      <c r="G28" s="42">
        <f>(G8-F8)*0.0050</f>
        <v/>
      </c>
      <c r="H28" s="42">
        <f>(H8-G8)*0.0050</f>
        <v/>
      </c>
      <c r="I28" s="42">
        <f>(I8-H8)*0.0050</f>
        <v/>
      </c>
      <c r="J28" s="42">
        <f>(J8-I8)*0.0050</f>
        <v/>
      </c>
      <c r="K28" s="42">
        <f>(K8-J8)*0.0050</f>
        <v/>
      </c>
      <c r="L28" s="42">
        <f>(L8-K8)*0.0050</f>
        <v/>
      </c>
      <c r="M28" s="42">
        <f>(M8-L8)*0.0050</f>
        <v/>
      </c>
      <c r="N28" s="42">
        <f>(N8-M8)*0.0050</f>
        <v/>
      </c>
      <c r="O28" s="42">
        <f>(O8-N8)*0.0050</f>
        <v/>
      </c>
      <c r="P28" s="42">
        <f>(P8-O8)*0.0050</f>
        <v/>
      </c>
    </row>
    <row r="29">
      <c r="A29" s="4" t="inlineStr">
        <is>
          <t>- Capex</t>
        </is>
      </c>
      <c r="B29" s="34">
        <f>-SUM(Financials!J48:M48)</f>
        <v/>
      </c>
      <c r="C29" s="34">
        <f>-SUM(Financials!N48:Q48)</f>
        <v/>
      </c>
      <c r="D29" s="34">
        <f>-SUM(Financials!R48:U48)</f>
        <v/>
      </c>
      <c r="E29" s="34">
        <f>-SUM(Financials!V48:Y48)</f>
        <v/>
      </c>
      <c r="F29" s="34">
        <f>-SUM(Financials!Z48:AC48)</f>
        <v/>
      </c>
      <c r="G29" s="42">
        <f>G26*G30</f>
        <v/>
      </c>
      <c r="H29" s="42">
        <f>H26*H30</f>
        <v/>
      </c>
      <c r="I29" s="42">
        <f>I26*I30</f>
        <v/>
      </c>
      <c r="J29" s="42">
        <f>J26*J30</f>
        <v/>
      </c>
      <c r="K29" s="42">
        <f>K26*K30</f>
        <v/>
      </c>
      <c r="L29" s="42">
        <f>L26*L30</f>
        <v/>
      </c>
      <c r="M29" s="42">
        <f>M26*M30</f>
        <v/>
      </c>
      <c r="N29" s="42">
        <f>N26*N30</f>
        <v/>
      </c>
      <c r="O29" s="42">
        <f>O26*O30</f>
        <v/>
      </c>
      <c r="P29" s="42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3">
        <f>B25+B26+B27-B28-B29</f>
        <v/>
      </c>
      <c r="C32" s="43">
        <f>C25+C26+C27-C28-C29</f>
        <v/>
      </c>
      <c r="D32" s="43">
        <f>D25+D26+D27-D28-D29</f>
        <v/>
      </c>
      <c r="E32" s="43">
        <f>E25+E26+E27-E28-E29</f>
        <v/>
      </c>
      <c r="F32" s="43">
        <f>F25+F26+F27-F28-F29</f>
        <v/>
      </c>
      <c r="G32" s="43">
        <f>G25+G26+G27-G28-G29</f>
        <v/>
      </c>
      <c r="H32" s="43">
        <f>H25+H26+H27-H28-H29</f>
        <v/>
      </c>
      <c r="I32" s="43">
        <f>I25+I26+I27-I28-I29</f>
        <v/>
      </c>
      <c r="J32" s="43">
        <f>J25+J26+J27-J28-J29</f>
        <v/>
      </c>
      <c r="K32" s="43">
        <f>K25+K26+K27-K28-K29</f>
        <v/>
      </c>
      <c r="L32" s="43">
        <f>L25+L26+L27-L28-L29</f>
        <v/>
      </c>
      <c r="M32" s="43">
        <f>M25+M26+M27-M28-M29</f>
        <v/>
      </c>
      <c r="N32" s="43">
        <f>N25+N26+N27-N28-N29</f>
        <v/>
      </c>
      <c r="O32" s="43">
        <f>O25+O26+O27-O28-O29</f>
        <v/>
      </c>
      <c r="P32" s="43">
        <f>P25+P26+P27-P28-P29</f>
        <v/>
      </c>
    </row>
    <row r="33">
      <c r="A33" s="3" t="inlineStr">
        <is>
          <t>Valuation FCF (NOPAT + D&amp;A - dNWC - Capex - after-tax SBC)</t>
        </is>
      </c>
      <c r="B33" s="44">
        <f>B32-B27-B27*(1-Valuation!$B$5)</f>
        <v/>
      </c>
      <c r="C33" s="44">
        <f>C32-C27-C27*(1-Valuation!$B$5)</f>
        <v/>
      </c>
      <c r="D33" s="44">
        <f>D32-D27-D27*(1-Valuation!$B$5)</f>
        <v/>
      </c>
      <c r="E33" s="44">
        <f>E32-E27-E27*(1-Valuation!$B$5)</f>
        <v/>
      </c>
      <c r="F33" s="44">
        <f>F32-F27-F27*(1-Valuation!$B$5)</f>
        <v/>
      </c>
      <c r="G33" s="44">
        <f>G32-G27-G27*(1-Valuation!$B$5)</f>
        <v/>
      </c>
      <c r="H33" s="44">
        <f>H32-H27-H27*(1-Valuation!$B$5)</f>
        <v/>
      </c>
      <c r="I33" s="44">
        <f>I32-I27-I27*(1-Valuation!$B$5)</f>
        <v/>
      </c>
      <c r="J33" s="44">
        <f>J32-J27-J27*(1-Valuation!$B$5)</f>
        <v/>
      </c>
      <c r="K33" s="44">
        <f>K32-K27-K27*(1-Valuation!$B$5)</f>
        <v/>
      </c>
      <c r="L33" s="44">
        <f>L32-L27-L27*(1-Valuation!$B$5)</f>
        <v/>
      </c>
      <c r="M33" s="44">
        <f>M32-M27-M27*(1-Valuation!$B$5)</f>
        <v/>
      </c>
      <c r="N33" s="44">
        <f>N32-N27-N27*(1-Valuation!$B$5)</f>
        <v/>
      </c>
      <c r="O33" s="44">
        <f>O32-O27-O27*(1-Valuation!$B$5)</f>
        <v/>
      </c>
      <c r="P33" s="44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4">
        <f>Financials!M42+Financials!M41-Financials!M36</f>
        <v/>
      </c>
      <c r="C36" s="34">
        <f>Financials!Q42+Financials!Q41-Financials!Q36</f>
        <v/>
      </c>
      <c r="D36" s="34">
        <f>Financials!U42+Financials!U41-Financials!U36</f>
        <v/>
      </c>
      <c r="E36" s="34">
        <f>Financials!Y42+Financials!Y41-Financials!Y36</f>
        <v/>
      </c>
      <c r="F36" s="34">
        <f>Financials!AC42+Financials!AC41-Financials!AC36</f>
        <v/>
      </c>
      <c r="G36" s="42">
        <f>F36+G29-G26+G28</f>
        <v/>
      </c>
      <c r="H36" s="42">
        <f>G36+H29-H26+H28</f>
        <v/>
      </c>
      <c r="I36" s="42">
        <f>H36+I29-I26+I28</f>
        <v/>
      </c>
      <c r="J36" s="42">
        <f>I36+J29-J26+J28</f>
        <v/>
      </c>
      <c r="K36" s="42">
        <f>J36+K29-K26+K28</f>
        <v/>
      </c>
      <c r="L36" s="42">
        <f>K36+L29-L26+L28</f>
        <v/>
      </c>
      <c r="M36" s="42">
        <f>L36+M29-M26+M28</f>
        <v/>
      </c>
      <c r="N36" s="42">
        <f>M36+N29-N26+N28</f>
        <v/>
      </c>
      <c r="O36" s="42">
        <f>N36+O29-O26+O28</f>
        <v/>
      </c>
      <c r="P36" s="42">
        <f>O36+P29-P26+P28</f>
        <v/>
      </c>
    </row>
    <row r="37">
      <c r="A37" s="4" t="inlineStr">
        <is>
          <t>Book equity (year-end)</t>
        </is>
      </c>
      <c r="B37" s="34">
        <f>Financials!M42</f>
        <v/>
      </c>
      <c r="C37" s="34">
        <f>Financials!Q42</f>
        <v/>
      </c>
      <c r="D37" s="34">
        <f>Financials!U42</f>
        <v/>
      </c>
      <c r="E37" s="34">
        <f>Financials!Y42</f>
        <v/>
      </c>
      <c r="F37" s="34">
        <f>Financials!AC42</f>
        <v/>
      </c>
      <c r="G37" s="42">
        <f>F37+G25</f>
        <v/>
      </c>
      <c r="H37" s="42">
        <f>G37+H25</f>
        <v/>
      </c>
      <c r="I37" s="42">
        <f>H37+I25</f>
        <v/>
      </c>
      <c r="J37" s="42">
        <f>I37+J25</f>
        <v/>
      </c>
      <c r="K37" s="42">
        <f>J37+K25</f>
        <v/>
      </c>
      <c r="L37" s="42">
        <f>K37+L25</f>
        <v/>
      </c>
      <c r="M37" s="42">
        <f>L37+M25</f>
        <v/>
      </c>
      <c r="N37" s="42">
        <f>M37+N25</f>
        <v/>
      </c>
      <c r="O37" s="42">
        <f>N37+O25</f>
        <v/>
      </c>
      <c r="P37" s="42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IFERROR(SUM(Financials!N15:Q15)/B37,"")</f>
        <v/>
      </c>
      <c r="D39" s="11">
        <f>IFERROR(SUM(Financials!R15:U15)/C37,"")</f>
        <v/>
      </c>
      <c r="E39" s="11">
        <f>IFERROR(SUM(Financials!V15:Y15)/D37,"")</f>
        <v/>
      </c>
      <c r="F39" s="11">
        <f>IFERROR(SUM(Financials!Z15:AC15)/E37,"")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5">
        <f>IFERROR((C8-B8)/(C36-B36),"")</f>
        <v/>
      </c>
      <c r="D43" s="45">
        <f>IFERROR((D8-C8)/(D36-C36),"")</f>
        <v/>
      </c>
      <c r="E43" s="45">
        <f>IFERROR((E8-D8)/(E36-D36),"")</f>
        <v/>
      </c>
      <c r="F43" s="45">
        <f>IFERROR((F8-E8)/(F36-E36),"")</f>
        <v/>
      </c>
      <c r="G43" s="45">
        <f>IFERROR((G8-F8)/(G36-F36),"")</f>
        <v/>
      </c>
      <c r="H43" s="45">
        <f>IFERROR((H8-G8)/(H36-G36),"")</f>
        <v/>
      </c>
      <c r="I43" s="45">
        <f>IFERROR((I8-H8)/(I36-H36),"")</f>
        <v/>
      </c>
      <c r="J43" s="45">
        <f>IFERROR((J8-I8)/(J36-I36),"")</f>
        <v/>
      </c>
      <c r="K43" s="45">
        <f>IFERROR((K8-J8)/(K36-J36),"")</f>
        <v/>
      </c>
      <c r="L43" s="45">
        <f>IFERROR((L8-K8)/(L36-K36),"")</f>
        <v/>
      </c>
      <c r="M43" s="45">
        <f>IFERROR((M8-L8)/(M36-L36),"")</f>
        <v/>
      </c>
      <c r="N43" s="45">
        <f>IFERROR((N8-M8)/(N36-M36),"")</f>
        <v/>
      </c>
      <c r="O43" s="45">
        <f>IFERROR((O8-N8)/(O36-N36),"")</f>
        <v/>
      </c>
      <c r="P43" s="4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Q1 2020</t>
        </is>
      </c>
      <c r="C1" s="46" t="inlineStr">
        <is>
          <t>Q2 2020</t>
        </is>
      </c>
      <c r="D1" s="46" t="inlineStr">
        <is>
          <t>Q3 2020</t>
        </is>
      </c>
      <c r="E1" s="46" t="inlineStr">
        <is>
          <t>Q4 2020</t>
        </is>
      </c>
      <c r="F1" s="46" t="inlineStr">
        <is>
          <t>Q1 2021</t>
        </is>
      </c>
      <c r="G1" s="46" t="inlineStr">
        <is>
          <t>Q2 2021</t>
        </is>
      </c>
      <c r="H1" s="46" t="inlineStr">
        <is>
          <t>Q3 2021</t>
        </is>
      </c>
      <c r="I1" s="46" t="inlineStr">
        <is>
          <t>Q4 2021</t>
        </is>
      </c>
      <c r="J1" s="46" t="inlineStr">
        <is>
          <t>Q1 2022</t>
        </is>
      </c>
      <c r="K1" s="46" t="inlineStr">
        <is>
          <t>Q2 2022</t>
        </is>
      </c>
      <c r="L1" s="46" t="inlineStr">
        <is>
          <t>Q3 2022</t>
        </is>
      </c>
      <c r="M1" s="46" t="inlineStr">
        <is>
          <t>Q4 2022</t>
        </is>
      </c>
      <c r="N1" s="46" t="inlineStr">
        <is>
          <t>Q1 2023</t>
        </is>
      </c>
      <c r="O1" s="46" t="inlineStr">
        <is>
          <t>Q2 2023</t>
        </is>
      </c>
      <c r="P1" s="46" t="inlineStr">
        <is>
          <t>Q3 2023</t>
        </is>
      </c>
      <c r="Q1" s="46" t="inlineStr">
        <is>
          <t>Q4 2023</t>
        </is>
      </c>
      <c r="R1" s="46" t="inlineStr">
        <is>
          <t>Q1 2024</t>
        </is>
      </c>
      <c r="S1" s="46" t="inlineStr">
        <is>
          <t>Q2 2024</t>
        </is>
      </c>
      <c r="T1" s="46" t="inlineStr">
        <is>
          <t>Q3 2024</t>
        </is>
      </c>
      <c r="U1" s="46" t="inlineStr">
        <is>
          <t>Q4 2024</t>
        </is>
      </c>
      <c r="V1" s="46" t="inlineStr">
        <is>
          <t>Q1 2025</t>
        </is>
      </c>
      <c r="W1" s="46" t="inlineStr">
        <is>
          <t>Q2 2025</t>
        </is>
      </c>
      <c r="X1" s="46" t="inlineStr">
        <is>
          <t>Q3 2025</t>
        </is>
      </c>
      <c r="Y1" s="46" t="inlineStr">
        <is>
          <t>Q4 2025</t>
        </is>
      </c>
      <c r="Z1" s="46" t="inlineStr">
        <is>
          <t>Q1 2026</t>
        </is>
      </c>
      <c r="AA1" s="46" t="inlineStr">
        <is>
          <t>Q2 2026</t>
        </is>
      </c>
      <c r="AB1" s="46" t="inlineStr">
        <is>
          <t>Q3 2026</t>
        </is>
      </c>
      <c r="AC1" s="4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43.705</v>
      </c>
      <c r="C3" s="18" t="n">
        <v>60.339</v>
      </c>
      <c r="D3" s="18" t="n">
        <v>73.012</v>
      </c>
      <c r="E3" s="18" t="n">
        <v>87.69199999999999</v>
      </c>
      <c r="F3" s="18" t="n">
        <v>108.815</v>
      </c>
      <c r="G3" s="18" t="n">
        <v>133.145</v>
      </c>
      <c r="H3" s="18" t="n">
        <v>159.624</v>
      </c>
      <c r="I3" s="18" t="n">
        <v>190.465</v>
      </c>
      <c r="J3" s="18" t="n">
        <v>228.914</v>
      </c>
      <c r="K3" s="18" t="n">
        <v>272.198</v>
      </c>
      <c r="L3" s="18" t="n">
        <v>334.441</v>
      </c>
      <c r="M3" s="18" t="n">
        <v>383.774</v>
      </c>
      <c r="N3" s="18" t="n">
        <v>422.371</v>
      </c>
      <c r="O3" s="18" t="n">
        <v>497.248</v>
      </c>
      <c r="P3" s="18" t="n">
        <v>557.028</v>
      </c>
      <c r="Q3" s="18" t="n">
        <v>589.0119999999999</v>
      </c>
      <c r="R3" s="18" t="n">
        <v>623.599</v>
      </c>
      <c r="S3" s="18" t="n">
        <v>674.018</v>
      </c>
      <c r="T3" s="18" t="n">
        <v>734.173</v>
      </c>
      <c r="U3" s="18" t="n">
        <v>774.699</v>
      </c>
      <c r="V3" s="18" t="n">
        <v>828.7089999999999</v>
      </c>
      <c r="W3" s="18" t="n">
        <v>868.823</v>
      </c>
      <c r="X3" s="18" t="n">
        <v>942.0940000000001</v>
      </c>
      <c r="Y3" s="18" t="n">
        <v>986.77</v>
      </c>
      <c r="Z3" s="18" t="n">
        <v>1042.074</v>
      </c>
      <c r="AA3" s="18" t="n">
        <v>1144.969</v>
      </c>
      <c r="AB3" s="18" t="n">
        <v>1212.909</v>
      </c>
      <c r="AC3" s="18" t="n">
        <v>1283.994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24.038</v>
      </c>
      <c r="C5" s="18" t="n">
        <v>28.508</v>
      </c>
      <c r="D5" s="18" t="n">
        <v>29.489</v>
      </c>
      <c r="E5" s="18" t="n">
        <v>34.522</v>
      </c>
      <c r="F5" s="18" t="n">
        <v>42.557</v>
      </c>
      <c r="G5" s="18" t="n">
        <v>50.446</v>
      </c>
      <c r="H5" s="18" t="n">
        <v>66.681</v>
      </c>
      <c r="I5" s="18" t="n">
        <v>82.904</v>
      </c>
      <c r="J5" s="18" t="n">
        <v>97.346</v>
      </c>
      <c r="K5" s="18" t="n">
        <v>106.121</v>
      </c>
      <c r="L5" s="18" t="n">
        <v>120.786</v>
      </c>
      <c r="M5" s="18" t="n">
        <v>134.18</v>
      </c>
      <c r="N5" s="18" t="n">
        <v>147.93</v>
      </c>
      <c r="O5" s="18" t="n">
        <v>173.232</v>
      </c>
      <c r="P5" s="18" t="n">
        <v>190.721</v>
      </c>
      <c r="Q5" s="18" t="n">
        <v>205.657</v>
      </c>
      <c r="R5" s="18" t="n">
        <v>209.414</v>
      </c>
      <c r="S5" s="18" t="n">
        <v>218.392</v>
      </c>
      <c r="T5" s="18" t="n">
        <v>228.948</v>
      </c>
      <c r="U5" s="18" t="n">
        <v>241.804</v>
      </c>
      <c r="V5" s="18" t="n">
        <v>272.517</v>
      </c>
      <c r="W5" s="18" t="n">
        <v>288.078</v>
      </c>
      <c r="X5" s="18" t="n">
        <v>320.894</v>
      </c>
      <c r="Y5" s="18" t="n">
        <v>333.184</v>
      </c>
      <c r="Z5" s="18" t="n">
        <v>348.786</v>
      </c>
      <c r="AA5" s="18" t="n">
        <v>371.815</v>
      </c>
      <c r="AB5" s="18" t="n">
        <v>390.873</v>
      </c>
      <c r="AC5" s="18" t="n">
        <v>426.331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21.618</v>
      </c>
      <c r="C7" s="18" t="n">
        <v>26.164</v>
      </c>
      <c r="D7" s="18" t="n">
        <v>27.669</v>
      </c>
      <c r="E7" s="18" t="n">
        <v>29.709</v>
      </c>
      <c r="F7" s="18" t="n">
        <v>33.278</v>
      </c>
      <c r="G7" s="18" t="n">
        <v>36.533</v>
      </c>
      <c r="H7" s="18" t="n">
        <v>74.13800000000001</v>
      </c>
      <c r="I7" s="18" t="n">
        <v>93.997</v>
      </c>
      <c r="J7" s="18" t="n">
        <v>109.796</v>
      </c>
      <c r="K7" s="18" t="n">
        <v>118.087</v>
      </c>
      <c r="L7" s="18" t="n">
        <v>115.9</v>
      </c>
      <c r="M7" s="18" t="n">
        <v>123.149</v>
      </c>
      <c r="N7" s="18" t="n">
        <v>150.798</v>
      </c>
      <c r="O7" s="18" t="n">
        <v>183.748</v>
      </c>
      <c r="P7" s="18" t="n">
        <v>211.387</v>
      </c>
      <c r="Q7" s="18" t="n">
        <v>242.125</v>
      </c>
      <c r="R7" s="18" t="n">
        <v>277.412</v>
      </c>
      <c r="S7" s="18" t="n">
        <v>313.996</v>
      </c>
      <c r="T7" s="18" t="n">
        <v>332.065</v>
      </c>
      <c r="U7" s="18" t="n">
        <v>364.476</v>
      </c>
      <c r="V7" s="18" t="n">
        <v>410.794</v>
      </c>
      <c r="W7" s="18" t="n">
        <v>437.66</v>
      </c>
      <c r="X7" s="18" t="n">
        <v>442.435</v>
      </c>
      <c r="Y7" s="18" t="n">
        <v>492.49</v>
      </c>
      <c r="Z7" s="18" t="n">
        <v>472.404</v>
      </c>
      <c r="AA7" s="18" t="n">
        <v>492.003</v>
      </c>
      <c r="AB7" s="18" t="n">
        <v>494.027</v>
      </c>
      <c r="AC7" s="18" t="n">
        <v>511.038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85.324</v>
      </c>
      <c r="C9" s="18" t="n">
        <v>101.236</v>
      </c>
      <c r="D9" s="18" t="n">
        <v>105.986</v>
      </c>
      <c r="E9" s="18" t="n">
        <v>108.573</v>
      </c>
      <c r="F9" s="18" t="n">
        <v>129.383</v>
      </c>
      <c r="G9" s="18" t="n">
        <v>123.849</v>
      </c>
      <c r="H9" s="18" t="n">
        <v>188.259</v>
      </c>
      <c r="I9" s="18" t="n">
        <v>213.961</v>
      </c>
      <c r="J9" s="18" t="n">
        <v>227.367</v>
      </c>
      <c r="K9" s="18" t="n">
        <v>248.131</v>
      </c>
      <c r="L9" s="18" t="n">
        <v>255.026</v>
      </c>
      <c r="M9" s="18" t="n">
        <v>278.474</v>
      </c>
      <c r="N9" s="18" t="n">
        <v>312.409</v>
      </c>
      <c r="O9" s="18" t="n">
        <v>348</v>
      </c>
      <c r="P9" s="18" t="n">
        <v>360.939</v>
      </c>
      <c r="Q9" s="18" t="n">
        <v>380.98</v>
      </c>
      <c r="R9" s="18" t="n">
        <v>410.011</v>
      </c>
      <c r="S9" s="18" t="n">
        <v>427.037</v>
      </c>
      <c r="T9" s="18" t="n">
        <v>433.783</v>
      </c>
      <c r="U9" s="18" t="n">
        <v>443.924</v>
      </c>
      <c r="V9" s="18" t="n">
        <v>493.97</v>
      </c>
      <c r="W9" s="18" t="n">
        <v>498.388</v>
      </c>
      <c r="X9" s="18" t="n">
        <v>544.222</v>
      </c>
      <c r="Y9" s="18" t="n">
        <v>547.774</v>
      </c>
      <c r="Z9" s="18" t="n">
        <v>668.141</v>
      </c>
      <c r="AA9" s="18" t="n">
        <v>621.427</v>
      </c>
      <c r="AB9" s="18" t="n">
        <v>657.482</v>
      </c>
      <c r="AC9" s="18" t="n">
        <v>664.784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19.667</v>
      </c>
      <c r="C11" s="18" t="n">
        <v>31.831</v>
      </c>
      <c r="D11" s="18" t="n">
        <v>43.523</v>
      </c>
      <c r="E11" s="18" t="n">
        <v>53.17</v>
      </c>
      <c r="F11" s="18" t="n">
        <v>66.258</v>
      </c>
      <c r="G11" s="18" t="n">
        <v>82.699</v>
      </c>
      <c r="H11" s="18" t="n">
        <v>92.943</v>
      </c>
      <c r="I11" s="18" t="n">
        <v>107.561</v>
      </c>
      <c r="J11" s="18" t="n">
        <v>131.568</v>
      </c>
      <c r="K11" s="18" t="n">
        <v>166.077</v>
      </c>
      <c r="L11" s="18" t="n">
        <v>213.655</v>
      </c>
      <c r="M11" s="18" t="n">
        <v>249.594</v>
      </c>
      <c r="N11" s="18" t="n">
        <v>274.441</v>
      </c>
      <c r="O11" s="18" t="n">
        <v>324.016</v>
      </c>
      <c r="P11" s="18" t="n">
        <v>366.307</v>
      </c>
      <c r="Q11" s="18" t="n">
        <v>383.355</v>
      </c>
      <c r="R11" s="18" t="n">
        <v>414.185</v>
      </c>
      <c r="S11" s="18" t="n">
        <v>455.626</v>
      </c>
      <c r="T11" s="18" t="n">
        <v>505.225</v>
      </c>
      <c r="U11" s="18" t="n">
        <v>532.895</v>
      </c>
      <c r="V11" s="18" t="n">
        <v>556.192</v>
      </c>
      <c r="W11" s="18" t="n">
        <v>580.745</v>
      </c>
      <c r="X11" s="18" t="n">
        <v>621.2</v>
      </c>
      <c r="Y11" s="18" t="n">
        <v>653.586</v>
      </c>
      <c r="Z11" s="18" t="n">
        <v>693.288</v>
      </c>
      <c r="AA11" s="18" t="n">
        <v>773.154</v>
      </c>
      <c r="AB11" s="18" t="n">
        <v>822.0359999999999</v>
      </c>
      <c r="AC11" s="18" t="n">
        <v>857.663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-87.27500000000001</v>
      </c>
      <c r="C13" s="18" t="n">
        <v>-95.569</v>
      </c>
      <c r="D13" s="18" t="n">
        <v>-90.13200000000001</v>
      </c>
      <c r="E13" s="18" t="n">
        <v>-85.11199999999999</v>
      </c>
      <c r="F13" s="18" t="n">
        <v>-96.40300000000001</v>
      </c>
      <c r="G13" s="18" t="n">
        <v>-77.68300000000001</v>
      </c>
      <c r="H13" s="18" t="n">
        <v>-169.454</v>
      </c>
      <c r="I13" s="18" t="n">
        <v>-200.397</v>
      </c>
      <c r="J13" s="18" t="n">
        <v>-205.595</v>
      </c>
      <c r="K13" s="18" t="n">
        <v>-200.141</v>
      </c>
      <c r="L13" s="18" t="n">
        <v>-157.271</v>
      </c>
      <c r="M13" s="18" t="n">
        <v>-152.029</v>
      </c>
      <c r="N13" s="18" t="n">
        <v>-188.766</v>
      </c>
      <c r="O13" s="18" t="n">
        <v>-207.732</v>
      </c>
      <c r="P13" s="18" t="n">
        <v>-206.019</v>
      </c>
      <c r="Q13" s="18" t="n">
        <v>-239.75</v>
      </c>
      <c r="R13" s="18" t="n">
        <v>-273.238</v>
      </c>
      <c r="S13" s="18" t="n">
        <v>-285.407</v>
      </c>
      <c r="T13" s="18" t="n">
        <v>-260.623</v>
      </c>
      <c r="U13" s="18" t="n">
        <v>-275.505</v>
      </c>
      <c r="V13" s="18" t="n">
        <v>-348.572</v>
      </c>
      <c r="W13" s="18" t="n">
        <v>-355.303</v>
      </c>
      <c r="X13" s="18" t="n">
        <v>-365.457</v>
      </c>
      <c r="Y13" s="18" t="n">
        <v>-386.678</v>
      </c>
      <c r="Z13" s="18" t="n">
        <v>-447.257</v>
      </c>
      <c r="AA13" s="18" t="n">
        <v>-340.276</v>
      </c>
      <c r="AB13" s="18" t="n">
        <v>-329.473</v>
      </c>
      <c r="AC13" s="18" t="n">
        <v>-318.159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-83.809</v>
      </c>
      <c r="C15" s="18" t="n">
        <v>-93.41500000000001</v>
      </c>
      <c r="D15" s="18" t="n">
        <v>-88.057</v>
      </c>
      <c r="E15" s="18" t="n">
        <v>-83.254</v>
      </c>
      <c r="F15" s="18" t="n">
        <v>-93.64400000000001</v>
      </c>
      <c r="G15" s="18" t="n">
        <v>-77.634</v>
      </c>
      <c r="H15" s="18" t="n">
        <v>-168.889</v>
      </c>
      <c r="I15" s="18" t="n">
        <v>-198.935</v>
      </c>
      <c r="J15" s="18" t="n">
        <v>-203.22</v>
      </c>
      <c r="K15" s="18" t="n">
        <v>-189.719</v>
      </c>
      <c r="L15" s="18" t="n">
        <v>-154.856</v>
      </c>
      <c r="M15" s="18" t="n">
        <v>-132.153</v>
      </c>
      <c r="N15" s="18" t="n">
        <v>-165.794</v>
      </c>
      <c r="O15" s="18" t="n">
        <v>-222.806</v>
      </c>
      <c r="P15" s="18" t="n">
        <v>-200.936</v>
      </c>
      <c r="Q15" s="18" t="n">
        <v>-207.169</v>
      </c>
      <c r="R15" s="18" t="n">
        <v>-225.627</v>
      </c>
      <c r="S15" s="18" t="n">
        <v>-226.867</v>
      </c>
      <c r="T15" s="18" t="n">
        <v>-214.251</v>
      </c>
      <c r="U15" s="18" t="n">
        <v>-169.352</v>
      </c>
      <c r="V15" s="18" t="n">
        <v>-316.988</v>
      </c>
      <c r="W15" s="18" t="n">
        <v>-316.899</v>
      </c>
      <c r="X15" s="18" t="n">
        <v>-324.279</v>
      </c>
      <c r="Y15" s="18" t="n">
        <v>-327.474</v>
      </c>
      <c r="Z15" s="18" t="n">
        <v>-430.092</v>
      </c>
      <c r="AA15" s="18" t="n">
        <v>-298.017</v>
      </c>
      <c r="AB15" s="18" t="n">
        <v>-293.957</v>
      </c>
      <c r="AC15" s="18" t="n">
        <v>-309.55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276.694828</v>
      </c>
      <c r="C17" s="18" t="n">
        <v>276.694828</v>
      </c>
      <c r="D17" s="18" t="n">
        <v>238.369506</v>
      </c>
      <c r="E17" s="18" t="n">
        <v>238.369506</v>
      </c>
      <c r="F17" s="18" t="n">
        <v>238.369506</v>
      </c>
      <c r="G17" s="18" t="n">
        <v>278.778162</v>
      </c>
      <c r="H17" s="18" t="n">
        <v>281.44997</v>
      </c>
      <c r="I17" s="18" t="n">
        <v>284.121777</v>
      </c>
      <c r="J17" s="18" t="n">
        <v>291.386</v>
      </c>
      <c r="K17" s="18" t="n">
        <v>297.717</v>
      </c>
      <c r="L17" s="18" t="n">
        <v>303.007</v>
      </c>
      <c r="M17" s="18" t="n">
        <v>308.693468</v>
      </c>
      <c r="N17" s="18" t="n">
        <v>314.361</v>
      </c>
      <c r="O17" s="18" t="n">
        <v>318.356</v>
      </c>
      <c r="P17" s="18" t="n">
        <v>320.135</v>
      </c>
      <c r="Q17" s="18" t="n">
        <v>321.924</v>
      </c>
      <c r="R17" s="18" t="n">
        <v>324.157</v>
      </c>
      <c r="S17" s="18" t="n">
        <v>327.335</v>
      </c>
      <c r="T17" s="18" t="n">
        <v>329.31</v>
      </c>
      <c r="U17" s="18" t="n">
        <v>331.079</v>
      </c>
      <c r="V17" s="18" t="n">
        <v>333.584</v>
      </c>
      <c r="W17" s="18" t="n">
        <v>334.071</v>
      </c>
      <c r="X17" s="18" t="n">
        <v>331.761</v>
      </c>
      <c r="Y17" s="18" t="n">
        <v>331.432</v>
      </c>
      <c r="Z17" s="18" t="n">
        <v>332.657</v>
      </c>
      <c r="AA17" s="18" t="n">
        <v>333.957</v>
      </c>
      <c r="AB17" s="18" t="n">
        <v>335.875</v>
      </c>
      <c r="AC17" s="18" t="n">
        <v>342.295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Product</t>
        </is>
      </c>
      <c r="H19" s="18" t="n">
        <v>148.473</v>
      </c>
      <c r="I19" s="18" t="n">
        <v>405.321</v>
      </c>
      <c r="N19" s="18" t="n">
        <v>394.434</v>
      </c>
      <c r="O19" s="18" t="n">
        <v>466.268</v>
      </c>
      <c r="P19" s="18" t="n">
        <v>522.752</v>
      </c>
      <c r="Q19" s="18" t="n">
        <v>555.329</v>
      </c>
      <c r="R19" s="18" t="n">
        <v>590.072</v>
      </c>
      <c r="S19" s="18" t="n">
        <v>640.2089999999999</v>
      </c>
      <c r="T19" s="18" t="n">
        <v>698.478</v>
      </c>
      <c r="U19" s="18" t="n">
        <v>738.09</v>
      </c>
      <c r="V19" s="18" t="n">
        <v>789.587</v>
      </c>
      <c r="W19" s="18" t="n">
        <v>829.25</v>
      </c>
      <c r="X19" s="18" t="n">
        <v>900.282</v>
      </c>
      <c r="Y19" s="18" t="n">
        <v>943.303</v>
      </c>
      <c r="Z19" s="18" t="n">
        <v>996.813</v>
      </c>
      <c r="AA19" s="18" t="n">
        <v>1090.496</v>
      </c>
      <c r="AB19" s="18" t="n">
        <v>1158.377</v>
      </c>
      <c r="AC19" s="18" t="n">
        <v>1226.631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Professional Services And Other</t>
        </is>
      </c>
      <c r="H22" s="18" t="n">
        <v>11.151</v>
      </c>
      <c r="I22" s="18" t="n">
        <v>27.104</v>
      </c>
      <c r="N22" s="18" t="n">
        <v>27.937</v>
      </c>
      <c r="O22" s="18" t="n">
        <v>30.98</v>
      </c>
      <c r="P22" s="18" t="n">
        <v>34.276</v>
      </c>
      <c r="Q22" s="18" t="n">
        <v>33.683</v>
      </c>
      <c r="R22" s="18" t="n">
        <v>33.527</v>
      </c>
      <c r="S22" s="18" t="n">
        <v>33.809</v>
      </c>
      <c r="T22" s="18" t="n">
        <v>35.695</v>
      </c>
      <c r="U22" s="18" t="n">
        <v>36.609</v>
      </c>
      <c r="V22" s="18" t="n">
        <v>39.122</v>
      </c>
      <c r="W22" s="18" t="n">
        <v>39.573</v>
      </c>
      <c r="X22" s="18" t="n">
        <v>41.812</v>
      </c>
      <c r="Y22" s="18" t="n">
        <v>43.467</v>
      </c>
      <c r="Z22" s="18" t="n">
        <v>45.261</v>
      </c>
      <c r="AA22" s="18" t="n">
        <v>54.473</v>
      </c>
      <c r="AB22" s="18" t="n">
        <v>54.532</v>
      </c>
      <c r="AC22" s="18" t="n">
        <v>57.363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UNITED STATES</t>
        </is>
      </c>
      <c r="H26" s="18" t="n">
        <v>135.427</v>
      </c>
      <c r="J26" s="18" t="n">
        <v>186.185</v>
      </c>
      <c r="K26" s="18" t="n">
        <v>217.382</v>
      </c>
      <c r="L26" s="18" t="n">
        <v>265.605</v>
      </c>
      <c r="M26" s="18" t="n">
        <v>334.229</v>
      </c>
      <c r="N26" s="18" t="n">
        <v>345.051</v>
      </c>
      <c r="O26" s="18" t="n">
        <v>404.837</v>
      </c>
      <c r="P26" s="18" t="n">
        <v>453.069</v>
      </c>
      <c r="Q26" s="18" t="n">
        <v>477.463</v>
      </c>
      <c r="R26" s="18" t="n">
        <v>499.845</v>
      </c>
      <c r="S26" s="18" t="n">
        <v>534.2089999999999</v>
      </c>
      <c r="T26" s="18" t="n">
        <v>587.826</v>
      </c>
      <c r="U26" s="18" t="n">
        <v>617.352</v>
      </c>
      <c r="V26" s="18" t="n">
        <v>655.776</v>
      </c>
      <c r="W26" s="18" t="n">
        <v>686.407</v>
      </c>
      <c r="X26" s="18" t="n">
        <v>745.5940000000001</v>
      </c>
      <c r="Y26" s="18" t="n">
        <v>775.83</v>
      </c>
      <c r="Z26" s="18" t="n">
        <v>814.168</v>
      </c>
      <c r="AA26" s="18" t="n">
        <v>892.039</v>
      </c>
      <c r="AB26" s="18" t="n">
        <v>944.804</v>
      </c>
      <c r="AC26" s="18" t="n">
        <v>998.241</v>
      </c>
    </row>
    <row r="27">
      <c r="A27" s="4" t="inlineStr">
        <is>
          <t xml:space="preserve">    % YoY</t>
        </is>
      </c>
      <c r="F27" s="25">
        <f>IFERROR(F26/B26-1,"")</f>
        <v/>
      </c>
      <c r="G27" s="25">
        <f>IFERROR(G26/C26-1,"")</f>
        <v/>
      </c>
      <c r="H27" s="25">
        <f>IFERROR(H26/D26-1,"")</f>
        <v/>
      </c>
      <c r="I27" s="25">
        <f>IFERROR(I26/E26-1,"")</f>
        <v/>
      </c>
      <c r="J27" s="25">
        <f>IFERROR(J26/F26-1,"")</f>
        <v/>
      </c>
      <c r="K27" s="25">
        <f>IFERROR(K26/G26-1,"")</f>
        <v/>
      </c>
      <c r="L27" s="25">
        <f>IFERROR(L26/H26-1,"")</f>
        <v/>
      </c>
      <c r="M27" s="25">
        <f>IFERROR(M26/I26-1,"")</f>
        <v/>
      </c>
      <c r="N27" s="25">
        <f>IFERROR(N26/J26-1,"")</f>
        <v/>
      </c>
      <c r="O27" s="25">
        <f>IFERROR(O26/K26-1,"")</f>
        <v/>
      </c>
      <c r="P27" s="25">
        <f>IFERROR(P26/L26-1,"")</f>
        <v/>
      </c>
      <c r="Q27" s="25">
        <f>IFERROR(Q26/M26-1,"")</f>
        <v/>
      </c>
      <c r="R27" s="25">
        <f>IFERROR(R26/N26-1,"")</f>
        <v/>
      </c>
      <c r="S27" s="25">
        <f>IFERROR(S26/O26-1,"")</f>
        <v/>
      </c>
      <c r="T27" s="25">
        <f>IFERROR(T26/P26-1,"")</f>
        <v/>
      </c>
      <c r="U27" s="25">
        <f>IFERROR(U26/Q26-1,"")</f>
        <v/>
      </c>
      <c r="V27" s="25">
        <f>IFERROR(V26/R26-1,"")</f>
        <v/>
      </c>
      <c r="W27" s="25">
        <f>IFERROR(W26/S26-1,"")</f>
        <v/>
      </c>
      <c r="X27" s="25">
        <f>IFERROR(X26/T26-1,"")</f>
        <v/>
      </c>
      <c r="Y27" s="25">
        <f>IFERROR(Y26/U26-1,"")</f>
        <v/>
      </c>
      <c r="Z27" s="25">
        <f>IFERROR(Z26/V26-1,"")</f>
        <v/>
      </c>
      <c r="AA27" s="25">
        <f>IFERROR(AA26/W26-1,"")</f>
        <v/>
      </c>
      <c r="AB27" s="25">
        <f>IFERROR(AB26/X26-1,"")</f>
        <v/>
      </c>
      <c r="AC27" s="25">
        <f>IFERROR(AC26/Y26-1,"")</f>
        <v/>
      </c>
    </row>
    <row r="28">
      <c r="A28" s="4" t="inlineStr">
        <is>
          <t xml:space="preserve">    % of revenue</t>
        </is>
      </c>
      <c r="B28" s="25">
        <f>IFERROR(B26/B3,"")</f>
        <v/>
      </c>
      <c r="C28" s="25">
        <f>IFERROR(C26/C3,"")</f>
        <v/>
      </c>
      <c r="D28" s="25">
        <f>IFERROR(D26/D3,"")</f>
        <v/>
      </c>
      <c r="E28" s="25">
        <f>IFERROR(E26/E3,"")</f>
        <v/>
      </c>
      <c r="F28" s="25">
        <f>IFERROR(F26/F3,"")</f>
        <v/>
      </c>
      <c r="G28" s="25">
        <f>IFERROR(G26/G3,"")</f>
        <v/>
      </c>
      <c r="H28" s="25">
        <f>IFERROR(H26/H3,"")</f>
        <v/>
      </c>
      <c r="I28" s="25">
        <f>IFERROR(I26/I3,"")</f>
        <v/>
      </c>
      <c r="J28" s="25">
        <f>IFERROR(J26/J3,"")</f>
        <v/>
      </c>
      <c r="K28" s="25">
        <f>IFERROR(K26/K3,"")</f>
        <v/>
      </c>
      <c r="L28" s="25">
        <f>IFERROR(L26/L3,"")</f>
        <v/>
      </c>
      <c r="M28" s="25">
        <f>IFERROR(M26/M3,"")</f>
        <v/>
      </c>
      <c r="N28" s="25">
        <f>IFERROR(N26/N3,"")</f>
        <v/>
      </c>
      <c r="O28" s="25">
        <f>IFERROR(O26/O3,"")</f>
        <v/>
      </c>
      <c r="P28" s="25">
        <f>IFERROR(P26/P3,"")</f>
        <v/>
      </c>
      <c r="Q28" s="25">
        <f>IFERROR(Q26/Q3,"")</f>
        <v/>
      </c>
      <c r="R28" s="25">
        <f>IFERROR(R26/R3,"")</f>
        <v/>
      </c>
      <c r="S28" s="25">
        <f>IFERROR(S26/S3,"")</f>
        <v/>
      </c>
      <c r="T28" s="25">
        <f>IFERROR(T26/T3,"")</f>
        <v/>
      </c>
      <c r="U28" s="25">
        <f>IFERROR(U26/U3,"")</f>
        <v/>
      </c>
      <c r="V28" s="25">
        <f>IFERROR(V26/V3,"")</f>
        <v/>
      </c>
      <c r="W28" s="25">
        <f>IFERROR(W26/W3,"")</f>
        <v/>
      </c>
      <c r="X28" s="25">
        <f>IFERROR(X26/X3,"")</f>
        <v/>
      </c>
      <c r="Y28" s="25">
        <f>IFERROR(Y26/Y3,"")</f>
        <v/>
      </c>
      <c r="Z28" s="25">
        <f>IFERROR(Z26/Z3,"")</f>
        <v/>
      </c>
      <c r="AA28" s="25">
        <f>IFERROR(AA26/AA3,"")</f>
        <v/>
      </c>
      <c r="AB28" s="25">
        <f>IFERROR(AB26/AB3,"")</f>
        <v/>
      </c>
      <c r="AC28" s="25">
        <f>IFERROR(AC26/AC3,"")</f>
        <v/>
      </c>
    </row>
    <row r="29">
      <c r="A29" s="4" t="inlineStr">
        <is>
          <t>EMEA</t>
        </is>
      </c>
      <c r="N29" s="18" t="n">
        <v>58.018</v>
      </c>
      <c r="O29" s="18" t="n">
        <v>69.666</v>
      </c>
      <c r="P29" s="18" t="n">
        <v>79.32599999999999</v>
      </c>
      <c r="Q29" s="18" t="n">
        <v>85.65600000000001</v>
      </c>
      <c r="R29" s="18" t="n">
        <v>94.89</v>
      </c>
      <c r="S29" s="18" t="n">
        <v>106.284</v>
      </c>
      <c r="T29" s="18" t="n">
        <v>110.412</v>
      </c>
      <c r="U29" s="18" t="n">
        <v>121.048</v>
      </c>
      <c r="V29" s="18" t="n">
        <v>131.657</v>
      </c>
      <c r="W29" s="18" t="n">
        <v>137.872</v>
      </c>
      <c r="X29" s="18" t="n">
        <v>147.205</v>
      </c>
      <c r="Y29" s="18" t="n">
        <v>158.014</v>
      </c>
      <c r="Z29" s="18" t="n">
        <v>168.809</v>
      </c>
      <c r="AA29" s="18" t="n">
        <v>185.315</v>
      </c>
      <c r="AB29" s="18" t="n">
        <v>199.421</v>
      </c>
      <c r="AC29" s="18" t="n">
        <v>210.105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Asia-Pacific and Japan</t>
        </is>
      </c>
      <c r="N32" s="18" t="n">
        <v>19.302</v>
      </c>
      <c r="O32" s="18" t="n">
        <v>22.745</v>
      </c>
      <c r="P32" s="18" t="n">
        <v>24.633</v>
      </c>
      <c r="Q32" s="18" t="n">
        <v>25.893</v>
      </c>
      <c r="R32" s="18" t="n">
        <v>28.864</v>
      </c>
      <c r="S32" s="18" t="n">
        <v>33.525</v>
      </c>
      <c r="T32" s="18" t="n">
        <v>35.935</v>
      </c>
      <c r="U32" s="18" t="n">
        <v>36.299</v>
      </c>
      <c r="V32" s="18" t="n">
        <v>41.276</v>
      </c>
      <c r="W32" s="18" t="n">
        <v>44.544</v>
      </c>
      <c r="X32" s="18" t="n">
        <v>49.295</v>
      </c>
      <c r="Y32" s="18" t="n">
        <v>52.926</v>
      </c>
      <c r="Z32" s="18" t="n">
        <v>59.097</v>
      </c>
      <c r="AA32" s="18" t="n">
        <v>67.61499999999999</v>
      </c>
      <c r="AB32" s="18" t="n">
        <v>68.684</v>
      </c>
      <c r="AC32" s="18" t="n">
        <v>75.648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5" t="inlineStr">
        <is>
          <t xml:space="preserve">  BALANCE SHEET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4" t="inlineStr">
        <is>
          <t>Cash &amp; ST Investments</t>
        </is>
      </c>
      <c r="E36" s="18" t="n">
        <v>434.05</v>
      </c>
      <c r="F36" s="18" t="n">
        <v>825.352</v>
      </c>
      <c r="G36" s="18" t="n">
        <v>590.876</v>
      </c>
      <c r="H36" s="18" t="n">
        <v>4754.048</v>
      </c>
      <c r="I36" s="18" t="n">
        <v>3908.064</v>
      </c>
      <c r="J36" s="18" t="n">
        <v>3930.425</v>
      </c>
      <c r="K36" s="18" t="n">
        <v>4135.489</v>
      </c>
      <c r="L36" s="18" t="n">
        <v>3890.83</v>
      </c>
      <c r="M36" s="18" t="n">
        <v>3852.093</v>
      </c>
      <c r="N36" s="18" t="n">
        <v>3815.08</v>
      </c>
      <c r="O36" s="18" t="n">
        <v>3953.14</v>
      </c>
      <c r="P36" s="18" t="n">
        <v>3942.882</v>
      </c>
      <c r="Q36" s="18" t="n">
        <v>4007.868</v>
      </c>
      <c r="R36" s="18" t="n">
        <v>3945.528</v>
      </c>
      <c r="S36" s="18" t="n">
        <v>3752.133</v>
      </c>
      <c r="T36" s="18" t="n">
        <v>3548.539</v>
      </c>
      <c r="U36" s="18" t="n">
        <v>3846.248</v>
      </c>
      <c r="V36" s="18" t="n">
        <v>3531.346</v>
      </c>
      <c r="W36" s="18" t="n">
        <v>3230.507</v>
      </c>
      <c r="X36" s="18" t="n">
        <v>4156.99</v>
      </c>
      <c r="Y36" s="18" t="n">
        <v>4637.671</v>
      </c>
      <c r="Z36" s="18" t="n">
        <v>3910.684</v>
      </c>
      <c r="AA36" s="18" t="n">
        <v>3586.708</v>
      </c>
      <c r="AB36" s="18" t="n">
        <v>3353.105</v>
      </c>
      <c r="AC36" s="18" t="n">
        <v>4029.686</v>
      </c>
    </row>
    <row r="37">
      <c r="A37" s="4" t="inlineStr">
        <is>
          <t>Total Current Assets</t>
        </is>
      </c>
      <c r="E37" s="18" t="n">
        <v>665.194</v>
      </c>
      <c r="F37" s="18" t="n">
        <v>940.467</v>
      </c>
      <c r="G37" s="18" t="n">
        <v>793.448</v>
      </c>
      <c r="H37" s="18" t="n">
        <v>4986.771</v>
      </c>
      <c r="I37" s="18" t="n">
        <v>4300.652</v>
      </c>
      <c r="J37" s="18" t="n">
        <v>4221.336</v>
      </c>
      <c r="K37" s="18" t="n">
        <v>4508.102</v>
      </c>
      <c r="L37" s="18" t="n">
        <v>4308.257</v>
      </c>
      <c r="M37" s="18" t="n">
        <v>4598.643</v>
      </c>
      <c r="N37" s="18" t="n">
        <v>4341.733</v>
      </c>
      <c r="O37" s="18" t="n">
        <v>4503.697</v>
      </c>
      <c r="P37" s="18" t="n">
        <v>4558.904</v>
      </c>
      <c r="Q37" s="18" t="n">
        <v>4984.69</v>
      </c>
      <c r="R37" s="18" t="n">
        <v>4569.547</v>
      </c>
      <c r="S37" s="18" t="n">
        <v>4404.951</v>
      </c>
      <c r="T37" s="18" t="n">
        <v>4312.283</v>
      </c>
      <c r="U37" s="18" t="n">
        <v>5039.264</v>
      </c>
      <c r="V37" s="18" t="n">
        <v>4143.29</v>
      </c>
      <c r="W37" s="18" t="n">
        <v>3811.189</v>
      </c>
      <c r="X37" s="18" t="n">
        <v>4894.24</v>
      </c>
      <c r="Y37" s="18" t="n">
        <v>5771.71</v>
      </c>
      <c r="Z37" s="18" t="n">
        <v>4681.787</v>
      </c>
      <c r="AA37" s="18" t="n">
        <v>4466.254</v>
      </c>
      <c r="AB37" s="18" t="n">
        <v>4455.569</v>
      </c>
      <c r="AC37" s="18" t="n">
        <v>5742.612</v>
      </c>
    </row>
    <row r="38">
      <c r="A38" s="4" t="inlineStr">
        <is>
          <t>PP&amp;E (net)</t>
        </is>
      </c>
      <c r="E38" s="18" t="n">
        <v>223.112</v>
      </c>
      <c r="F38" s="18" t="n">
        <v>222.542</v>
      </c>
      <c r="G38" s="18" t="n">
        <v>229.817</v>
      </c>
      <c r="H38" s="18" t="n">
        <v>242.905</v>
      </c>
      <c r="I38" s="18" t="n">
        <v>255.786</v>
      </c>
      <c r="J38" s="18" t="n">
        <v>259.132</v>
      </c>
      <c r="K38" s="18" t="n">
        <v>258.617</v>
      </c>
      <c r="L38" s="18" t="n">
        <v>278.434</v>
      </c>
      <c r="M38" s="18" t="n">
        <v>295.435</v>
      </c>
      <c r="N38" s="18" t="n">
        <v>307.557</v>
      </c>
      <c r="O38" s="18" t="n">
        <v>352.322</v>
      </c>
      <c r="P38" s="18" t="n">
        <v>380.652</v>
      </c>
      <c r="Q38" s="18" t="n">
        <v>392.089</v>
      </c>
      <c r="R38" s="18" t="n">
        <v>405.827</v>
      </c>
      <c r="S38" s="18" t="n">
        <v>456.052</v>
      </c>
      <c r="T38" s="18" t="n">
        <v>470.616</v>
      </c>
      <c r="U38" s="18" t="n">
        <v>499.592</v>
      </c>
      <c r="V38" s="18" t="n">
        <v>508.348</v>
      </c>
      <c r="W38" s="18" t="n">
        <v>537.237</v>
      </c>
      <c r="X38" s="18" t="n">
        <v>559.093</v>
      </c>
      <c r="Y38" s="18" t="n">
        <v>655.832</v>
      </c>
      <c r="Z38" s="18" t="n">
        <v>552.303</v>
      </c>
      <c r="AA38" s="18" t="n">
        <v>545.47</v>
      </c>
      <c r="AB38" s="18" t="n">
        <v>520.485</v>
      </c>
      <c r="AC38" s="18" t="n">
        <v>523.508</v>
      </c>
    </row>
    <row r="39">
      <c r="A39" s="4" t="inlineStr">
        <is>
          <t>Total Assets</t>
        </is>
      </c>
      <c r="E39" s="18" t="n">
        <v>1012.72</v>
      </c>
      <c r="F39" s="18" t="n">
        <v>1416.181</v>
      </c>
      <c r="G39" s="18" t="n">
        <v>1437.241</v>
      </c>
      <c r="H39" s="18" t="n">
        <v>5712.889</v>
      </c>
      <c r="I39" s="18" t="n">
        <v>5921.739</v>
      </c>
      <c r="J39" s="18" t="n">
        <v>5929.01</v>
      </c>
      <c r="K39" s="18" t="n">
        <v>6032.416</v>
      </c>
      <c r="L39" s="18" t="n">
        <v>6163.471</v>
      </c>
      <c r="M39" s="18" t="n">
        <v>6649.698</v>
      </c>
      <c r="N39" s="18" t="n">
        <v>7022.699</v>
      </c>
      <c r="O39" s="18" t="n">
        <v>7064.115</v>
      </c>
      <c r="P39" s="18" t="n">
        <v>7155.688</v>
      </c>
      <c r="Q39" s="18" t="n">
        <v>7722.322</v>
      </c>
      <c r="R39" s="18" t="n">
        <v>7446.774</v>
      </c>
      <c r="S39" s="18" t="n">
        <v>7509.816</v>
      </c>
      <c r="T39" s="18" t="n">
        <v>7264.379</v>
      </c>
      <c r="U39" s="18" t="n">
        <v>8223.383</v>
      </c>
      <c r="V39" s="18" t="n">
        <v>7298.018</v>
      </c>
      <c r="W39" s="18" t="n">
        <v>6943.886</v>
      </c>
      <c r="X39" s="18" t="n">
        <v>8202.258</v>
      </c>
      <c r="Y39" s="18" t="n">
        <v>9033.938</v>
      </c>
      <c r="Z39" s="18" t="n">
        <v>8157.407</v>
      </c>
      <c r="AA39" s="18" t="n">
        <v>8196.727000000001</v>
      </c>
      <c r="AB39" s="18" t="n">
        <v>8230.191000000001</v>
      </c>
      <c r="AC39" s="18" t="n">
        <v>9132.495000000001</v>
      </c>
    </row>
    <row r="40">
      <c r="A40" s="4" t="inlineStr">
        <is>
          <t>Total Current Liabilities</t>
        </is>
      </c>
      <c r="E40" s="18" t="n">
        <v>416.455</v>
      </c>
      <c r="F40" s="18" t="n">
        <v>406.315</v>
      </c>
      <c r="G40" s="18" t="n">
        <v>477.659</v>
      </c>
      <c r="H40" s="18" t="n">
        <v>547.659</v>
      </c>
      <c r="I40" s="18" t="n">
        <v>789.264</v>
      </c>
      <c r="J40" s="18" t="n">
        <v>776.998</v>
      </c>
      <c r="K40" s="18" t="n">
        <v>875.7380000000001</v>
      </c>
      <c r="L40" s="18" t="n">
        <v>958.735</v>
      </c>
      <c r="M40" s="18" t="n">
        <v>1397.093</v>
      </c>
      <c r="N40" s="18" t="n">
        <v>1363.718</v>
      </c>
      <c r="O40" s="18" t="n">
        <v>1401.436</v>
      </c>
      <c r="P40" s="18" t="n">
        <v>1479.042</v>
      </c>
      <c r="Q40" s="18" t="n">
        <v>1993.517</v>
      </c>
      <c r="R40" s="18" t="n">
        <v>1887.541</v>
      </c>
      <c r="S40" s="18" t="n">
        <v>1913.312</v>
      </c>
      <c r="T40" s="18" t="n">
        <v>2032.672</v>
      </c>
      <c r="U40" s="18" t="n">
        <v>2731.23</v>
      </c>
      <c r="V40" s="18" t="n">
        <v>2428.823</v>
      </c>
      <c r="W40" s="18" t="n">
        <v>2464.682</v>
      </c>
      <c r="X40" s="18" t="n">
        <v>2647.272</v>
      </c>
      <c r="Y40" s="18" t="n">
        <v>3301.183</v>
      </c>
      <c r="Z40" s="18" t="n">
        <v>3030.544</v>
      </c>
      <c r="AA40" s="18" t="n">
        <v>3096.082</v>
      </c>
      <c r="AB40" s="18" t="n">
        <v>3383.314</v>
      </c>
      <c r="AC40" s="18" t="n">
        <v>4421.691</v>
      </c>
    </row>
    <row r="41">
      <c r="A41" s="4" t="inlineStr">
        <is>
          <t>Long-term Debt</t>
        </is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2269.459</v>
      </c>
      <c r="Y41" s="18" t="n">
        <v>2271.529</v>
      </c>
      <c r="Z41" s="18" t="n">
        <v>2273.6</v>
      </c>
      <c r="AA41" s="18" t="n">
        <v>2275.674</v>
      </c>
      <c r="AB41" s="18" t="n">
        <v>2277.749</v>
      </c>
      <c r="AC41" s="18" t="n">
        <v>2279.827</v>
      </c>
    </row>
    <row r="42">
      <c r="A42" s="4" t="inlineStr">
        <is>
          <t>Total Equity</t>
        </is>
      </c>
      <c r="E42" s="18" t="n">
        <v>-544.7569999999999</v>
      </c>
      <c r="F42" s="18" t="n">
        <v>811.001</v>
      </c>
      <c r="G42" s="18" t="n">
        <v>763.648</v>
      </c>
      <c r="H42" s="18" t="n">
        <v>4967.815</v>
      </c>
      <c r="I42" s="18" t="n">
        <v>4936.471</v>
      </c>
      <c r="J42" s="18" t="n">
        <v>4958.321</v>
      </c>
      <c r="K42" s="18" t="n">
        <v>4964.965</v>
      </c>
      <c r="L42" s="18" t="n">
        <v>5006.682</v>
      </c>
      <c r="M42" s="18" t="n">
        <v>5049.045</v>
      </c>
      <c r="N42" s="18" t="n">
        <v>5457.994</v>
      </c>
      <c r="O42" s="18" t="n">
        <v>5426.323</v>
      </c>
      <c r="P42" s="18" t="n">
        <v>5410.777</v>
      </c>
      <c r="Q42" s="18" t="n">
        <v>5456.436</v>
      </c>
      <c r="R42" s="18" t="n">
        <v>5286.243</v>
      </c>
      <c r="S42" s="18" t="n">
        <v>5286.938</v>
      </c>
      <c r="T42" s="18" t="n">
        <v>4929.921</v>
      </c>
      <c r="U42" s="18" t="n">
        <v>5180.308</v>
      </c>
      <c r="V42" s="18" t="n">
        <v>4558.234</v>
      </c>
      <c r="W42" s="18" t="n">
        <v>4129.001</v>
      </c>
      <c r="X42" s="18" t="n">
        <v>2929.445</v>
      </c>
      <c r="Y42" s="18" t="n">
        <v>2999.929</v>
      </c>
      <c r="Z42" s="18" t="n">
        <v>2408</v>
      </c>
      <c r="AA42" s="18" t="n">
        <v>2372.648</v>
      </c>
      <c r="AB42" s="18" t="n">
        <v>2132.933</v>
      </c>
      <c r="AC42" s="18" t="n">
        <v>1924.102</v>
      </c>
    </row>
    <row r="43">
      <c r="A43" s="5" t="inlineStr">
        <is>
          <t xml:space="preserve">  CASH FLOW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4" t="inlineStr">
        <is>
          <t>D&amp;A</t>
        </is>
      </c>
      <c r="B44" s="18" t="n">
        <v>5.962</v>
      </c>
      <c r="C44" s="18" t="n">
        <v>0</v>
      </c>
      <c r="D44" s="18" t="n">
        <v>0.893</v>
      </c>
      <c r="E44" s="18" t="n">
        <v>1.265</v>
      </c>
      <c r="F44" s="18" t="n">
        <v>1.522</v>
      </c>
      <c r="G44" s="18" t="n">
        <v>2.24</v>
      </c>
      <c r="H44" s="18" t="n">
        <v>2.849</v>
      </c>
      <c r="I44" s="18" t="n">
        <v>3.215</v>
      </c>
      <c r="J44" s="18" t="n">
        <v>4.684</v>
      </c>
      <c r="K44" s="18" t="n">
        <v>5.384</v>
      </c>
      <c r="L44" s="18" t="n">
        <v>5.518</v>
      </c>
      <c r="M44" s="18" t="n">
        <v>5.912</v>
      </c>
      <c r="N44" s="18" t="n">
        <v>9.941000000000001</v>
      </c>
      <c r="O44" s="18" t="n">
        <v>16.172</v>
      </c>
      <c r="P44" s="18" t="n">
        <v>17.696</v>
      </c>
      <c r="Q44" s="18" t="n">
        <v>19.726</v>
      </c>
      <c r="R44" s="18" t="n">
        <v>23.163</v>
      </c>
      <c r="S44" s="18" t="n">
        <v>29.284</v>
      </c>
      <c r="T44" s="18" t="n">
        <v>32.47</v>
      </c>
      <c r="U44" s="18" t="n">
        <v>34.986</v>
      </c>
      <c r="V44" s="18" t="n">
        <v>40.221</v>
      </c>
      <c r="W44" s="18" t="n">
        <v>45.111</v>
      </c>
      <c r="X44" s="18" t="n">
        <v>47.046</v>
      </c>
      <c r="Y44" s="18" t="n">
        <v>50.13</v>
      </c>
      <c r="Z44" s="18" t="n">
        <v>48.804</v>
      </c>
      <c r="AA44" s="18" t="n">
        <v>54.837</v>
      </c>
      <c r="AB44" s="18" t="n">
        <v>57.878</v>
      </c>
      <c r="AC44" s="18" t="n">
        <v>58.924</v>
      </c>
    </row>
    <row r="45">
      <c r="A45" s="4" t="inlineStr">
        <is>
          <t>Stock-based Compensation</t>
        </is>
      </c>
      <c r="B45" s="18" t="n">
        <v>0</v>
      </c>
      <c r="C45" s="18" t="n">
        <v>0</v>
      </c>
      <c r="D45" s="18" t="n">
        <v>22.958</v>
      </c>
      <c r="E45" s="18" t="n">
        <v>20.974</v>
      </c>
      <c r="F45" s="18" t="n">
        <v>20.445</v>
      </c>
      <c r="G45" s="18" t="n">
        <v>18.204</v>
      </c>
      <c r="H45" s="18" t="n">
        <v>119.141</v>
      </c>
      <c r="I45" s="18" t="n">
        <v>143.651</v>
      </c>
      <c r="J45" s="18" t="n">
        <v>151.014</v>
      </c>
      <c r="K45" s="18" t="n">
        <v>163.991</v>
      </c>
      <c r="L45" s="18" t="n">
        <v>144.387</v>
      </c>
      <c r="M45" s="18" t="n">
        <v>145.703</v>
      </c>
      <c r="N45" s="18" t="n">
        <v>172.493</v>
      </c>
      <c r="O45" s="18" t="n">
        <v>209.181</v>
      </c>
      <c r="P45" s="18" t="n">
        <v>229.163</v>
      </c>
      <c r="Q45" s="18" t="n">
        <v>250.696</v>
      </c>
      <c r="R45" s="18" t="n">
        <v>264.509</v>
      </c>
      <c r="S45" s="18" t="n">
        <v>299.722</v>
      </c>
      <c r="T45" s="18" t="n">
        <v>298.286</v>
      </c>
      <c r="U45" s="18" t="n">
        <v>305.498</v>
      </c>
      <c r="V45" s="18" t="n">
        <v>331.936</v>
      </c>
      <c r="W45" s="18" t="n">
        <v>356</v>
      </c>
      <c r="X45" s="18" t="n">
        <v>363.259</v>
      </c>
      <c r="Y45" s="18" t="n">
        <v>428.119</v>
      </c>
      <c r="Z45" s="18" t="n">
        <v>379.46</v>
      </c>
      <c r="AA45" s="18" t="n">
        <v>404.217</v>
      </c>
      <c r="AB45" s="18" t="n">
        <v>412.278</v>
      </c>
      <c r="AC45" s="18" t="n">
        <v>403.592</v>
      </c>
    </row>
    <row r="46">
      <c r="A46" s="4" t="inlineStr">
        <is>
          <t>Change in Working Capital</t>
        </is>
      </c>
      <c r="B46" s="18" t="n">
        <v>24.263</v>
      </c>
      <c r="C46" s="18" t="n">
        <v>-56.009</v>
      </c>
      <c r="D46" s="18" t="n">
        <v>28.739</v>
      </c>
      <c r="E46" s="18" t="n">
        <v>4.777</v>
      </c>
      <c r="F46" s="18" t="n">
        <v>49.962</v>
      </c>
      <c r="G46" s="18" t="n">
        <v>-1.05</v>
      </c>
      <c r="H46" s="18" t="n">
        <v>10.56</v>
      </c>
      <c r="I46" s="18" t="n">
        <v>47.42</v>
      </c>
      <c r="J46" s="18" t="n">
        <v>38.318</v>
      </c>
      <c r="K46" s="18" t="n">
        <v>-8.978999999999999</v>
      </c>
      <c r="L46" s="18" t="n">
        <v>-8.917999999999999</v>
      </c>
      <c r="M46" s="18" t="n">
        <v>48.006</v>
      </c>
      <c r="N46" s="18" t="n">
        <v>152.527</v>
      </c>
      <c r="O46" s="18" t="n">
        <v>8.804</v>
      </c>
      <c r="P46" s="18" t="n">
        <v>-5.544</v>
      </c>
      <c r="Q46" s="18" t="n">
        <v>133.739</v>
      </c>
      <c r="R46" s="18" t="n">
        <v>219.102</v>
      </c>
      <c r="S46" s="18" t="n">
        <v>-24.298</v>
      </c>
      <c r="T46" s="18" t="n">
        <v>-15.329</v>
      </c>
      <c r="U46" s="18" t="n">
        <v>211.241</v>
      </c>
      <c r="V46" s="18" t="n">
        <v>255.269</v>
      </c>
      <c r="W46" s="18" t="n">
        <v>-45.17</v>
      </c>
      <c r="X46" s="18" t="n">
        <v>-21.331</v>
      </c>
      <c r="Y46" s="18" t="n">
        <v>254.821</v>
      </c>
      <c r="Z46" s="18" t="n">
        <v>61.005</v>
      </c>
      <c r="AA46" s="18" t="n">
        <v>-137.85</v>
      </c>
      <c r="AB46" s="18" t="n">
        <v>-80.639</v>
      </c>
      <c r="AC46" s="18" t="n">
        <v>541.244</v>
      </c>
    </row>
    <row r="47">
      <c r="A47" s="4" t="inlineStr">
        <is>
          <t>Operating Cash Flow</t>
        </is>
      </c>
      <c r="B47" s="18" t="n">
        <v>-36.663</v>
      </c>
      <c r="C47" s="18" t="n">
        <v>-73.35299999999999</v>
      </c>
      <c r="D47" s="18" t="n">
        <v>-23.75</v>
      </c>
      <c r="E47" s="18" t="n">
        <v>-42.792</v>
      </c>
      <c r="F47" s="18" t="n">
        <v>-6.592</v>
      </c>
      <c r="G47" s="18" t="n">
        <v>-38.685</v>
      </c>
      <c r="H47" s="18" t="n">
        <v>-19.754</v>
      </c>
      <c r="I47" s="18" t="n">
        <v>19.614</v>
      </c>
      <c r="J47" s="18" t="n">
        <v>21.854</v>
      </c>
      <c r="K47" s="18" t="n">
        <v>-6.111</v>
      </c>
      <c r="L47" s="18" t="n">
        <v>15.538</v>
      </c>
      <c r="M47" s="18" t="n">
        <v>78.898</v>
      </c>
      <c r="N47" s="18" t="n">
        <v>184.613</v>
      </c>
      <c r="O47" s="18" t="n">
        <v>64.43300000000001</v>
      </c>
      <c r="P47" s="18" t="n">
        <v>79.277</v>
      </c>
      <c r="Q47" s="18" t="n">
        <v>217.316</v>
      </c>
      <c r="R47" s="18" t="n">
        <v>299.444</v>
      </c>
      <c r="S47" s="18" t="n">
        <v>83.191</v>
      </c>
      <c r="T47" s="18" t="n">
        <v>120.907</v>
      </c>
      <c r="U47" s="18" t="n">
        <v>344.58</v>
      </c>
      <c r="V47" s="18" t="n">
        <v>355.468</v>
      </c>
      <c r="W47" s="18" t="n">
        <v>69.86499999999999</v>
      </c>
      <c r="X47" s="18" t="n">
        <v>101.706</v>
      </c>
      <c r="Y47" s="18" t="n">
        <v>432.725</v>
      </c>
      <c r="Z47" s="18" t="n">
        <v>228.373</v>
      </c>
      <c r="AA47" s="18" t="n">
        <v>74.896</v>
      </c>
      <c r="AB47" s="18" t="n">
        <v>137.519</v>
      </c>
      <c r="AC47" s="18" t="n">
        <v>781.154</v>
      </c>
    </row>
    <row r="48">
      <c r="A48" s="4" t="inlineStr">
        <is>
          <t>Capex</t>
        </is>
      </c>
      <c r="B48" s="18" t="n">
        <v>-2.197</v>
      </c>
      <c r="C48" s="18" t="n">
        <v>-9.707000000000001</v>
      </c>
      <c r="D48" s="18" t="n">
        <v>-4.476</v>
      </c>
      <c r="E48" s="18" t="n">
        <v>-5.404</v>
      </c>
      <c r="F48" s="18" t="n">
        <v>-10.222</v>
      </c>
      <c r="G48" s="18" t="n">
        <v>-5.696</v>
      </c>
      <c r="H48" s="18" t="n">
        <v>-18.114</v>
      </c>
      <c r="I48" s="18" t="n">
        <v>-12.298</v>
      </c>
      <c r="J48" s="18" t="n">
        <v>-8.91</v>
      </c>
      <c r="K48" s="18" t="n">
        <v>-5.841</v>
      </c>
      <c r="L48" s="18" t="n">
        <v>-6.07</v>
      </c>
      <c r="M48" s="18" t="n">
        <v>-8.172000000000001</v>
      </c>
      <c r="N48" s="18" t="n">
        <v>-12.217</v>
      </c>
      <c r="O48" s="18" t="n">
        <v>-10.584</v>
      </c>
      <c r="P48" s="18" t="n">
        <v>-14.284</v>
      </c>
      <c r="Q48" s="18" t="n">
        <v>-12.055</v>
      </c>
      <c r="R48" s="18" t="n">
        <v>-6.97</v>
      </c>
      <c r="S48" s="18" t="n">
        <v>-23.513</v>
      </c>
      <c r="T48" s="18" t="n">
        <v>-18.635</v>
      </c>
      <c r="U48" s="18" t="n">
        <v>-20.101</v>
      </c>
      <c r="V48" s="18" t="n">
        <v>-16.519</v>
      </c>
      <c r="W48" s="18" t="n">
        <v>-5.043</v>
      </c>
      <c r="X48" s="18" t="n">
        <v>-13.44</v>
      </c>
      <c r="Y48" s="18" t="n">
        <v>-11.277</v>
      </c>
      <c r="Z48" s="18" t="n">
        <v>-44.989</v>
      </c>
      <c r="AA48" s="18" t="n">
        <v>-16.665</v>
      </c>
      <c r="AB48" s="18" t="n">
        <v>-23.905</v>
      </c>
      <c r="AC48" s="18" t="n">
        <v>-16.069</v>
      </c>
    </row>
    <row r="49">
      <c r="A49" s="4" t="inlineStr">
        <is>
          <t>Free Cash Flow</t>
        </is>
      </c>
      <c r="B49" s="18" t="n">
        <v>-38.86</v>
      </c>
      <c r="C49" s="18" t="n">
        <v>-83.06</v>
      </c>
      <c r="D49" s="18" t="n">
        <v>-28.226</v>
      </c>
      <c r="E49" s="18" t="n">
        <v>-48.196</v>
      </c>
      <c r="F49" s="18" t="n">
        <v>-16.814</v>
      </c>
      <c r="G49" s="18" t="n">
        <v>-44.565</v>
      </c>
      <c r="H49" s="18" t="n">
        <v>-37.868</v>
      </c>
      <c r="I49" s="18" t="n">
        <v>7.316</v>
      </c>
      <c r="J49" s="18" t="n">
        <v>12.944</v>
      </c>
      <c r="K49" s="18" t="n">
        <v>-11.952</v>
      </c>
      <c r="L49" s="18" t="n">
        <v>9.468</v>
      </c>
      <c r="M49" s="18" t="n">
        <v>70.726</v>
      </c>
      <c r="N49" s="18" t="n">
        <v>172.396</v>
      </c>
      <c r="O49" s="18" t="n">
        <v>53.849</v>
      </c>
      <c r="P49" s="18" t="n">
        <v>64.992999</v>
      </c>
      <c r="Q49" s="18" t="n">
        <v>205.261</v>
      </c>
      <c r="R49" s="18" t="n">
        <v>292.474</v>
      </c>
      <c r="S49" s="18" t="n">
        <v>59.678</v>
      </c>
      <c r="T49" s="18" t="n">
        <v>102.272</v>
      </c>
      <c r="U49" s="18" t="n">
        <v>324.479</v>
      </c>
      <c r="V49" s="18" t="n">
        <v>338.949</v>
      </c>
      <c r="W49" s="18" t="n">
        <v>64.822</v>
      </c>
      <c r="X49" s="18" t="n">
        <v>88.26600000000001</v>
      </c>
      <c r="Y49" s="18" t="n">
        <v>421.448</v>
      </c>
      <c r="Z49" s="18" t="n">
        <v>183.384</v>
      </c>
      <c r="AA49" s="18" t="n">
        <v>58.231</v>
      </c>
      <c r="AB49" s="18" t="n">
        <v>113.614</v>
      </c>
      <c r="AC49" s="18" t="n">
        <v>765.085</v>
      </c>
    </row>
    <row r="51">
      <c r="A5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2027</v>
      </c>
      <c r="C2" s="46" t="n">
        <v>2028</v>
      </c>
      <c r="D2" s="46" t="n">
        <v>2029</v>
      </c>
      <c r="E2" s="46" t="n">
        <v>2030</v>
      </c>
      <c r="F2" s="46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5915.565632</v>
      </c>
      <c r="C4" s="18" t="n">
        <v>7326.068489</v>
      </c>
      <c r="D4" s="18" t="n">
        <v>9031.860640000001</v>
      </c>
      <c r="E4" s="18" t="n">
        <v>10780.188878</v>
      </c>
      <c r="F4" s="18" t="n">
        <v>11947.9</v>
      </c>
    </row>
    <row r="5">
      <c r="A5" s="4" t="inlineStr">
        <is>
          <t xml:space="preserve">  model</t>
        </is>
      </c>
      <c r="B5" s="34">
        <f>Model!G8</f>
        <v/>
      </c>
      <c r="C5" s="34">
        <f>Model!H8</f>
        <v/>
      </c>
      <c r="D5" s="34">
        <f>Model!I8</f>
        <v/>
      </c>
      <c r="E5" s="34">
        <f>Model!J8</f>
        <v/>
      </c>
      <c r="F5" s="34">
        <f>Model!K8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328.353807</v>
      </c>
      <c r="C8" s="18" t="n">
        <v>406.646233</v>
      </c>
      <c r="D8" s="18" t="n">
        <v>501.329208</v>
      </c>
      <c r="E8" s="18" t="n">
        <v>598.3732220000001</v>
      </c>
      <c r="F8" s="18" t="n">
        <v>663.189068</v>
      </c>
    </row>
    <row r="9">
      <c r="A9" s="4" t="inlineStr">
        <is>
          <t xml:space="preserve">  model</t>
        </is>
      </c>
      <c r="B9" s="34">
        <f>Model!G21+Model!G26</f>
        <v/>
      </c>
      <c r="C9" s="34">
        <f>Model!H21+Model!H26</f>
        <v/>
      </c>
      <c r="D9" s="34">
        <f>Model!I21+Model!I26</f>
        <v/>
      </c>
      <c r="E9" s="34">
        <f>Model!J21+Model!J26</f>
        <v/>
      </c>
      <c r="F9" s="34">
        <f>Model!K21+Model!K26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-86.627584</v>
      </c>
      <c r="C12" s="18" t="n">
        <v>-107.282998</v>
      </c>
      <c r="D12" s="18" t="n">
        <v>-132.26263</v>
      </c>
      <c r="E12" s="18" t="n">
        <v>-157.865161</v>
      </c>
      <c r="F12" s="18" t="n">
        <v>-174.965131</v>
      </c>
    </row>
    <row r="13">
      <c r="A13" s="4" t="inlineStr">
        <is>
          <t xml:space="preserve">  model</t>
        </is>
      </c>
      <c r="B13" s="34">
        <f>Model!G21</f>
        <v/>
      </c>
      <c r="C13" s="34">
        <f>Model!H21</f>
        <v/>
      </c>
      <c r="D13" s="34">
        <f>Model!I21</f>
        <v/>
      </c>
      <c r="E13" s="34">
        <f>Model!J21</f>
        <v/>
      </c>
      <c r="F13" s="34">
        <f>Model!K21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3844.838733</v>
      </c>
      <c r="C16" s="18" t="n">
        <v>4761.599083</v>
      </c>
      <c r="D16" s="18" t="n">
        <v>5870.28355</v>
      </c>
      <c r="E16" s="18" t="n">
        <v>7006.614469</v>
      </c>
      <c r="F16" s="18" t="n">
        <v>7765.571639</v>
      </c>
    </row>
    <row r="17">
      <c r="A17" s="4" t="inlineStr">
        <is>
          <t xml:space="preserve">  model</t>
        </is>
      </c>
      <c r="B17" s="34">
        <f>Model!G16</f>
        <v/>
      </c>
      <c r="C17" s="34">
        <f>Model!H16</f>
        <v/>
      </c>
      <c r="D17" s="34">
        <f>Model!I16</f>
        <v/>
      </c>
      <c r="E17" s="34">
        <f>Model!J16</f>
        <v/>
      </c>
      <c r="F17" s="34">
        <f>Model!K16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625.8976445</v>
      </c>
      <c r="C20" s="18" t="n">
        <v>846.3514474999999</v>
      </c>
      <c r="D20" s="18" t="n">
        <v>1045.2546355</v>
      </c>
      <c r="E20" s="18" t="n">
        <v>1560.017523</v>
      </c>
      <c r="F20" s="18" t="n">
        <v>1839.336855</v>
      </c>
    </row>
    <row r="21">
      <c r="A21" s="4" t="inlineStr">
        <is>
          <t xml:space="preserve">  model</t>
        </is>
      </c>
      <c r="B21" s="34">
        <f>Model!G25</f>
        <v/>
      </c>
      <c r="C21" s="34">
        <f>Model!H25</f>
        <v/>
      </c>
      <c r="D21" s="34">
        <f>Model!I25</f>
        <v/>
      </c>
      <c r="E21" s="34">
        <f>Model!J25</f>
        <v/>
      </c>
      <c r="F21" s="34">
        <f>Model!K25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1.79026</v>
      </c>
      <c r="C24" s="48" t="n">
        <v>2.41712</v>
      </c>
      <c r="D24" s="48" t="n">
        <v>3.37843</v>
      </c>
      <c r="E24" s="48" t="n">
        <v>4.62237</v>
      </c>
      <c r="F24" s="48" t="n">
        <v>5.45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Snowflake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2027</v>
      </c>
      <c r="D11" s="46" t="n">
        <v>2028</v>
      </c>
      <c r="E11" s="46" t="n">
        <v>2029</v>
      </c>
      <c r="F11" s="46" t="n">
        <v>2030</v>
      </c>
      <c r="G11" s="46" t="n">
        <v>2031</v>
      </c>
      <c r="H11" s="46" t="n">
        <v>2032</v>
      </c>
      <c r="I11" s="46" t="n">
        <v>2033</v>
      </c>
      <c r="J11" s="46" t="n">
        <v>2034</v>
      </c>
      <c r="K11" s="46" t="n">
        <v>2035</v>
      </c>
      <c r="L11" s="46" t="n">
        <v>2036</v>
      </c>
    </row>
    <row r="12">
      <c r="A12" s="4" t="inlineStr">
        <is>
          <t>FCFF ($M)</t>
        </is>
      </c>
      <c r="C12" s="34">
        <f>Model!G33</f>
        <v/>
      </c>
      <c r="D12" s="34">
        <f>Model!H33</f>
        <v/>
      </c>
      <c r="E12" s="34">
        <f>Model!I33</f>
        <v/>
      </c>
      <c r="F12" s="34">
        <f>Model!J33</f>
        <v/>
      </c>
      <c r="G12" s="34">
        <f>Model!K33</f>
        <v/>
      </c>
      <c r="H12" s="34">
        <f>Model!L33</f>
        <v/>
      </c>
      <c r="I12" s="34">
        <f>Model!M33</f>
        <v/>
      </c>
      <c r="J12" s="34">
        <f>Model!N33</f>
        <v/>
      </c>
      <c r="K12" s="34">
        <f>Model!O33</f>
        <v/>
      </c>
      <c r="L12" s="34">
        <f>Model!P33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Model!P8</f>
        <v/>
      </c>
    </row>
    <row r="21">
      <c r="A21" s="4" t="inlineStr">
        <is>
          <t>Terminal EBIT</t>
        </is>
      </c>
      <c r="B21" s="34">
        <f>Model!P21</f>
        <v/>
      </c>
    </row>
    <row r="22">
      <c r="A22" s="4" t="inlineStr">
        <is>
          <t>Terminal EBITDA (SBC-burdened)</t>
        </is>
      </c>
      <c r="B22" s="34">
        <f>Model!P21+Model!P26-Model!P27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Financials!AC36</f>
        <v/>
      </c>
    </row>
    <row r="33">
      <c r="A33" s="4" t="inlineStr">
        <is>
          <t>- Long-term debt</t>
        </is>
      </c>
      <c r="B33" s="34">
        <f>-Financials!AC41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0.07537446571294339</v>
      </c>
      <c r="C4" s="52" t="n">
        <v>0.08037446571294339</v>
      </c>
      <c r="D4" s="52" t="n">
        <v>0.08537446571294338</v>
      </c>
      <c r="E4" s="52" t="n">
        <v>0.09037446571294339</v>
      </c>
      <c r="F4" s="52" t="n">
        <v>0.09537446571294339</v>
      </c>
      <c r="G4" s="52" t="n">
        <v>0.1003744657129434</v>
      </c>
      <c r="H4" s="52" t="n">
        <v>0.1053744657129434</v>
      </c>
    </row>
    <row r="5">
      <c r="A5" s="53" t="n">
        <v>9</v>
      </c>
      <c r="B5" s="54" t="n">
        <v>3.643755233819425</v>
      </c>
      <c r="C5" s="54" t="n">
        <v>3.419954499474586</v>
      </c>
      <c r="D5" s="54" t="n">
        <v>3.211070569228815</v>
      </c>
      <c r="E5" s="54" t="n">
        <v>3.016212829028678</v>
      </c>
      <c r="F5" s="54" t="n">
        <v>2.834545092352451</v>
      </c>
      <c r="G5" s="54" t="n">
        <v>2.665282108311191</v>
      </c>
      <c r="H5" s="54" t="n">
        <v>2.507686306258512</v>
      </c>
    </row>
    <row r="6">
      <c r="A6" s="53" t="n">
        <v>10</v>
      </c>
      <c r="B6" s="54" t="n">
        <v>4.62625449139005</v>
      </c>
      <c r="C6" s="54" t="n">
        <v>4.357918823113816</v>
      </c>
      <c r="D6" s="54" t="n">
        <v>4.106710463004127</v>
      </c>
      <c r="E6" s="54" t="n">
        <v>3.871619643026458</v>
      </c>
      <c r="F6" s="54" t="n">
        <v>3.651697949514335</v>
      </c>
      <c r="G6" s="54" t="n">
        <v>3.44605439955078</v>
      </c>
      <c r="H6" s="54" t="n">
        <v>3.253851782559446</v>
      </c>
    </row>
    <row r="7">
      <c r="A7" s="53" t="n">
        <v>11</v>
      </c>
      <c r="B7" s="54" t="n">
        <v>5.608753748960672</v>
      </c>
      <c r="C7" s="54" t="n">
        <v>5.295883146753043</v>
      </c>
      <c r="D7" s="54" t="n">
        <v>5.002350356779439</v>
      </c>
      <c r="E7" s="54" t="n">
        <v>4.727026457024238</v>
      </c>
      <c r="F7" s="54" t="n">
        <v>4.468850806676219</v>
      </c>
      <c r="G7" s="54" t="n">
        <v>4.226826690790366</v>
      </c>
      <c r="H7" s="54" t="n">
        <v>4.000017258860378</v>
      </c>
    </row>
    <row r="8">
      <c r="A8" s="53" t="n">
        <v>12</v>
      </c>
      <c r="B8" s="54" t="n">
        <v>6.591253006531296</v>
      </c>
      <c r="C8" s="54" t="n">
        <v>6.233847470392272</v>
      </c>
      <c r="D8" s="54" t="n">
        <v>5.89799025055475</v>
      </c>
      <c r="E8" s="55" t="n">
        <v>5.582433271022018</v>
      </c>
      <c r="F8" s="54" t="n">
        <v>5.286003663838101</v>
      </c>
      <c r="G8" s="54" t="n">
        <v>5.007598982029954</v>
      </c>
      <c r="H8" s="54" t="n">
        <v>4.746182735161311</v>
      </c>
    </row>
    <row r="9">
      <c r="A9" s="53" t="n">
        <v>13</v>
      </c>
      <c r="B9" s="54" t="n">
        <v>7.573752264101923</v>
      </c>
      <c r="C9" s="54" t="n">
        <v>7.171811794031501</v>
      </c>
      <c r="D9" s="54" t="n">
        <v>6.793630144330062</v>
      </c>
      <c r="E9" s="54" t="n">
        <v>6.437840085019801</v>
      </c>
      <c r="F9" s="54" t="n">
        <v>6.103156520999983</v>
      </c>
      <c r="G9" s="54" t="n">
        <v>5.788371273269543</v>
      </c>
      <c r="H9" s="54" t="n">
        <v>5.492348211462244</v>
      </c>
    </row>
    <row r="10">
      <c r="A10" s="53" t="n">
        <v>14</v>
      </c>
      <c r="B10" s="54" t="n">
        <v>8.556251521672545</v>
      </c>
      <c r="C10" s="54" t="n">
        <v>8.10977611767073</v>
      </c>
      <c r="D10" s="54" t="n">
        <v>7.689270038105374</v>
      </c>
      <c r="E10" s="54" t="n">
        <v>7.293246899017581</v>
      </c>
      <c r="F10" s="54" t="n">
        <v>6.920309378161868</v>
      </c>
      <c r="G10" s="54" t="n">
        <v>6.569143564509131</v>
      </c>
      <c r="H10" s="54" t="n">
        <v>6.238513687763177</v>
      </c>
    </row>
    <row r="11">
      <c r="A11" s="53" t="n">
        <v>15</v>
      </c>
      <c r="B11" s="54" t="n">
        <v>9.53875077924317</v>
      </c>
      <c r="C11" s="54" t="n">
        <v>9.047740441309958</v>
      </c>
      <c r="D11" s="54" t="n">
        <v>8.584909931880686</v>
      </c>
      <c r="E11" s="54" t="n">
        <v>8.148653713015362</v>
      </c>
      <c r="F11" s="54" t="n">
        <v>7.737462235323752</v>
      </c>
      <c r="G11" s="54" t="n">
        <v>7.349915855748721</v>
      </c>
      <c r="H11" s="54" t="n">
        <v>6.984679164064111</v>
      </c>
    </row>
    <row r="13">
      <c r="A13" s="3" t="inlineStr">
        <is>
          <t>Current price</t>
        </is>
      </c>
      <c r="B13" s="54" t="n">
        <v>234.5200042724609</v>
      </c>
    </row>
    <row r="14">
      <c r="A14" s="3" t="inlineStr">
        <is>
          <t>Base WACC / multiple</t>
        </is>
      </c>
      <c r="B14" s="56" t="n">
        <v>0.09037446571294339</v>
      </c>
      <c r="C14" s="57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0.04706352293557612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0.4674533189985619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0.09111010870322031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2026-07-06T20:35:38Z</dcterms:created>
  <dcterms:modified xmlns:dcterms="http://purl.org/dc/terms/" xmlns:xsi="http://www.w3.org/2001/XMLSchema-instance" xsi:type="dcterms:W3CDTF">2026-07-06T20:35:38Z</dcterms:modified>
</cp:coreProperties>
</file>