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9dbb617ae24c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f6cc91fef54d0d"/>
    <x:sheet xmlns:r="http://schemas.openxmlformats.org/officeDocument/2006/relationships" name="Assumptions" sheetId="2" r:id="R1922d27a71c24d4f"/>
    <x:sheet xmlns:r="http://schemas.openxmlformats.org/officeDocument/2006/relationships" name="Segment Cases" sheetId="3" r:id="R1029d1e3713e44a6"/>
    <x:sheet xmlns:r="http://schemas.openxmlformats.org/officeDocument/2006/relationships" name="DCF Model" sheetId="4" r:id="R0b159385db6b4fd2"/>
    <x:sheet xmlns:r="http://schemas.openxmlformats.org/officeDocument/2006/relationships" name="Sensitivity" sheetId="5" r:id="R35f51c45b2df425c"/>
    <x:sheet xmlns:r="http://schemas.openxmlformats.org/officeDocument/2006/relationships" name="Checks" sheetId="6" r:id="R46ec1eb1547a4550"/>
    <x:sheet xmlns:r="http://schemas.openxmlformats.org/officeDocument/2006/relationships" name="Sources" sheetId="7" r:id="R3c373edb0eec49ed"/>
  </x:sheets>
</x:workbook>
</file>

<file path=xl/comments1.xml><?xml version="1.0" encoding="utf-8"?>
<x:comments xmlns:x="http://schemas.openxmlformats.org/spreadsheetml/2006/main">
  <x:authors>
    <x:author>tc={A6622A63-F3CB-299A-0CEC-926F1488B98E}</x:author>
    <x:author>tc={7CB56692-18BD-0CC5-2604-09917C7C1EDF}</x:author>
    <x:author>tc={A808EA6F-8189-2C08-CC31-CD41B517DDFE}</x:author>
    <x:author>tc={12D2ECA7-9D12-9FCB-EF97-B8FC0666CC1D}</x:author>
  </x:authors>
  <x:commentList>
    <x:comment ref="B1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bridge: QCT Handsets FY2026 estimate from Q1–Q3 actuals plus Q4 midpoint guidance in Qualcomm's Q3 FY2026 earnings materials. https://s204.q4cdn.com/645488518/files/doc_financials/2026/q3/FY2026-3rd-Quarter-Earnings-Presentation_7-29-26_Final.pdf</x:t>
        </x:r>
      </x:text>
    </x:comment>
    <x:comment ref="B2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Industrial IoT / Physical AI is an analyst split of disclosed QCT IoT revenue; Qualcomm does not separately report robotics revenue.</x:t>
        </x:r>
      </x:text>
    </x:comment>
    <x:comment ref="B2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XR / AR &amp; Wearables is an analyst estimate carved from QCT IoT / personal AI. Treat as high uncertainty, not a reported segment.</x:t>
        </x:r>
      </x:text>
    </x:comment>
    <x:comment ref="C10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 case includes a modest explicit FY2027 cash charge plus structural QTL revenue and margin haircuts. Current investigations and future licensing-practice remedies are not reliably estimable.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;[Red](0.0%);-"/>
    <x:numFmt numFmtId="201" formatCode="$#,##0;[Red]($#,##0);-"/>
    <x:numFmt numFmtId="202" formatCode="$0.00;[Red]($0.00);-"/>
    <x:numFmt numFmtId="203" formatCode="0.000x"/>
    <x:numFmt numFmtId="204" formatCode="0.00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b/>
      <x:sz val="11"/>
      <x:name val="Carlito"/>
    </x:font>
    <x:font>
      <x:b/>
      <x:sz val="10"/>
      <x:color rgb="FF000000"/>
      <x:name val="Aptos"/>
    </x:font>
    <x:font>
      <x:i/>
      <x:sz val="10"/>
      <x:color rgb="FF000000"/>
      <x:name val="Aptos"/>
    </x:font>
    <x:font>
      <x:sz val="10"/>
      <x:color rgb="FF000000"/>
      <x:name val="Aptos"/>
    </x:font>
    <x:font>
      <x:b/>
      <x:sz val="13"/>
      <x:color rgb="FF1F4E78"/>
      <x:name val="Carlito"/>
    </x:font>
    <x:font>
      <x:b/>
      <x:sz val="14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</x:fills>
  <x:borders count="3">
    <x:border/>
    <x:border>
      <x:bottom style="thin">
        <x:color rgb="FF1F4E78"/>
      </x:bottom>
    </x:border>
    <x:border>
      <x:top style="thin">
        <x:color rgb="FF1F4E78"/>
      </x:top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202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1" fontId="6" fillId="0" borderId="2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vertical="center"/>
    </x:xf>
    <x:xf numFmtId="201" fontId="9" fillId="4" borderId="0" xfId="0" applyNumberFormat="1" applyFont="1" applyFill="1" applyBorder="1" applyAlignment="1">
      <x:alignment vertical="center"/>
    </x:xf>
    <x:xf numFmtId="202" fontId="9" fillId="4" borderId="0" xfId="0" applyNumberFormat="1" applyFont="1" applyFill="1" applyBorder="1" applyAlignment="1">
      <x:alignment vertical="center"/>
    </x:xf>
    <x:xf numFmtId="201" fontId="7" fillId="0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6" fillId="5" borderId="0" xfId="0" applyNumberFormat="1" applyFont="1" applyFill="1" applyBorder="1"/>
    <x:xf numFmtId="200" fontId="6" fillId="5" borderId="0" xfId="0" applyNumberFormat="1" applyFont="1" applyFill="1" applyBorder="1"/>
    <x:xf numFmtId="0" fontId="6" fillId="5" borderId="2" xfId="0" applyNumberFormat="1" applyFont="1" applyFill="1" applyBorder="1"/>
    <x:xf numFmtId="201" fontId="6" fillId="5" borderId="2" xfId="0" applyNumberFormat="1" applyFont="1" applyFill="1" applyBorder="1"/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7" fillId="3" borderId="1" xfId="0" applyNumberFormat="1" applyFont="1" applyFill="1" applyBorder="1"/>
    <x:xf numFmtId="201" fontId="9" fillId="0" borderId="0" xfId="0" applyNumberFormat="1" applyFont="1" applyFill="1" applyBorder="1"/>
    <x:xf numFmtId="200" fontId="9" fillId="0" borderId="0" xfId="0" applyNumberFormat="1" applyFont="1" applyFill="1" applyBorder="1"/>
    <x:xf numFmtId="0" fontId="7" fillId="5" borderId="2" xfId="0" applyNumberFormat="1" applyFont="1" applyFill="1" applyBorder="1"/>
    <x:xf numFmtId="201" fontId="7" fillId="5" borderId="2" xfId="0" applyNumberFormat="1" applyFont="1" applyFill="1" applyBorder="1"/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203" fontId="0" fillId="0" borderId="0" xfId="0" applyNumberFormat="1" applyFont="1" applyFill="1" applyBorder="1"/>
    <x:xf numFmtId="203" fontId="0" fillId="5" borderId="0" xfId="0" applyNumberFormat="1" applyFont="1" applyFill="1" applyBorder="1"/>
    <x:xf numFmtId="203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202" fontId="10" fillId="6" borderId="0" xfId="0" applyNumberFormat="1" applyFont="1" applyFill="1" applyBorder="1"/>
    <x:xf numFmtId="202" fontId="7" fillId="6" borderId="0" xfId="0" applyNumberFormat="1" applyFont="1" applyFill="1" applyBorder="1"/>
    <x:xf numFmtId="203" fontId="7" fillId="5" borderId="0" xfId="0" applyNumberFormat="1" applyFont="1" applyFill="1" applyBorder="1"/>
    <x:xf numFmtId="201" fontId="7" fillId="5" borderId="0" xfId="0" applyNumberFormat="1" applyFont="1" applyFill="1" applyBorder="1"/>
    <x:xf numFmtId="0" fontId="10" fillId="0" borderId="0" xfId="0" applyNumberFormat="1" applyFont="1" applyFill="1" applyBorder="1"/>
    <x:xf numFmtId="202" fontId="10" fillId="0" borderId="0" xfId="0" applyNumberFormat="1" applyFont="1" applyFill="1" applyBorder="1"/>
    <x:xf numFmtId="200" fontId="6" fillId="0" borderId="0" xfId="0" applyNumberFormat="1" applyFont="1" applyFill="1" applyBorder="1"/>
    <x:xf numFmtId="202" fontId="0" fillId="0" borderId="0" xfId="0" applyNumberFormat="1" applyFont="1" applyFill="1" applyBorder="1"/>
    <x:xf numFmtId="200" fontId="6" fillId="5" borderId="2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/>
    <x:xf numFmtId="200" fontId="7" fillId="0" borderId="0" xfId="0" applyNumberFormat="1" applyFont="1" applyFill="1" applyBorder="1"/>
    <x:xf numFmtId="202" fontId="9" fillId="0" borderId="0" xfId="0" applyNumberFormat="1" applyFont="1" applyFill="1" applyBorder="1"/>
    <x:xf numFmtId="200" fontId="7" fillId="5" borderId="2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200" fontId="4" fillId="3" borderId="1" xfId="0" applyNumberFormat="1" applyFont="1" applyFill="1" applyBorder="1"/>
    <x:xf numFmtId="200" fontId="7" fillId="3" borderId="1" xfId="0" applyNumberFormat="1" applyFont="1" applyFill="1" applyBorder="1"/>
    <x:xf numFmtId="204" fontId="0" fillId="0" borderId="0" xfId="0" applyNumberFormat="1" applyFont="1" applyFill="1" applyBorder="1"/>
    <x:xf numFmtId="0" fontId="11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4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a4430e4bbe4a6f" /><Relationship Type="http://schemas.openxmlformats.org/officeDocument/2006/relationships/theme" Target="/xl/theme/theme1.xml" Id="R1b8dc95abad24c04" /><Relationship Type="http://schemas.openxmlformats.org/officeDocument/2006/relationships/sharedStrings" Target="/xl/sharedStrings.xml" Id="R42d7c9c023594cec" /><Relationship Type="http://schemas.openxmlformats.org/officeDocument/2006/relationships/worksheet" Target="/xl/worksheets/sheet1.xml" Id="Rb4f6cc91fef54d0d" /><Relationship Type="http://schemas.openxmlformats.org/officeDocument/2006/relationships/worksheet" Target="/xl/worksheets/sheet2.xml" Id="R1922d27a71c24d4f" /><Relationship Type="http://schemas.openxmlformats.org/officeDocument/2006/relationships/worksheet" Target="/xl/worksheets/sheet3.xml" Id="R1029d1e3713e44a6" /><Relationship Type="http://schemas.openxmlformats.org/officeDocument/2006/relationships/worksheet" Target="/xl/worksheets/sheet4.xml" Id="R0b159385db6b4fd2" /><Relationship Type="http://schemas.openxmlformats.org/officeDocument/2006/relationships/worksheet" Target="/xl/worksheets/sheet5.xml" Id="R35f51c45b2df425c" /><Relationship Type="http://schemas.openxmlformats.org/officeDocument/2006/relationships/worksheet" Target="/xl/worksheets/sheet6.xml" Id="R46ec1eb1547a4550" /><Relationship Type="http://schemas.openxmlformats.org/officeDocument/2006/relationships/worksheet" Target="/xl/worksheets/sheet7.xml" Id="R3c373edb0eec49ed" /><Relationship Type="http://schemas.microsoft.com/office/2017/10/relationships/person" Target="/xl/persons/person.xml" Id="R166d47e63f7743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958c7d29e94a4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Scenario fair value / share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Fair value</c:v>
          </c:tx>
          <c:cat>
            <c:strRef>
              <c:f>'Summary'!$I$5:$I$8</c:f>
              <c:strCache>
                <c:ptCount val="0"/>
              </c:strCache>
            </c:strRef>
          </c:cat>
          <c:val>
            <c:numRef>
              <c:f>'Summary'!$J$5:$J$8</c:f>
              <c:numCache>
                <c:formatCode>$0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13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958c7d29e94a43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Bhanu" id="{CA0774F6-BAB3-4FE9-BEEF-88ADADDEFF15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9" dT="2026-08-05T02:44:02.806" personId="{CA0774F6-BAB3-4FE9-BEEF-88ADADDEFF15}" id="{A6622A63-F3CB-299A-0CEC-926F1488B98E}">
    <xltc:text>Source bridge: QCT Handsets FY2026 estimate from Q1–Q3 actuals plus Q4 midpoint guidance in Qualcomm's Q3 FY2026 earnings materials. https://s204.q4cdn.com/645488518/files/doc_financials/2026/q3/FY2026-3rd-Quarter-Earnings-Presentation_7-29-26_Final.pdf</xltc:text>
  </xltc:threadedComment>
  <xltc:threadedComment ref="B21" dT="2026-08-05T02:44:02.808" personId="{CA0774F6-BAB3-4FE9-BEEF-88ADADDEFF15}" id="{7CB56692-18BD-0CC5-2604-09917C7C1EDF}">
    <xltc:text>Industrial IoT / Physical AI is an analyst split of disclosed QCT IoT revenue; Qualcomm does not separately report robotics revenue.</xltc:text>
  </xltc:threadedComment>
  <xltc:threadedComment ref="B23" dT="2026-08-05T02:44:02.808" personId="{CA0774F6-BAB3-4FE9-BEEF-88ADADDEFF15}" id="{A808EA6F-8189-2C08-CC31-CD41B517DDFE}">
    <xltc:text>XR / AR &amp; Wearables is an analyst estimate carved from QCT IoT / personal AI. Treat as high uncertainty, not a reported segment.</xltc:text>
  </xltc:threadedComment>
  <xltc:threadedComment ref="C10" dT="2026-08-05T02:44:02.808" personId="{CA0774F6-BAB3-4FE9-BEEF-88ADADDEFF15}" id="{12D2ECA7-9D12-9FCB-EF97-B8FC0666CC1D}">
    <xltc:text>Base case includes a modest explicit FY2027 cash charge plus structural QTL revenue and margin haircuts. Current investigations and future licensing-practice remedies are not reliably estimable.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efcfbcfa24a42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338d15b5adb04729" /><Relationship Type="http://schemas.openxmlformats.org/officeDocument/2006/relationships/vmlDrawing" Target="/xl/drawings/vmldrawing.vml" Id="R24fee353ed9a43b6" /><Relationship Type="http://schemas.microsoft.com/office/2017/10/relationships/threadedComment" Target="/xl/threadedcomments/threadedcomment.xml" Id="Rec4d11abf1e240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7" customHeight="1">
      <x:c r="A1" s="46" t="str">
        <x:v>QUALCOMM (QCOM) — Probability-Weighted Segment DCF</x:v>
      </x:c>
      <x:c r="B1" s="46" t="str">
        <x:v>QUALCOMM (QCOM) — Probability-Weighted Segment DCF</x:v>
      </x:c>
      <x:c r="C1" s="46" t="str">
        <x:v>QUALCOMM (QCOM) — Probability-Weighted Segment DCF</x:v>
      </x:c>
      <x:c r="D1" s="46" t="str">
        <x:v>QUALCOMM (QCOM) — Probability-Weighted Segment DCF</x:v>
      </x:c>
      <x:c r="E1" s="46" t="str">
        <x:v>QUALCOMM (QCOM) — Probability-Weighted Segment DCF</x:v>
      </x:c>
      <x:c r="F1" s="46" t="str">
        <x:v>QUALCOMM (QCOM) — Probability-Weighted Segment DCF</x:v>
      </x:c>
      <x:c r="G1" s="46" t="str">
        <x:v>QUALCOMM (QCOM) — Probability-Weighted Segment DCF</x:v>
      </x:c>
      <x:c r="H1" s="46" t="str">
        <x:v>QUALCOMM (QCOM) — Probability-Weighted Segment DCF</x:v>
      </x:c>
      <x:c r="I1" s="46" t="str">
        <x:v>QUALCOMM (QCOM) — Probability-Weighted Segment DCF</x:v>
      </x:c>
      <x:c r="J1" s="46" t="str">
        <x:v>QUALCOMM (QCOM) — Probability-Weighted Segment DCF</x:v>
      </x:c>
      <x:c r="K1" s="46" t="str">
        <x:v>QUALCOMM (QCOM) — Probability-Weighted Segment DCF</x:v>
      </x:c>
      <x:c r="L1" s="46" t="str">
        <x:v>QUALCOMM (QCOM) — Probability-Weighted Segment DCF</x:v>
      </x:c>
      <x:c r="M1" s="46" t="str">
        <x:v>QUALCOMM (QCOM) — Probability-Weighted Segment DCF</x:v>
      </x:c>
    </x:row>
    <x:row r="2" ht="24" customHeight="1">
      <x:c r="A2" s="47" t="str">
        <x:v>As of 2026-08-04 | Explicit handset, auto, IoT / physical AI, personal AI, XR, data center and licensing cases | USD millions except per-share data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</x:row>
    <x:row r="4" ht="21" customHeight="1">
      <x:c r="A4" s="46" t="str">
        <x:v>Valuation conclusion</x:v>
      </x:c>
      <x:c r="B4" s="46" t="str">
        <x:v>Valuation conclusion</x:v>
      </x:c>
      <x:c r="C4" s="46" t="str">
        <x:v>Valuation conclusion</x:v>
      </x:c>
      <x:c r="D4" s="46" t="str">
        <x:v>Valuation conclusion</x:v>
      </x:c>
      <x:c r="E4" s="46" t="str">
        <x:v>Valuation conclusion</x:v>
      </x:c>
      <x:c r="F4" s="46" t="str">
        <x:v>Valuation conclusion</x:v>
      </x:c>
      <x:c r="G4" s="48"/>
      <x:c r="H4" s="48"/>
      <x:c r="I4" s="48" t="str">
        <x:v>Case</x:v>
      </x:c>
      <x:c r="J4" s="48" t="str">
        <x:v>Fair value</x:v>
      </x:c>
      <x:c r="K4" s="48"/>
      <x:c r="L4" s="48"/>
      <x:c r="M4" s="48"/>
    </x:row>
    <x:row r="5">
      <x:c r="A5" s="48" t="str">
        <x:v>Current price</x:v>
      </x:c>
      <x:c r="B5" s="73" t="n">
        <x:f>'Assumptions'!$G$9</x:f>
        <x:v>162.67</x:v>
      </x:c>
      <x:c r="C5" s="48"/>
      <x:c r="D5" s="48"/>
      <x:c r="E5" s="48"/>
      <x:c r="F5" s="48"/>
      <x:c r="G5" s="48"/>
      <x:c r="H5" s="48"/>
      <x:c r="I5" s="48" t="str">
        <x:v>Bull</x:v>
      </x:c>
      <x:c r="J5" s="48" t="n">
        <x:f>'DCF Model'!M15</x:f>
        <x:v>248.84732531130317</x:v>
      </x:c>
      <x:c r="K5" s="48"/>
      <x:c r="L5" s="48"/>
      <x:c r="M5" s="48"/>
    </x:row>
    <x:row r="6">
      <x:c r="A6" s="48" t="str">
        <x:v>Probability-weighted fair value</x:v>
      </x:c>
      <x:c r="B6" s="73" t="n">
        <x:f>'Assumptions'!$B$6*'DCF Model'!M15+'Assumptions'!$C$6*'DCF Model'!M32+'Assumptions'!$D$6*'DCF Model'!M49</x:f>
        <x:v>125.84624737340988</x:v>
      </x:c>
      <x:c r="C6" s="48"/>
      <x:c r="D6" s="48"/>
      <x:c r="E6" s="48"/>
      <x:c r="F6" s="48"/>
      <x:c r="G6" s="48"/>
      <x:c r="H6" s="48"/>
      <x:c r="I6" s="48" t="str">
        <x:v>Base</x:v>
      </x:c>
      <x:c r="J6" s="48" t="n">
        <x:f>'DCF Model'!M32</x:f>
        <x:v>126.32776864117724</x:v>
      </x:c>
      <x:c r="K6" s="48"/>
      <x:c r="L6" s="48"/>
      <x:c r="M6" s="48"/>
    </x:row>
    <x:row r="7">
      <x:c r="A7" s="48" t="str">
        <x:v>Upside / (downside)</x:v>
      </x:c>
      <x:c r="B7" s="74" t="n">
        <x:f>B6/B5-1</x:f>
        <x:v>-0.22637088969441266</x:v>
      </x:c>
      <x:c r="C7" s="48"/>
      <x:c r="D7" s="48"/>
      <x:c r="E7" s="48"/>
      <x:c r="F7" s="48"/>
      <x:c r="G7" s="48"/>
      <x:c r="H7" s="48"/>
      <x:c r="I7" s="48" t="str">
        <x:v>Bear</x:v>
      </x:c>
      <x:c r="J7" s="48" t="n">
        <x:f>'DCF Model'!M49</x:f>
        <x:v>43.04299330186872</x:v>
      </x:c>
      <x:c r="K7" s="48"/>
      <x:c r="L7" s="48"/>
      <x:c r="M7" s="48"/>
    </x:row>
    <x:row r="8">
      <x:c r="A8" s="48" t="str">
        <x:v>Probability-weighted FY2027 growth</x:v>
      </x:c>
      <x:c r="B8" s="74" t="n">
        <x:f>('Assumptions'!$B$6*'Segment Cases'!C14+'Assumptions'!$C$6*'Segment Cases'!C41+'Assumptions'!$D$6*'Segment Cases'!C68)/'Assumptions'!$B$27-1</x:f>
        <x:v>0.011872383037190737</x:v>
      </x:c>
      <x:c r="C8" s="48"/>
      <x:c r="D8" s="48"/>
      <x:c r="E8" s="48"/>
      <x:c r="F8" s="48"/>
      <x:c r="G8" s="48"/>
      <x:c r="H8" s="48"/>
      <x:c r="I8" s="48" t="str">
        <x:v>Prob.-weighted</x:v>
      </x:c>
      <x:c r="J8" s="48" t="n">
        <x:f>$B$6</x:f>
        <x:v>125.84624737340988</x:v>
      </x:c>
      <x:c r="K8" s="48"/>
      <x:c r="L8" s="48"/>
      <x:c r="M8" s="48"/>
    </x:row>
    <x:row r="9">
      <x:c r="A9" s="48" t="str">
        <x:v>Probability-weighted FY2026–35 CAGR</x:v>
      </x:c>
      <x:c r="B9" s="74" t="n">
        <x:f>(('Assumptions'!$B$6*'Segment Cases'!K14+'Assumptions'!$C$6*'Segment Cases'!K41+'Assumptions'!$D$6*'Segment Cases'!K68)/'Assumptions'!$B$27)^(1/9)-1</x:f>
        <x:v>0.06754427860181211</x:v>
      </x:c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</x:row>
    <x:row r="11" ht="21" customHeight="1">
      <x:c r="A11" s="46" t="str">
        <x:v>Scenario valuation range</x:v>
      </x:c>
      <x:c r="B11" s="46" t="str">
        <x:v>Scenario valuation range</x:v>
      </x:c>
      <x:c r="C11" s="46" t="str">
        <x:v>Scenario valuation range</x:v>
      </x:c>
      <x:c r="D11" s="46" t="str">
        <x:v>Scenario valuation range</x:v>
      </x:c>
      <x:c r="E11" s="46" t="str">
        <x:v>Scenario valuation range</x:v>
      </x:c>
      <x:c r="F11" s="46" t="str">
        <x:v>Scenario valuation range</x:v>
      </x:c>
      <x:c r="G11" s="46" t="str">
        <x:v>Scenario valuation range</x:v>
      </x:c>
      <x:c r="H11" s="48"/>
      <x:c r="I11" s="48"/>
      <x:c r="J11" s="48"/>
      <x:c r="K11" s="48"/>
      <x:c r="L11" s="48"/>
      <x:c r="M11" s="48"/>
    </x:row>
    <x:row r="12">
      <x:c r="A12" s="49" t="str">
        <x:v>Case</x:v>
      </x:c>
      <x:c r="B12" s="49" t="str">
        <x:v>Probability</x:v>
      </x:c>
      <x:c r="C12" s="49" t="str">
        <x:v>Fair value / share</x:v>
      </x:c>
      <x:c r="D12" s="49" t="str">
        <x:v>Upside</x:v>
      </x:c>
      <x:c r="E12" s="49" t="str">
        <x:v>FY2027 revenue</x:v>
      </x:c>
      <x:c r="F12" s="49" t="str">
        <x:v>FY2027 growth</x:v>
      </x:c>
      <x:c r="G12" s="49" t="str">
        <x:v>FY26–35 CAGR</x:v>
      </x:c>
      <x:c r="H12" s="48"/>
      <x:c r="I12" s="48"/>
      <x:c r="J12" s="48"/>
      <x:c r="K12" s="48"/>
      <x:c r="L12" s="48"/>
      <x:c r="M12" s="48"/>
    </x:row>
    <x:row r="13">
      <x:c r="A13" s="48" t="str">
        <x:v>Bull</x:v>
      </x:c>
      <x:c r="B13" s="51" t="n">
        <x:f>'Assumptions'!$B$6</x:f>
        <x:v>0.2</x:v>
      </x:c>
      <x:c r="C13" s="75" t="n">
        <x:f>'DCF Model'!M15</x:f>
        <x:v>248.84732531130317</x:v>
      </x:c>
      <x:c r="D13" s="51" t="n">
        <x:f>C13/$B$5-1</x:f>
        <x:v>0.5297677833116321</x:v>
      </x:c>
      <x:c r="E13" s="50" t="n">
        <x:f>'Segment Cases'!C14</x:f>
        <x:v>48416.91</x:v>
      </x:c>
      <x:c r="F13" s="51" t="n">
        <x:f>'Segment Cases'!C15</x:f>
        <x:v>0.12752171584266803</x:v>
      </x:c>
      <x:c r="G13" s="51" t="n">
        <x:f>('Segment Cases'!K14/'Segment Cases'!B14)^(1/9)-1</x:f>
        <x:v>0.11057976027480199</x:v>
      </x:c>
      <x:c r="H13" s="48"/>
      <x:c r="I13" s="48"/>
      <x:c r="J13" s="48"/>
      <x:c r="K13" s="48"/>
      <x:c r="L13" s="48"/>
      <x:c r="M13" s="48"/>
    </x:row>
    <x:row r="14">
      <x:c r="A14" s="48" t="str">
        <x:v>Base</x:v>
      </x:c>
      <x:c r="B14" s="51" t="n">
        <x:f>'Assumptions'!$C$6</x:f>
        <x:v>0.5</x:v>
      </x:c>
      <x:c r="C14" s="75" t="n">
        <x:f>'DCF Model'!M32</x:f>
        <x:v>126.32776864117724</x:v>
      </x:c>
      <x:c r="D14" s="51" t="n">
        <x:f>C14/$B$5-1</x:f>
        <x:v>-0.22341077862434833</x:v>
      </x:c>
      <x:c r="E14" s="50" t="n">
        <x:f>'Segment Cases'!C41</x:f>
        <x:v>44206.590000000004</x:v>
      </x:c>
      <x:c r="F14" s="51" t="n">
        <x:f>'Segment Cases'!C42</x:f>
        <x:v>0.029472764956568476</x:v>
      </x:c>
      <x:c r="G14" s="51" t="n">
        <x:f>('Segment Cases'!K41/'Segment Cases'!B41)^(1/9)-1</x:f>
        <x:v>0.07333033093875008</x:v>
      </x:c>
      <x:c r="H14" s="48"/>
      <x:c r="I14" s="48"/>
      <x:c r="J14" s="48"/>
      <x:c r="K14" s="48"/>
      <x:c r="L14" s="48"/>
      <x:c r="M14" s="48"/>
    </x:row>
    <x:row r="15">
      <x:c r="A15" s="48" t="str">
        <x:v>Bear</x:v>
      </x:c>
      <x:c r="B15" s="51" t="n">
        <x:f>'Assumptions'!$D$6</x:f>
        <x:v>0.3</x:v>
      </x:c>
      <x:c r="C15" s="75" t="n">
        <x:f>'DCF Model'!M49</x:f>
        <x:v>43.04299330186872</x:v>
      </x:c>
      <x:c r="D15" s="51" t="n">
        <x:f>C15/$B$5-1</x:f>
        <x:v>-0.7353968568152165</x:v>
      </x:c>
      <x:c r="E15" s="50" t="n">
        <x:f>'Segment Cases'!C68</x:f>
        <x:v>38880.450000000004</x:v>
      </x:c>
      <x:c r="F15" s="51" t="n">
        <x:f>'Segment Cases'!C69</x:f>
        <x:v>-0.09456114203209043</x:v>
      </x:c>
      <x:c r="G15" s="51" t="n">
        <x:f>('Segment Cases'!K68/'Segment Cases'!B68)^(1/9)-1</x:f>
        <x:v>0.014504227424429361</x:v>
      </x:c>
      <x:c r="H15" s="48"/>
      <x:c r="I15" s="48"/>
      <x:c r="J15" s="48"/>
      <x:c r="K15" s="48"/>
      <x:c r="L15" s="48"/>
      <x:c r="M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</x:row>
    <x:row r="18" ht="21" customHeight="1">
      <x:c r="A18" s="46" t="str">
        <x:v>Probability-weighted revenue mix — next year and terminal year</x:v>
      </x:c>
      <x:c r="B18" s="46" t="str">
        <x:v>Probability-weighted revenue mix — next year and terminal year</x:v>
      </x:c>
      <x:c r="C18" s="46" t="str">
        <x:v>Probability-weighted revenue mix — next year and terminal year</x:v>
      </x:c>
      <x:c r="D18" s="46" t="str">
        <x:v>Probability-weighted revenue mix — next year and terminal year</x:v>
      </x:c>
      <x:c r="E18" s="46" t="str">
        <x:v>Probability-weighted revenue mix — next year and terminal year</x:v>
      </x:c>
      <x:c r="F18" s="46" t="str">
        <x:v>Probability-weighted revenue mix — next year and terminal year</x:v>
      </x:c>
      <x:c r="G18" s="48"/>
      <x:c r="H18" s="48"/>
      <x:c r="I18" s="48"/>
      <x:c r="J18" s="48"/>
      <x:c r="K18" s="48"/>
      <x:c r="L18" s="48"/>
      <x:c r="M18" s="48"/>
    </x:row>
    <x:row r="19">
      <x:c r="A19" s="49" t="str">
        <x:v>Segment</x:v>
      </x:c>
      <x:c r="B19" s="49" t="str">
        <x:v>FY2027 revenue</x:v>
      </x:c>
      <x:c r="C19" s="49" t="str">
        <x:v>FY2027 mix</x:v>
      </x:c>
      <x:c r="D19" s="49" t="str">
        <x:v>FY2035 revenue</x:v>
      </x:c>
      <x:c r="E19" s="49" t="str">
        <x:v>FY2035 mix</x:v>
      </x:c>
      <x:c r="F19" s="49" t="str">
        <x:v>FY2027→35 CAGR</x:v>
      </x:c>
      <x:c r="G19" s="48"/>
      <x:c r="H19" s="48"/>
      <x:c r="I19" s="48"/>
      <x:c r="J19" s="48"/>
      <x:c r="K19" s="48"/>
      <x:c r="L19" s="48"/>
      <x:c r="M19" s="48"/>
    </x:row>
    <x:row r="20">
      <x:c r="A20" s="48" t="str">
        <x:v>QCT Handsets</x:v>
      </x:c>
      <x:c r="B20" s="50" t="n">
        <x:f>'Assumptions'!$B$6*'Segment Cases'!C6+'Assumptions'!$C$6*'Segment Cases'!C33+'Assumptions'!$D$6*'Segment Cases'!C60</x:f>
        <x:v>19907.25</x:v>
      </x:c>
      <x:c r="C20" s="51" t="n">
        <x:f>B20/$B$28</x:f>
        <x:v>0.4581559948753086</x:v>
      </x:c>
      <x:c r="D20" s="50" t="n">
        <x:f>'Assumptions'!$B$6*'Segment Cases'!K6+'Assumptions'!$C$6*'Segment Cases'!K33+'Assumptions'!$D$6*'Segment Cases'!K60</x:f>
        <x:v>23946.705042749883</x:v>
      </x:c>
      <x:c r="E20" s="51" t="n">
        <x:f>D20/$D$28</x:f>
        <x:v>0.30967099888348953</x:v>
      </x:c>
      <x:c r="F20" s="51" t="n">
        <x:f>(D20/B20)^(1/8)-1</x:f>
        <x:v>0.02336205965639726</x:v>
      </x:c>
      <x:c r="G20" s="48"/>
      <x:c r="H20" s="48"/>
      <x:c r="I20" s="48"/>
      <x:c r="J20" s="48"/>
      <x:c r="K20" s="48"/>
      <x:c r="L20" s="48"/>
      <x:c r="M20" s="48"/>
    </x:row>
    <x:row r="21">
      <x:c r="A21" s="48" t="str">
        <x:v>QCT Automotive</x:v>
      </x:c>
      <x:c r="B21" s="50" t="n">
        <x:f>'Assumptions'!$B$6*'Segment Cases'!C7+'Assumptions'!$C$6*'Segment Cases'!C34+'Assumptions'!$D$6*'Segment Cases'!C61</x:f>
        <x:v>7004.849999999999</x:v>
      </x:c>
      <x:c r="C21" s="51" t="n">
        <x:f>B21/$B$28</x:f>
        <x:v>0.16121332784298711</x:v>
      </x:c>
      <x:c r="D21" s="50" t="n">
        <x:f>'Assumptions'!$B$6*'Segment Cases'!K7+'Assumptions'!$C$6*'Segment Cases'!K34+'Assumptions'!$D$6*'Segment Cases'!K61</x:f>
        <x:v>14683.179597423905</x:v>
      </x:c>
      <x:c r="E21" s="51" t="n">
        <x:f>D21/$D$28</x:f>
        <x:v>0.18987810158444213</x:v>
      </x:c>
      <x:c r="F21" s="51" t="n">
        <x:f>(D21/B21)^(1/8)-1</x:f>
        <x:v>0.09692682937759312</x:v>
      </x:c>
      <x:c r="G21" s="48"/>
      <x:c r="H21" s="48"/>
      <x:c r="I21" s="48"/>
      <x:c r="J21" s="48"/>
      <x:c r="K21" s="48"/>
      <x:c r="L21" s="48"/>
      <x:c r="M21" s="48"/>
    </x:row>
    <x:row r="22">
      <x:c r="A22" s="48" t="str">
        <x:v>Industrial IoT / Physical AI</x:v>
      </x:c>
      <x:c r="B22" s="50" t="n">
        <x:f>'Assumptions'!$B$6*'Segment Cases'!C8+'Assumptions'!$C$6*'Segment Cases'!C35+'Assumptions'!$D$6*'Segment Cases'!C62</x:f>
        <x:v>4285.1</x:v>
      </x:c>
      <x:c r="C22" s="51" t="n">
        <x:f>B22/$B$28</x:f>
        <x:v>0.09861956089566289</x:v>
      </x:c>
      <x:c r="D22" s="50" t="n">
        <x:f>'Assumptions'!$B$6*'Segment Cases'!K8+'Assumptions'!$C$6*'Segment Cases'!K35+'Assumptions'!$D$6*'Segment Cases'!K62</x:f>
        <x:v>9557.932287057609</x:v>
      </x:c>
      <x:c r="E22" s="51" t="n">
        <x:f>D22/$D$28</x:f>
        <x:v>0.12360007079512597</x:v>
      </x:c>
      <x:c r="F22" s="51" t="n">
        <x:f>(D22/B22)^(1/8)-1</x:f>
        <x:v>0.10547868563784779</x:v>
      </x:c>
      <x:c r="G22" s="48"/>
      <x:c r="H22" s="48"/>
      <x:c r="I22" s="48"/>
      <x:c r="J22" s="48"/>
      <x:c r="K22" s="48"/>
      <x:c r="L22" s="48"/>
      <x:c r="M22" s="48"/>
    </x:row>
    <x:row r="23">
      <x:c r="A23" s="48" t="str">
        <x:v>PC &amp; Consumer IoT</x:v>
      </x:c>
      <x:c r="B23" s="50" t="n">
        <x:f>'Assumptions'!$B$6*'Segment Cases'!C9+'Assumptions'!$C$6*'Segment Cases'!C36+'Assumptions'!$D$6*'Segment Cases'!C63</x:f>
        <x:v>2884.05</x:v>
      </x:c>
      <x:c r="C23" s="51" t="n">
        <x:f>B23/$B$28</x:f>
        <x:v>0.06637505416469547</x:v>
      </x:c>
      <x:c r="D23" s="50" t="n">
        <x:f>'Assumptions'!$B$6*'Segment Cases'!K9+'Assumptions'!$C$6*'Segment Cases'!K36+'Assumptions'!$D$6*'Segment Cases'!K63</x:f>
        <x:v>4824.398721773341</x:v>
      </x:c>
      <x:c r="E23" s="51" t="n">
        <x:f>D23/$D$28</x:f>
        <x:v>0.06238755471856024</x:v>
      </x:c>
      <x:c r="F23" s="51" t="n">
        <x:f>(D23/B23)^(1/8)-1</x:f>
        <x:v>0.06642434544518827</x:v>
      </x:c>
      <x:c r="G23" s="48"/>
      <x:c r="H23" s="48"/>
      <x:c r="I23" s="48"/>
      <x:c r="J23" s="48"/>
      <x:c r="K23" s="48"/>
      <x:c r="L23" s="48"/>
      <x:c r="M23" s="48"/>
    </x:row>
    <x:row r="24">
      <x:c r="A24" s="48" t="str">
        <x:v>XR / AR &amp; Wearables</x:v>
      </x:c>
      <x:c r="B24" s="50" t="n">
        <x:f>'Assumptions'!$B$6*'Segment Cases'!C10+'Assumptions'!$C$6*'Segment Cases'!C37+'Assumptions'!$D$6*'Segment Cases'!C64</x:f>
        <x:v>617.4000000000001</x:v>
      </x:c>
      <x:c r="C24" s="51" t="n">
        <x:f>B24/$B$28</x:f>
        <x:v>0.014209170590413822</x:v>
      </x:c>
      <x:c r="D24" s="50" t="n">
        <x:f>'Assumptions'!$B$6*'Segment Cases'!K10+'Assumptions'!$C$6*'Segment Cases'!K37+'Assumptions'!$D$6*'Segment Cases'!K64</x:f>
        <x:v>1621.718940488436</x:v>
      </x:c>
      <x:c r="E24" s="51" t="n">
        <x:f>D24/$D$28</x:f>
        <x:v>0.020971541734564204</x:v>
      </x:c>
      <x:c r="F24" s="51" t="n">
        <x:f>(D24/B24)^(1/8)-1</x:f>
        <x:v>0.12830398102942375</x:v>
      </x:c>
      <x:c r="G24" s="48"/>
      <x:c r="H24" s="48"/>
      <x:c r="I24" s="48"/>
      <x:c r="J24" s="48"/>
      <x:c r="K24" s="48"/>
      <x:c r="L24" s="48"/>
      <x:c r="M24" s="48"/>
    </x:row>
    <x:row r="25">
      <x:c r="A25" s="48" t="str">
        <x:v>Data Center</x:v>
      </x:c>
      <x:c r="B25" s="50" t="n">
        <x:f>'Assumptions'!$B$6*'Segment Cases'!C11+'Assumptions'!$C$6*'Segment Cases'!C38+'Assumptions'!$D$6*'Segment Cases'!C65</x:f>
        <x:v>2950.002</x:v>
      </x:c>
      <x:c r="C25" s="51" t="n">
        <x:f>B25/$B$28</x:f>
        <x:v>0.06789290842251693</x:v>
      </x:c>
      <x:c r="D25" s="50" t="n">
        <x:f>'Assumptions'!$B$6*'Segment Cases'!K11+'Assumptions'!$C$6*'Segment Cases'!K38+'Assumptions'!$D$6*'Segment Cases'!K65</x:f>
        <x:v>16163.863988302805</x:v>
      </x:c>
      <x:c r="E25" s="51" t="n">
        <x:f>D25/$D$28</x:f>
        <x:v>0.2090258304070963</x:v>
      </x:c>
      <x:c r="F25" s="51" t="n">
        <x:f>(D25/B25)^(1/8)-1</x:f>
        <x:v>0.23691643374655635</x:v>
      </x:c>
      <x:c r="G25" s="48"/>
      <x:c r="H25" s="48"/>
      <x:c r="I25" s="48"/>
      <x:c r="J25" s="48"/>
      <x:c r="K25" s="48"/>
      <x:c r="L25" s="48"/>
      <x:c r="M25" s="48"/>
    </x:row>
    <x:row r="26">
      <x:c r="A26" s="48" t="str">
        <x:v>QTL Licensing</x:v>
      </x:c>
      <x:c r="B26" s="50" t="n">
        <x:f>'Assumptions'!$B$6*'Segment Cases'!C12+'Assumptions'!$C$6*'Segment Cases'!C39+'Assumptions'!$D$6*'Segment Cases'!C66</x:f>
        <x:v>5302.16</x:v>
      </x:c>
      <x:c r="C26" s="51" t="n">
        <x:f>B26/$B$28</x:f>
        <x:v>0.1220267183959646</x:v>
      </x:c>
      <x:c r="D26" s="50" t="n">
        <x:f>'Assumptions'!$B$6*'Segment Cases'!K12+'Assumptions'!$C$6*'Segment Cases'!K39+'Assumptions'!$D$6*'Segment Cases'!K66</x:f>
        <x:v>6031.7063777506655</x:v>
      </x:c>
      <x:c r="E26" s="51" t="n">
        <x:f>D26/$D$28</x:f>
        <x:v>0.0780000645448077</x:v>
      </x:c>
      <x:c r="F26" s="51" t="n">
        <x:f>(D26/B26)^(1/8)-1</x:f>
        <x:v>0.01624499654991629</x:v>
      </x:c>
      <x:c r="G26" s="48"/>
      <x:c r="H26" s="48"/>
      <x:c r="I26" s="48"/>
      <x:c r="J26" s="48"/>
      <x:c r="K26" s="48"/>
      <x:c r="L26" s="48"/>
      <x:c r="M26" s="48"/>
    </x:row>
    <x:row r="27">
      <x:c r="A27" s="48" t="str">
        <x:v>Other / Eliminations</x:v>
      </x:c>
      <x:c r="B27" s="50" t="n">
        <x:f>'Assumptions'!$B$6*'Segment Cases'!C13+'Assumptions'!$C$6*'Segment Cases'!C40+'Assumptions'!$D$6*'Segment Cases'!C67</x:f>
        <x:v>500</x:v>
      </x:c>
      <x:c r="C27" s="51" t="n">
        <x:f>B27/$B$28</x:f>
        <x:v>0.011507264812450454</x:v>
      </x:c>
      <x:c r="D27" s="50" t="n">
        <x:f>'Assumptions'!$B$6*'Segment Cases'!K13+'Assumptions'!$C$6*'Segment Cases'!K40+'Assumptions'!$D$6*'Segment Cases'!K67</x:f>
        <x:v>500</x:v>
      </x:c>
      <x:c r="E27" s="51" t="n">
        <x:f>D27/$D$28</x:f>
        <x:v>0.006465837331913972</x:v>
      </x:c>
      <x:c r="F27" s="51" t="n">
        <x:f>(D27/B27)^(1/8)-1</x:f>
        <x:v>0</x:v>
      </x:c>
      <x:c r="G27" s="48"/>
      <x:c r="H27" s="48"/>
      <x:c r="I27" s="48"/>
      <x:c r="J27" s="48"/>
      <x:c r="K27" s="48"/>
      <x:c r="L27" s="48"/>
      <x:c r="M27" s="48"/>
    </x:row>
    <x:row r="28">
      <x:c r="A28" s="52" t="str">
        <x:v>Total / aggregate</x:v>
      </x:c>
      <x:c r="B28" s="53" t="n">
        <x:f>SUM(B20:B27)</x:f>
        <x:v>43450.812000000005</x:v>
      </x:c>
      <x:c r="C28" s="76" t="n">
        <x:f>SUM(C20:C27)</x:f>
        <x:v>0.9999999999999999</x:v>
      </x:c>
      <x:c r="D28" s="53" t="n">
        <x:f>SUM(D20:D27)</x:f>
        <x:v>77329.50495554664</x:v>
      </x:c>
      <x:c r="E28" s="76" t="n">
        <x:f>SUM(E20:E27)</x:f>
        <x:v>1.0000000000000002</x:v>
      </x:c>
      <x:c r="F28" s="76" t="n">
        <x:f>(D28/B28)^(1/8)-1</x:f>
        <x:v>0.07471526276722629</x:v>
      </x:c>
      <x:c r="G28" s="48"/>
      <x:c r="H28" s="48"/>
      <x:c r="I28" s="48"/>
      <x:c r="J28" s="48"/>
      <x:c r="K28" s="48"/>
      <x:c r="L28" s="48"/>
      <x:c r="M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</x:row>
    <x:row r="31" ht="21" customHeight="1">
      <x:c r="A31" s="46" t="str">
        <x:v>Headwinds explicitly embedded in the model</x:v>
      </x:c>
      <x:c r="B31" s="46" t="str">
        <x:v>Headwinds explicitly embedded in the model</x:v>
      </x:c>
      <x:c r="C31" s="46" t="str">
        <x:v>Headwinds explicitly embedded in the model</x:v>
      </x:c>
      <x:c r="D31" s="46" t="str">
        <x:v>Headwinds explicitly embedded in the model</x:v>
      </x:c>
      <x:c r="E31" s="46" t="str">
        <x:v>Headwinds explicitly embedded in the model</x:v>
      </x:c>
      <x:c r="F31" s="46" t="str">
        <x:v>Headwinds explicitly embedded in the model</x:v>
      </x:c>
      <x:c r="G31" s="46" t="str">
        <x:v>Headwinds explicitly embedded in the model</x:v>
      </x:c>
      <x:c r="H31" s="46" t="str">
        <x:v>Headwinds explicitly embedded in the model</x:v>
      </x:c>
      <x:c r="I31" s="46" t="str">
        <x:v>Headwinds explicitly embedded in the model</x:v>
      </x:c>
      <x:c r="J31" s="46" t="str">
        <x:v>Headwinds explicitly embedded in the model</x:v>
      </x:c>
      <x:c r="K31" s="46" t="str">
        <x:v>Headwinds explicitly embedded in the model</x:v>
      </x:c>
      <x:c r="L31" s="46" t="str">
        <x:v>Headwinds explicitly embedded in the model</x:v>
      </x:c>
      <x:c r="M31" s="46" t="str">
        <x:v>Headwinds explicitly embedded in the model</x:v>
      </x:c>
    </x:row>
    <x:row r="32" ht="31" customHeight="1">
      <x:c r="A32" s="77" t="str">
        <x:v>• Apple product runoff: FY2027 handset revenue is modeled at -10% / -16% / -25% in Bull / Base / Bear; management said new-launch modem share is materially below its prior 20% estimate and December-quarter Apple revenue falls about 50% sequentially.</x:v>
      </x:c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  <x:c r="L32" s="77"/>
      <x:c r="M32" s="77"/>
    </x:row>
    <x:row r="33" ht="31" customHeight="1">
      <x:c r="A33" s="78" t="str">
        <x:v>• Memory and manufacturing costs: QCT pricing actions lag contracts and product cycles; Base QCT segment margins start below mature levels and capex remains elevated.</x:v>
      </x:c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</x:row>
    <x:row r="34" ht="31" customHeight="1">
      <x:c r="A34" s="77" t="str">
        <x:v>• Execution burden: Base assumes only $3.0B of FY2027 Data Center revenue versus management's $5.0B target; Bear assumes $1.5B.</x:v>
      </x:c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  <x:c r="L34" s="77"/>
      <x:c r="M34" s="77"/>
    </x:row>
    <x:row r="35" ht="31" customHeight="1">
      <x:c r="A35" s="78" t="str">
        <x:v>• Regulatory and licensing: Base QTL revenue falls 3% in FY2027, terminal QTL margin compresses to 64%, and a $250M FY2027 cash charge is included. Bear uses a 10% FY2027 QTL decline, further FY2028–29 contraction, 55% terminal margin and a $1.5B charge.</x:v>
      </x:c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</x:row>
    <x:row r="36" ht="31" customHeight="1">
      <x:c r="A36" s="77" t="str">
        <x:v>• China / trade policy: the Bear case slows Handsets, Automotive, Industrial IoT and Data Center rather than applying a vague corporate haircut.</x:v>
      </x:c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  <x:c r="L36" s="77"/>
      <x:c r="M36" s="77"/>
    </x:row>
    <x:row r="37" ht="31" customHeight="1">
      <x:c r="A37" s="78" t="str">
        <x:v>• XR / AR: modeled as a small, loss-making FY2027 option; no assumption that product announcements automatically become material revenue.</x:v>
      </x:c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</x:row>
    <x:row r="38" ht="31" customHeight="1">
      <x:c r="A38" s="77" t="str">
        <x:v>• The FY2026 IoT subsegment split is analyst-estimated because Qualcomm reports IoT in aggregate. Do not treat Physical AI or XR revenue as company-disclosed.</x:v>
      </x:c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  <x:c r="L38" s="77"/>
      <x:c r="M38" s="77"/>
    </x:row>
  </x:sheetData>
  <x:mergeCells>
    <x:mergeCell ref="A1:M1"/>
    <x:mergeCell ref="A2:M2"/>
    <x:mergeCell ref="A4:F4"/>
    <x:mergeCell ref="A11:G11"/>
    <x:mergeCell ref="A18:F18"/>
    <x:mergeCell ref="A31:M31"/>
    <x:mergeCell ref="A32:M32"/>
    <x:mergeCell ref="A33:M33"/>
    <x:mergeCell ref="A34:M34"/>
    <x:mergeCell ref="A35:M35"/>
    <x:mergeCell ref="A36:M36"/>
    <x:mergeCell ref="A37:M37"/>
    <x:mergeCell ref="A38:M38"/>
  </x:mergeCells>
  <x:pageMargins left="0.7" right="0.7" top="0.75" bottom="0.75" header="0.3" footer="0.3"/>
  <x:drawing xmlns:r="http://schemas.openxmlformats.org/officeDocument/2006/relationships" r:id="Rfefcfbcfa24a424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3" hidden="0" customWidth="1"/>
    <x:col min="3" max="3" width="13" hidden="0" customWidth="1"/>
    <x:col min="4" max="4" width="30" hidden="0" customWidth="1"/>
    <x:col min="5" max="5" width="13" hidden="0" customWidth="1"/>
    <x:col min="6" max="6" width="31" hidden="0" customWidth="1"/>
    <x:col min="7" max="7" width="13" hidden="0" customWidth="1"/>
    <x:col min="8" max="8" width="27" hidden="0" customWidth="1"/>
    <x:col min="9" max="9" width="13" hidden="0" customWidth="1"/>
    <x:col min="10" max="10" width="13" hidden="0" customWidth="1"/>
  </x:cols>
  <x:sheetData>
    <x:row r="1" ht="27" customHeight="1">
      <x:c r="A1" s="29" t="str">
        <x:v>QCOM Segment Probability DCF — Assumptions</x:v>
      </x:c>
      <x:c r="B1" s="29" t="str">
        <x:v>QCOM Segment Probability DCF — Assumptions</x:v>
      </x:c>
      <x:c r="C1" s="29" t="str">
        <x:v>QCOM Segment Probability DCF — Assumptions</x:v>
      </x:c>
      <x:c r="D1" s="29" t="str">
        <x:v>QCOM Segment Probability DCF — Assumptions</x:v>
      </x:c>
      <x:c r="E1" s="29" t="str">
        <x:v>QCOM Segment Probability DCF — Assumptions</x:v>
      </x:c>
      <x:c r="F1" s="29" t="str">
        <x:v>QCOM Segment Probability DCF — Assumptions</x:v>
      </x:c>
      <x:c r="G1" s="29" t="str">
        <x:v>QCOM Segment Probability DCF — Assumptions</x:v>
      </x:c>
      <x:c r="H1" s="29" t="str">
        <x:v>QCOM Segment Probability DCF — Assumptions</x:v>
      </x:c>
      <x:c r="I1" s="29" t="str">
        <x:v>QCOM Segment Probability DCF — Assumptions</x:v>
      </x:c>
      <x:c r="J1" s="29" t="str">
        <x:v>QCOM Segment Probability DCF — Assumptions</x:v>
      </x:c>
      <x:c r="K1" s="29" t="str">
        <x:v>QCOM Segment Probability DCF — Assumptions</x:v>
      </x:c>
      <x:c r="L1" s="29" t="str">
        <x:v>QCOM Segment Probability DCF — Assumptions</x:v>
      </x:c>
    </x:row>
    <x:row r="2" ht="30" customHeight="1">
      <x:c r="A2" s="30" t="str">
        <x:v>USD millions except per-share data. Blue text / yellow fill = editable assumption. FY2026 is an estimate using Q1–Q3 actuals plus Q4 midpoint guidance.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 ht="21" customHeight="1">
      <x:c r="A4" s="29" t="str">
        <x:v>Scenario framework</x:v>
      </x:c>
      <x:c r="B4" s="29" t="str">
        <x:v>Scenario framework</x:v>
      </x:c>
      <x:c r="C4" s="29" t="str">
        <x:v>Scenario framework</x:v>
      </x:c>
      <x:c r="D4" s="29" t="str">
        <x:v>Scenario framework</x:v>
      </x:c>
      <x:c r="E4" s="31"/>
      <x:c r="F4" s="29" t="str">
        <x:v>Equity bridge and market data</x:v>
      </x:c>
      <x:c r="G4" s="29" t="str">
        <x:v>Equity bridge and market data</x:v>
      </x:c>
      <x:c r="H4" s="29" t="str">
        <x:v>Equity bridge and market data</x:v>
      </x:c>
      <x:c r="I4" s="31"/>
      <x:c r="J4" s="31"/>
      <x:c r="K4" s="31"/>
      <x:c r="L4" s="31"/>
    </x:row>
    <x:row r="5">
      <x:c r="A5" s="32" t="str">
        <x:v>Driver</x:v>
      </x:c>
      <x:c r="B5" s="32" t="str">
        <x:v>Bull</x:v>
      </x:c>
      <x:c r="C5" s="32" t="str">
        <x:v>Base</x:v>
      </x:c>
      <x:c r="D5" s="32" t="str">
        <x:v>Bear</x:v>
      </x:c>
      <x:c r="E5" s="31"/>
      <x:c r="F5" s="32" t="str">
        <x:v>Input</x:v>
      </x:c>
      <x:c r="G5" s="32" t="str">
        <x:v>Value</x:v>
      </x:c>
      <x:c r="H5" s="32" t="str">
        <x:v>As of / note</x:v>
      </x:c>
      <x:c r="I5" s="31"/>
      <x:c r="J5" s="31"/>
      <x:c r="K5" s="31"/>
      <x:c r="L5" s="31"/>
    </x:row>
    <x:row r="6">
      <x:c r="A6" s="31" t="str">
        <x:v>Probability</x:v>
      </x:c>
      <x:c r="B6" s="33" t="n">
        <x:v>0.2</x:v>
      </x:c>
      <x:c r="C6" s="33" t="n">
        <x:v>0.5</x:v>
      </x:c>
      <x:c r="D6" s="33" t="n">
        <x:v>0.3</x:v>
      </x:c>
      <x:c r="E6" s="31"/>
      <x:c r="F6" s="31" t="str">
        <x:v>Cash &amp; marketable securities ($M)</x:v>
      </x:c>
      <x:c r="G6" s="34" t="n">
        <x:v>9799</x:v>
      </x:c>
      <x:c r="H6" s="31" t="str">
        <x:v>2026-03-29</x:v>
      </x:c>
      <x:c r="I6" s="31"/>
      <x:c r="J6" s="31"/>
      <x:c r="K6" s="31"/>
      <x:c r="L6" s="31"/>
    </x:row>
    <x:row r="7">
      <x:c r="A7" s="31" t="str">
        <x:v>WACC</x:v>
      </x:c>
      <x:c r="B7" s="33" t="n">
        <x:v>0.0975</x:v>
      </x:c>
      <x:c r="C7" s="33" t="n">
        <x:v>0.11</x:v>
      </x:c>
      <x:c r="D7" s="33" t="n">
        <x:v>0.125</x:v>
      </x:c>
      <x:c r="E7" s="31"/>
      <x:c r="F7" s="31" t="str">
        <x:v>Debt ($M)</x:v>
      </x:c>
      <x:c r="G7" s="34" t="n">
        <x:v>15270</x:v>
      </x:c>
      <x:c r="H7" s="31" t="str">
        <x:v>2026-03-29</x:v>
      </x:c>
      <x:c r="I7" s="31"/>
      <x:c r="J7" s="31"/>
      <x:c r="K7" s="31"/>
      <x:c r="L7" s="31"/>
    </x:row>
    <x:row r="8">
      <x:c r="A8" s="31" t="str">
        <x:v>Terminal growth</x:v>
      </x:c>
      <x:c r="B8" s="33" t="n">
        <x:v>0.03</x:v>
      </x:c>
      <x:c r="C8" s="33" t="n">
        <x:v>0.025</x:v>
      </x:c>
      <x:c r="D8" s="33" t="n">
        <x:v>0.015</x:v>
      </x:c>
      <x:c r="E8" s="31"/>
      <x:c r="F8" s="31" t="str">
        <x:v>Diluted shares (M)</x:v>
      </x:c>
      <x:c r="G8" s="34" t="n">
        <x:v>1080</x:v>
      </x:c>
      <x:c r="H8" s="31" t="str">
        <x:v>Q4 FY2026 guidance midpoint</x:v>
      </x:c>
      <x:c r="I8" s="31"/>
      <x:c r="J8" s="31"/>
      <x:c r="K8" s="31"/>
      <x:c r="L8" s="31"/>
    </x:row>
    <x:row r="9">
      <x:c r="A9" s="31" t="str">
        <x:v>Tax rate</x:v>
      </x:c>
      <x:c r="B9" s="33" t="n">
        <x:v>0.16</x:v>
      </x:c>
      <x:c r="C9" s="33" t="n">
        <x:v>0.17</x:v>
      </x:c>
      <x:c r="D9" s="33" t="n">
        <x:v>0.19</x:v>
      </x:c>
      <x:c r="E9" s="31"/>
      <x:c r="F9" s="31" t="str">
        <x:v>Current price</x:v>
      </x:c>
      <x:c r="G9" s="35" t="n">
        <x:v>162.67</x:v>
      </x:c>
      <x:c r="H9" s="31" t="str">
        <x:v>2026-08-04 close</x:v>
      </x:c>
      <x:c r="I9" s="31"/>
      <x:c r="J9" s="31"/>
      <x:c r="K9" s="31"/>
      <x:c r="L9" s="31"/>
    </x:row>
    <x:row r="10">
      <x:c r="A10" s="31" t="str">
        <x:v>FY2027 legal / regulatory cash cost ($M)</x:v>
      </x:c>
      <x:c r="B10" s="34" t="n">
        <x:v>0</x:v>
      </x:c>
      <x:c r="C10" s="34" t="n">
        <x:v>250</x:v>
      </x:c>
      <x:c r="D10" s="34" t="n">
        <x:v>1500</x:v>
      </x:c>
      <x:c r="E10" s="31"/>
      <x:c r="F10" s="31" t="str">
        <x:v>Valuation convention</x:v>
      </x:c>
      <x:c r="G10" s="31" t="str">
        <x:v>Year-end</x:v>
      </x:c>
      <x:c r="H10" s="31" t="str">
        <x:v>Gordon growth terminal value</x:v>
      </x:c>
      <x:c r="I10" s="31"/>
      <x:c r="J10" s="31"/>
      <x:c r="K10" s="31"/>
      <x:c r="L10" s="31"/>
    </x:row>
    <x:row r="11">
      <x:c r="A11" s="31" t="str">
        <x:v>D&amp;A as % revenue</x:v>
      </x:c>
      <x:c r="B11" s="33" t="n">
        <x:v>0.035</x:v>
      </x:c>
      <x:c r="C11" s="33" t="n">
        <x:v>0.035</x:v>
      </x:c>
      <x:c r="D11" s="33" t="n">
        <x:v>0.035</x:v>
      </x:c>
      <x:c r="E11" s="31"/>
      <x:c r="F11" s="31"/>
      <x:c r="G11" s="31"/>
      <x:c r="H11" s="31"/>
      <x:c r="I11" s="31"/>
      <x:c r="J11" s="31"/>
      <x:c r="K11" s="31"/>
      <x:c r="L11" s="31"/>
    </x:row>
    <x:row r="12">
      <x:c r="A12" s="31" t="str">
        <x:v>Capex as % revenue — FY2027</x:v>
      </x:c>
      <x:c r="B12" s="33" t="n">
        <x:v>0.035</x:v>
      </x:c>
      <x:c r="C12" s="33" t="n">
        <x:v>0.04</x:v>
      </x:c>
      <x:c r="D12" s="33" t="n">
        <x:v>0.045</x:v>
      </x:c>
      <x:c r="E12" s="31"/>
      <x:c r="F12" s="31"/>
      <x:c r="G12" s="31"/>
      <x:c r="H12" s="31"/>
      <x:c r="I12" s="31"/>
      <x:c r="J12" s="31"/>
      <x:c r="K12" s="31"/>
      <x:c r="L12" s="31"/>
    </x:row>
    <x:row r="13">
      <x:c r="A13" s="31" t="str">
        <x:v>Capex as % revenue — FY2035</x:v>
      </x:c>
      <x:c r="B13" s="33" t="n">
        <x:v>0.03</x:v>
      </x:c>
      <x:c r="C13" s="33" t="n">
        <x:v>0.032</x:v>
      </x:c>
      <x:c r="D13" s="33" t="n">
        <x:v>0.038</x:v>
      </x:c>
      <x:c r="E13" s="31"/>
      <x:c r="F13" s="31"/>
      <x:c r="G13" s="31"/>
      <x:c r="H13" s="31"/>
      <x:c r="I13" s="31"/>
      <x:c r="J13" s="31"/>
      <x:c r="K13" s="31"/>
      <x:c r="L13" s="31"/>
    </x:row>
    <x:row r="14">
      <x:c r="A14" s="31" t="str">
        <x:v>Change in NWC as % of revenue change</x:v>
      </x:c>
      <x:c r="B14" s="33" t="n">
        <x:v>0.01</x:v>
      </x:c>
      <x:c r="C14" s="33" t="n">
        <x:v>0.01</x:v>
      </x:c>
      <x:c r="D14" s="33" t="n">
        <x:v>0.01</x:v>
      </x:c>
      <x:c r="E14" s="31"/>
      <x:c r="F14" s="31"/>
      <x:c r="G14" s="31"/>
      <x:c r="H14" s="31"/>
      <x:c r="I14" s="31"/>
      <x:c r="J14" s="31"/>
      <x:c r="K14" s="31"/>
      <x:c r="L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</x:row>
    <x:row r="17" ht="21" customHeight="1">
      <x:c r="A17" s="29" t="str">
        <x:v>FY2026 segment revenue estimate and disclosure bridge</x:v>
      </x:c>
      <x:c r="B17" s="29" t="str">
        <x:v>FY2026 segment revenue estimate and disclosure bridge</x:v>
      </x:c>
      <x:c r="C17" s="29" t="str">
        <x:v>FY2026 segment revenue estimate and disclosure bridge</x:v>
      </x:c>
      <x:c r="D17" s="29" t="str">
        <x:v>FY2026 segment revenue estimate and disclosure bridge</x:v>
      </x:c>
      <x:c r="E17" s="29" t="str">
        <x:v>FY2026 segment revenue estimate and disclosure bridge</x:v>
      </x:c>
      <x:c r="F17" s="29" t="str">
        <x:v>FY2026 segment revenue estimate and disclosure bridge</x:v>
      </x:c>
      <x:c r="G17" s="29" t="str">
        <x:v>FY2026 segment revenue estimate and disclosure bridge</x:v>
      </x:c>
      <x:c r="H17" s="29" t="str">
        <x:v>FY2026 segment revenue estimate and disclosure bridge</x:v>
      </x:c>
      <x:c r="I17" s="29" t="str">
        <x:v>FY2026 segment revenue estimate and disclosure bridge</x:v>
      </x:c>
      <x:c r="J17" s="29" t="str">
        <x:v>FY2026 segment revenue estimate and disclosure bridge</x:v>
      </x:c>
      <x:c r="K17" s="29" t="str">
        <x:v>FY2026 segment revenue estimate and disclosure bridge</x:v>
      </x:c>
      <x:c r="L17" s="29" t="str">
        <x:v>FY2026 segment revenue estimate and disclosure bridge</x:v>
      </x:c>
    </x:row>
    <x:row r="18">
      <x:c r="A18" s="32" t="str">
        <x:v>Segment</x:v>
      </x:c>
      <x:c r="B18" s="32" t="str">
        <x:v>FY2026E revenue</x:v>
      </x:c>
      <x:c r="C18" s="32" t="str">
        <x:v>Reported family</x:v>
      </x:c>
      <x:c r="D18" s="32" t="str">
        <x:v>Basis</x:v>
      </x:c>
      <x:c r="E18" s="31"/>
      <x:c r="F18" s="31"/>
      <x:c r="G18" s="31"/>
      <x:c r="H18" s="31"/>
      <x:c r="I18" s="31"/>
      <x:c r="J18" s="31"/>
      <x:c r="K18" s="31"/>
      <x:c r="L18" s="31"/>
    </x:row>
    <x:row r="19">
      <x:c r="A19" s="31" t="str">
        <x:v>QCT Handsets</x:v>
      </x:c>
      <x:c r="B19" s="34" t="n">
        <x:v>24130</x:v>
      </x:c>
      <x:c r="C19" s="31" t="str">
        <x:v>QCT</x:v>
      </x:c>
      <x:c r="D19" s="31" t="str">
        <x:v>Model estimate / split</x:v>
      </x:c>
      <x:c r="E19" s="31"/>
      <x:c r="F19" s="31"/>
      <x:c r="G19" s="31"/>
      <x:c r="H19" s="31"/>
      <x:c r="I19" s="31"/>
      <x:c r="J19" s="31"/>
      <x:c r="K19" s="31"/>
      <x:c r="L19" s="31"/>
    </x:row>
    <x:row r="20">
      <x:c r="A20" s="31" t="str">
        <x:v>QCT Automotive</x:v>
      </x:c>
      <x:c r="B20" s="34" t="n">
        <x:v>5695</x:v>
      </x:c>
      <x:c r="C20" s="31" t="str">
        <x:v>QCT</x:v>
      </x:c>
      <x:c r="D20" s="31" t="str">
        <x:v>Model estimate / split</x:v>
      </x:c>
      <x:c r="E20" s="31"/>
      <x:c r="F20" s="31"/>
      <x:c r="G20" s="31"/>
      <x:c r="H20" s="31"/>
      <x:c r="I20" s="31"/>
      <x:c r="J20" s="31"/>
      <x:c r="K20" s="31"/>
      <x:c r="L20" s="31"/>
    </x:row>
    <x:row r="21">
      <x:c r="A21" s="31" t="str">
        <x:v>Industrial IoT / Physical AI</x:v>
      </x:c>
      <x:c r="B21" s="34" t="n">
        <x:v>3650</x:v>
      </x:c>
      <x:c r="C21" s="31" t="str">
        <x:v>QCT</x:v>
      </x:c>
      <x:c r="D21" s="31" t="str">
        <x:v>Model estimate / split</x:v>
      </x:c>
      <x:c r="E21" s="31"/>
      <x:c r="F21" s="31"/>
      <x:c r="G21" s="31"/>
      <x:c r="H21" s="31"/>
      <x:c r="I21" s="31"/>
      <x:c r="J21" s="31"/>
      <x:c r="K21" s="31"/>
      <x:c r="L21" s="31"/>
    </x:row>
    <x:row r="22">
      <x:c r="A22" s="31" t="str">
        <x:v>PC &amp; Consumer IoT</x:v>
      </x:c>
      <x:c r="B22" s="34" t="n">
        <x:v>2610</x:v>
      </x:c>
      <x:c r="C22" s="31" t="str">
        <x:v>QCT</x:v>
      </x:c>
      <x:c r="D22" s="31" t="str">
        <x:v>Model estimate / split</x:v>
      </x:c>
      <x:c r="E22" s="31"/>
      <x:c r="F22" s="31"/>
      <x:c r="G22" s="31"/>
      <x:c r="H22" s="31"/>
      <x:c r="I22" s="31"/>
      <x:c r="J22" s="31"/>
      <x:c r="K22" s="31"/>
      <x:c r="L22" s="31"/>
    </x:row>
    <x:row r="23">
      <x:c r="A23" s="31" t="str">
        <x:v>XR / AR &amp; Wearables</x:v>
      </x:c>
      <x:c r="B23" s="34" t="n">
        <x:v>504</x:v>
      </x:c>
      <x:c r="C23" s="31" t="str">
        <x:v>QCT</x:v>
      </x:c>
      <x:c r="D23" s="31" t="str">
        <x:v>Model estimate / split</x:v>
      </x:c>
      <x:c r="E23" s="31"/>
      <x:c r="F23" s="31"/>
      <x:c r="G23" s="31"/>
      <x:c r="H23" s="31"/>
      <x:c r="I23" s="31"/>
      <x:c r="J23" s="31"/>
      <x:c r="K23" s="31"/>
      <x:c r="L23" s="31"/>
    </x:row>
    <x:row r="24">
      <x:c r="A24" s="31" t="str">
        <x:v>Data Center</x:v>
      </x:c>
      <x:c r="B24" s="34" t="n">
        <x:v>300</x:v>
      </x:c>
      <x:c r="C24" s="31" t="str">
        <x:v>QCT</x:v>
      </x:c>
      <x:c r="D24" s="31" t="str">
        <x:v>Model estimate / split</x:v>
      </x:c>
      <x:c r="E24" s="31"/>
      <x:c r="F24" s="31"/>
      <x:c r="G24" s="31"/>
      <x:c r="H24" s="31"/>
      <x:c r="I24" s="31"/>
      <x:c r="J24" s="31"/>
      <x:c r="K24" s="31"/>
      <x:c r="L24" s="31"/>
    </x:row>
    <x:row r="25">
      <x:c r="A25" s="31" t="str">
        <x:v>QTL Licensing</x:v>
      </x:c>
      <x:c r="B25" s="34" t="n">
        <x:v>5552</x:v>
      </x:c>
      <x:c r="C25" s="31" t="str">
        <x:v>QTL</x:v>
      </x:c>
      <x:c r="D25" s="31" t="str">
        <x:v>Model estimate / split</x:v>
      </x:c>
      <x:c r="E25" s="31"/>
      <x:c r="F25" s="31"/>
      <x:c r="G25" s="31"/>
      <x:c r="H25" s="31"/>
      <x:c r="I25" s="31"/>
      <x:c r="J25" s="31"/>
      <x:c r="K25" s="31"/>
      <x:c r="L25" s="31"/>
    </x:row>
    <x:row r="26">
      <x:c r="A26" s="31" t="str">
        <x:v>Other / Eliminations</x:v>
      </x:c>
      <x:c r="B26" s="34" t="n">
        <x:v>500</x:v>
      </x:c>
      <x:c r="C26" s="31" t="str">
        <x:v>Other</x:v>
      </x:c>
      <x:c r="D26" s="31" t="str">
        <x:v>Model estimate / split</x:v>
      </x:c>
      <x:c r="E26" s="31"/>
      <x:c r="F26" s="31"/>
      <x:c r="G26" s="31"/>
      <x:c r="H26" s="31"/>
      <x:c r="I26" s="31"/>
      <x:c r="J26" s="31"/>
      <x:c r="K26" s="31"/>
      <x:c r="L26" s="31"/>
    </x:row>
    <x:row r="27">
      <x:c r="A27" s="31" t="str">
        <x:v>Total revenue</x:v>
      </x:c>
      <x:c r="B27" s="36" t="n">
        <x:f>SUM(B19:B26)</x:f>
        <x:v>42941</x:v>
      </x:c>
      <x:c r="C27" s="31" t="str">
        <x:v>Company</x:v>
      </x:c>
      <x:c r="D27" s="31" t="str">
        <x:v>Formula</x:v>
      </x:c>
      <x:c r="E27" s="31"/>
      <x:c r="F27" s="31"/>
      <x:c r="G27" s="31"/>
      <x:c r="H27" s="31"/>
      <x:c r="I27" s="31"/>
      <x:c r="J27" s="31"/>
      <x:c r="K27" s="31"/>
      <x:c r="L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</x:row>
    <x:row r="30" ht="21" customHeight="1">
      <x:c r="A30" s="29" t="str">
        <x:v>Bull case — annual segment growth assumptions</x:v>
      </x:c>
      <x:c r="B30" s="29" t="str">
        <x:v>Bull case — annual segment growth assumptions</x:v>
      </x:c>
      <x:c r="C30" s="29" t="str">
        <x:v>Bull case — annual segment growth assumptions</x:v>
      </x:c>
      <x:c r="D30" s="29" t="str">
        <x:v>Bull case — annual segment growth assumptions</x:v>
      </x:c>
      <x:c r="E30" s="29" t="str">
        <x:v>Bull case — annual segment growth assumptions</x:v>
      </x:c>
      <x:c r="F30" s="29" t="str">
        <x:v>Bull case — annual segment growth assumptions</x:v>
      </x:c>
      <x:c r="G30" s="29" t="str">
        <x:v>Bull case — annual segment growth assumptions</x:v>
      </x:c>
      <x:c r="H30" s="29" t="str">
        <x:v>Bull case — annual segment growth assumptions</x:v>
      </x:c>
      <x:c r="I30" s="29" t="str">
        <x:v>Bull case — annual segment growth assumptions</x:v>
      </x:c>
      <x:c r="J30" s="29" t="str">
        <x:v>Bull case — annual segment growth assumptions</x:v>
      </x:c>
      <x:c r="K30" s="29" t="str">
        <x:v>Bull case — annual segment growth assumptions</x:v>
      </x:c>
      <x:c r="L30" s="29" t="str">
        <x:v>Bull case — annual segment growth assumptions</x:v>
      </x:c>
    </x:row>
    <x:row r="31">
      <x:c r="A31" s="32" t="str">
        <x:v>Segment</x:v>
      </x:c>
      <x:c r="B31" s="32" t="str">
        <x:v>FY2027E</x:v>
      </x:c>
      <x:c r="C31" s="32" t="str">
        <x:v>FY2028E</x:v>
      </x:c>
      <x:c r="D31" s="32" t="str">
        <x:v>FY2029E</x:v>
      </x:c>
      <x:c r="E31" s="32" t="str">
        <x:v>FY2030E</x:v>
      </x:c>
      <x:c r="F31" s="32" t="str">
        <x:v>FY2031E</x:v>
      </x:c>
      <x:c r="G31" s="32" t="str">
        <x:v>FY2032E</x:v>
      </x:c>
      <x:c r="H31" s="32" t="str">
        <x:v>FY2033E</x:v>
      </x:c>
      <x:c r="I31" s="32" t="str">
        <x:v>FY2034E</x:v>
      </x:c>
      <x:c r="J31" s="32" t="str">
        <x:v>FY2035E</x:v>
      </x:c>
      <x:c r="K31" s="31"/>
      <x:c r="L31" s="31"/>
    </x:row>
    <x:row r="32">
      <x:c r="A32" s="31" t="str">
        <x:v>QCT Handsets</x:v>
      </x:c>
      <x:c r="B32" s="33" t="n">
        <x:v>-0.1</x:v>
      </x:c>
      <x:c r="C32" s="33" t="n">
        <x:v>0.05</x:v>
      </x:c>
      <x:c r="D32" s="33" t="n">
        <x:v>0.05</x:v>
      </x:c>
      <x:c r="E32" s="33" t="n">
        <x:v>0.05</x:v>
      </x:c>
      <x:c r="F32" s="33" t="n">
        <x:v>0.04</x:v>
      </x:c>
      <x:c r="G32" s="33" t="n">
        <x:v>0.04</x:v>
      </x:c>
      <x:c r="H32" s="33" t="n">
        <x:v>0.03</x:v>
      </x:c>
      <x:c r="I32" s="33" t="n">
        <x:v>0.03</x:v>
      </x:c>
      <x:c r="J32" s="33" t="n">
        <x:v>0.03</x:v>
      </x:c>
      <x:c r="K32" s="31"/>
      <x:c r="L32" s="31"/>
    </x:row>
    <x:row r="33">
      <x:c r="A33" s="31" t="str">
        <x:v>QCT Automotive</x:v>
      </x:c>
      <x:c r="B33" s="33" t="n">
        <x:v>0.3</x:v>
      </x:c>
      <x:c r="C33" s="33" t="n">
        <x:v>0.25</x:v>
      </x:c>
      <x:c r="D33" s="33" t="n">
        <x:v>0.2</x:v>
      </x:c>
      <x:c r="E33" s="33" t="n">
        <x:v>0.15</x:v>
      </x:c>
      <x:c r="F33" s="33" t="n">
        <x:v>0.12</x:v>
      </x:c>
      <x:c r="G33" s="33" t="n">
        <x:v>0.1</x:v>
      </x:c>
      <x:c r="H33" s="33" t="n">
        <x:v>0.08</x:v>
      </x:c>
      <x:c r="I33" s="33" t="n">
        <x:v>0.07</x:v>
      </x:c>
      <x:c r="J33" s="33" t="n">
        <x:v>0.06</x:v>
      </x:c>
      <x:c r="K33" s="31"/>
      <x:c r="L33" s="31"/>
    </x:row>
    <x:row r="34">
      <x:c r="A34" s="31" t="str">
        <x:v>Industrial IoT / Physical AI</x:v>
      </x:c>
      <x:c r="B34" s="33" t="n">
        <x:v>0.25</x:v>
      </x:c>
      <x:c r="C34" s="33" t="n">
        <x:v>0.22</x:v>
      </x:c>
      <x:c r="D34" s="33" t="n">
        <x:v>0.2</x:v>
      </x:c>
      <x:c r="E34" s="33" t="n">
        <x:v>0.17</x:v>
      </x:c>
      <x:c r="F34" s="33" t="n">
        <x:v>0.14</x:v>
      </x:c>
      <x:c r="G34" s="33" t="n">
        <x:v>0.12</x:v>
      </x:c>
      <x:c r="H34" s="33" t="n">
        <x:v>0.1</x:v>
      </x:c>
      <x:c r="I34" s="33" t="n">
        <x:v>0.08</x:v>
      </x:c>
      <x:c r="J34" s="33" t="n">
        <x:v>0.07</x:v>
      </x:c>
      <x:c r="K34" s="31"/>
      <x:c r="L34" s="31"/>
    </x:row>
    <x:row r="35">
      <x:c r="A35" s="31" t="str">
        <x:v>PC &amp; Consumer IoT</x:v>
      </x:c>
      <x:c r="B35" s="33" t="n">
        <x:v>0.15</x:v>
      </x:c>
      <x:c r="C35" s="33" t="n">
        <x:v>0.15</x:v>
      </x:c>
      <x:c r="D35" s="33" t="n">
        <x:v>0.12</x:v>
      </x:c>
      <x:c r="E35" s="33" t="n">
        <x:v>0.1</x:v>
      </x:c>
      <x:c r="F35" s="33" t="n">
        <x:v>0.08</x:v>
      </x:c>
      <x:c r="G35" s="33" t="n">
        <x:v>0.07</x:v>
      </x:c>
      <x:c r="H35" s="33" t="n">
        <x:v>0.06</x:v>
      </x:c>
      <x:c r="I35" s="33" t="n">
        <x:v>0.05</x:v>
      </x:c>
      <x:c r="J35" s="33" t="n">
        <x:v>0.04</x:v>
      </x:c>
      <x:c r="K35" s="31"/>
      <x:c r="L35" s="31"/>
    </x:row>
    <x:row r="36">
      <x:c r="A36" s="31" t="str">
        <x:v>XR / AR &amp; Wearables</x:v>
      </x:c>
      <x:c r="B36" s="33" t="n">
        <x:v>0.35</x:v>
      </x:c>
      <x:c r="C36" s="33" t="n">
        <x:v>0.3</x:v>
      </x:c>
      <x:c r="D36" s="33" t="n">
        <x:v>0.25</x:v>
      </x:c>
      <x:c r="E36" s="33" t="n">
        <x:v>0.2</x:v>
      </x:c>
      <x:c r="F36" s="33" t="n">
        <x:v>0.16</x:v>
      </x:c>
      <x:c r="G36" s="33" t="n">
        <x:v>0.13</x:v>
      </x:c>
      <x:c r="H36" s="33" t="n">
        <x:v>0.1</x:v>
      </x:c>
      <x:c r="I36" s="33" t="n">
        <x:v>0.08</x:v>
      </x:c>
      <x:c r="J36" s="33" t="n">
        <x:v>0.06</x:v>
      </x:c>
      <x:c r="K36" s="31"/>
      <x:c r="L36" s="31"/>
    </x:row>
    <x:row r="37">
      <x:c r="A37" s="31" t="str">
        <x:v>Data Center</x:v>
      </x:c>
      <x:c r="B37" s="33" t="n">
        <x:v>15.6667</x:v>
      </x:c>
      <x:c r="C37" s="33" t="n">
        <x:v>0.6</x:v>
      </x:c>
      <x:c r="D37" s="33" t="n">
        <x:v>0.45</x:v>
      </x:c>
      <x:c r="E37" s="33" t="n">
        <x:v>0.35</x:v>
      </x:c>
      <x:c r="F37" s="33" t="n">
        <x:v>0.25</x:v>
      </x:c>
      <x:c r="G37" s="33" t="n">
        <x:v>0.2</x:v>
      </x:c>
      <x:c r="H37" s="33" t="n">
        <x:v>0.15</x:v>
      </x:c>
      <x:c r="I37" s="33" t="n">
        <x:v>0.12</x:v>
      </x:c>
      <x:c r="J37" s="33" t="n">
        <x:v>0.1</x:v>
      </x:c>
      <x:c r="K37" s="31"/>
      <x:c r="L37" s="31"/>
    </x:row>
    <x:row r="38">
      <x:c r="A38" s="31" t="str">
        <x:v>QTL Licensing</x:v>
      </x:c>
      <x:c r="B38" s="33" t="n">
        <x:v>0</x:v>
      </x:c>
      <x:c r="C38" s="33" t="n">
        <x:v>0.03</x:v>
      </x:c>
      <x:c r="D38" s="33" t="n">
        <x:v>0.03</x:v>
      </x:c>
      <x:c r="E38" s="33" t="n">
        <x:v>0.03</x:v>
      </x:c>
      <x:c r="F38" s="33" t="n">
        <x:v>0.03</x:v>
      </x:c>
      <x:c r="G38" s="33" t="n">
        <x:v>0.03</x:v>
      </x:c>
      <x:c r="H38" s="33" t="n">
        <x:v>0.03</x:v>
      </x:c>
      <x:c r="I38" s="33" t="n">
        <x:v>0.03</x:v>
      </x:c>
      <x:c r="J38" s="33" t="n">
        <x:v>0.03</x:v>
      </x:c>
      <x:c r="K38" s="31"/>
      <x:c r="L38" s="31"/>
    </x:row>
    <x:row r="39">
      <x:c r="A39" s="31" t="str">
        <x:v>Other / Eliminations</x:v>
      </x:c>
      <x:c r="B39" s="33" t="n">
        <x:v>0</x:v>
      </x:c>
      <x:c r="C39" s="33" t="n">
        <x:v>0</x:v>
      </x:c>
      <x:c r="D39" s="33" t="n">
        <x:v>0</x:v>
      </x:c>
      <x:c r="E39" s="33" t="n">
        <x:v>0</x:v>
      </x:c>
      <x:c r="F39" s="33" t="n">
        <x:v>0</x:v>
      </x:c>
      <x:c r="G39" s="33" t="n">
        <x:v>0</x:v>
      </x:c>
      <x:c r="H39" s="33" t="n">
        <x:v>0</x:v>
      </x:c>
      <x:c r="I39" s="33" t="n">
        <x:v>0</x:v>
      </x:c>
      <x:c r="J39" s="33" t="n">
        <x:v>0</x:v>
      </x:c>
      <x:c r="K39" s="31"/>
      <x:c r="L39" s="31"/>
    </x:row>
    <x:row r="40">
      <x:c r="A40" s="37" t="str">
        <x:v>Aggregate revenue growth</x:v>
      </x:c>
      <x:c r="B40" s="37"/>
      <x:c r="C40" s="37"/>
      <x:c r="D40" s="37"/>
      <x:c r="E40" s="37"/>
      <x:c r="F40" s="37"/>
      <x:c r="G40" s="37"/>
      <x:c r="H40" s="37"/>
      <x:c r="I40" s="37"/>
      <x:c r="J40" s="37"/>
      <x:c r="K40" s="31"/>
      <x:c r="L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</x:row>
    <x:row r="43">
      <x:c r="A43" s="32" t="str">
        <x:v>Segment</x:v>
      </x:c>
      <x:c r="B43" s="32" t="str">
        <x:v>FY2027 EBIT margin</x:v>
      </x:c>
      <x:c r="C43" s="32" t="str">
        <x:v>FY2035 EBIT margin</x:v>
      </x:c>
      <x:c r="D43" s="32" t="str">
        <x:v>Modeled risk</x:v>
      </x:c>
      <x:c r="E43" s="31"/>
      <x:c r="F43" s="31"/>
      <x:c r="G43" s="31"/>
      <x:c r="H43" s="31"/>
      <x:c r="I43" s="31"/>
      <x:c r="J43" s="31"/>
      <x:c r="K43" s="31"/>
      <x:c r="L43" s="31"/>
    </x:row>
    <x:row r="44">
      <x:c r="A44" s="31" t="str">
        <x:v>QCT Handsets</x:v>
      </x:c>
      <x:c r="B44" s="33" t="n">
        <x:v>0.23</x:v>
      </x:c>
      <x:c r="C44" s="33" t="n">
        <x:v>0.26</x:v>
      </x:c>
      <x:c r="D44" s="31" t="str">
        <x:v>Apple, China, memory / pricing</x:v>
      </x:c>
      <x:c r="E44" s="31"/>
      <x:c r="F44" s="31"/>
      <x:c r="G44" s="31"/>
      <x:c r="H44" s="31"/>
      <x:c r="I44" s="31"/>
      <x:c r="J44" s="31"/>
      <x:c r="K44" s="31"/>
      <x:c r="L44" s="31"/>
    </x:row>
    <x:row r="45">
      <x:c r="A45" s="31" t="str">
        <x:v>QCT Automotive</x:v>
      </x:c>
      <x:c r="B45" s="33" t="n">
        <x:v>0.18</x:v>
      </x:c>
      <x:c r="C45" s="33" t="n">
        <x:v>0.28</x:v>
      </x:c>
      <x:c r="D45" s="31" t="str">
        <x:v>Execution / mix</x:v>
      </x:c>
      <x:c r="E45" s="31"/>
      <x:c r="F45" s="31"/>
      <x:c r="G45" s="31"/>
      <x:c r="H45" s="31"/>
      <x:c r="I45" s="31"/>
      <x:c r="J45" s="31"/>
      <x:c r="K45" s="31"/>
      <x:c r="L45" s="31"/>
    </x:row>
    <x:row r="46">
      <x:c r="A46" s="31" t="str">
        <x:v>Industrial IoT / Physical AI</x:v>
      </x:c>
      <x:c r="B46" s="33" t="n">
        <x:v>0.2</x:v>
      </x:c>
      <x:c r="C46" s="33" t="n">
        <x:v>0.27</x:v>
      </x:c>
      <x:c r="D46" s="31" t="str">
        <x:v>Execution / mix</x:v>
      </x:c>
      <x:c r="E46" s="31"/>
      <x:c r="F46" s="31"/>
      <x:c r="G46" s="31"/>
      <x:c r="H46" s="31"/>
      <x:c r="I46" s="31"/>
      <x:c r="J46" s="31"/>
      <x:c r="K46" s="31"/>
      <x:c r="L46" s="31"/>
    </x:row>
    <x:row r="47">
      <x:c r="A47" s="31" t="str">
        <x:v>PC &amp; Consumer IoT</x:v>
      </x:c>
      <x:c r="B47" s="33" t="n">
        <x:v>0.13</x:v>
      </x:c>
      <x:c r="C47" s="33" t="n">
        <x:v>0.22</x:v>
      </x:c>
      <x:c r="D47" s="31" t="str">
        <x:v>Execution / mix</x:v>
      </x:c>
      <x:c r="E47" s="31"/>
      <x:c r="F47" s="31"/>
      <x:c r="G47" s="31"/>
      <x:c r="H47" s="31"/>
      <x:c r="I47" s="31"/>
      <x:c r="J47" s="31"/>
      <x:c r="K47" s="31"/>
      <x:c r="L47" s="31"/>
    </x:row>
    <x:row r="48">
      <x:c r="A48" s="31" t="str">
        <x:v>XR / AR &amp; Wearables</x:v>
      </x:c>
      <x:c r="B48" s="33" t="n">
        <x:v>0</x:v>
      </x:c>
      <x:c r="C48" s="33" t="n">
        <x:v>0.18</x:v>
      </x:c>
      <x:c r="D48" s="31" t="str">
        <x:v>Execution / mix</x:v>
      </x:c>
      <x:c r="E48" s="31"/>
      <x:c r="F48" s="31"/>
      <x:c r="G48" s="31"/>
      <x:c r="H48" s="31"/>
      <x:c r="I48" s="31"/>
      <x:c r="J48" s="31"/>
      <x:c r="K48" s="31"/>
      <x:c r="L48" s="31"/>
    </x:row>
    <x:row r="49">
      <x:c r="A49" s="31" t="str">
        <x:v>Data Center</x:v>
      </x:c>
      <x:c r="B49" s="33" t="n">
        <x:v>-0.05</x:v>
      </x:c>
      <x:c r="C49" s="33" t="n">
        <x:v>0.28</x:v>
      </x:c>
      <x:c r="D49" s="31" t="str">
        <x:v>Ramp and investment ahead of revenue</x:v>
      </x:c>
      <x:c r="E49" s="31"/>
      <x:c r="F49" s="31"/>
      <x:c r="G49" s="31"/>
      <x:c r="H49" s="31"/>
      <x:c r="I49" s="31"/>
      <x:c r="J49" s="31"/>
      <x:c r="K49" s="31"/>
      <x:c r="L49" s="31"/>
    </x:row>
    <x:row r="50">
      <x:c r="A50" s="31" t="str">
        <x:v>QTL Licensing</x:v>
      </x:c>
      <x:c r="B50" s="33" t="n">
        <x:v>0.7</x:v>
      </x:c>
      <x:c r="C50" s="33" t="n">
        <x:v>0.68</x:v>
      </x:c>
      <x:c r="D50" s="31" t="str">
        <x:v>Royalty-base / regulatory risk</x:v>
      </x:c>
      <x:c r="E50" s="31"/>
      <x:c r="F50" s="31"/>
      <x:c r="G50" s="31"/>
      <x:c r="H50" s="31"/>
      <x:c r="I50" s="31"/>
      <x:c r="J50" s="31"/>
      <x:c r="K50" s="31"/>
      <x:c r="L50" s="31"/>
    </x:row>
    <x:row r="51">
      <x:c r="A51" s="31" t="str">
        <x:v>Other / Eliminations</x:v>
      </x:c>
      <x:c r="B51" s="33" t="n">
        <x:v>-0.3</x:v>
      </x:c>
      <x:c r="C51" s="33" t="n">
        <x:v>0</x:v>
      </x:c>
      <x:c r="D51" s="31" t="str">
        <x:v>Execution / mix</x:v>
      </x:c>
      <x:c r="E51" s="31"/>
      <x:c r="F51" s="31"/>
      <x:c r="G51" s="31"/>
      <x:c r="H51" s="31"/>
      <x:c r="I51" s="31"/>
      <x:c r="J51" s="31"/>
      <x:c r="K51" s="31"/>
      <x:c r="L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</x:row>
    <x:row r="54" ht="21" customHeight="1">
      <x:c r="A54" s="29" t="str">
        <x:v>Base case — annual segment growth assumptions</x:v>
      </x:c>
      <x:c r="B54" s="29" t="str">
        <x:v>Base case — annual segment growth assumptions</x:v>
      </x:c>
      <x:c r="C54" s="29" t="str">
        <x:v>Base case — annual segment growth assumptions</x:v>
      </x:c>
      <x:c r="D54" s="29" t="str">
        <x:v>Base case — annual segment growth assumptions</x:v>
      </x:c>
      <x:c r="E54" s="29" t="str">
        <x:v>Base case — annual segment growth assumptions</x:v>
      </x:c>
      <x:c r="F54" s="29" t="str">
        <x:v>Base case — annual segment growth assumptions</x:v>
      </x:c>
      <x:c r="G54" s="29" t="str">
        <x:v>Base case — annual segment growth assumptions</x:v>
      </x:c>
      <x:c r="H54" s="29" t="str">
        <x:v>Base case — annual segment growth assumptions</x:v>
      </x:c>
      <x:c r="I54" s="29" t="str">
        <x:v>Base case — annual segment growth assumptions</x:v>
      </x:c>
      <x:c r="J54" s="29" t="str">
        <x:v>Base case — annual segment growth assumptions</x:v>
      </x:c>
      <x:c r="K54" s="29" t="str">
        <x:v>Base case — annual segment growth assumptions</x:v>
      </x:c>
      <x:c r="L54" s="29" t="str">
        <x:v>Base case — annual segment growth assumptions</x:v>
      </x:c>
    </x:row>
    <x:row r="55">
      <x:c r="A55" s="32" t="str">
        <x:v>Segment</x:v>
      </x:c>
      <x:c r="B55" s="32" t="str">
        <x:v>FY2027E</x:v>
      </x:c>
      <x:c r="C55" s="32" t="str">
        <x:v>FY2028E</x:v>
      </x:c>
      <x:c r="D55" s="32" t="str">
        <x:v>FY2029E</x:v>
      </x:c>
      <x:c r="E55" s="32" t="str">
        <x:v>FY2030E</x:v>
      </x:c>
      <x:c r="F55" s="32" t="str">
        <x:v>FY2031E</x:v>
      </x:c>
      <x:c r="G55" s="32" t="str">
        <x:v>FY2032E</x:v>
      </x:c>
      <x:c r="H55" s="32" t="str">
        <x:v>FY2033E</x:v>
      </x:c>
      <x:c r="I55" s="32" t="str">
        <x:v>FY2034E</x:v>
      </x:c>
      <x:c r="J55" s="32" t="str">
        <x:v>FY2035E</x:v>
      </x:c>
      <x:c r="K55" s="31"/>
      <x:c r="L55" s="31"/>
    </x:row>
    <x:row r="56">
      <x:c r="A56" s="31" t="str">
        <x:v>QCT Handsets</x:v>
      </x:c>
      <x:c r="B56" s="33" t="n">
        <x:v>-0.16</x:v>
      </x:c>
      <x:c r="C56" s="33" t="n">
        <x:v>0.02</x:v>
      </x:c>
      <x:c r="D56" s="33" t="n">
        <x:v>0.02</x:v>
      </x:c>
      <x:c r="E56" s="33" t="n">
        <x:v>0.025</x:v>
      </x:c>
      <x:c r="F56" s="33" t="n">
        <x:v>0.03</x:v>
      </x:c>
      <x:c r="G56" s="33" t="n">
        <x:v>0.03</x:v>
      </x:c>
      <x:c r="H56" s="33" t="n">
        <x:v>0.03</x:v>
      </x:c>
      <x:c r="I56" s="33" t="n">
        <x:v>0.03</x:v>
      </x:c>
      <x:c r="J56" s="33" t="n">
        <x:v>0.03</x:v>
      </x:c>
      <x:c r="K56" s="31"/>
      <x:c r="L56" s="31"/>
    </x:row>
    <x:row r="57">
      <x:c r="A57" s="31" t="str">
        <x:v>QCT Automotive</x:v>
      </x:c>
      <x:c r="B57" s="33" t="n">
        <x:v>0.25</x:v>
      </x:c>
      <x:c r="C57" s="33" t="n">
        <x:v>0.18</x:v>
      </x:c>
      <x:c r="D57" s="33" t="n">
        <x:v>0.14</x:v>
      </x:c>
      <x:c r="E57" s="33" t="n">
        <x:v>0.12</x:v>
      </x:c>
      <x:c r="F57" s="33" t="n">
        <x:v>0.1</x:v>
      </x:c>
      <x:c r="G57" s="33" t="n">
        <x:v>0.08</x:v>
      </x:c>
      <x:c r="H57" s="33" t="n">
        <x:v>0.07</x:v>
      </x:c>
      <x:c r="I57" s="33" t="n">
        <x:v>0.06</x:v>
      </x:c>
      <x:c r="J57" s="33" t="n">
        <x:v>0.05</x:v>
      </x:c>
      <x:c r="K57" s="31"/>
      <x:c r="L57" s="31"/>
    </x:row>
    <x:row r="58">
      <x:c r="A58" s="31" t="str">
        <x:v>Industrial IoT / Physical AI</x:v>
      </x:c>
      <x:c r="B58" s="33" t="n">
        <x:v>0.2</x:v>
      </x:c>
      <x:c r="C58" s="33" t="n">
        <x:v>0.18</x:v>
      </x:c>
      <x:c r="D58" s="33" t="n">
        <x:v>0.16</x:v>
      </x:c>
      <x:c r="E58" s="33" t="n">
        <x:v>0.14</x:v>
      </x:c>
      <x:c r="F58" s="33" t="n">
        <x:v>0.12</x:v>
      </x:c>
      <x:c r="G58" s="33" t="n">
        <x:v>0.1</x:v>
      </x:c>
      <x:c r="H58" s="33" t="n">
        <x:v>0.08</x:v>
      </x:c>
      <x:c r="I58" s="33" t="n">
        <x:v>0.07</x:v>
      </x:c>
      <x:c r="J58" s="33" t="n">
        <x:v>0.06</x:v>
      </x:c>
      <x:c r="K58" s="31"/>
      <x:c r="L58" s="31"/>
    </x:row>
    <x:row r="59">
      <x:c r="A59" s="31" t="str">
        <x:v>PC &amp; Consumer IoT</x:v>
      </x:c>
      <x:c r="B59" s="33" t="n">
        <x:v>0.12</x:v>
      </x:c>
      <x:c r="C59" s="33" t="n">
        <x:v>0.12</x:v>
      </x:c>
      <x:c r="D59" s="33" t="n">
        <x:v>0.1</x:v>
      </x:c>
      <x:c r="E59" s="33" t="n">
        <x:v>0.09</x:v>
      </x:c>
      <x:c r="F59" s="33" t="n">
        <x:v>0.08</x:v>
      </x:c>
      <x:c r="G59" s="33" t="n">
        <x:v>0.07</x:v>
      </x:c>
      <x:c r="H59" s="33" t="n">
        <x:v>0.06</x:v>
      </x:c>
      <x:c r="I59" s="33" t="n">
        <x:v>0.05</x:v>
      </x:c>
      <x:c r="J59" s="33" t="n">
        <x:v>0.04</x:v>
      </x:c>
      <x:c r="K59" s="31"/>
      <x:c r="L59" s="31"/>
    </x:row>
    <x:row r="60">
      <x:c r="A60" s="31" t="str">
        <x:v>XR / AR &amp; Wearables</x:v>
      </x:c>
      <x:c r="B60" s="33" t="n">
        <x:v>0.25</x:v>
      </x:c>
      <x:c r="C60" s="33" t="n">
        <x:v>0.25</x:v>
      </x:c>
      <x:c r="D60" s="33" t="n">
        <x:v>0.22</x:v>
      </x:c>
      <x:c r="E60" s="33" t="n">
        <x:v>0.18</x:v>
      </x:c>
      <x:c r="F60" s="33" t="n">
        <x:v>0.15</x:v>
      </x:c>
      <x:c r="G60" s="33" t="n">
        <x:v>0.12</x:v>
      </x:c>
      <x:c r="H60" s="33" t="n">
        <x:v>0.1</x:v>
      </x:c>
      <x:c r="I60" s="33" t="n">
        <x:v>0.08</x:v>
      </x:c>
      <x:c r="J60" s="33" t="n">
        <x:v>0.06</x:v>
      </x:c>
      <x:c r="K60" s="31"/>
      <x:c r="L60" s="31"/>
    </x:row>
    <x:row r="61">
      <x:c r="A61" s="31" t="str">
        <x:v>Data Center</x:v>
      </x:c>
      <x:c r="B61" s="33" t="n">
        <x:v>9</x:v>
      </x:c>
      <x:c r="C61" s="33" t="n">
        <x:v>0.6</x:v>
      </x:c>
      <x:c r="D61" s="33" t="n">
        <x:v>0.45</x:v>
      </x:c>
      <x:c r="E61" s="33" t="n">
        <x:v>0.3</x:v>
      </x:c>
      <x:c r="F61" s="33" t="n">
        <x:v>0.2</x:v>
      </x:c>
      <x:c r="G61" s="33" t="n">
        <x:v>0.15</x:v>
      </x:c>
      <x:c r="H61" s="33" t="n">
        <x:v>0.12</x:v>
      </x:c>
      <x:c r="I61" s="33" t="n">
        <x:v>0.1</x:v>
      </x:c>
      <x:c r="J61" s="33" t="n">
        <x:v>0.08</x:v>
      </x:c>
      <x:c r="K61" s="31"/>
      <x:c r="L61" s="31"/>
    </x:row>
    <x:row r="62">
      <x:c r="A62" s="31" t="str">
        <x:v>QTL Licensing</x:v>
      </x:c>
      <x:c r="B62" s="33" t="n">
        <x:v>-0.03</x:v>
      </x:c>
      <x:c r="C62" s="33" t="n">
        <x:v>0.02</x:v>
      </x:c>
      <x:c r="D62" s="33" t="n">
        <x:v>0.02</x:v>
      </x:c>
      <x:c r="E62" s="33" t="n">
        <x:v>0.02</x:v>
      </x:c>
      <x:c r="F62" s="33" t="n">
        <x:v>0.02</x:v>
      </x:c>
      <x:c r="G62" s="33" t="n">
        <x:v>0.025</x:v>
      </x:c>
      <x:c r="H62" s="33" t="n">
        <x:v>0.025</x:v>
      </x:c>
      <x:c r="I62" s="33" t="n">
        <x:v>0.025</x:v>
      </x:c>
      <x:c r="J62" s="33" t="n">
        <x:v>0.025</x:v>
      </x:c>
      <x:c r="K62" s="31"/>
      <x:c r="L62" s="31"/>
    </x:row>
    <x:row r="63">
      <x:c r="A63" s="31" t="str">
        <x:v>Other / Eliminations</x:v>
      </x:c>
      <x:c r="B63" s="33" t="n">
        <x:v>0</x:v>
      </x:c>
      <x:c r="C63" s="33" t="n">
        <x:v>0</x:v>
      </x:c>
      <x:c r="D63" s="33" t="n">
        <x:v>0</x:v>
      </x:c>
      <x:c r="E63" s="33" t="n">
        <x:v>0</x:v>
      </x:c>
      <x:c r="F63" s="33" t="n">
        <x:v>0</x:v>
      </x:c>
      <x:c r="G63" s="33" t="n">
        <x:v>0</x:v>
      </x:c>
      <x:c r="H63" s="33" t="n">
        <x:v>0</x:v>
      </x:c>
      <x:c r="I63" s="33" t="n">
        <x:v>0</x:v>
      </x:c>
      <x:c r="J63" s="33" t="n">
        <x:v>0</x:v>
      </x:c>
      <x:c r="K63" s="31"/>
      <x:c r="L63" s="31"/>
    </x:row>
    <x:row r="64">
      <x:c r="A64" s="37" t="str">
        <x:v>Aggregate revenue growth</x:v>
      </x:c>
      <x:c r="B64" s="37"/>
      <x:c r="C64" s="37"/>
      <x:c r="D64" s="37"/>
      <x:c r="E64" s="37"/>
      <x:c r="F64" s="37"/>
      <x:c r="G64" s="37"/>
      <x:c r="H64" s="37"/>
      <x:c r="I64" s="37"/>
      <x:c r="J64" s="37"/>
      <x:c r="K64" s="31"/>
      <x:c r="L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</x:row>
    <x:row r="67">
      <x:c r="A67" s="32" t="str">
        <x:v>Segment</x:v>
      </x:c>
      <x:c r="B67" s="32" t="str">
        <x:v>FY2027 EBIT margin</x:v>
      </x:c>
      <x:c r="C67" s="32" t="str">
        <x:v>FY2035 EBIT margin</x:v>
      </x:c>
      <x:c r="D67" s="32" t="str">
        <x:v>Modeled risk</x:v>
      </x:c>
      <x:c r="E67" s="31"/>
      <x:c r="F67" s="31"/>
      <x:c r="G67" s="31"/>
      <x:c r="H67" s="31"/>
      <x:c r="I67" s="31"/>
      <x:c r="J67" s="31"/>
      <x:c r="K67" s="31"/>
      <x:c r="L67" s="31"/>
    </x:row>
    <x:row r="68">
      <x:c r="A68" s="31" t="str">
        <x:v>QCT Handsets</x:v>
      </x:c>
      <x:c r="B68" s="33" t="n">
        <x:v>0.2</x:v>
      </x:c>
      <x:c r="C68" s="33" t="n">
        <x:v>0.23</x:v>
      </x:c>
      <x:c r="D68" s="31" t="str">
        <x:v>Apple, China, memory / pricing</x:v>
      </x:c>
      <x:c r="E68" s="31"/>
      <x:c r="F68" s="31"/>
      <x:c r="G68" s="31"/>
      <x:c r="H68" s="31"/>
      <x:c r="I68" s="31"/>
      <x:c r="J68" s="31"/>
      <x:c r="K68" s="31"/>
      <x:c r="L68" s="31"/>
    </x:row>
    <x:row r="69">
      <x:c r="A69" s="31" t="str">
        <x:v>QCT Automotive</x:v>
      </x:c>
      <x:c r="B69" s="33" t="n">
        <x:v>0.15</x:v>
      </x:c>
      <x:c r="C69" s="33" t="n">
        <x:v>0.24</x:v>
      </x:c>
      <x:c r="D69" s="31" t="str">
        <x:v>Execution / mix</x:v>
      </x:c>
      <x:c r="E69" s="31"/>
      <x:c r="F69" s="31"/>
      <x:c r="G69" s="31"/>
      <x:c r="H69" s="31"/>
      <x:c r="I69" s="31"/>
      <x:c r="J69" s="31"/>
      <x:c r="K69" s="31"/>
      <x:c r="L69" s="31"/>
    </x:row>
    <x:row r="70">
      <x:c r="A70" s="31" t="str">
        <x:v>Industrial IoT / Physical AI</x:v>
      </x:c>
      <x:c r="B70" s="33" t="n">
        <x:v>0.18</x:v>
      </x:c>
      <x:c r="C70" s="33" t="n">
        <x:v>0.24</x:v>
      </x:c>
      <x:c r="D70" s="31" t="str">
        <x:v>Execution / mix</x:v>
      </x:c>
      <x:c r="E70" s="31"/>
      <x:c r="F70" s="31"/>
      <x:c r="G70" s="31"/>
      <x:c r="H70" s="31"/>
      <x:c r="I70" s="31"/>
      <x:c r="J70" s="31"/>
      <x:c r="K70" s="31"/>
      <x:c r="L70" s="31"/>
    </x:row>
    <x:row r="71">
      <x:c r="A71" s="31" t="str">
        <x:v>PC &amp; Consumer IoT</x:v>
      </x:c>
      <x:c r="B71" s="33" t="n">
        <x:v>0.1</x:v>
      </x:c>
      <x:c r="C71" s="33" t="n">
        <x:v>0.18</x:v>
      </x:c>
      <x:c r="D71" s="31" t="str">
        <x:v>Execution / mix</x:v>
      </x:c>
      <x:c r="E71" s="31"/>
      <x:c r="F71" s="31"/>
      <x:c r="G71" s="31"/>
      <x:c r="H71" s="31"/>
      <x:c r="I71" s="31"/>
      <x:c r="J71" s="31"/>
      <x:c r="K71" s="31"/>
      <x:c r="L71" s="31"/>
    </x:row>
    <x:row r="72">
      <x:c r="A72" s="31" t="str">
        <x:v>XR / AR &amp; Wearables</x:v>
      </x:c>
      <x:c r="B72" s="33" t="n">
        <x:v>-0.05</x:v>
      </x:c>
      <x:c r="C72" s="33" t="n">
        <x:v>0.12</x:v>
      </x:c>
      <x:c r="D72" s="31" t="str">
        <x:v>Execution / mix</x:v>
      </x:c>
      <x:c r="E72" s="31"/>
      <x:c r="F72" s="31"/>
      <x:c r="G72" s="31"/>
      <x:c r="H72" s="31"/>
      <x:c r="I72" s="31"/>
      <x:c r="J72" s="31"/>
      <x:c r="K72" s="31"/>
      <x:c r="L72" s="31"/>
    </x:row>
    <x:row r="73">
      <x:c r="A73" s="31" t="str">
        <x:v>Data Center</x:v>
      </x:c>
      <x:c r="B73" s="33" t="n">
        <x:v>-0.1</x:v>
      </x:c>
      <x:c r="C73" s="33" t="n">
        <x:v>0.22</x:v>
      </x:c>
      <x:c r="D73" s="31" t="str">
        <x:v>Ramp and investment ahead of revenue</x:v>
      </x:c>
      <x:c r="E73" s="31"/>
      <x:c r="F73" s="31"/>
      <x:c r="G73" s="31"/>
      <x:c r="H73" s="31"/>
      <x:c r="I73" s="31"/>
      <x:c r="J73" s="31"/>
      <x:c r="K73" s="31"/>
      <x:c r="L73" s="31"/>
    </x:row>
    <x:row r="74">
      <x:c r="A74" s="31" t="str">
        <x:v>QTL Licensing</x:v>
      </x:c>
      <x:c r="B74" s="33" t="n">
        <x:v>0.67</x:v>
      </x:c>
      <x:c r="C74" s="33" t="n">
        <x:v>0.64</x:v>
      </x:c>
      <x:c r="D74" s="31" t="str">
        <x:v>Royalty-base / regulatory risk</x:v>
      </x:c>
      <x:c r="E74" s="31"/>
      <x:c r="F74" s="31"/>
      <x:c r="G74" s="31"/>
      <x:c r="H74" s="31"/>
      <x:c r="I74" s="31"/>
      <x:c r="J74" s="31"/>
      <x:c r="K74" s="31"/>
      <x:c r="L74" s="31"/>
    </x:row>
    <x:row r="75">
      <x:c r="A75" s="31" t="str">
        <x:v>Other / Eliminations</x:v>
      </x:c>
      <x:c r="B75" s="33" t="n">
        <x:v>-0.5</x:v>
      </x:c>
      <x:c r="C75" s="33" t="n">
        <x:v>-0.2</x:v>
      </x:c>
      <x:c r="D75" s="31" t="str">
        <x:v>Execution / mix</x:v>
      </x:c>
      <x:c r="E75" s="31"/>
      <x:c r="F75" s="31"/>
      <x:c r="G75" s="31"/>
      <x:c r="H75" s="31"/>
      <x:c r="I75" s="31"/>
      <x:c r="J75" s="31"/>
      <x:c r="K75" s="31"/>
      <x:c r="L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</x:row>
    <x:row r="78" ht="21" customHeight="1">
      <x:c r="A78" s="29" t="str">
        <x:v>Bear case — annual segment growth assumptions</x:v>
      </x:c>
      <x:c r="B78" s="29" t="str">
        <x:v>Bear case — annual segment growth assumptions</x:v>
      </x:c>
      <x:c r="C78" s="29" t="str">
        <x:v>Bear case — annual segment growth assumptions</x:v>
      </x:c>
      <x:c r="D78" s="29" t="str">
        <x:v>Bear case — annual segment growth assumptions</x:v>
      </x:c>
      <x:c r="E78" s="29" t="str">
        <x:v>Bear case — annual segment growth assumptions</x:v>
      </x:c>
      <x:c r="F78" s="29" t="str">
        <x:v>Bear case — annual segment growth assumptions</x:v>
      </x:c>
      <x:c r="G78" s="29" t="str">
        <x:v>Bear case — annual segment growth assumptions</x:v>
      </x:c>
      <x:c r="H78" s="29" t="str">
        <x:v>Bear case — annual segment growth assumptions</x:v>
      </x:c>
      <x:c r="I78" s="29" t="str">
        <x:v>Bear case — annual segment growth assumptions</x:v>
      </x:c>
      <x:c r="J78" s="29" t="str">
        <x:v>Bear case — annual segment growth assumptions</x:v>
      </x:c>
      <x:c r="K78" s="29" t="str">
        <x:v>Bear case — annual segment growth assumptions</x:v>
      </x:c>
      <x:c r="L78" s="29" t="str">
        <x:v>Bear case — annual segment growth assumptions</x:v>
      </x:c>
    </x:row>
    <x:row r="79">
      <x:c r="A79" s="32" t="str">
        <x:v>Segment</x:v>
      </x:c>
      <x:c r="B79" s="32" t="str">
        <x:v>FY2027E</x:v>
      </x:c>
      <x:c r="C79" s="32" t="str">
        <x:v>FY2028E</x:v>
      </x:c>
      <x:c r="D79" s="32" t="str">
        <x:v>FY2029E</x:v>
      </x:c>
      <x:c r="E79" s="32" t="str">
        <x:v>FY2030E</x:v>
      </x:c>
      <x:c r="F79" s="32" t="str">
        <x:v>FY2031E</x:v>
      </x:c>
      <x:c r="G79" s="32" t="str">
        <x:v>FY2032E</x:v>
      </x:c>
      <x:c r="H79" s="32" t="str">
        <x:v>FY2033E</x:v>
      </x:c>
      <x:c r="I79" s="32" t="str">
        <x:v>FY2034E</x:v>
      </x:c>
      <x:c r="J79" s="32" t="str">
        <x:v>FY2035E</x:v>
      </x:c>
      <x:c r="K79" s="31"/>
      <x:c r="L79" s="31"/>
    </x:row>
    <x:row r="80">
      <x:c r="A80" s="31" t="str">
        <x:v>QCT Handsets</x:v>
      </x:c>
      <x:c r="B80" s="33" t="n">
        <x:v>-0.25</x:v>
      </x:c>
      <x:c r="C80" s="33" t="n">
        <x:v>-0.05</x:v>
      </x:c>
      <x:c r="D80" s="33" t="n">
        <x:v>0</x:v>
      </x:c>
      <x:c r="E80" s="33" t="n">
        <x:v>0.01</x:v>
      </x:c>
      <x:c r="F80" s="33" t="n">
        <x:v>0.01</x:v>
      </x:c>
      <x:c r="G80" s="33" t="n">
        <x:v>0.01</x:v>
      </x:c>
      <x:c r="H80" s="33" t="n">
        <x:v>0.01</x:v>
      </x:c>
      <x:c r="I80" s="33" t="n">
        <x:v>0.01</x:v>
      </x:c>
      <x:c r="J80" s="33" t="n">
        <x:v>0.01</x:v>
      </x:c>
      <x:c r="K80" s="31"/>
      <x:c r="L80" s="31"/>
    </x:row>
    <x:row r="81">
      <x:c r="A81" s="31" t="str">
        <x:v>QCT Automotive</x:v>
      </x:c>
      <x:c r="B81" s="33" t="n">
        <x:v>0.15</x:v>
      </x:c>
      <x:c r="C81" s="33" t="n">
        <x:v>0.12</x:v>
      </x:c>
      <x:c r="D81" s="33" t="n">
        <x:v>0.1</x:v>
      </x:c>
      <x:c r="E81" s="33" t="n">
        <x:v>0.08</x:v>
      </x:c>
      <x:c r="F81" s="33" t="n">
        <x:v>0.06</x:v>
      </x:c>
      <x:c r="G81" s="33" t="n">
        <x:v>0.05</x:v>
      </x:c>
      <x:c r="H81" s="33" t="n">
        <x:v>0.04</x:v>
      </x:c>
      <x:c r="I81" s="33" t="n">
        <x:v>0.04</x:v>
      </x:c>
      <x:c r="J81" s="33" t="n">
        <x:v>0.03</x:v>
      </x:c>
      <x:c r="K81" s="31"/>
      <x:c r="L81" s="31"/>
    </x:row>
    <x:row r="82">
      <x:c r="A82" s="31" t="str">
        <x:v>Industrial IoT / Physical AI</x:v>
      </x:c>
      <x:c r="B82" s="33" t="n">
        <x:v>0.08</x:v>
      </x:c>
      <x:c r="C82" s="33" t="n">
        <x:v>0.1</x:v>
      </x:c>
      <x:c r="D82" s="33" t="n">
        <x:v>0.08</x:v>
      </x:c>
      <x:c r="E82" s="33" t="n">
        <x:v>0.07</x:v>
      </x:c>
      <x:c r="F82" s="33" t="n">
        <x:v>0.06</x:v>
      </x:c>
      <x:c r="G82" s="33" t="n">
        <x:v>0.05</x:v>
      </x:c>
      <x:c r="H82" s="33" t="n">
        <x:v>0.04</x:v>
      </x:c>
      <x:c r="I82" s="33" t="n">
        <x:v>0.04</x:v>
      </x:c>
      <x:c r="J82" s="33" t="n">
        <x:v>0.03</x:v>
      </x:c>
      <x:c r="K82" s="31"/>
      <x:c r="L82" s="31"/>
    </x:row>
    <x:row r="83">
      <x:c r="A83" s="31" t="str">
        <x:v>PC &amp; Consumer IoT</x:v>
      </x:c>
      <x:c r="B83" s="33" t="n">
        <x:v>0.05</x:v>
      </x:c>
      <x:c r="C83" s="33" t="n">
        <x:v>0.05</x:v>
      </x:c>
      <x:c r="D83" s="33" t="n">
        <x:v>0.05</x:v>
      </x:c>
      <x:c r="E83" s="33" t="n">
        <x:v>0.04</x:v>
      </x:c>
      <x:c r="F83" s="33" t="n">
        <x:v>0.03</x:v>
      </x:c>
      <x:c r="G83" s="33" t="n">
        <x:v>0.03</x:v>
      </x:c>
      <x:c r="H83" s="33" t="n">
        <x:v>0.02</x:v>
      </x:c>
      <x:c r="I83" s="33" t="n">
        <x:v>0.02</x:v>
      </x:c>
      <x:c r="J83" s="33" t="n">
        <x:v>0.02</x:v>
      </x:c>
      <x:c r="K83" s="31"/>
      <x:c r="L83" s="31"/>
    </x:row>
    <x:row r="84">
      <x:c r="A84" s="31" t="str">
        <x:v>XR / AR &amp; Wearables</x:v>
      </x:c>
      <x:c r="B84" s="33" t="n">
        <x:v>0.1</x:v>
      </x:c>
      <x:c r="C84" s="33" t="n">
        <x:v>0.1</x:v>
      </x:c>
      <x:c r="D84" s="33" t="n">
        <x:v>0.1</x:v>
      </x:c>
      <x:c r="E84" s="33" t="n">
        <x:v>0.08</x:v>
      </x:c>
      <x:c r="F84" s="33" t="n">
        <x:v>0.06</x:v>
      </x:c>
      <x:c r="G84" s="33" t="n">
        <x:v>0.05</x:v>
      </x:c>
      <x:c r="H84" s="33" t="n">
        <x:v>0.04</x:v>
      </x:c>
      <x:c r="I84" s="33" t="n">
        <x:v>0.03</x:v>
      </x:c>
      <x:c r="J84" s="33" t="n">
        <x:v>0.02</x:v>
      </x:c>
      <x:c r="K84" s="31"/>
      <x:c r="L84" s="31"/>
    </x:row>
    <x:row r="85">
      <x:c r="A85" s="31" t="str">
        <x:v>Data Center</x:v>
      </x:c>
      <x:c r="B85" s="33" t="n">
        <x:v>4</x:v>
      </x:c>
      <x:c r="C85" s="33" t="n">
        <x:v>0.35</x:v>
      </x:c>
      <x:c r="D85" s="33" t="n">
        <x:v>0.25</x:v>
      </x:c>
      <x:c r="E85" s="33" t="n">
        <x:v>0.15</x:v>
      </x:c>
      <x:c r="F85" s="33" t="n">
        <x:v>0.1</x:v>
      </x:c>
      <x:c r="G85" s="33" t="n">
        <x:v>0.08</x:v>
      </x:c>
      <x:c r="H85" s="33" t="n">
        <x:v>0.06</x:v>
      </x:c>
      <x:c r="I85" s="33" t="n">
        <x:v>0.05</x:v>
      </x:c>
      <x:c r="J85" s="33" t="n">
        <x:v>0.04</x:v>
      </x:c>
      <x:c r="K85" s="31"/>
      <x:c r="L85" s="31"/>
    </x:row>
    <x:row r="86">
      <x:c r="A86" s="31" t="str">
        <x:v>QTL Licensing</x:v>
      </x:c>
      <x:c r="B86" s="33" t="n">
        <x:v>-0.1</x:v>
      </x:c>
      <x:c r="C86" s="33" t="n">
        <x:v>-0.05</x:v>
      </x:c>
      <x:c r="D86" s="33" t="n">
        <x:v>-0.05</x:v>
      </x:c>
      <x:c r="E86" s="33" t="n">
        <x:v>0</x:v>
      </x:c>
      <x:c r="F86" s="33" t="n">
        <x:v>0</x:v>
      </x:c>
      <x:c r="G86" s="33" t="n">
        <x:v>0.01</x:v>
      </x:c>
      <x:c r="H86" s="33" t="n">
        <x:v>0.01</x:v>
      </x:c>
      <x:c r="I86" s="33" t="n">
        <x:v>0.01</x:v>
      </x:c>
      <x:c r="J86" s="33" t="n">
        <x:v>0.01</x:v>
      </x:c>
      <x:c r="K86" s="31"/>
      <x:c r="L86" s="31"/>
    </x:row>
    <x:row r="87">
      <x:c r="A87" s="31" t="str">
        <x:v>Other / Eliminations</x:v>
      </x:c>
      <x:c r="B87" s="33" t="n">
        <x:v>0</x:v>
      </x:c>
      <x:c r="C87" s="33" t="n">
        <x:v>0</x:v>
      </x:c>
      <x:c r="D87" s="33" t="n">
        <x:v>0</x:v>
      </x:c>
      <x:c r="E87" s="33" t="n">
        <x:v>0</x:v>
      </x:c>
      <x:c r="F87" s="33" t="n">
        <x:v>0</x:v>
      </x:c>
      <x:c r="G87" s="33" t="n">
        <x:v>0</x:v>
      </x:c>
      <x:c r="H87" s="33" t="n">
        <x:v>0</x:v>
      </x:c>
      <x:c r="I87" s="33" t="n">
        <x:v>0</x:v>
      </x:c>
      <x:c r="J87" s="33" t="n">
        <x:v>0</x:v>
      </x:c>
      <x:c r="K87" s="31"/>
      <x:c r="L87" s="31"/>
    </x:row>
    <x:row r="88">
      <x:c r="A88" s="37" t="str">
        <x:v>Aggregate revenue growth</x:v>
      </x:c>
      <x:c r="B88" s="37"/>
      <x:c r="C88" s="37"/>
      <x:c r="D88" s="37"/>
      <x:c r="E88" s="37"/>
      <x:c r="F88" s="37"/>
      <x:c r="G88" s="37"/>
      <x:c r="H88" s="37"/>
      <x:c r="I88" s="37"/>
      <x:c r="J88" s="37"/>
      <x:c r="K88" s="31"/>
      <x:c r="L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</x:row>
    <x:row r="91">
      <x:c r="A91" s="32" t="str">
        <x:v>Segment</x:v>
      </x:c>
      <x:c r="B91" s="32" t="str">
        <x:v>FY2027 EBIT margin</x:v>
      </x:c>
      <x:c r="C91" s="32" t="str">
        <x:v>FY2035 EBIT margin</x:v>
      </x:c>
      <x:c r="D91" s="32" t="str">
        <x:v>Modeled risk</x:v>
      </x:c>
      <x:c r="E91" s="31"/>
      <x:c r="F91" s="31"/>
      <x:c r="G91" s="31"/>
      <x:c r="H91" s="31"/>
      <x:c r="I91" s="31"/>
      <x:c r="J91" s="31"/>
      <x:c r="K91" s="31"/>
      <x:c r="L91" s="31"/>
    </x:row>
    <x:row r="92">
      <x:c r="A92" s="31" t="str">
        <x:v>QCT Handsets</x:v>
      </x:c>
      <x:c r="B92" s="33" t="n">
        <x:v>0.15</x:v>
      </x:c>
      <x:c r="C92" s="33" t="n">
        <x:v>0.18</x:v>
      </x:c>
      <x:c r="D92" s="31" t="str">
        <x:v>Apple, China, memory / pricing</x:v>
      </x:c>
      <x:c r="E92" s="31"/>
      <x:c r="F92" s="31"/>
      <x:c r="G92" s="31"/>
      <x:c r="H92" s="31"/>
      <x:c r="I92" s="31"/>
      <x:c r="J92" s="31"/>
      <x:c r="K92" s="31"/>
      <x:c r="L92" s="31"/>
    </x:row>
    <x:row r="93">
      <x:c r="A93" s="31" t="str">
        <x:v>QCT Automotive</x:v>
      </x:c>
      <x:c r="B93" s="33" t="n">
        <x:v>0.1</x:v>
      </x:c>
      <x:c r="C93" s="33" t="n">
        <x:v>0.18</x:v>
      </x:c>
      <x:c r="D93" s="31" t="str">
        <x:v>Execution / mix</x:v>
      </x:c>
      <x:c r="E93" s="31"/>
      <x:c r="F93" s="31"/>
      <x:c r="G93" s="31"/>
      <x:c r="H93" s="31"/>
      <x:c r="I93" s="31"/>
      <x:c r="J93" s="31"/>
      <x:c r="K93" s="31"/>
      <x:c r="L93" s="31"/>
    </x:row>
    <x:row r="94">
      <x:c r="A94" s="31" t="str">
        <x:v>Industrial IoT / Physical AI</x:v>
      </x:c>
      <x:c r="B94" s="33" t="n">
        <x:v>0.12</x:v>
      </x:c>
      <x:c r="C94" s="33" t="n">
        <x:v>0.18</x:v>
      </x:c>
      <x:c r="D94" s="31" t="str">
        <x:v>Execution / mix</x:v>
      </x:c>
      <x:c r="E94" s="31"/>
      <x:c r="F94" s="31"/>
      <x:c r="G94" s="31"/>
      <x:c r="H94" s="31"/>
      <x:c r="I94" s="31"/>
      <x:c r="J94" s="31"/>
      <x:c r="K94" s="31"/>
      <x:c r="L94" s="31"/>
    </x:row>
    <x:row r="95">
      <x:c r="A95" s="31" t="str">
        <x:v>PC &amp; Consumer IoT</x:v>
      </x:c>
      <x:c r="B95" s="33" t="n">
        <x:v>0.05</x:v>
      </x:c>
      <x:c r="C95" s="33" t="n">
        <x:v>0.1</x:v>
      </x:c>
      <x:c r="D95" s="31" t="str">
        <x:v>Execution / mix</x:v>
      </x:c>
      <x:c r="E95" s="31"/>
      <x:c r="F95" s="31"/>
      <x:c r="G95" s="31"/>
      <x:c r="H95" s="31"/>
      <x:c r="I95" s="31"/>
      <x:c r="J95" s="31"/>
      <x:c r="K95" s="31"/>
      <x:c r="L95" s="31"/>
    </x:row>
    <x:row r="96">
      <x:c r="A96" s="31" t="str">
        <x:v>XR / AR &amp; Wearables</x:v>
      </x:c>
      <x:c r="B96" s="33" t="n">
        <x:v>-0.15</x:v>
      </x:c>
      <x:c r="C96" s="33" t="n">
        <x:v>0</x:v>
      </x:c>
      <x:c r="D96" s="31" t="str">
        <x:v>Execution / mix</x:v>
      </x:c>
      <x:c r="E96" s="31"/>
      <x:c r="F96" s="31"/>
      <x:c r="G96" s="31"/>
      <x:c r="H96" s="31"/>
      <x:c r="I96" s="31"/>
      <x:c r="J96" s="31"/>
      <x:c r="K96" s="31"/>
      <x:c r="L96" s="31"/>
    </x:row>
    <x:row r="97">
      <x:c r="A97" s="31" t="str">
        <x:v>Data Center</x:v>
      </x:c>
      <x:c r="B97" s="33" t="n">
        <x:v>-0.2</x:v>
      </x:c>
      <x:c r="C97" s="33" t="n">
        <x:v>0.12</x:v>
      </x:c>
      <x:c r="D97" s="31" t="str">
        <x:v>Ramp and investment ahead of revenue</x:v>
      </x:c>
      <x:c r="E97" s="31"/>
      <x:c r="F97" s="31"/>
      <x:c r="G97" s="31"/>
      <x:c r="H97" s="31"/>
      <x:c r="I97" s="31"/>
      <x:c r="J97" s="31"/>
      <x:c r="K97" s="31"/>
      <x:c r="L97" s="31"/>
    </x:row>
    <x:row r="98">
      <x:c r="A98" s="31" t="str">
        <x:v>QTL Licensing</x:v>
      </x:c>
      <x:c r="B98" s="33" t="n">
        <x:v>0.6</x:v>
      </x:c>
      <x:c r="C98" s="33" t="n">
        <x:v>0.55</x:v>
      </x:c>
      <x:c r="D98" s="31" t="str">
        <x:v>Royalty-base / regulatory risk</x:v>
      </x:c>
      <x:c r="E98" s="31"/>
      <x:c r="F98" s="31"/>
      <x:c r="G98" s="31"/>
      <x:c r="H98" s="31"/>
      <x:c r="I98" s="31"/>
      <x:c r="J98" s="31"/>
      <x:c r="K98" s="31"/>
      <x:c r="L98" s="31"/>
    </x:row>
    <x:row r="99">
      <x:c r="A99" s="31" t="str">
        <x:v>Other / Eliminations</x:v>
      </x:c>
      <x:c r="B99" s="33" t="n">
        <x:v>-0.7</x:v>
      </x:c>
      <x:c r="C99" s="33" t="n">
        <x:v>-0.4</x:v>
      </x:c>
      <x:c r="D99" s="31" t="str">
        <x:v>Execution / mix</x:v>
      </x:c>
      <x:c r="E99" s="31"/>
      <x:c r="F99" s="31"/>
      <x:c r="G99" s="31"/>
      <x:c r="H99" s="31"/>
      <x:c r="I99" s="31"/>
      <x:c r="J99" s="31"/>
      <x:c r="K99" s="31"/>
      <x:c r="L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</x:row>
    <x:row r="123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</x:row>
    <x:row r="125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</x:row>
    <x:row r="126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</x:row>
    <x:row r="127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</x:row>
    <x:row r="128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</x:row>
    <x:row r="129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</x:row>
    <x:row r="132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</x:row>
    <x:row r="133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</x:row>
    <x:row r="134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</x:row>
    <x:row r="135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</x:row>
  </x:sheetData>
  <x:mergeCells>
    <x:mergeCell ref="A1:L1"/>
    <x:mergeCell ref="A2:L2"/>
    <x:mergeCell ref="A4:D4"/>
    <x:mergeCell ref="F4:H4"/>
    <x:mergeCell ref="A17:L17"/>
    <x:mergeCell ref="A30:L30"/>
    <x:mergeCell ref="A54:L54"/>
    <x:mergeCell ref="A78:L78"/>
  </x:mergeCells>
  <x:pageMargins left="0.7" right="0.7" top="0.75" bottom="0.75" header="0.3" footer="0.3"/>
  <x:legacyDrawing xmlns:r="http://schemas.openxmlformats.org/officeDocument/2006/relationships" r:id="R24fee353ed9a43b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7" customHeight="1">
      <x:c r="A1" s="46" t="str">
        <x:v>QCOM Segment Revenue and EBIT Cases</x:v>
      </x:c>
      <x:c r="B1" s="46" t="str">
        <x:v>QCOM Segment Revenue and EBIT Cases</x:v>
      </x:c>
      <x:c r="C1" s="46" t="str">
        <x:v>QCOM Segment Revenue and EBIT Cases</x:v>
      </x:c>
      <x:c r="D1" s="46" t="str">
        <x:v>QCOM Segment Revenue and EBIT Cases</x:v>
      </x:c>
      <x:c r="E1" s="46" t="str">
        <x:v>QCOM Segment Revenue and EBIT Cases</x:v>
      </x:c>
      <x:c r="F1" s="46" t="str">
        <x:v>QCOM Segment Revenue and EBIT Cases</x:v>
      </x:c>
      <x:c r="G1" s="46" t="str">
        <x:v>QCOM Segment Revenue and EBIT Cases</x:v>
      </x:c>
      <x:c r="H1" s="46" t="str">
        <x:v>QCOM Segment Revenue and EBIT Cases</x:v>
      </x:c>
      <x:c r="I1" s="46" t="str">
        <x:v>QCOM Segment Revenue and EBIT Cases</x:v>
      </x:c>
      <x:c r="J1" s="46" t="str">
        <x:v>QCOM Segment Revenue and EBIT Cases</x:v>
      </x:c>
      <x:c r="K1" s="46" t="str">
        <x:v>QCOM Segment Revenue and EBIT Cases</x:v>
      </x:c>
      <x:c r="L1" s="46" t="str">
        <x:v>QCOM Segment Revenue and EBIT Cases</x:v>
      </x:c>
      <x:c r="M1" s="46" t="str">
        <x:v>QCOM Segment Revenue and EBIT Cases</x:v>
      </x:c>
      <x:c r="N1" s="46" t="str">
        <x:v>QCOM Segment Revenue and EBIT Cases</x:v>
      </x:c>
    </x:row>
    <x:row r="2" ht="24" customHeight="1">
      <x:c r="A2" s="47" t="str">
        <x:v>FY2026A is the model base. Each forecast year is formula-driven from editable segment growth; EBIT margins interpolate from FY2027 to FY2035.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</x:row>
    <x:row r="4" ht="21" customHeight="1">
      <x:c r="A4" s="46" t="str">
        <x:v>Bull case</x:v>
      </x:c>
      <x:c r="B4" s="46" t="str">
        <x:v>Bull case</x:v>
      </x:c>
      <x:c r="C4" s="46" t="str">
        <x:v>Bull case</x:v>
      </x:c>
      <x:c r="D4" s="46" t="str">
        <x:v>Bull case</x:v>
      </x:c>
      <x:c r="E4" s="46" t="str">
        <x:v>Bull case</x:v>
      </x:c>
      <x:c r="F4" s="46" t="str">
        <x:v>Bull case</x:v>
      </x:c>
      <x:c r="G4" s="46" t="str">
        <x:v>Bull case</x:v>
      </x:c>
      <x:c r="H4" s="46" t="str">
        <x:v>Bull case</x:v>
      </x:c>
      <x:c r="I4" s="46" t="str">
        <x:v>Bull case</x:v>
      </x:c>
      <x:c r="J4" s="46" t="str">
        <x:v>Bull case</x:v>
      </x:c>
      <x:c r="K4" s="46" t="str">
        <x:v>Bull case</x:v>
      </x:c>
      <x:c r="L4" s="46" t="str">
        <x:v>Bull case</x:v>
      </x:c>
      <x:c r="M4" s="46" t="str">
        <x:v>Bull case</x:v>
      </x:c>
      <x:c r="N4" s="46" t="str">
        <x:v>Bull case</x:v>
      </x:c>
    </x:row>
    <x:row r="5">
      <x:c r="A5" s="49" t="str">
        <x:v>Revenue ($M)</x:v>
      </x:c>
      <x:c r="B5" s="49" t="str">
        <x:v>FY2026A</x:v>
      </x:c>
      <x:c r="C5" s="49" t="str">
        <x:v>FY2027E</x:v>
      </x:c>
      <x:c r="D5" s="49" t="str">
        <x:v>FY2028E</x:v>
      </x:c>
      <x:c r="E5" s="49" t="str">
        <x:v>FY2029E</x:v>
      </x:c>
      <x:c r="F5" s="49" t="str">
        <x:v>FY2030E</x:v>
      </x:c>
      <x:c r="G5" s="49" t="str">
        <x:v>FY2031E</x:v>
      </x:c>
      <x:c r="H5" s="49" t="str">
        <x:v>FY2032E</x:v>
      </x:c>
      <x:c r="I5" s="49" t="str">
        <x:v>FY2033E</x:v>
      </x:c>
      <x:c r="J5" s="49" t="str">
        <x:v>FY2034E</x:v>
      </x:c>
      <x:c r="K5" s="49" t="str">
        <x:v>FY2035E</x:v>
      </x:c>
      <x:c r="L5" s="49" t="str">
        <x:v>FY2027 mix</x:v>
      </x:c>
      <x:c r="M5" s="49" t="str">
        <x:v>FY2035 mix</x:v>
      </x:c>
      <x:c r="N5" s="49" t="str">
        <x:v>FY26–35 CAGR</x:v>
      </x:c>
    </x:row>
    <x:row r="6">
      <x:c r="A6" s="48" t="str">
        <x:v>QCT Handsets</x:v>
      </x:c>
      <x:c r="B6" s="50" t="n">
        <x:f>'Assumptions'!$B$19</x:f>
        <x:v>24130</x:v>
      </x:c>
      <x:c r="C6" s="50" t="n">
        <x:f>B6*(1+'Assumptions'!B$32)</x:f>
        <x:v>21717</x:v>
      </x:c>
      <x:c r="D6" s="50" t="n">
        <x:f>C6*(1+'Assumptions'!C$32)</x:f>
        <x:v>22802.850000000002</x:v>
      </x:c>
      <x:c r="E6" s="50" t="n">
        <x:f>D6*(1+'Assumptions'!D$32)</x:f>
        <x:v>23942.992500000004</x:v>
      </x:c>
      <x:c r="F6" s="50" t="n">
        <x:f>E6*(1+'Assumptions'!E$32)</x:f>
        <x:v>25140.142125000006</x:v>
      </x:c>
      <x:c r="G6" s="50" t="n">
        <x:f>F6*(1+'Assumptions'!F$32)</x:f>
        <x:v>26145.747810000008</x:v>
      </x:c>
      <x:c r="H6" s="50" t="n">
        <x:f>G6*(1+'Assumptions'!G$32)</x:f>
        <x:v>27191.57772240001</x:v>
      </x:c>
      <x:c r="I6" s="50" t="n">
        <x:f>H6*(1+'Assumptions'!H$32)</x:f>
        <x:v>28007.32505407201</x:v>
      </x:c>
      <x:c r="J6" s="50" t="n">
        <x:f>I6*(1+'Assumptions'!I$32)</x:f>
        <x:v>28847.54480569417</x:v>
      </x:c>
      <x:c r="K6" s="50" t="n">
        <x:f>J6*(1+'Assumptions'!J$32)</x:f>
        <x:v>29712.971149864996</x:v>
      </x:c>
      <x:c r="L6" s="51" t="n">
        <x:f>C6/$C$14</x:f>
        <x:v>0.4485416355566681</x:v>
      </x:c>
      <x:c r="M6" s="51" t="n">
        <x:f>K6/$K$14</x:f>
        <x:v>0.2692316653088006</x:v>
      </x:c>
      <x:c r="N6" s="51" t="n">
        <x:f>(K6/B6)^(1/9)-1</x:f>
        <x:v>0.02339477537234913</x:v>
      </x:c>
    </x:row>
    <x:row r="7">
      <x:c r="A7" s="48" t="str">
        <x:v>QCT Automotive</x:v>
      </x:c>
      <x:c r="B7" s="50" t="n">
        <x:f>'Assumptions'!$B$20</x:f>
        <x:v>5695</x:v>
      </x:c>
      <x:c r="C7" s="50" t="n">
        <x:f>B7*(1+'Assumptions'!B$33)</x:f>
        <x:v>7403.5</x:v>
      </x:c>
      <x:c r="D7" s="50" t="n">
        <x:f>C7*(1+'Assumptions'!C$33)</x:f>
        <x:v>9254.375</x:v>
      </x:c>
      <x:c r="E7" s="50" t="n">
        <x:f>D7*(1+'Assumptions'!D$33)</x:f>
        <x:v>11105.25</x:v>
      </x:c>
      <x:c r="F7" s="50" t="n">
        <x:f>E7*(1+'Assumptions'!E$33)</x:f>
        <x:v>12771.037499999999</x:v>
      </x:c>
      <x:c r="G7" s="50" t="n">
        <x:f>F7*(1+'Assumptions'!F$33)</x:f>
        <x:v>14303.562</x:v>
      </x:c>
      <x:c r="H7" s="50" t="n">
        <x:f>G7*(1+'Assumptions'!G$33)</x:f>
        <x:v>15733.918200000002</x:v>
      </x:c>
      <x:c r="I7" s="50" t="n">
        <x:f>H7*(1+'Assumptions'!H$33)</x:f>
        <x:v>16992.631656</x:v>
      </x:c>
      <x:c r="J7" s="50" t="n">
        <x:f>I7*(1+'Assumptions'!I$33)</x:f>
        <x:v>18182.115871920003</x:v>
      </x:c>
      <x:c r="K7" s="50" t="n">
        <x:f>J7*(1+'Assumptions'!J$33)</x:f>
        <x:v>19273.042824235203</x:v>
      </x:c>
      <x:c r="L7" s="51" t="n">
        <x:f>C7/$C$14</x:f>
        <x:v>0.15291145180475169</x:v>
      </x:c>
      <x:c r="M7" s="51" t="n">
        <x:f>K7/$K$14</x:f>
        <x:v>0.17463461964019206</x:v>
      </x:c>
      <x:c r="N7" s="51" t="n">
        <x:f>(K7/B7)^(1/9)-1</x:f>
        <x:v>0.14506069230043472</x:v>
      </x:c>
    </x:row>
    <x:row r="8">
      <x:c r="A8" s="48" t="str">
        <x:v>Industrial IoT / Physical AI</x:v>
      </x:c>
      <x:c r="B8" s="50" t="n">
        <x:f>'Assumptions'!$B$21</x:f>
        <x:v>3650</x:v>
      </x:c>
      <x:c r="C8" s="50" t="n">
        <x:f>B8*(1+'Assumptions'!B$34)</x:f>
        <x:v>4562.5</x:v>
      </x:c>
      <x:c r="D8" s="50" t="n">
        <x:f>C8*(1+'Assumptions'!C$34)</x:f>
        <x:v>5566.25</x:v>
      </x:c>
      <x:c r="E8" s="50" t="n">
        <x:f>D8*(1+'Assumptions'!D$34)</x:f>
        <x:v>6679.5</x:v>
      </x:c>
      <x:c r="F8" s="50" t="n">
        <x:f>E8*(1+'Assumptions'!E$34)</x:f>
        <x:v>7815.014999999999</x:v>
      </x:c>
      <x:c r="G8" s="50" t="n">
        <x:f>F8*(1+'Assumptions'!F$34)</x:f>
        <x:v>8909.1171</x:v>
      </x:c>
      <x:c r="H8" s="50" t="n">
        <x:f>G8*(1+'Assumptions'!G$34)</x:f>
        <x:v>9978.211152</x:v>
      </x:c>
      <x:c r="I8" s="50" t="n">
        <x:f>H8*(1+'Assumptions'!H$34)</x:f>
        <x:v>10976.0322672</x:v>
      </x:c>
      <x:c r="J8" s="50" t="n">
        <x:f>I8*(1+'Assumptions'!I$34)</x:f>
        <x:v>11854.114848576</x:v>
      </x:c>
      <x:c r="K8" s="50" t="n">
        <x:f>J8*(1+'Assumptions'!J$34)</x:f>
        <x:v>12683.902887976321</x:v>
      </x:c>
      <x:c r="L8" s="51" t="n">
        <x:f>C8/$C$14</x:f>
        <x:v>0.09423360557292895</x:v>
      </x:c>
      <x:c r="M8" s="51" t="n">
        <x:f>K8/$K$14</x:f>
        <x:v>0.11492988297673107</x:v>
      </x:c>
      <x:c r="N8" s="51" t="n">
        <x:f>(K8/B8)^(1/9)-1</x:f>
        <x:v>0.14843566595425428</x:v>
      </x:c>
    </x:row>
    <x:row r="9">
      <x:c r="A9" s="48" t="str">
        <x:v>PC &amp; Consumer IoT</x:v>
      </x:c>
      <x:c r="B9" s="50" t="n">
        <x:f>'Assumptions'!$B$22</x:f>
        <x:v>2610</x:v>
      </x:c>
      <x:c r="C9" s="50" t="n">
        <x:f>B9*(1+'Assumptions'!B$35)</x:f>
        <x:v>3001.4999999999995</x:v>
      </x:c>
      <x:c r="D9" s="50" t="n">
        <x:f>C9*(1+'Assumptions'!C$35)</x:f>
        <x:v>3451.724999999999</x:v>
      </x:c>
      <x:c r="E9" s="50" t="n">
        <x:f>D9*(1+'Assumptions'!D$35)</x:f>
        <x:v>3865.9319999999993</x:v>
      </x:c>
      <x:c r="F9" s="50" t="n">
        <x:f>E9*(1+'Assumptions'!E$35)</x:f>
        <x:v>4252.5252</x:v>
      </x:c>
      <x:c r="G9" s="50" t="n">
        <x:f>F9*(1+'Assumptions'!F$35)</x:f>
        <x:v>4592.727216</x:v>
      </x:c>
      <x:c r="H9" s="50" t="n">
        <x:f>G9*(1+'Assumptions'!G$35)</x:f>
        <x:v>4914.21812112</x:v>
      </x:c>
      <x:c r="I9" s="50" t="n">
        <x:f>H9*(1+'Assumptions'!H$35)</x:f>
        <x:v>5209.0712083872</x:v>
      </x:c>
      <x:c r="J9" s="50" t="n">
        <x:f>I9*(1+'Assumptions'!I$35)</x:f>
        <x:v>5469.524768806561</x:v>
      </x:c>
      <x:c r="K9" s="50" t="n">
        <x:f>J9*(1+'Assumptions'!J$35)</x:f>
        <x:v>5688.305759558823</x:v>
      </x:c>
      <x:c r="L9" s="51" t="n">
        <x:f>C9/$C$14</x:f>
        <x:v>0.061992803753895064</x:v>
      </x:c>
      <x:c r="M9" s="51" t="n">
        <x:f>K9/$K$14</x:f>
        <x:v>0.05154220440316425</x:v>
      </x:c>
      <x:c r="N9" s="51" t="n">
        <x:f>(K9/B9)^(1/9)-1</x:f>
        <x:v>0.0904194834796237</x:v>
      </x:c>
    </x:row>
    <x:row r="10">
      <x:c r="A10" s="48" t="str">
        <x:v>XR / AR &amp; Wearables</x:v>
      </x:c>
      <x:c r="B10" s="50" t="n">
        <x:f>'Assumptions'!$B$23</x:f>
        <x:v>504</x:v>
      </x:c>
      <x:c r="C10" s="50" t="n">
        <x:f>B10*(1+'Assumptions'!B$36)</x:f>
        <x:v>680.4000000000001</x:v>
      </x:c>
      <x:c r="D10" s="50" t="n">
        <x:f>C10*(1+'Assumptions'!C$36)</x:f>
        <x:v>884.5200000000001</x:v>
      </x:c>
      <x:c r="E10" s="50" t="n">
        <x:f>D10*(1+'Assumptions'!D$36)</x:f>
        <x:v>1105.65</x:v>
      </x:c>
      <x:c r="F10" s="50" t="n">
        <x:f>E10*(1+'Assumptions'!E$36)</x:f>
        <x:v>1326.78</x:v>
      </x:c>
      <x:c r="G10" s="50" t="n">
        <x:f>F10*(1+'Assumptions'!F$36)</x:f>
        <x:v>1539.0647999999999</x:v>
      </x:c>
      <x:c r="H10" s="50" t="n">
        <x:f>G10*(1+'Assumptions'!G$36)</x:f>
        <x:v>1739.1432239999997</x:v>
      </x:c>
      <x:c r="I10" s="50" t="n">
        <x:f>H10*(1+'Assumptions'!H$36)</x:f>
        <x:v>1913.0575463999999</x:v>
      </x:c>
      <x:c r="J10" s="50" t="n">
        <x:f>I10*(1+'Assumptions'!I$36)</x:f>
        <x:v>2066.102150112</x:v>
      </x:c>
      <x:c r="K10" s="50" t="n">
        <x:f>J10*(1+'Assumptions'!J$36)</x:f>
        <x:v>2190.06827911872</x:v>
      </x:c>
      <x:c r="L10" s="51" t="n">
        <x:f>C10/$C$14</x:f>
        <x:v>0.014052941420673067</x:v>
      </x:c>
      <x:c r="M10" s="51" t="n">
        <x:f>K10/$K$14</x:f>
        <x:v>0.019844388060457942</x:v>
      </x:c>
      <x:c r="N10" s="51" t="n">
        <x:f>(K10/B10)^(1/9)-1</x:f>
        <x:v>0.1773128983097716</x:v>
      </x:c>
    </x:row>
    <x:row r="11">
      <x:c r="A11" s="48" t="str">
        <x:v>Data Center</x:v>
      </x:c>
      <x:c r="B11" s="50" t="n">
        <x:f>'Assumptions'!$B$24</x:f>
        <x:v>300</x:v>
      </x:c>
      <x:c r="C11" s="50" t="n">
        <x:f>B11*(1+'Assumptions'!B$37)</x:f>
        <x:v>5000.009999999999</x:v>
      </x:c>
      <x:c r="D11" s="50" t="n">
        <x:f>C11*(1+'Assumptions'!C$37)</x:f>
        <x:v>8000.016</x:v>
      </x:c>
      <x:c r="E11" s="50" t="n">
        <x:f>D11*(1+'Assumptions'!D$37)</x:f>
        <x:v>11600.0232</x:v>
      </x:c>
      <x:c r="F11" s="50" t="n">
        <x:f>E11*(1+'Assumptions'!E$37)</x:f>
        <x:v>15660.03132</x:v>
      </x:c>
      <x:c r="G11" s="50" t="n">
        <x:f>F11*(1+'Assumptions'!F$37)</x:f>
        <x:v>19575.03915</x:v>
      </x:c>
      <x:c r="H11" s="50" t="n">
        <x:f>G11*(1+'Assumptions'!G$37)</x:f>
        <x:v>23490.04698</x:v>
      </x:c>
      <x:c r="I11" s="50" t="n">
        <x:f>H11*(1+'Assumptions'!H$37)</x:f>
        <x:v>27013.554027</x:v>
      </x:c>
      <x:c r="J11" s="50" t="n">
        <x:f>I11*(1+'Assumptions'!I$37)</x:f>
        <x:v>30255.18051024</x:v>
      </x:c>
      <x:c r="K11" s="50" t="n">
        <x:f>J11*(1+'Assumptions'!J$37)</x:f>
        <x:v>33280.698561264006</x:v>
      </x:c>
      <x:c r="L11" s="51" t="n">
        <x:f>C11/$C$14</x:f>
        <x:v>0.10326991127686586</x:v>
      </x:c>
      <x:c r="M11" s="51" t="n">
        <x:f>K11/$K$14</x:f>
        <x:v>0.30155913560768305</x:v>
      </x:c>
      <x:c r="N11" s="51" t="n">
        <x:f>(K11/B11)^(1/9)-1</x:f>
        <x:v>0.6874469601961231</x:v>
      </x:c>
    </x:row>
    <x:row r="12">
      <x:c r="A12" s="48" t="str">
        <x:v>QTL Licensing</x:v>
      </x:c>
      <x:c r="B12" s="50" t="n">
        <x:f>'Assumptions'!$B$25</x:f>
        <x:v>5552</x:v>
      </x:c>
      <x:c r="C12" s="50" t="n">
        <x:f>B12*(1+'Assumptions'!B$38)</x:f>
        <x:v>5552</x:v>
      </x:c>
      <x:c r="D12" s="50" t="n">
        <x:f>C12*(1+'Assumptions'!C$38)</x:f>
        <x:v>5718.56</x:v>
      </x:c>
      <x:c r="E12" s="50" t="n">
        <x:f>D12*(1+'Assumptions'!D$38)</x:f>
        <x:v>5890.116800000001</x:v>
      </x:c>
      <x:c r="F12" s="50" t="n">
        <x:f>E12*(1+'Assumptions'!E$38)</x:f>
        <x:v>6066.820304000001</x:v>
      </x:c>
      <x:c r="G12" s="50" t="n">
        <x:f>F12*(1+'Assumptions'!F$38)</x:f>
        <x:v>6248.824913120001</x:v>
      </x:c>
      <x:c r="H12" s="50" t="n">
        <x:f>G12*(1+'Assumptions'!G$38)</x:f>
        <x:v>6436.289660513601</x:v>
      </x:c>
      <x:c r="I12" s="50" t="n">
        <x:f>H12*(1+'Assumptions'!H$38)</x:f>
        <x:v>6629.37835032901</x:v>
      </x:c>
      <x:c r="J12" s="50" t="n">
        <x:f>I12*(1+'Assumptions'!I$38)</x:f>
        <x:v>6828.25970083888</x:v>
      </x:c>
      <x:c r="K12" s="50" t="n">
        <x:f>J12*(1+'Assumptions'!J$38)</x:f>
        <x:v>7033.107491864047</x:v>
      </x:c>
      <x:c r="L12" s="51" t="n">
        <x:f>C12/$C$14</x:f>
        <x:v>0.11467068014047158</x:v>
      </x:c>
      <x:c r="M12" s="51" t="n">
        <x:f>K12/$K$14</x:f>
        <x:v>0.06372756304914201</x:v>
      </x:c>
      <x:c r="N12" s="51" t="n">
        <x:f>(K12/B12)^(1/9)-1</x:f>
        <x:v>0.02662270837347025</x:v>
      </x:c>
    </x:row>
    <x:row r="13">
      <x:c r="A13" s="48" t="str">
        <x:v>Other / Eliminations</x:v>
      </x:c>
      <x:c r="B13" s="50" t="n">
        <x:f>'Assumptions'!$B$26</x:f>
        <x:v>500</x:v>
      </x:c>
      <x:c r="C13" s="50" t="n">
        <x:f>B13*(1+'Assumptions'!B$39)</x:f>
        <x:v>500</x:v>
      </x:c>
      <x:c r="D13" s="50" t="n">
        <x:f>C13*(1+'Assumptions'!C$39)</x:f>
        <x:v>500</x:v>
      </x:c>
      <x:c r="E13" s="50" t="n">
        <x:f>D13*(1+'Assumptions'!D$39)</x:f>
        <x:v>500</x:v>
      </x:c>
      <x:c r="F13" s="50" t="n">
        <x:f>E13*(1+'Assumptions'!E$39)</x:f>
        <x:v>500</x:v>
      </x:c>
      <x:c r="G13" s="50" t="n">
        <x:f>F13*(1+'Assumptions'!F$39)</x:f>
        <x:v>500</x:v>
      </x:c>
      <x:c r="H13" s="50" t="n">
        <x:f>G13*(1+'Assumptions'!G$39)</x:f>
        <x:v>500</x:v>
      </x:c>
      <x:c r="I13" s="50" t="n">
        <x:f>H13*(1+'Assumptions'!H$39)</x:f>
        <x:v>500</x:v>
      </x:c>
      <x:c r="J13" s="50" t="n">
        <x:f>I13*(1+'Assumptions'!I$39)</x:f>
        <x:v>500</x:v>
      </x:c>
      <x:c r="K13" s="50" t="n">
        <x:f>J13*(1+'Assumptions'!J$39)</x:f>
        <x:v>500</x:v>
      </x:c>
      <x:c r="L13" s="51" t="n">
        <x:f>C13/$C$14</x:f>
        <x:v>0.01032697047374564</x:v>
      </x:c>
      <x:c r="M13" s="51" t="n">
        <x:f>K13/$K$14</x:f>
        <x:v>0.004530540953828912</x:v>
      </x:c>
      <x:c r="N13" s="51" t="n">
        <x:f>(K13/B13)^(1/9)-1</x:f>
        <x:v>0</x:v>
      </x:c>
    </x:row>
    <x:row r="14">
      <x:c r="A14" s="52" t="str">
        <x:v>Total revenue</x:v>
      </x:c>
      <x:c r="B14" s="53" t="n">
        <x:f>SUM(B6:B13)</x:f>
        <x:v>42941</x:v>
      </x:c>
      <x:c r="C14" s="53" t="n">
        <x:f>SUM(C6:C13)</x:f>
        <x:v>48416.91</x:v>
      </x:c>
      <x:c r="D14" s="53" t="n">
        <x:f>SUM(D6:D13)</x:f>
        <x:v>56178.296</x:v>
      </x:c>
      <x:c r="E14" s="53" t="n">
        <x:f>SUM(E6:E13)</x:f>
        <x:v>64689.46450000002</x:v>
      </x:c>
      <x:c r="F14" s="53" t="n">
        <x:f>SUM(F6:F13)</x:f>
        <x:v>73532.35144900001</x:v>
      </x:c>
      <x:c r="G14" s="53" t="n">
        <x:f>SUM(G6:G13)</x:f>
        <x:v>81814.08298912001</x:v>
      </x:c>
      <x:c r="H14" s="53" t="n">
        <x:f>SUM(H6:H13)</x:f>
        <x:v>89983.4050600336</x:v>
      </x:c>
      <x:c r="I14" s="53" t="n">
        <x:f>SUM(I6:I13)</x:f>
        <x:v>97241.05010938822</x:v>
      </x:c>
      <x:c r="J14" s="53" t="n">
        <x:f>SUM(J6:J13)</x:f>
        <x:v>104002.84265618761</x:v>
      </x:c>
      <x:c r="K14" s="53" t="n">
        <x:f>SUM(K6:K13)</x:f>
        <x:v>110362.09695388212</x:v>
      </x:c>
      <x:c r="L14" s="52"/>
      <x:c r="M14" s="52"/>
      <x:c r="N14" s="52"/>
    </x:row>
    <x:row r="15">
      <x:c r="A15" s="54" t="str">
        <x:v>Aggregate growth</x:v>
      </x:c>
      <x:c r="B15" s="54"/>
      <x:c r="C15" s="55" t="n">
        <x:f>C14/B14-1</x:f>
        <x:v>0.12752171584266803</x:v>
      </x:c>
      <x:c r="D15" s="55" t="n">
        <x:f>D14/C14-1</x:f>
        <x:v>0.16030320811468557</x:v>
      </x:c>
      <x:c r="E15" s="55" t="n">
        <x:f>E14/D14-1</x:f>
        <x:v>0.15150278855022603</x:v>
      </x:c>
      <x:c r="F15" s="55" t="n">
        <x:f>F14/E14-1</x:f>
        <x:v>0.13669748261712678</x:v>
      </x:c>
      <x:c r="G15" s="55" t="n">
        <x:f>G14/F14-1</x:f>
        <x:v>0.11262704614939434</x:v>
      </x:c>
      <x:c r="H15" s="55" t="n">
        <x:f>H14/G14-1</x:f>
        <x:v>0.09985227203487668</x:v>
      </x:c>
      <x:c r="I15" s="55" t="n">
        <x:f>I14/H14-1</x:f>
        <x:v>0.08065537244909304</x:v>
      </x:c>
      <x:c r="J15" s="55" t="n">
        <x:f>J14/I14-1</x:f>
        <x:v>0.06953639989688432</x:v>
      </x:c>
      <x:c r="K15" s="55" t="n">
        <x:f>K14/J14-1</x:f>
        <x:v>0.06114500464873762</x:v>
      </x:c>
      <x:c r="L15" s="54"/>
      <x:c r="M15" s="54"/>
      <x:c r="N15" s="54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</x:row>
    <x:row r="18">
      <x:c r="A18" s="49" t="str">
        <x:v>EBIT margin</x:v>
      </x:c>
      <x:c r="B18" s="49" t="str">
        <x:v>FY2026A</x:v>
      </x:c>
      <x:c r="C18" s="49" t="str">
        <x:v>FY2027E</x:v>
      </x:c>
      <x:c r="D18" s="49" t="str">
        <x:v>FY2028E</x:v>
      </x:c>
      <x:c r="E18" s="49" t="str">
        <x:v>FY2029E</x:v>
      </x:c>
      <x:c r="F18" s="49" t="str">
        <x:v>FY2030E</x:v>
      </x:c>
      <x:c r="G18" s="49" t="str">
        <x:v>FY2031E</x:v>
      </x:c>
      <x:c r="H18" s="49" t="str">
        <x:v>FY2032E</x:v>
      </x:c>
      <x:c r="I18" s="49" t="str">
        <x:v>FY2033E</x:v>
      </x:c>
      <x:c r="J18" s="49" t="str">
        <x:v>FY2034E</x:v>
      </x:c>
      <x:c r="K18" s="49" t="str">
        <x:v>FY2035E</x:v>
      </x:c>
      <x:c r="L18" s="49"/>
      <x:c r="M18" s="49"/>
      <x:c r="N18" s="49"/>
    </x:row>
    <x:row r="19">
      <x:c r="A19" s="48" t="str">
        <x:v>QCT Handsets</x:v>
      </x:c>
      <x:c r="B19" s="48"/>
      <x:c r="C19" s="51" t="n">
        <x:f>'Assumptions'!$B$44</x:f>
        <x:v>0.23</x:v>
      </x:c>
      <x:c r="D19" s="51" t="n">
        <x:f>'Assumptions'!$B$44+('Assumptions'!$C$44-'Assumptions'!$B$44)*0.125</x:f>
        <x:v>0.23375</x:v>
      </x:c>
      <x:c r="E19" s="51" t="n">
        <x:f>'Assumptions'!$B$44+('Assumptions'!$C$44-'Assumptions'!$B$44)*0.25</x:f>
        <x:v>0.23750000000000002</x:v>
      </x:c>
      <x:c r="F19" s="51" t="n">
        <x:f>'Assumptions'!$B$44+('Assumptions'!$C$44-'Assumptions'!$B$44)*0.375</x:f>
        <x:v>0.24125000000000002</x:v>
      </x:c>
      <x:c r="G19" s="51" t="n">
        <x:f>'Assumptions'!$B$44+('Assumptions'!$C$44-'Assumptions'!$B$44)*0.5</x:f>
        <x:v>0.245</x:v>
      </x:c>
      <x:c r="H19" s="51" t="n">
        <x:f>'Assumptions'!$B$44+('Assumptions'!$C$44-'Assumptions'!$B$44)*0.625</x:f>
        <x:v>0.24875</x:v>
      </x:c>
      <x:c r="I19" s="51" t="n">
        <x:f>'Assumptions'!$B$44+('Assumptions'!$C$44-'Assumptions'!$B$44)*0.75</x:f>
        <x:v>0.2525</x:v>
      </x:c>
      <x:c r="J19" s="51" t="n">
        <x:f>'Assumptions'!$B$44+('Assumptions'!$C$44-'Assumptions'!$B$44)*0.875</x:f>
        <x:v>0.25625000000000003</x:v>
      </x:c>
      <x:c r="K19" s="51" t="n">
        <x:f>'Assumptions'!$B$44+('Assumptions'!$C$44-'Assumptions'!$B$44)*1</x:f>
        <x:v>0.26</x:v>
      </x:c>
      <x:c r="L19" s="48"/>
      <x:c r="M19" s="48"/>
      <x:c r="N19" s="48"/>
    </x:row>
    <x:row r="20">
      <x:c r="A20" s="48" t="str">
        <x:v>QCT Automotive</x:v>
      </x:c>
      <x:c r="B20" s="48"/>
      <x:c r="C20" s="51" t="n">
        <x:f>'Assumptions'!$B$45</x:f>
        <x:v>0.18</x:v>
      </x:c>
      <x:c r="D20" s="51" t="n">
        <x:f>'Assumptions'!$B$45+('Assumptions'!$C$45-'Assumptions'!$B$45)*0.125</x:f>
        <x:v>0.1925</x:v>
      </x:c>
      <x:c r="E20" s="51" t="n">
        <x:f>'Assumptions'!$B$45+('Assumptions'!$C$45-'Assumptions'!$B$45)*0.25</x:f>
        <x:v>0.20500000000000002</x:v>
      </x:c>
      <x:c r="F20" s="51" t="n">
        <x:f>'Assumptions'!$B$45+('Assumptions'!$C$45-'Assumptions'!$B$45)*0.375</x:f>
        <x:v>0.2175</x:v>
      </x:c>
      <x:c r="G20" s="51" t="n">
        <x:f>'Assumptions'!$B$45+('Assumptions'!$C$45-'Assumptions'!$B$45)*0.5</x:f>
        <x:v>0.23</x:v>
      </x:c>
      <x:c r="H20" s="51" t="n">
        <x:f>'Assumptions'!$B$45+('Assumptions'!$C$45-'Assumptions'!$B$45)*0.625</x:f>
        <x:v>0.24250000000000002</x:v>
      </x:c>
      <x:c r="I20" s="51" t="n">
        <x:f>'Assumptions'!$B$45+('Assumptions'!$C$45-'Assumptions'!$B$45)*0.75</x:f>
        <x:v>0.255</x:v>
      </x:c>
      <x:c r="J20" s="51" t="n">
        <x:f>'Assumptions'!$B$45+('Assumptions'!$C$45-'Assumptions'!$B$45)*0.875</x:f>
        <x:v>0.2675</x:v>
      </x:c>
      <x:c r="K20" s="51" t="n">
        <x:f>'Assumptions'!$B$45+('Assumptions'!$C$45-'Assumptions'!$B$45)*1</x:f>
        <x:v>0.28</x:v>
      </x:c>
      <x:c r="L20" s="48"/>
      <x:c r="M20" s="48"/>
      <x:c r="N20" s="48"/>
    </x:row>
    <x:row r="21">
      <x:c r="A21" s="48" t="str">
        <x:v>Industrial IoT / Physical AI</x:v>
      </x:c>
      <x:c r="B21" s="48"/>
      <x:c r="C21" s="51" t="n">
        <x:f>'Assumptions'!$B$46</x:f>
        <x:v>0.2</x:v>
      </x:c>
      <x:c r="D21" s="51" t="n">
        <x:f>'Assumptions'!$B$46+('Assumptions'!$C$46-'Assumptions'!$B$46)*0.125</x:f>
        <x:v>0.20875000000000002</x:v>
      </x:c>
      <x:c r="E21" s="51" t="n">
        <x:f>'Assumptions'!$B$46+('Assumptions'!$C$46-'Assumptions'!$B$46)*0.25</x:f>
        <x:v>0.21750000000000003</x:v>
      </x:c>
      <x:c r="F21" s="51" t="n">
        <x:f>'Assumptions'!$B$46+('Assumptions'!$C$46-'Assumptions'!$B$46)*0.375</x:f>
        <x:v>0.22625</x:v>
      </x:c>
      <x:c r="G21" s="51" t="n">
        <x:f>'Assumptions'!$B$46+('Assumptions'!$C$46-'Assumptions'!$B$46)*0.5</x:f>
        <x:v>0.23500000000000001</x:v>
      </x:c>
      <x:c r="H21" s="51" t="n">
        <x:f>'Assumptions'!$B$46+('Assumptions'!$C$46-'Assumptions'!$B$46)*0.625</x:f>
        <x:v>0.24375000000000002</x:v>
      </x:c>
      <x:c r="I21" s="51" t="n">
        <x:f>'Assumptions'!$B$46+('Assumptions'!$C$46-'Assumptions'!$B$46)*0.75</x:f>
        <x:v>0.2525</x:v>
      </x:c>
      <x:c r="J21" s="51" t="n">
        <x:f>'Assumptions'!$B$46+('Assumptions'!$C$46-'Assumptions'!$B$46)*0.875</x:f>
        <x:v>0.26125000000000004</x:v>
      </x:c>
      <x:c r="K21" s="51" t="n">
        <x:f>'Assumptions'!$B$46+('Assumptions'!$C$46-'Assumptions'!$B$46)*1</x:f>
        <x:v>0.27</x:v>
      </x:c>
      <x:c r="L21" s="48"/>
      <x:c r="M21" s="48"/>
      <x:c r="N21" s="48"/>
    </x:row>
    <x:row r="22">
      <x:c r="A22" s="48" t="str">
        <x:v>PC &amp; Consumer IoT</x:v>
      </x:c>
      <x:c r="B22" s="48"/>
      <x:c r="C22" s="51" t="n">
        <x:f>'Assumptions'!$B$47</x:f>
        <x:v>0.13</x:v>
      </x:c>
      <x:c r="D22" s="51" t="n">
        <x:f>'Assumptions'!$B$47+('Assumptions'!$C$47-'Assumptions'!$B$47)*0.125</x:f>
        <x:v>0.14125000000000001</x:v>
      </x:c>
      <x:c r="E22" s="51" t="n">
        <x:f>'Assumptions'!$B$47+('Assumptions'!$C$47-'Assumptions'!$B$47)*0.25</x:f>
        <x:v>0.1525</x:v>
      </x:c>
      <x:c r="F22" s="51" t="n">
        <x:f>'Assumptions'!$B$47+('Assumptions'!$C$47-'Assumptions'!$B$47)*0.375</x:f>
        <x:v>0.16375</x:v>
      </x:c>
      <x:c r="G22" s="51" t="n">
        <x:f>'Assumptions'!$B$47+('Assumptions'!$C$47-'Assumptions'!$B$47)*0.5</x:f>
        <x:v>0.175</x:v>
      </x:c>
      <x:c r="H22" s="51" t="n">
        <x:f>'Assumptions'!$B$47+('Assumptions'!$C$47-'Assumptions'!$B$47)*0.625</x:f>
        <x:v>0.18625</x:v>
      </x:c>
      <x:c r="I22" s="51" t="n">
        <x:f>'Assumptions'!$B$47+('Assumptions'!$C$47-'Assumptions'!$B$47)*0.75</x:f>
        <x:v>0.1975</x:v>
      </x:c>
      <x:c r="J22" s="51" t="n">
        <x:f>'Assumptions'!$B$47+('Assumptions'!$C$47-'Assumptions'!$B$47)*0.875</x:f>
        <x:v>0.20875</x:v>
      </x:c>
      <x:c r="K22" s="51" t="n">
        <x:f>'Assumptions'!$B$47+('Assumptions'!$C$47-'Assumptions'!$B$47)*1</x:f>
        <x:v>0.22</x:v>
      </x:c>
      <x:c r="L22" s="48"/>
      <x:c r="M22" s="48"/>
      <x:c r="N22" s="48"/>
    </x:row>
    <x:row r="23">
      <x:c r="A23" s="48" t="str">
        <x:v>XR / AR &amp; Wearables</x:v>
      </x:c>
      <x:c r="B23" s="48"/>
      <x:c r="C23" s="51" t="n">
        <x:f>'Assumptions'!$B$48</x:f>
        <x:v>0</x:v>
      </x:c>
      <x:c r="D23" s="51" t="n">
        <x:f>'Assumptions'!$B$48+('Assumptions'!$C$48-'Assumptions'!$B$48)*0.125</x:f>
        <x:v>0.0225</x:v>
      </x:c>
      <x:c r="E23" s="51" t="n">
        <x:f>'Assumptions'!$B$48+('Assumptions'!$C$48-'Assumptions'!$B$48)*0.25</x:f>
        <x:v>0.045</x:v>
      </x:c>
      <x:c r="F23" s="51" t="n">
        <x:f>'Assumptions'!$B$48+('Assumptions'!$C$48-'Assumptions'!$B$48)*0.375</x:f>
        <x:v>0.0675</x:v>
      </x:c>
      <x:c r="G23" s="51" t="n">
        <x:f>'Assumptions'!$B$48+('Assumptions'!$C$48-'Assumptions'!$B$48)*0.5</x:f>
        <x:v>0.09</x:v>
      </x:c>
      <x:c r="H23" s="51" t="n">
        <x:f>'Assumptions'!$B$48+('Assumptions'!$C$48-'Assumptions'!$B$48)*0.625</x:f>
        <x:v>0.11249999999999999</x:v>
      </x:c>
      <x:c r="I23" s="51" t="n">
        <x:f>'Assumptions'!$B$48+('Assumptions'!$C$48-'Assumptions'!$B$48)*0.75</x:f>
        <x:v>0.135</x:v>
      </x:c>
      <x:c r="J23" s="51" t="n">
        <x:f>'Assumptions'!$B$48+('Assumptions'!$C$48-'Assumptions'!$B$48)*0.875</x:f>
        <x:v>0.1575</x:v>
      </x:c>
      <x:c r="K23" s="51" t="n">
        <x:f>'Assumptions'!$B$48+('Assumptions'!$C$48-'Assumptions'!$B$48)*1</x:f>
        <x:v>0.18</x:v>
      </x:c>
      <x:c r="L23" s="48"/>
      <x:c r="M23" s="48"/>
      <x:c r="N23" s="48"/>
    </x:row>
    <x:row r="24">
      <x:c r="A24" s="48" t="str">
        <x:v>Data Center</x:v>
      </x:c>
      <x:c r="B24" s="48"/>
      <x:c r="C24" s="51" t="n">
        <x:f>'Assumptions'!$B$49</x:f>
        <x:v>-0.05</x:v>
      </x:c>
      <x:c r="D24" s="51" t="n">
        <x:f>'Assumptions'!$B$49+('Assumptions'!$C$49-'Assumptions'!$B$49)*0.125</x:f>
        <x:v>-0.00875</x:v>
      </x:c>
      <x:c r="E24" s="51" t="n">
        <x:f>'Assumptions'!$B$49+('Assumptions'!$C$49-'Assumptions'!$B$49)*0.25</x:f>
        <x:v>0.0325</x:v>
      </x:c>
      <x:c r="F24" s="51" t="n">
        <x:f>'Assumptions'!$B$49+('Assumptions'!$C$49-'Assumptions'!$B$49)*0.375</x:f>
        <x:v>0.07375</x:v>
      </x:c>
      <x:c r="G24" s="51" t="n">
        <x:f>'Assumptions'!$B$49+('Assumptions'!$C$49-'Assumptions'!$B$49)*0.5</x:f>
        <x:v>0.115</x:v>
      </x:c>
      <x:c r="H24" s="51" t="n">
        <x:f>'Assumptions'!$B$49+('Assumptions'!$C$49-'Assumptions'!$B$49)*0.625</x:f>
        <x:v>0.15625</x:v>
      </x:c>
      <x:c r="I24" s="51" t="n">
        <x:f>'Assumptions'!$B$49+('Assumptions'!$C$49-'Assumptions'!$B$49)*0.75</x:f>
        <x:v>0.1975</x:v>
      </x:c>
      <x:c r="J24" s="51" t="n">
        <x:f>'Assumptions'!$B$49+('Assumptions'!$C$49-'Assumptions'!$B$49)*0.875</x:f>
        <x:v>0.23875000000000002</x:v>
      </x:c>
      <x:c r="K24" s="51" t="n">
        <x:f>'Assumptions'!$B$49+('Assumptions'!$C$49-'Assumptions'!$B$49)*1</x:f>
        <x:v>0.28</x:v>
      </x:c>
      <x:c r="L24" s="48"/>
      <x:c r="M24" s="48"/>
      <x:c r="N24" s="48"/>
    </x:row>
    <x:row r="25">
      <x:c r="A25" s="48" t="str">
        <x:v>QTL Licensing</x:v>
      </x:c>
      <x:c r="B25" s="48"/>
      <x:c r="C25" s="51" t="n">
        <x:f>'Assumptions'!$B$50</x:f>
        <x:v>0.7</x:v>
      </x:c>
      <x:c r="D25" s="51" t="n">
        <x:f>'Assumptions'!$B$50+('Assumptions'!$C$50-'Assumptions'!$B$50)*0.125</x:f>
        <x:v>0.6975</x:v>
      </x:c>
      <x:c r="E25" s="51" t="n">
        <x:f>'Assumptions'!$B$50+('Assumptions'!$C$50-'Assumptions'!$B$50)*0.25</x:f>
        <x:v>0.695</x:v>
      </x:c>
      <x:c r="F25" s="51" t="n">
        <x:f>'Assumptions'!$B$50+('Assumptions'!$C$50-'Assumptions'!$B$50)*0.375</x:f>
        <x:v>0.6925</x:v>
      </x:c>
      <x:c r="G25" s="51" t="n">
        <x:f>'Assumptions'!$B$50+('Assumptions'!$C$50-'Assumptions'!$B$50)*0.5</x:f>
        <x:v>0.69</x:v>
      </x:c>
      <x:c r="H25" s="51" t="n">
        <x:f>'Assumptions'!$B$50+('Assumptions'!$C$50-'Assumptions'!$B$50)*0.625</x:f>
        <x:v>0.6875</x:v>
      </x:c>
      <x:c r="I25" s="51" t="n">
        <x:f>'Assumptions'!$B$50+('Assumptions'!$C$50-'Assumptions'!$B$50)*0.75</x:f>
        <x:v>0.685</x:v>
      </x:c>
      <x:c r="J25" s="51" t="n">
        <x:f>'Assumptions'!$B$50+('Assumptions'!$C$50-'Assumptions'!$B$50)*0.875</x:f>
        <x:v>0.6825</x:v>
      </x:c>
      <x:c r="K25" s="51" t="n">
        <x:f>'Assumptions'!$B$50+('Assumptions'!$C$50-'Assumptions'!$B$50)*1</x:f>
        <x:v>0.68</x:v>
      </x:c>
      <x:c r="L25" s="48"/>
      <x:c r="M25" s="48"/>
      <x:c r="N25" s="48"/>
    </x:row>
    <x:row r="26">
      <x:c r="A26" s="48" t="str">
        <x:v>Other / Eliminations</x:v>
      </x:c>
      <x:c r="B26" s="48"/>
      <x:c r="C26" s="51" t="n">
        <x:f>'Assumptions'!$B$51</x:f>
        <x:v>-0.3</x:v>
      </x:c>
      <x:c r="D26" s="51" t="n">
        <x:f>'Assumptions'!$B$51+('Assumptions'!$C$51-'Assumptions'!$B$51)*0.125</x:f>
        <x:v>-0.2625</x:v>
      </x:c>
      <x:c r="E26" s="51" t="n">
        <x:f>'Assumptions'!$B$51+('Assumptions'!$C$51-'Assumptions'!$B$51)*0.25</x:f>
        <x:v>-0.22499999999999998</x:v>
      </x:c>
      <x:c r="F26" s="51" t="n">
        <x:f>'Assumptions'!$B$51+('Assumptions'!$C$51-'Assumptions'!$B$51)*0.375</x:f>
        <x:v>-0.1875</x:v>
      </x:c>
      <x:c r="G26" s="51" t="n">
        <x:f>'Assumptions'!$B$51+('Assumptions'!$C$51-'Assumptions'!$B$51)*0.5</x:f>
        <x:v>-0.15</x:v>
      </x:c>
      <x:c r="H26" s="51" t="n">
        <x:f>'Assumptions'!$B$51+('Assumptions'!$C$51-'Assumptions'!$B$51)*0.625</x:f>
        <x:v>-0.11249999999999999</x:v>
      </x:c>
      <x:c r="I26" s="51" t="n">
        <x:f>'Assumptions'!$B$51+('Assumptions'!$C$51-'Assumptions'!$B$51)*0.75</x:f>
        <x:v>-0.07500000000000001</x:v>
      </x:c>
      <x:c r="J26" s="51" t="n">
        <x:f>'Assumptions'!$B$51+('Assumptions'!$C$51-'Assumptions'!$B$51)*0.875</x:f>
        <x:v>-0.03749999999999998</x:v>
      </x:c>
      <x:c r="K26" s="51" t="n">
        <x:f>'Assumptions'!$B$51+('Assumptions'!$C$51-'Assumptions'!$B$51)*1</x:f>
        <x:v>0</x:v>
      </x:c>
      <x:c r="L26" s="48"/>
      <x:c r="M26" s="48"/>
      <x:c r="N26" s="48"/>
    </x:row>
    <x:row r="27">
      <x:c r="A27" s="52" t="str">
        <x:v>EBIT ($M)</x:v>
      </x:c>
      <x:c r="B27" s="52"/>
      <x:c r="C27" s="53" t="n">
        <x:f>C6*C19+C7*C20+C8*C21+C9*C22+C10*C23+C11*C24+C12*C25+C13*C26</x:f>
        <x:v>11116.6345</x:v>
      </x:c>
      <x:c r="D27" s="53" t="n">
        <x:f>D6*D19+D7*D20+D8*D21+D9*D22+D10*D23+D11*D24+D12*D25+D13*D26</x:f>
        <x:v>12568.491378750003</x:v>
      </x:c>
      <x:c r="E27" s="53" t="n">
        <x:f>E6*E19+E7*E20+E8*E21+E9*E22+E10*E23+E11*E24+E12*E25+E13*E26</x:f>
        <x:v>14413.269028750003</x:v>
      </x:c>
      <x:c r="F27" s="53" t="n">
        <x:f>F6*F19+F7*F20+F8*F21+F9*F22+F10*F23+F11*F24+F12*F25+F13*F26</x:f>
        <x:v>16659.266109526252</x:v>
      </x:c>
      <x:c r="G27" s="53" t="n">
        <x:f>G6*G19+G7*G20+G8*G21+G9*G22+G10*G23+G11*G24+G12*G25+G13*G26</x:f>
        <x:v>19219.2317790528</x:v>
      </x:c>
      <x:c r="H27" s="53" t="n">
        <x:f>H6*H19+H7*H20+H8*H21+H9*H22+H10*H23+H11*H24+H12*H25+H13*H26</x:f>
        <x:v>22161.514810233704</x:v>
      </x:c>
      <x:c r="I27" s="53" t="n">
        <x:f>I6*I19+I7*I20+I8*I21+I9*I22+I10*I23+I11*I24+I12*I25+I13*I26</x:f>
        <x:v>25302.27421862953</x:v>
      </x:c>
      <x:c r="J27" s="53" t="n">
        <x:f>J6*J19+J7*J20+J8*J21+J9*J22+J10*J23+J11*J24+J12*J25+J13*J26</x:f>
        <x:v>28684.92283316156</x:v>
      </x:c>
      <x:c r="K27" s="53" t="n">
        <x:f>K6*K19+K7*K20+K8*K21+K9*K22+K10*K23+K11*K24+K12*K25+K13*K26</x:f>
        <x:v>32293.22651847015</x:v>
      </x:c>
      <x:c r="L27" s="48"/>
      <x:c r="M27" s="48"/>
      <x:c r="N27" s="48"/>
    </x:row>
    <x:row r="28">
      <x:c r="A28" s="54" t="str">
        <x:v>Consolidated EBIT margin</x:v>
      </x:c>
      <x:c r="B28" s="54"/>
      <x:c r="C28" s="55" t="n">
        <x:f>C27/C14</x:f>
        <x:v>0.22960231249784424</x:v>
      </x:c>
      <x:c r="D28" s="55" t="n">
        <x:f>D27/D14</x:f>
        <x:v>0.22372503749045722</x:v>
      </x:c>
      <x:c r="E28" s="55" t="n">
        <x:f>E27/E14</x:f>
        <x:v>0.22280705428856964</x:v>
      </x:c>
      <x:c r="F28" s="55" t="n">
        <x:f>F27/F14</x:f>
        <x:v>0.226556961408757</x:v>
      </x:c>
      <x:c r="G28" s="55" t="n">
        <x:f>G27/G14</x:f>
        <x:v>0.23491349015802884</x:v>
      </x:c>
      <x:c r="H28" s="55" t="n">
        <x:f>H27/H14</x:f>
        <x:v>0.24628446540168555</x:v>
      </x:c>
      <x:c r="I28" s="55" t="n">
        <x:f>I27/I14</x:f>
        <x:v>0.2602015732056219</x:v>
      </x:c>
      <x:c r="J28" s="55" t="n">
        <x:f>J27/J14</x:f>
        <x:v>0.2758090269511971</x:v>
      </x:c>
      <x:c r="K28" s="55" t="n">
        <x:f>K27/K14</x:f>
        <x:v>0.29261157054640574</x:v>
      </x:c>
      <x:c r="L28" s="48"/>
      <x:c r="M28" s="48"/>
      <x:c r="N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</x:row>
    <x:row r="31" ht="21" customHeight="1">
      <x:c r="A31" s="46" t="str">
        <x:v>Base case</x:v>
      </x:c>
      <x:c r="B31" s="46" t="str">
        <x:v>Base case</x:v>
      </x:c>
      <x:c r="C31" s="46" t="str">
        <x:v>Base case</x:v>
      </x:c>
      <x:c r="D31" s="46" t="str">
        <x:v>Base case</x:v>
      </x:c>
      <x:c r="E31" s="46" t="str">
        <x:v>Base case</x:v>
      </x:c>
      <x:c r="F31" s="46" t="str">
        <x:v>Base case</x:v>
      </x:c>
      <x:c r="G31" s="46" t="str">
        <x:v>Base case</x:v>
      </x:c>
      <x:c r="H31" s="46" t="str">
        <x:v>Base case</x:v>
      </x:c>
      <x:c r="I31" s="46" t="str">
        <x:v>Base case</x:v>
      </x:c>
      <x:c r="J31" s="46" t="str">
        <x:v>Base case</x:v>
      </x:c>
      <x:c r="K31" s="46" t="str">
        <x:v>Base case</x:v>
      </x:c>
      <x:c r="L31" s="46" t="str">
        <x:v>Base case</x:v>
      </x:c>
      <x:c r="M31" s="46" t="str">
        <x:v>Base case</x:v>
      </x:c>
      <x:c r="N31" s="46" t="str">
        <x:v>Base case</x:v>
      </x:c>
    </x:row>
    <x:row r="32">
      <x:c r="A32" s="49" t="str">
        <x:v>Revenue ($M)</x:v>
      </x:c>
      <x:c r="B32" s="49" t="str">
        <x:v>FY2026A</x:v>
      </x:c>
      <x:c r="C32" s="49" t="str">
        <x:v>FY2027E</x:v>
      </x:c>
      <x:c r="D32" s="49" t="str">
        <x:v>FY2028E</x:v>
      </x:c>
      <x:c r="E32" s="49" t="str">
        <x:v>FY2029E</x:v>
      </x:c>
      <x:c r="F32" s="49" t="str">
        <x:v>FY2030E</x:v>
      </x:c>
      <x:c r="G32" s="49" t="str">
        <x:v>FY2031E</x:v>
      </x:c>
      <x:c r="H32" s="49" t="str">
        <x:v>FY2032E</x:v>
      </x:c>
      <x:c r="I32" s="49" t="str">
        <x:v>FY2033E</x:v>
      </x:c>
      <x:c r="J32" s="49" t="str">
        <x:v>FY2034E</x:v>
      </x:c>
      <x:c r="K32" s="49" t="str">
        <x:v>FY2035E</x:v>
      </x:c>
      <x:c r="L32" s="49" t="str">
        <x:v>FY2027 mix</x:v>
      </x:c>
      <x:c r="M32" s="49" t="str">
        <x:v>FY2035 mix</x:v>
      </x:c>
      <x:c r="N32" s="49" t="str">
        <x:v>FY26–35 CAGR</x:v>
      </x:c>
    </x:row>
    <x:row r="33">
      <x:c r="A33" s="48" t="str">
        <x:v>QCT Handsets</x:v>
      </x:c>
      <x:c r="B33" s="50" t="n">
        <x:f>'Assumptions'!$B$19</x:f>
        <x:v>24130</x:v>
      </x:c>
      <x:c r="C33" s="50" t="n">
        <x:f>B33*(1+'Assumptions'!B$56)</x:f>
        <x:v>20269.2</x:v>
      </x:c>
      <x:c r="D33" s="50" t="n">
        <x:f>C33*(1+'Assumptions'!C$56)</x:f>
        <x:v>20674.584000000003</x:v>
      </x:c>
      <x:c r="E33" s="50" t="n">
        <x:f>D33*(1+'Assumptions'!D$56)</x:f>
        <x:v>21088.07568</x:v>
      </x:c>
      <x:c r="F33" s="50" t="n">
        <x:f>E33*(1+'Assumptions'!E$56)</x:f>
        <x:v>21615.277572</x:v>
      </x:c>
      <x:c r="G33" s="50" t="n">
        <x:f>F33*(1+'Assumptions'!F$56)</x:f>
        <x:v>22263.73589916</x:v>
      </x:c>
      <x:c r="H33" s="50" t="n">
        <x:f>G33*(1+'Assumptions'!G$56)</x:f>
        <x:v>22931.647976134802</x:v>
      </x:c>
      <x:c r="I33" s="50" t="n">
        <x:f>H33*(1+'Assumptions'!H$56)</x:f>
        <x:v>23619.597415418848</x:v>
      </x:c>
      <x:c r="J33" s="50" t="n">
        <x:f>I33*(1+'Assumptions'!I$56)</x:f>
        <x:v>24328.185337881416</x:v>
      </x:c>
      <x:c r="K33" s="50" t="n">
        <x:f>J33*(1+'Assumptions'!J$56)</x:f>
        <x:v>25058.03089801786</x:v>
      </x:c>
      <x:c r="L33" s="51" t="n">
        <x:f>C33/$C$41</x:f>
        <x:v>0.45851082383870817</x:v>
      </x:c>
      <x:c r="M33" s="51" t="n">
        <x:f>K33/$K$41</x:f>
        <x:v>0.3086556044977567</x:v>
      </x:c>
      <x:c r="N33" s="51" t="n">
        <x:f>(K33/B33)^(1/9)-1</x:f>
        <x:v>0.0042019693139438985</x:v>
      </x:c>
    </x:row>
    <x:row r="34">
      <x:c r="A34" s="48" t="str">
        <x:v>QCT Automotive</x:v>
      </x:c>
      <x:c r="B34" s="50" t="n">
        <x:f>'Assumptions'!$B$20</x:f>
        <x:v>5695</x:v>
      </x:c>
      <x:c r="C34" s="50" t="n">
        <x:f>B34*(1+'Assumptions'!B$57)</x:f>
        <x:v>7118.75</x:v>
      </x:c>
      <x:c r="D34" s="50" t="n">
        <x:f>C34*(1+'Assumptions'!C$57)</x:f>
        <x:v>8400.125</x:v>
      </x:c>
      <x:c r="E34" s="50" t="n">
        <x:f>D34*(1+'Assumptions'!D$57)</x:f>
        <x:v>9576.142500000002</x:v>
      </x:c>
      <x:c r="F34" s="50" t="n">
        <x:f>E34*(1+'Assumptions'!E$57)</x:f>
        <x:v>10725.279600000003</x:v>
      </x:c>
      <x:c r="G34" s="50" t="n">
        <x:f>F34*(1+'Assumptions'!F$57)</x:f>
        <x:v>11797.807560000005</x:v>
      </x:c>
      <x:c r="H34" s="50" t="n">
        <x:f>G34*(1+'Assumptions'!G$57)</x:f>
        <x:v>12741.632164800007</x:v>
      </x:c>
      <x:c r="I34" s="50" t="n">
        <x:f>H34*(1+'Assumptions'!H$57)</x:f>
        <x:v>13633.546416336008</x:v>
      </x:c>
      <x:c r="J34" s="50" t="n">
        <x:f>I34*(1+'Assumptions'!I$57)</x:f>
        <x:v>14451.55920131617</x:v>
      </x:c>
      <x:c r="K34" s="50" t="n">
        <x:f>J34*(1+'Assumptions'!J$57)</x:f>
        <x:v>15174.13716138198</x:v>
      </x:c>
      <x:c r="L34" s="51" t="n">
        <x:f>C34/$C$41</x:f>
        <x:v>0.16103368298708404</x:v>
      </x:c>
      <x:c r="M34" s="51" t="n">
        <x:f>K34/$K$41</x:f>
        <x:v>0.18690943822919098</x:v>
      </x:c>
      <x:c r="N34" s="51" t="n">
        <x:f>(K34/B34)^(1/9)-1</x:f>
        <x:v>0.11503893090514383</x:v>
      </x:c>
    </x:row>
    <x:row r="35">
      <x:c r="A35" s="48" t="str">
        <x:v>Industrial IoT / Physical AI</x:v>
      </x:c>
      <x:c r="B35" s="50" t="n">
        <x:f>'Assumptions'!$B$21</x:f>
        <x:v>3650</x:v>
      </x:c>
      <x:c r="C35" s="50" t="n">
        <x:f>B35*(1+'Assumptions'!B$58)</x:f>
        <x:v>4380</x:v>
      </x:c>
      <x:c r="D35" s="50" t="n">
        <x:f>C35*(1+'Assumptions'!C$58)</x:f>
        <x:v>5168.4</x:v>
      </x:c>
      <x:c r="E35" s="50" t="n">
        <x:f>D35*(1+'Assumptions'!D$58)</x:f>
        <x:v>5995.343999999999</x:v>
      </x:c>
      <x:c r="F35" s="50" t="n">
        <x:f>E35*(1+'Assumptions'!E$58)</x:f>
        <x:v>6834.69216</x:v>
      </x:c>
      <x:c r="G35" s="50" t="n">
        <x:f>F35*(1+'Assumptions'!F$58)</x:f>
        <x:v>7654.855219200001</x:v>
      </x:c>
      <x:c r="H35" s="50" t="n">
        <x:f>G35*(1+'Assumptions'!G$58)</x:f>
        <x:v>8420.34074112</x:v>
      </x:c>
      <x:c r="I35" s="50" t="n">
        <x:f>H35*(1+'Assumptions'!H$58)</x:f>
        <x:v>9093.9680004096</x:v>
      </x:c>
      <x:c r="J35" s="50" t="n">
        <x:f>I35*(1+'Assumptions'!I$58)</x:f>
        <x:v>9730.545760438274</x:v>
      </x:c>
      <x:c r="K35" s="50" t="n">
        <x:f>J35*(1+'Assumptions'!J$58)</x:f>
        <x:v>10314.378506064571</x:v>
      </x:c>
      <x:c r="L35" s="51" t="n">
        <x:f>C35/$C$41</x:f>
        <x:v>0.09908025025228138</x:v>
      </x:c>
      <x:c r="M35" s="51" t="n">
        <x:f>K35/$K$41</x:f>
        <x:v>0.1270487192614906</x:v>
      </x:c>
      <x:c r="N35" s="51" t="n">
        <x:f>(K35/B35)^(1/9)-1</x:f>
        <x:v>0.12234867973092545</x:v>
      </x:c>
    </x:row>
    <x:row r="36">
      <x:c r="A36" s="48" t="str">
        <x:v>PC &amp; Consumer IoT</x:v>
      </x:c>
      <x:c r="B36" s="50" t="n">
        <x:f>'Assumptions'!$B$22</x:f>
        <x:v>2610</x:v>
      </x:c>
      <x:c r="C36" s="50" t="n">
        <x:f>B36*(1+'Assumptions'!B$59)</x:f>
        <x:v>2923.2000000000003</x:v>
      </x:c>
      <x:c r="D36" s="50" t="n">
        <x:f>C36*(1+'Assumptions'!C$59)</x:f>
        <x:v>3273.984000000001</x:v>
      </x:c>
      <x:c r="E36" s="50" t="n">
        <x:f>D36*(1+'Assumptions'!D$59)</x:f>
        <x:v>3601.3824000000013</x:v>
      </x:c>
      <x:c r="F36" s="50" t="n">
        <x:f>E36*(1+'Assumptions'!E$59)</x:f>
        <x:v>3925.506816000002</x:v>
      </x:c>
      <x:c r="G36" s="50" t="n">
        <x:f>F36*(1+'Assumptions'!F$59)</x:f>
        <x:v>4239.547361280002</x:v>
      </x:c>
      <x:c r="H36" s="50" t="n">
        <x:f>G36*(1+'Assumptions'!G$59)</x:f>
        <x:v>4536.315676569603</x:v>
      </x:c>
      <x:c r="I36" s="50" t="n">
        <x:f>H36*(1+'Assumptions'!H$59)</x:f>
        <x:v>4808.494617163779</x:v>
      </x:c>
      <x:c r="J36" s="50" t="n">
        <x:f>I36*(1+'Assumptions'!I$59)</x:f>
        <x:v>5048.919348021968</x:v>
      </x:c>
      <x:c r="K36" s="50" t="n">
        <x:f>J36*(1+'Assumptions'!J$59)</x:f>
        <x:v>5250.876121942847</x:v>
      </x:c>
      <x:c r="L36" s="51" t="n">
        <x:f>C36/$C$41</x:f>
        <x:v>0.06612588756563219</x:v>
      </x:c>
      <x:c r="M36" s="51" t="n">
        <x:f>K36/$K$41</x:f>
        <x:v>0.06467836000989637</x:v>
      </x:c>
      <x:c r="N36" s="51" t="n">
        <x:f>(K36/B36)^(1/9)-1</x:f>
        <x:v>0.08076771491363877</x:v>
      </x:c>
    </x:row>
    <x:row r="37">
      <x:c r="A37" s="48" t="str">
        <x:v>XR / AR &amp; Wearables</x:v>
      </x:c>
      <x:c r="B37" s="50" t="n">
        <x:f>'Assumptions'!$B$23</x:f>
        <x:v>504</x:v>
      </x:c>
      <x:c r="C37" s="50" t="n">
        <x:f>B37*(1+'Assumptions'!B$60)</x:f>
        <x:v>630</x:v>
      </x:c>
      <x:c r="D37" s="50" t="n">
        <x:f>C37*(1+'Assumptions'!C$60)</x:f>
        <x:v>787.5</x:v>
      </x:c>
      <x:c r="E37" s="50" t="n">
        <x:f>D37*(1+'Assumptions'!D$60)</x:f>
        <x:v>960.75</x:v>
      </x:c>
      <x:c r="F37" s="50" t="n">
        <x:f>E37*(1+'Assumptions'!E$60)</x:f>
        <x:v>1133.685</x:v>
      </x:c>
      <x:c r="G37" s="50" t="n">
        <x:f>F37*(1+'Assumptions'!F$60)</x:f>
        <x:v>1303.7377499999998</x:v>
      </x:c>
      <x:c r="H37" s="50" t="n">
        <x:f>G37*(1+'Assumptions'!G$60)</x:f>
        <x:v>1460.18628</x:v>
      </x:c>
      <x:c r="I37" s="50" t="n">
        <x:f>H37*(1+'Assumptions'!H$60)</x:f>
        <x:v>1606.204908</x:v>
      </x:c>
      <x:c r="J37" s="50" t="n">
        <x:f>I37*(1+'Assumptions'!I$60)</x:f>
        <x:v>1734.70130064</x:v>
      </x:c>
      <x:c r="K37" s="50" t="n">
        <x:f>J37*(1+'Assumptions'!J$60)</x:f>
        <x:v>1838.7833786784001</x:v>
      </x:c>
      <x:c r="L37" s="51" t="n">
        <x:f>C37/$C$41</x:f>
        <x:v>0.014251268871903486</x:v>
      </x:c>
      <x:c r="M37" s="51" t="n">
        <x:f>K37/$K$41</x:f>
        <x:v>0.02264945707810199</x:v>
      </x:c>
      <x:c r="N37" s="51" t="n">
        <x:f>(K37/B37)^(1/9)-1</x:f>
        <x:v>0.15466382340729723</x:v>
      </x:c>
    </x:row>
    <x:row r="38">
      <x:c r="A38" s="48" t="str">
        <x:v>Data Center</x:v>
      </x:c>
      <x:c r="B38" s="50" t="n">
        <x:f>'Assumptions'!$B$24</x:f>
        <x:v>300</x:v>
      </x:c>
      <x:c r="C38" s="50" t="n">
        <x:f>B38*(1+'Assumptions'!B$61)</x:f>
        <x:v>3000</x:v>
      </x:c>
      <x:c r="D38" s="50" t="n">
        <x:f>C38*(1+'Assumptions'!C$61)</x:f>
        <x:v>4800</x:v>
      </x:c>
      <x:c r="E38" s="50" t="n">
        <x:f>D38*(1+'Assumptions'!D$61)</x:f>
        <x:v>6960</x:v>
      </x:c>
      <x:c r="F38" s="50" t="n">
        <x:f>E38*(1+'Assumptions'!E$61)</x:f>
        <x:v>9048</x:v>
      </x:c>
      <x:c r="G38" s="50" t="n">
        <x:f>F38*(1+'Assumptions'!F$61)</x:f>
        <x:v>10857.6</x:v>
      </x:c>
      <x:c r="H38" s="50" t="n">
        <x:f>G38*(1+'Assumptions'!G$61)</x:f>
        <x:v>12486.24</x:v>
      </x:c>
      <x:c r="I38" s="50" t="n">
        <x:f>H38*(1+'Assumptions'!H$61)</x:f>
        <x:v>13984.588800000001</x:v>
      </x:c>
      <x:c r="J38" s="50" t="n">
        <x:f>I38*(1+'Assumptions'!I$61)</x:f>
        <x:v>15383.047680000003</x:v>
      </x:c>
      <x:c r="K38" s="50" t="n">
        <x:f>J38*(1+'Assumptions'!J$61)</x:f>
        <x:v>16613.691494400005</x:v>
      </x:c>
      <x:c r="L38" s="51" t="n">
        <x:f>C38/$C$41</x:f>
        <x:v>0.06786318510430232</x:v>
      </x:c>
      <x:c r="M38" s="51" t="n">
        <x:f>K38/$K$41</x:f>
        <x:v>0.20464133881920069</x:v>
      </x:c>
      <x:c r="N38" s="51" t="n">
        <x:f>(K38/B38)^(1/9)-1</x:f>
        <x:v>0.5620861702454223</x:v>
      </x:c>
    </x:row>
    <x:row r="39">
      <x:c r="A39" s="48" t="str">
        <x:v>QTL Licensing</x:v>
      </x:c>
      <x:c r="B39" s="50" t="n">
        <x:f>'Assumptions'!$B$25</x:f>
        <x:v>5552</x:v>
      </x:c>
      <x:c r="C39" s="50" t="n">
        <x:f>B39*(1+'Assumptions'!B$62)</x:f>
        <x:v>5385.44</x:v>
      </x:c>
      <x:c r="D39" s="50" t="n">
        <x:f>C39*(1+'Assumptions'!C$62)</x:f>
        <x:v>5493.1488</x:v>
      </x:c>
      <x:c r="E39" s="50" t="n">
        <x:f>D39*(1+'Assumptions'!D$62)</x:f>
        <x:v>5603.011776</x:v>
      </x:c>
      <x:c r="F39" s="50" t="n">
        <x:f>E39*(1+'Assumptions'!E$62)</x:f>
        <x:v>5715.07201152</x:v>
      </x:c>
      <x:c r="G39" s="50" t="n">
        <x:f>F39*(1+'Assumptions'!F$62)</x:f>
        <x:v>5829.3734517504</x:v>
      </x:c>
      <x:c r="H39" s="50" t="n">
        <x:f>G39*(1+'Assumptions'!G$62)</x:f>
        <x:v>5975.107788044159</x:v>
      </x:c>
      <x:c r="I39" s="50" t="n">
        <x:f>H39*(1+'Assumptions'!H$62)</x:f>
        <x:v>6124.485482745263</x:v>
      </x:c>
      <x:c r="J39" s="50" t="n">
        <x:f>I39*(1+'Assumptions'!I$62)</x:f>
        <x:v>6277.597619813894</x:v>
      </x:c>
      <x:c r="K39" s="50" t="n">
        <x:f>J39*(1+'Assumptions'!J$62)</x:f>
        <x:v>6434.537560309241</x:v>
      </x:c>
      <x:c r="L39" s="51" t="n">
        <x:f>C39/$C$41</x:f>
        <x:v>0.12182437052937128</x:v>
      </x:c>
      <x:c r="M39" s="51" t="n">
        <x:f>K39/$K$41</x:f>
        <x:v>0.07925826607939374</x:v>
      </x:c>
      <x:c r="N39" s="51" t="n">
        <x:f>(K39/B39)^(1/9)-1</x:f>
        <x:v>0.0165263802436737</x:v>
      </x:c>
    </x:row>
    <x:row r="40">
      <x:c r="A40" s="48" t="str">
        <x:v>Other / Eliminations</x:v>
      </x:c>
      <x:c r="B40" s="50" t="n">
        <x:f>'Assumptions'!$B$26</x:f>
        <x:v>500</x:v>
      </x:c>
      <x:c r="C40" s="50" t="n">
        <x:f>B40*(1+'Assumptions'!B$63)</x:f>
        <x:v>500</x:v>
      </x:c>
      <x:c r="D40" s="50" t="n">
        <x:f>C40*(1+'Assumptions'!C$63)</x:f>
        <x:v>500</x:v>
      </x:c>
      <x:c r="E40" s="50" t="n">
        <x:f>D40*(1+'Assumptions'!D$63)</x:f>
        <x:v>500</x:v>
      </x:c>
      <x:c r="F40" s="50" t="n">
        <x:f>E40*(1+'Assumptions'!E$63)</x:f>
        <x:v>500</x:v>
      </x:c>
      <x:c r="G40" s="50" t="n">
        <x:f>F40*(1+'Assumptions'!F$63)</x:f>
        <x:v>500</x:v>
      </x:c>
      <x:c r="H40" s="50" t="n">
        <x:f>G40*(1+'Assumptions'!G$63)</x:f>
        <x:v>500</x:v>
      </x:c>
      <x:c r="I40" s="50" t="n">
        <x:f>H40*(1+'Assumptions'!H$63)</x:f>
        <x:v>500</x:v>
      </x:c>
      <x:c r="J40" s="50" t="n">
        <x:f>I40*(1+'Assumptions'!I$63)</x:f>
        <x:v>500</x:v>
      </x:c>
      <x:c r="K40" s="50" t="n">
        <x:f>J40*(1+'Assumptions'!J$63)</x:f>
        <x:v>500</x:v>
      </x:c>
      <x:c r="L40" s="51" t="n">
        <x:f>C40/$C$41</x:f>
        <x:v>0.011310530850717053</x:v>
      </x:c>
      <x:c r="M40" s="51" t="n">
        <x:f>K40/$K$41</x:f>
        <x:v>0.006158816024968905</x:v>
      </x:c>
      <x:c r="N40" s="51" t="n">
        <x:f>(K40/B40)^(1/9)-1</x:f>
        <x:v>0</x:v>
      </x:c>
    </x:row>
    <x:row r="41">
      <x:c r="A41" s="52" t="str">
        <x:v>Total revenue</x:v>
      </x:c>
      <x:c r="B41" s="53" t="n">
        <x:f>SUM(B33:B40)</x:f>
        <x:v>42941</x:v>
      </x:c>
      <x:c r="C41" s="53" t="n">
        <x:f>SUM(C33:C40)</x:f>
        <x:v>44206.590000000004</x:v>
      </x:c>
      <x:c r="D41" s="53" t="n">
        <x:f>SUM(D33:D40)</x:f>
        <x:v>49097.74180000001</x:v>
      </x:c>
      <x:c r="E41" s="53" t="n">
        <x:f>SUM(E33:E40)</x:f>
        <x:v>54284.706356</x:v>
      </x:c>
      <x:c r="F41" s="53" t="n">
        <x:f>SUM(F33:F40)</x:f>
        <x:v>59497.51315952</x:v>
      </x:c>
      <x:c r="G41" s="53" t="n">
        <x:f>SUM(G33:G40)</x:f>
        <x:v>64446.65724139041</x:v>
      </x:c>
      <x:c r="H41" s="53" t="n">
        <x:f>SUM(H33:H40)</x:f>
        <x:v>69051.47062666857</x:v>
      </x:c>
      <x:c r="I41" s="53" t="n">
        <x:f>SUM(I33:I40)</x:f>
        <x:v>73370.88564007351</x:v>
      </x:c>
      <x:c r="J41" s="53" t="n">
        <x:f>SUM(J33:J40)</x:f>
        <x:v>77454.55624811174</x:v>
      </x:c>
      <x:c r="K41" s="53" t="n">
        <x:f>SUM(K33:K40)</x:f>
        <x:v>81184.43512079491</x:v>
      </x:c>
      <x:c r="L41" s="52"/>
      <x:c r="M41" s="52"/>
      <x:c r="N41" s="52"/>
    </x:row>
    <x:row r="42">
      <x:c r="A42" s="54" t="str">
        <x:v>Aggregate growth</x:v>
      </x:c>
      <x:c r="B42" s="54"/>
      <x:c r="C42" s="55" t="n">
        <x:f>C41/B41-1</x:f>
        <x:v>0.029472764956568476</x:v>
      </x:c>
      <x:c r="D42" s="55" t="n">
        <x:f>D41/C41-1</x:f>
        <x:v>0.11064304665888058</x:v>
      </x:c>
      <x:c r="E42" s="55" t="n">
        <x:f>E41/D41-1</x:f>
        <x:v>0.10564568482862469</x:v>
      </x:c>
      <x:c r="F42" s="55" t="n">
        <x:f>F41/E41-1</x:f>
        <x:v>0.09602717143451645</x:v>
      </x:c>
      <x:c r="G42" s="55" t="n">
        <x:f>G41/F41-1</x:f>
        <x:v>0.08318236879247642</x:v>
      </x:c>
      <x:c r="H42" s="55" t="n">
        <x:f>H41/G41-1</x:f>
        <x:v>0.07145154740967308</x:v>
      </x:c>
      <x:c r="I42" s="55" t="n">
        <x:f>I41/H41-1</x:f>
        <x:v>0.06255355569120535</x:v>
      </x:c>
      <x:c r="J42" s="55" t="n">
        <x:f>J41/I41-1</x:f>
        <x:v>0.05565791624856464</x:v>
      </x:c>
      <x:c r="K42" s="55" t="n">
        <x:f>K41/J41-1</x:f>
        <x:v>0.04815570643430167</x:v>
      </x:c>
      <x:c r="L42" s="54"/>
      <x:c r="M42" s="54"/>
      <x:c r="N42" s="54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</x:row>
    <x:row r="45">
      <x:c r="A45" s="49" t="str">
        <x:v>EBIT margin</x:v>
      </x:c>
      <x:c r="B45" s="49" t="str">
        <x:v>FY2026A</x:v>
      </x:c>
      <x:c r="C45" s="49" t="str">
        <x:v>FY2027E</x:v>
      </x:c>
      <x:c r="D45" s="49" t="str">
        <x:v>FY2028E</x:v>
      </x:c>
      <x:c r="E45" s="49" t="str">
        <x:v>FY2029E</x:v>
      </x:c>
      <x:c r="F45" s="49" t="str">
        <x:v>FY2030E</x:v>
      </x:c>
      <x:c r="G45" s="49" t="str">
        <x:v>FY2031E</x:v>
      </x:c>
      <x:c r="H45" s="49" t="str">
        <x:v>FY2032E</x:v>
      </x:c>
      <x:c r="I45" s="49" t="str">
        <x:v>FY2033E</x:v>
      </x:c>
      <x:c r="J45" s="49" t="str">
        <x:v>FY2034E</x:v>
      </x:c>
      <x:c r="K45" s="49" t="str">
        <x:v>FY2035E</x:v>
      </x:c>
      <x:c r="L45" s="49"/>
      <x:c r="M45" s="49"/>
      <x:c r="N45" s="49"/>
    </x:row>
    <x:row r="46">
      <x:c r="A46" s="48" t="str">
        <x:v>QCT Handsets</x:v>
      </x:c>
      <x:c r="B46" s="48"/>
      <x:c r="C46" s="51" t="n">
        <x:f>'Assumptions'!$B$68</x:f>
        <x:v>0.2</x:v>
      </x:c>
      <x:c r="D46" s="51" t="n">
        <x:f>'Assumptions'!$B$68+('Assumptions'!$C$68-'Assumptions'!$B$68)*0.125</x:f>
        <x:v>0.20375000000000001</x:v>
      </x:c>
      <x:c r="E46" s="51" t="n">
        <x:f>'Assumptions'!$B$68+('Assumptions'!$C$68-'Assumptions'!$B$68)*0.25</x:f>
        <x:v>0.20750000000000002</x:v>
      </x:c>
      <x:c r="F46" s="51" t="n">
        <x:f>'Assumptions'!$B$68+('Assumptions'!$C$68-'Assumptions'!$B$68)*0.375</x:f>
        <x:v>0.21125000000000002</x:v>
      </x:c>
      <x:c r="G46" s="51" t="n">
        <x:f>'Assumptions'!$B$68+('Assumptions'!$C$68-'Assumptions'!$B$68)*0.5</x:f>
        <x:v>0.21500000000000002</x:v>
      </x:c>
      <x:c r="H46" s="51" t="n">
        <x:f>'Assumptions'!$B$68+('Assumptions'!$C$68-'Assumptions'!$B$68)*0.625</x:f>
        <x:v>0.21875</x:v>
      </x:c>
      <x:c r="I46" s="51" t="n">
        <x:f>'Assumptions'!$B$68+('Assumptions'!$C$68-'Assumptions'!$B$68)*0.75</x:f>
        <x:v>0.2225</x:v>
      </x:c>
      <x:c r="J46" s="51" t="n">
        <x:f>'Assumptions'!$B$68+('Assumptions'!$C$68-'Assumptions'!$B$68)*0.875</x:f>
        <x:v>0.22625</x:v>
      </x:c>
      <x:c r="K46" s="51" t="n">
        <x:f>'Assumptions'!$B$68+('Assumptions'!$C$68-'Assumptions'!$B$68)*1</x:f>
        <x:v>0.23</x:v>
      </x:c>
      <x:c r="L46" s="48"/>
      <x:c r="M46" s="48"/>
      <x:c r="N46" s="48"/>
    </x:row>
    <x:row r="47">
      <x:c r="A47" s="48" t="str">
        <x:v>QCT Automotive</x:v>
      </x:c>
      <x:c r="B47" s="48"/>
      <x:c r="C47" s="51" t="n">
        <x:f>'Assumptions'!$B$69</x:f>
        <x:v>0.15</x:v>
      </x:c>
      <x:c r="D47" s="51" t="n">
        <x:f>'Assumptions'!$B$69+('Assumptions'!$C$69-'Assumptions'!$B$69)*0.125</x:f>
        <x:v>0.16125</x:v>
      </x:c>
      <x:c r="E47" s="51" t="n">
        <x:f>'Assumptions'!$B$69+('Assumptions'!$C$69-'Assumptions'!$B$69)*0.25</x:f>
        <x:v>0.1725</x:v>
      </x:c>
      <x:c r="F47" s="51" t="n">
        <x:f>'Assumptions'!$B$69+('Assumptions'!$C$69-'Assumptions'!$B$69)*0.375</x:f>
        <x:v>0.18375</x:v>
      </x:c>
      <x:c r="G47" s="51" t="n">
        <x:f>'Assumptions'!$B$69+('Assumptions'!$C$69-'Assumptions'!$B$69)*0.5</x:f>
        <x:v>0.195</x:v>
      </x:c>
      <x:c r="H47" s="51" t="n">
        <x:f>'Assumptions'!$B$69+('Assumptions'!$C$69-'Assumptions'!$B$69)*0.625</x:f>
        <x:v>0.20625</x:v>
      </x:c>
      <x:c r="I47" s="51" t="n">
        <x:f>'Assumptions'!$B$69+('Assumptions'!$C$69-'Assumptions'!$B$69)*0.75</x:f>
        <x:v>0.2175</x:v>
      </x:c>
      <x:c r="J47" s="51" t="n">
        <x:f>'Assumptions'!$B$69+('Assumptions'!$C$69-'Assumptions'!$B$69)*0.875</x:f>
        <x:v>0.22875</x:v>
      </x:c>
      <x:c r="K47" s="51" t="n">
        <x:f>'Assumptions'!$B$69+('Assumptions'!$C$69-'Assumptions'!$B$69)*1</x:f>
        <x:v>0.24</x:v>
      </x:c>
      <x:c r="L47" s="48"/>
      <x:c r="M47" s="48"/>
      <x:c r="N47" s="48"/>
    </x:row>
    <x:row r="48">
      <x:c r="A48" s="48" t="str">
        <x:v>Industrial IoT / Physical AI</x:v>
      </x:c>
      <x:c r="B48" s="48"/>
      <x:c r="C48" s="51" t="n">
        <x:f>'Assumptions'!$B$70</x:f>
        <x:v>0.18</x:v>
      </x:c>
      <x:c r="D48" s="51" t="n">
        <x:f>'Assumptions'!$B$70+('Assumptions'!$C$70-'Assumptions'!$B$70)*0.125</x:f>
        <x:v>0.1875</x:v>
      </x:c>
      <x:c r="E48" s="51" t="n">
        <x:f>'Assumptions'!$B$70+('Assumptions'!$C$70-'Assumptions'!$B$70)*0.25</x:f>
        <x:v>0.195</x:v>
      </x:c>
      <x:c r="F48" s="51" t="n">
        <x:f>'Assumptions'!$B$70+('Assumptions'!$C$70-'Assumptions'!$B$70)*0.375</x:f>
        <x:v>0.20249999999999999</x:v>
      </x:c>
      <x:c r="G48" s="51" t="n">
        <x:f>'Assumptions'!$B$70+('Assumptions'!$C$70-'Assumptions'!$B$70)*0.5</x:f>
        <x:v>0.21</x:v>
      </x:c>
      <x:c r="H48" s="51" t="n">
        <x:f>'Assumptions'!$B$70+('Assumptions'!$C$70-'Assumptions'!$B$70)*0.625</x:f>
        <x:v>0.2175</x:v>
      </x:c>
      <x:c r="I48" s="51" t="n">
        <x:f>'Assumptions'!$B$70+('Assumptions'!$C$70-'Assumptions'!$B$70)*0.75</x:f>
        <x:v>0.22499999999999998</x:v>
      </x:c>
      <x:c r="J48" s="51" t="n">
        <x:f>'Assumptions'!$B$70+('Assumptions'!$C$70-'Assumptions'!$B$70)*0.875</x:f>
        <x:v>0.23249999999999998</x:v>
      </x:c>
      <x:c r="K48" s="51" t="n">
        <x:f>'Assumptions'!$B$70+('Assumptions'!$C$70-'Assumptions'!$B$70)*1</x:f>
        <x:v>0.24</x:v>
      </x:c>
      <x:c r="L48" s="48"/>
      <x:c r="M48" s="48"/>
      <x:c r="N48" s="48"/>
    </x:row>
    <x:row r="49">
      <x:c r="A49" s="48" t="str">
        <x:v>PC &amp; Consumer IoT</x:v>
      </x:c>
      <x:c r="B49" s="48"/>
      <x:c r="C49" s="51" t="n">
        <x:f>'Assumptions'!$B$71</x:f>
        <x:v>0.1</x:v>
      </x:c>
      <x:c r="D49" s="51" t="n">
        <x:f>'Assumptions'!$B$71+('Assumptions'!$C$71-'Assumptions'!$B$71)*0.125</x:f>
        <x:v>0.11</x:v>
      </x:c>
      <x:c r="E49" s="51" t="n">
        <x:f>'Assumptions'!$B$71+('Assumptions'!$C$71-'Assumptions'!$B$71)*0.25</x:f>
        <x:v>0.12</x:v>
      </x:c>
      <x:c r="F49" s="51" t="n">
        <x:f>'Assumptions'!$B$71+('Assumptions'!$C$71-'Assumptions'!$B$71)*0.375</x:f>
        <x:v>0.13</x:v>
      </x:c>
      <x:c r="G49" s="51" t="n">
        <x:f>'Assumptions'!$B$71+('Assumptions'!$C$71-'Assumptions'!$B$71)*0.5</x:f>
        <x:v>0.14</x:v>
      </x:c>
      <x:c r="H49" s="51" t="n">
        <x:f>'Assumptions'!$B$71+('Assumptions'!$C$71-'Assumptions'!$B$71)*0.625</x:f>
        <x:v>0.15</x:v>
      </x:c>
      <x:c r="I49" s="51" t="n">
        <x:f>'Assumptions'!$B$71+('Assumptions'!$C$71-'Assumptions'!$B$71)*0.75</x:f>
        <x:v>0.16</x:v>
      </x:c>
      <x:c r="J49" s="51" t="n">
        <x:f>'Assumptions'!$B$71+('Assumptions'!$C$71-'Assumptions'!$B$71)*0.875</x:f>
        <x:v>0.16999999999999998</x:v>
      </x:c>
      <x:c r="K49" s="51" t="n">
        <x:f>'Assumptions'!$B$71+('Assumptions'!$C$71-'Assumptions'!$B$71)*1</x:f>
        <x:v>0.18</x:v>
      </x:c>
      <x:c r="L49" s="48"/>
      <x:c r="M49" s="48"/>
      <x:c r="N49" s="48"/>
    </x:row>
    <x:row r="50">
      <x:c r="A50" s="48" t="str">
        <x:v>XR / AR &amp; Wearables</x:v>
      </x:c>
      <x:c r="B50" s="48"/>
      <x:c r="C50" s="51" t="n">
        <x:f>'Assumptions'!$B$72</x:f>
        <x:v>-0.05</x:v>
      </x:c>
      <x:c r="D50" s="51" t="n">
        <x:f>'Assumptions'!$B$72+('Assumptions'!$C$72-'Assumptions'!$B$72)*0.125</x:f>
        <x:v>-0.028750000000000005</x:v>
      </x:c>
      <x:c r="E50" s="51" t="n">
        <x:f>'Assumptions'!$B$72+('Assumptions'!$C$72-'Assumptions'!$B$72)*0.25</x:f>
        <x:v>-0.007500000000000007</x:v>
      </x:c>
      <x:c r="F50" s="51" t="n">
        <x:f>'Assumptions'!$B$72+('Assumptions'!$C$72-'Assumptions'!$B$72)*0.375</x:f>
        <x:v>0.013749999999999998</x:v>
      </x:c>
      <x:c r="G50" s="51" t="n">
        <x:f>'Assumptions'!$B$72+('Assumptions'!$C$72-'Assumptions'!$B$72)*0.5</x:f>
        <x:v>0.03499999999999999</x:v>
      </x:c>
      <x:c r="H50" s="51" t="n">
        <x:f>'Assumptions'!$B$72+('Assumptions'!$C$72-'Assumptions'!$B$72)*0.625</x:f>
        <x:v>0.05624999999999998</x:v>
      </x:c>
      <x:c r="I50" s="51" t="n">
        <x:f>'Assumptions'!$B$72+('Assumptions'!$C$72-'Assumptions'!$B$72)*0.75</x:f>
        <x:v>0.0775</x:v>
      </x:c>
      <x:c r="J50" s="51" t="n">
        <x:f>'Assumptions'!$B$72+('Assumptions'!$C$72-'Assumptions'!$B$72)*0.875</x:f>
        <x:v>0.09874999999999999</x:v>
      </x:c>
      <x:c r="K50" s="51" t="n">
        <x:f>'Assumptions'!$B$72+('Assumptions'!$C$72-'Assumptions'!$B$72)*1</x:f>
        <x:v>0.11999999999999998</x:v>
      </x:c>
      <x:c r="L50" s="48"/>
      <x:c r="M50" s="48"/>
      <x:c r="N50" s="48"/>
    </x:row>
    <x:row r="51">
      <x:c r="A51" s="48" t="str">
        <x:v>Data Center</x:v>
      </x:c>
      <x:c r="B51" s="48"/>
      <x:c r="C51" s="51" t="n">
        <x:f>'Assumptions'!$B$73</x:f>
        <x:v>-0.1</x:v>
      </x:c>
      <x:c r="D51" s="51" t="n">
        <x:f>'Assumptions'!$B$73+('Assumptions'!$C$73-'Assumptions'!$B$73)*0.125</x:f>
        <x:v>-0.060000000000000005</x:v>
      </x:c>
      <x:c r="E51" s="51" t="n">
        <x:f>'Assumptions'!$B$73+('Assumptions'!$C$73-'Assumptions'!$B$73)*0.25</x:f>
        <x:v>-0.020000000000000004</x:v>
      </x:c>
      <x:c r="F51" s="51" t="n">
        <x:f>'Assumptions'!$B$73+('Assumptions'!$C$73-'Assumptions'!$B$73)*0.375</x:f>
        <x:v>0.01999999999999999</x:v>
      </x:c>
      <x:c r="G51" s="51" t="n">
        <x:f>'Assumptions'!$B$73+('Assumptions'!$C$73-'Assumptions'!$B$73)*0.5</x:f>
        <x:v>0.06</x:v>
      </x:c>
      <x:c r="H51" s="51" t="n">
        <x:f>'Assumptions'!$B$73+('Assumptions'!$C$73-'Assumptions'!$B$73)*0.625</x:f>
        <x:v>0.1</x:v>
      </x:c>
      <x:c r="I51" s="51" t="n">
        <x:f>'Assumptions'!$B$73+('Assumptions'!$C$73-'Assumptions'!$B$73)*0.75</x:f>
        <x:v>0.13999999999999999</x:v>
      </x:c>
      <x:c r="J51" s="51" t="n">
        <x:f>'Assumptions'!$B$73+('Assumptions'!$C$73-'Assumptions'!$B$73)*0.875</x:f>
        <x:v>0.18000000000000002</x:v>
      </x:c>
      <x:c r="K51" s="51" t="n">
        <x:f>'Assumptions'!$B$73+('Assumptions'!$C$73-'Assumptions'!$B$73)*1</x:f>
        <x:v>0.22</x:v>
      </x:c>
      <x:c r="L51" s="48"/>
      <x:c r="M51" s="48"/>
      <x:c r="N51" s="48"/>
    </x:row>
    <x:row r="52">
      <x:c r="A52" s="48" t="str">
        <x:v>QTL Licensing</x:v>
      </x:c>
      <x:c r="B52" s="48"/>
      <x:c r="C52" s="51" t="n">
        <x:f>'Assumptions'!$B$74</x:f>
        <x:v>0.67</x:v>
      </x:c>
      <x:c r="D52" s="51" t="n">
        <x:f>'Assumptions'!$B$74+('Assumptions'!$C$74-'Assumptions'!$B$74)*0.125</x:f>
        <x:v>0.66625</x:v>
      </x:c>
      <x:c r="E52" s="51" t="n">
        <x:f>'Assumptions'!$B$74+('Assumptions'!$C$74-'Assumptions'!$B$74)*0.25</x:f>
        <x:v>0.6625000000000001</x:v>
      </x:c>
      <x:c r="F52" s="51" t="n">
        <x:f>'Assumptions'!$B$74+('Assumptions'!$C$74-'Assumptions'!$B$74)*0.375</x:f>
        <x:v>0.6587500000000001</x:v>
      </x:c>
      <x:c r="G52" s="51" t="n">
        <x:f>'Assumptions'!$B$74+('Assumptions'!$C$74-'Assumptions'!$B$74)*0.5</x:f>
        <x:v>0.655</x:v>
      </x:c>
      <x:c r="H52" s="51" t="n">
        <x:f>'Assumptions'!$B$74+('Assumptions'!$C$74-'Assumptions'!$B$74)*0.625</x:f>
        <x:v>0.65125</x:v>
      </x:c>
      <x:c r="I52" s="51" t="n">
        <x:f>'Assumptions'!$B$74+('Assumptions'!$C$74-'Assumptions'!$B$74)*0.75</x:f>
        <x:v>0.6475</x:v>
      </x:c>
      <x:c r="J52" s="51" t="n">
        <x:f>'Assumptions'!$B$74+('Assumptions'!$C$74-'Assumptions'!$B$74)*0.875</x:f>
        <x:v>0.64375</x:v>
      </x:c>
      <x:c r="K52" s="51" t="n">
        <x:f>'Assumptions'!$B$74+('Assumptions'!$C$74-'Assumptions'!$B$74)*1</x:f>
        <x:v>0.64</x:v>
      </x:c>
      <x:c r="L52" s="48"/>
      <x:c r="M52" s="48"/>
      <x:c r="N52" s="48"/>
    </x:row>
    <x:row r="53">
      <x:c r="A53" s="48" t="str">
        <x:v>Other / Eliminations</x:v>
      </x:c>
      <x:c r="B53" s="48"/>
      <x:c r="C53" s="51" t="n">
        <x:f>'Assumptions'!$B$75</x:f>
        <x:v>-0.5</x:v>
      </x:c>
      <x:c r="D53" s="51" t="n">
        <x:f>'Assumptions'!$B$75+('Assumptions'!$C$75-'Assumptions'!$B$75)*0.125</x:f>
        <x:v>-0.4625</x:v>
      </x:c>
      <x:c r="E53" s="51" t="n">
        <x:f>'Assumptions'!$B$75+('Assumptions'!$C$75-'Assumptions'!$B$75)*0.25</x:f>
        <x:v>-0.425</x:v>
      </x:c>
      <x:c r="F53" s="51" t="n">
        <x:f>'Assumptions'!$B$75+('Assumptions'!$C$75-'Assumptions'!$B$75)*0.375</x:f>
        <x:v>-0.3875</x:v>
      </x:c>
      <x:c r="G53" s="51" t="n">
        <x:f>'Assumptions'!$B$75+('Assumptions'!$C$75-'Assumptions'!$B$75)*0.5</x:f>
        <x:v>-0.35</x:v>
      </x:c>
      <x:c r="H53" s="51" t="n">
        <x:f>'Assumptions'!$B$75+('Assumptions'!$C$75-'Assumptions'!$B$75)*0.625</x:f>
        <x:v>-0.3125</x:v>
      </x:c>
      <x:c r="I53" s="51" t="n">
        <x:f>'Assumptions'!$B$75+('Assumptions'!$C$75-'Assumptions'!$B$75)*0.75</x:f>
        <x:v>-0.275</x:v>
      </x:c>
      <x:c r="J53" s="51" t="n">
        <x:f>'Assumptions'!$B$75+('Assumptions'!$C$75-'Assumptions'!$B$75)*0.875</x:f>
        <x:v>-0.2375</x:v>
      </x:c>
      <x:c r="K53" s="51" t="n">
        <x:f>'Assumptions'!$B$75+('Assumptions'!$C$75-'Assumptions'!$B$75)*1</x:f>
        <x:v>-0.2</x:v>
      </x:c>
      <x:c r="L53" s="48"/>
      <x:c r="M53" s="48"/>
      <x:c r="N53" s="48"/>
    </x:row>
    <x:row r="54">
      <x:c r="A54" s="52" t="str">
        <x:v>EBIT ($M)</x:v>
      </x:c>
      <x:c r="B54" s="52"/>
      <x:c r="C54" s="53" t="n">
        <x:f>C33*C46+C34*C47+C35*C48+C36*C49+C37*C50+C38*C51+C39*C52+C40*C53</x:f>
        <x:v>9229.1173</x:v>
      </x:c>
      <x:c r="D54" s="53" t="n">
        <x:f>D33*D46+D34*D47+D35*D48+D36*D49+D37*D50+D38*D51+D39*D52+D40*D53</x:f>
        <x:v>10014.099649250002</x:v>
      </x:c>
      <x:c r="E54" s="53" t="n">
        <x:f>E33*E46+E34*E47+E35*E48+E36*E49+E37*E50+E38*E51+E39*E52+E40*E53</x:f>
        <x:v>10982.007929450003</x:v>
      </x:c>
      <x:c r="F54" s="53" t="n">
        <x:f>F33*F46+F34*F47+F35*F48+F36*F49+F37*F50+F38*F51+F39*F52+F40*F53</x:f>
        <x:v>12198.940418403801</x:v>
      </x:c>
      <x:c r="G54" s="53" t="n">
        <x:f>G33*G46+G34*G47+G35*G48+G36*G49+G37*G50+G38*G51+G39*G52+G40*G53</x:f>
        <x:v>13628.658351277118</x:v>
      </x:c>
      <x:c r="H54" s="53" t="n">
        <x:f>H33*H46+H34*H47+H35*H48+H36*H49+H37*H50+H38*H51+H39*H52+H40*H53</x:f>
        <x:v>15221.929516662287</x:v>
      </x:c>
      <x:c r="I54" s="53" t="n">
        <x:f>I33*I46+I34*I47+I35*I48+I36*I49+I37*I50+I38*I51+I39*I52+I40*I53</x:f>
        <x:v>16946.5863717697</x:v>
      </x:c>
      <x:c r="J54" s="53" t="n">
        <x:f>J33*J46+J34*J47+J35*J48+J36*J49+J37*J50+J38*J51+J39*J52+J40*J53</x:f>
        <x:v>18793.418082055774</x:v>
      </x:c>
      <x:c r="K54" s="53" t="n">
        <x:f>K33*K46+K34*K47+K35*K48+K36*K49+K37*K50+K38*K51+K39*K52+K40*K53</x:f>
        <x:v>20719.518741488315</x:v>
      </x:c>
      <x:c r="L54" s="48"/>
      <x:c r="M54" s="48"/>
      <x:c r="N54" s="48"/>
    </x:row>
    <x:row r="55">
      <x:c r="A55" s="54" t="str">
        <x:v>Consolidated EBIT margin</x:v>
      </x:c>
      <x:c r="B55" s="54"/>
      <x:c r="C55" s="55" t="n">
        <x:f>C54/C41</x:f>
        <x:v>0.20877243189307293</x:v>
      </x:c>
      <x:c r="D55" s="55" t="n">
        <x:f>D54/D41</x:f>
        <x:v>0.20396253029401037</x:v>
      </x:c>
      <x:c r="E55" s="55" t="n">
        <x:f>E54/E41</x:f>
        <x:v>0.20230390227092349</x:v>
      </x:c>
      <x:c r="F55" s="55" t="n">
        <x:f>F54/F41</x:f>
        <x:v>0.2050327781885097</x:v>
      </x:c>
      <x:c r="G55" s="55" t="n">
        <x:f>G54/G41</x:f>
        <x:v>0.21147192010641955</x:v>
      </x:c>
      <x:c r="H55" s="55" t="n">
        <x:f>H54/H41</x:f>
        <x:v>0.2204432342789725</x:v>
      </x:c>
      <x:c r="I55" s="55" t="n">
        <x:f>I54/I41</x:f>
        <x:v>0.23097153896850142</x:v>
      </x:c>
      <x:c r="J55" s="55" t="n">
        <x:f>J54/J41</x:f>
        <x:v>0.24263799306853479</x:v>
      </x:c>
      <x:c r="K55" s="55" t="n">
        <x:f>K54/K41</x:f>
        <x:v>0.25521540810944354</x:v>
      </x:c>
      <x:c r="L55" s="48"/>
      <x:c r="M55" s="48"/>
      <x:c r="N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</x:row>
    <x:row r="58" ht="21" customHeight="1">
      <x:c r="A58" s="46" t="str">
        <x:v>Bear case</x:v>
      </x:c>
      <x:c r="B58" s="46" t="str">
        <x:v>Bear case</x:v>
      </x:c>
      <x:c r="C58" s="46" t="str">
        <x:v>Bear case</x:v>
      </x:c>
      <x:c r="D58" s="46" t="str">
        <x:v>Bear case</x:v>
      </x:c>
      <x:c r="E58" s="46" t="str">
        <x:v>Bear case</x:v>
      </x:c>
      <x:c r="F58" s="46" t="str">
        <x:v>Bear case</x:v>
      </x:c>
      <x:c r="G58" s="46" t="str">
        <x:v>Bear case</x:v>
      </x:c>
      <x:c r="H58" s="46" t="str">
        <x:v>Bear case</x:v>
      </x:c>
      <x:c r="I58" s="46" t="str">
        <x:v>Bear case</x:v>
      </x:c>
      <x:c r="J58" s="46" t="str">
        <x:v>Bear case</x:v>
      </x:c>
      <x:c r="K58" s="46" t="str">
        <x:v>Bear case</x:v>
      </x:c>
      <x:c r="L58" s="46" t="str">
        <x:v>Bear case</x:v>
      </x:c>
      <x:c r="M58" s="46" t="str">
        <x:v>Bear case</x:v>
      </x:c>
      <x:c r="N58" s="46" t="str">
        <x:v>Bear case</x:v>
      </x:c>
    </x:row>
    <x:row r="59">
      <x:c r="A59" s="49" t="str">
        <x:v>Revenue ($M)</x:v>
      </x:c>
      <x:c r="B59" s="49" t="str">
        <x:v>FY2026A</x:v>
      </x:c>
      <x:c r="C59" s="49" t="str">
        <x:v>FY2027E</x:v>
      </x:c>
      <x:c r="D59" s="49" t="str">
        <x:v>FY2028E</x:v>
      </x:c>
      <x:c r="E59" s="49" t="str">
        <x:v>FY2029E</x:v>
      </x:c>
      <x:c r="F59" s="49" t="str">
        <x:v>FY2030E</x:v>
      </x:c>
      <x:c r="G59" s="49" t="str">
        <x:v>FY2031E</x:v>
      </x:c>
      <x:c r="H59" s="49" t="str">
        <x:v>FY2032E</x:v>
      </x:c>
      <x:c r="I59" s="49" t="str">
        <x:v>FY2033E</x:v>
      </x:c>
      <x:c r="J59" s="49" t="str">
        <x:v>FY2034E</x:v>
      </x:c>
      <x:c r="K59" s="49" t="str">
        <x:v>FY2035E</x:v>
      </x:c>
      <x:c r="L59" s="49" t="str">
        <x:v>FY2027 mix</x:v>
      </x:c>
      <x:c r="M59" s="49" t="str">
        <x:v>FY2035 mix</x:v>
      </x:c>
      <x:c r="N59" s="49" t="str">
        <x:v>FY26–35 CAGR</x:v>
      </x:c>
    </x:row>
    <x:row r="60">
      <x:c r="A60" s="48" t="str">
        <x:v>QCT Handsets</x:v>
      </x:c>
      <x:c r="B60" s="50" t="n">
        <x:f>'Assumptions'!$B$19</x:f>
        <x:v>24130</x:v>
      </x:c>
      <x:c r="C60" s="50" t="n">
        <x:f>B60*(1+'Assumptions'!B$80)</x:f>
        <x:v>18097.5</x:v>
      </x:c>
      <x:c r="D60" s="50" t="n">
        <x:f>C60*(1+'Assumptions'!C$80)</x:f>
        <x:v>17192.625</x:v>
      </x:c>
      <x:c r="E60" s="50" t="n">
        <x:f>D60*(1+'Assumptions'!D$80)</x:f>
        <x:v>17192.625</x:v>
      </x:c>
      <x:c r="F60" s="50" t="n">
        <x:f>E60*(1+'Assumptions'!E$80)</x:f>
        <x:v>17364.55125</x:v>
      </x:c>
      <x:c r="G60" s="50" t="n">
        <x:f>F60*(1+'Assumptions'!F$80)</x:f>
        <x:v>17538.1967625</x:v>
      </x:c>
      <x:c r="H60" s="50" t="n">
        <x:f>G60*(1+'Assumptions'!G$80)</x:f>
        <x:v>17713.578730125</x:v>
      </x:c>
      <x:c r="I60" s="50" t="n">
        <x:f>H60*(1+'Assumptions'!H$80)</x:f>
        <x:v>17890.714517426248</x:v>
      </x:c>
      <x:c r="J60" s="50" t="n">
        <x:f>I60*(1+'Assumptions'!I$80)</x:f>
        <x:v>18069.62166260051</x:v>
      </x:c>
      <x:c r="K60" s="50" t="n">
        <x:f>J60*(1+'Assumptions'!J$80)</x:f>
        <x:v>18250.317879226517</x:v>
      </x:c>
      <x:c r="L60" s="51" t="n">
        <x:f>C60/$C$68</x:f>
        <x:v>0.4654652916825808</x:v>
      </x:c>
      <x:c r="M60" s="51" t="n">
        <x:f>K60/$K$68</x:f>
        <x:v>0.37334774251874553</x:v>
      </x:c>
      <x:c r="N60" s="51" t="n">
        <x:f>(K60/B60)^(1/9)-1</x:f>
        <x:v>-0.030553875021159915</x:v>
      </x:c>
    </x:row>
    <x:row r="61">
      <x:c r="A61" s="48" t="str">
        <x:v>QCT Automotive</x:v>
      </x:c>
      <x:c r="B61" s="50" t="n">
        <x:f>'Assumptions'!$B$20</x:f>
        <x:v>5695</x:v>
      </x:c>
      <x:c r="C61" s="50" t="n">
        <x:f>B61*(1+'Assumptions'!B$81)</x:f>
        <x:v>6549.249999999999</x:v>
      </x:c>
      <x:c r="D61" s="50" t="n">
        <x:f>C61*(1+'Assumptions'!C$81)</x:f>
        <x:v>7335.16</x:v>
      </x:c>
      <x:c r="E61" s="50" t="n">
        <x:f>D61*(1+'Assumptions'!D$81)</x:f>
        <x:v>8068.676</x:v>
      </x:c>
      <x:c r="F61" s="50" t="n">
        <x:f>E61*(1+'Assumptions'!E$81)</x:f>
        <x:v>8714.170080000002</x:v>
      </x:c>
      <x:c r="G61" s="50" t="n">
        <x:f>F61*(1+'Assumptions'!F$81)</x:f>
        <x:v>9237.020284800003</x:v>
      </x:c>
      <x:c r="H61" s="50" t="n">
        <x:f>G61*(1+'Assumptions'!G$81)</x:f>
        <x:v>9698.871299040004</x:v>
      </x:c>
      <x:c r="I61" s="50" t="n">
        <x:f>H61*(1+'Assumptions'!H$81)</x:f>
        <x:v>10086.826151001604</x:v>
      </x:c>
      <x:c r="J61" s="50" t="n">
        <x:f>I61*(1+'Assumptions'!I$81)</x:f>
        <x:v>10490.299197041668</x:v>
      </x:c>
      <x:c r="K61" s="50" t="n">
        <x:f>J61*(1+'Assumptions'!J$81)</x:f>
        <x:v>10805.008172952917</x:v>
      </x:c>
      <x:c r="L61" s="51" t="n">
        <x:f>C61/$C$68</x:f>
        <x:v>0.16844583846123176</x:v>
      </x:c>
      <x:c r="M61" s="51" t="n">
        <x:f>K61/$K$68</x:f>
        <x:v>0.22103863811930144</x:v>
      </x:c>
      <x:c r="N61" s="51" t="n">
        <x:f>(K61/B61)^(1/9)-1</x:f>
        <x:v>0.07375076362945987</x:v>
      </x:c>
    </x:row>
    <x:row r="62">
      <x:c r="A62" s="48" t="str">
        <x:v>Industrial IoT / Physical AI</x:v>
      </x:c>
      <x:c r="B62" s="50" t="n">
        <x:f>'Assumptions'!$B$21</x:f>
        <x:v>3650</x:v>
      </x:c>
      <x:c r="C62" s="50" t="n">
        <x:f>B62*(1+'Assumptions'!B$82)</x:f>
        <x:v>3942.0000000000005</x:v>
      </x:c>
      <x:c r="D62" s="50" t="n">
        <x:f>C62*(1+'Assumptions'!C$82)</x:f>
        <x:v>4336.200000000001</x:v>
      </x:c>
      <x:c r="E62" s="50" t="n">
        <x:f>D62*(1+'Assumptions'!D$82)</x:f>
        <x:v>4683.096000000001</x:v>
      </x:c>
      <x:c r="F62" s="50" t="n">
        <x:f>E62*(1+'Assumptions'!E$82)</x:f>
        <x:v>5010.912720000002</x:v>
      </x:c>
      <x:c r="G62" s="50" t="n">
        <x:f>F62*(1+'Assumptions'!F$82)</x:f>
        <x:v>5311.567483200002</x:v>
      </x:c>
      <x:c r="H62" s="50" t="n">
        <x:f>G62*(1+'Assumptions'!G$82)</x:f>
        <x:v>5577.145857360003</x:v>
      </x:c>
      <x:c r="I62" s="50" t="n">
        <x:f>H62*(1+'Assumptions'!H$82)</x:f>
        <x:v>5800.231691654403</x:v>
      </x:c>
      <x:c r="J62" s="50" t="n">
        <x:f>I62*(1+'Assumptions'!I$82)</x:f>
        <x:v>6032.240959320579</x:v>
      </x:c>
      <x:c r="K62" s="50" t="n">
        <x:f>J62*(1+'Assumptions'!J$82)</x:f>
        <x:v>6213.208188100197</x:v>
      </x:c>
      <x:c r="L62" s="51" t="n">
        <x:f>C62/$C$68</x:f>
        <x:v>0.10138771541996042</x:v>
      </x:c>
      <x:c r="M62" s="51" t="n">
        <x:f>K62/$K$68</x:f>
        <x:v>0.1271039368287708</x:v>
      </x:c>
      <x:c r="N62" s="51" t="n">
        <x:f>(K62/B62)^(1/9)-1</x:f>
        <x:v>0.060887242287897436</x:v>
      </x:c>
    </x:row>
    <x:row r="63">
      <x:c r="A63" s="48" t="str">
        <x:v>PC &amp; Consumer IoT</x:v>
      </x:c>
      <x:c r="B63" s="50" t="n">
        <x:f>'Assumptions'!$B$22</x:f>
        <x:v>2610</x:v>
      </x:c>
      <x:c r="C63" s="50" t="n">
        <x:f>B63*(1+'Assumptions'!B$83)</x:f>
        <x:v>2740.5</x:v>
      </x:c>
      <x:c r="D63" s="50" t="n">
        <x:f>C63*(1+'Assumptions'!C$83)</x:f>
        <x:v>2877.525</x:v>
      </x:c>
      <x:c r="E63" s="50" t="n">
        <x:f>D63*(1+'Assumptions'!D$83)</x:f>
        <x:v>3021.4012500000003</x:v>
      </x:c>
      <x:c r="F63" s="50" t="n">
        <x:f>E63*(1+'Assumptions'!E$83)</x:f>
        <x:v>3142.2573000000007</x:v>
      </x:c>
      <x:c r="G63" s="50" t="n">
        <x:f>F63*(1+'Assumptions'!F$83)</x:f>
        <x:v>3236.5250190000006</x:v>
      </x:c>
      <x:c r="H63" s="50" t="n">
        <x:f>G63*(1+'Assumptions'!G$83)</x:f>
        <x:v>3333.620769570001</x:v>
      </x:c>
      <x:c r="I63" s="50" t="n">
        <x:f>H63*(1+'Assumptions'!H$83)</x:f>
        <x:v>3400.293184961401</x:v>
      </x:c>
      <x:c r="J63" s="50" t="n">
        <x:f>I63*(1+'Assumptions'!I$83)</x:f>
        <x:v>3468.299048660629</x:v>
      </x:c>
      <x:c r="K63" s="50" t="n">
        <x:f>J63*(1+'Assumptions'!J$83)</x:f>
        <x:v>3537.6650296338416</x:v>
      </x:c>
      <x:c r="L63" s="51" t="n">
        <x:f>C63/$C$68</x:f>
        <x:v>0.07048529530908207</x:v>
      </x:c>
      <x:c r="M63" s="51" t="n">
        <x:f>K63/$K$68</x:f>
        <x:v>0.0723702053488442</x:v>
      </x:c>
      <x:c r="N63" s="51" t="n">
        <x:f>(K63/B63)^(1/9)-1</x:f>
        <x:v>0.034368135885403106</x:v>
      </x:c>
    </x:row>
    <x:row r="64">
      <x:c r="A64" s="48" t="str">
        <x:v>XR / AR &amp; Wearables</x:v>
      </x:c>
      <x:c r="B64" s="50" t="n">
        <x:f>'Assumptions'!$B$23</x:f>
        <x:v>504</x:v>
      </x:c>
      <x:c r="C64" s="50" t="n">
        <x:f>B64*(1+'Assumptions'!B$84)</x:f>
        <x:v>554.4000000000001</x:v>
      </x:c>
      <x:c r="D64" s="50" t="n">
        <x:f>C64*(1+'Assumptions'!C$84)</x:f>
        <x:v>609.8400000000001</x:v>
      </x:c>
      <x:c r="E64" s="50" t="n">
        <x:f>D64*(1+'Assumptions'!D$84)</x:f>
        <x:v>670.8240000000002</x:v>
      </x:c>
      <x:c r="F64" s="50" t="n">
        <x:f>E64*(1+'Assumptions'!E$84)</x:f>
        <x:v>724.4899200000002</x:v>
      </x:c>
      <x:c r="G64" s="50" t="n">
        <x:f>F64*(1+'Assumptions'!F$84)</x:f>
        <x:v>767.9593152000002</x:v>
      </x:c>
      <x:c r="H64" s="50" t="n">
        <x:f>G64*(1+'Assumptions'!G$84)</x:f>
        <x:v>806.3572809600003</x:v>
      </x:c>
      <x:c r="I64" s="50" t="n">
        <x:f>H64*(1+'Assumptions'!H$84)</x:f>
        <x:v>838.6115721984003</x:v>
      </x:c>
      <x:c r="J64" s="50" t="n">
        <x:f>I64*(1+'Assumptions'!I$84)</x:f>
        <x:v>863.7699193643523</x:v>
      </x:c>
      <x:c r="K64" s="50" t="n">
        <x:f>J64*(1+'Assumptions'!J$84)</x:f>
        <x:v>881.0453177516393</x:v>
      </x:c>
      <x:c r="L64" s="51" t="n">
        <x:f>C64/$C$68</x:f>
        <x:v>0.014259094223446489</x:v>
      </x:c>
      <x:c r="M64" s="51" t="n">
        <x:f>K64/$K$68</x:f>
        <x:v>0.018023591841854886</x:v>
      </x:c>
      <x:c r="N64" s="51" t="n">
        <x:f>(K64/B64)^(1/9)-1</x:f>
        <x:v>0.06402533263523069</x:v>
      </x:c>
    </x:row>
    <x:row r="65">
      <x:c r="A65" s="48" t="str">
        <x:v>Data Center</x:v>
      </x:c>
      <x:c r="B65" s="50" t="n">
        <x:f>'Assumptions'!$B$24</x:f>
        <x:v>300</x:v>
      </x:c>
      <x:c r="C65" s="50" t="n">
        <x:f>B65*(1+'Assumptions'!B$85)</x:f>
        <x:v>1500</x:v>
      </x:c>
      <x:c r="D65" s="50" t="n">
        <x:f>C65*(1+'Assumptions'!C$85)</x:f>
        <x:v>2025.0000000000002</x:v>
      </x:c>
      <x:c r="E65" s="50" t="n">
        <x:f>D65*(1+'Assumptions'!D$85)</x:f>
        <x:v>2531.2500000000005</x:v>
      </x:c>
      <x:c r="F65" s="50" t="n">
        <x:f>E65*(1+'Assumptions'!E$85)</x:f>
        <x:v>2910.9375000000005</x:v>
      </x:c>
      <x:c r="G65" s="50" t="n">
        <x:f>F65*(1+'Assumptions'!F$85)</x:f>
        <x:v>3202.031250000001</x:v>
      </x:c>
      <x:c r="H65" s="50" t="n">
        <x:f>G65*(1+'Assumptions'!G$85)</x:f>
        <x:v>3458.1937500000013</x:v>
      </x:c>
      <x:c r="I65" s="50" t="n">
        <x:f>H65*(1+'Assumptions'!H$85)</x:f>
        <x:v>3665.6853750000014</x:v>
      </x:c>
      <x:c r="J65" s="50" t="n">
        <x:f>I65*(1+'Assumptions'!I$85)</x:f>
        <x:v>3848.9696437500015</x:v>
      </x:c>
      <x:c r="K65" s="50" t="n">
        <x:f>J65*(1+'Assumptions'!J$85)</x:f>
        <x:v>4002.9284295000016</x:v>
      </x:c>
      <x:c r="L65" s="51" t="n">
        <x:f>C65/$C$68</x:f>
        <x:v>0.03857980038811279</x:v>
      </x:c>
      <x:c r="M65" s="51" t="n">
        <x:f>K65/$K$68</x:f>
        <x:v>0.08188812394983183</x:v>
      </x:c>
      <x:c r="N65" s="51" t="n">
        <x:f>(K65/B65)^(1/9)-1</x:f>
        <x:v>0.3336089696564606</x:v>
      </x:c>
    </x:row>
    <x:row r="66">
      <x:c r="A66" s="48" t="str">
        <x:v>QTL Licensing</x:v>
      </x:c>
      <x:c r="B66" s="50" t="n">
        <x:f>'Assumptions'!$B$25</x:f>
        <x:v>5552</x:v>
      </x:c>
      <x:c r="C66" s="50" t="n">
        <x:f>B66*(1+'Assumptions'!B$86)</x:f>
        <x:v>4996.8</x:v>
      </x:c>
      <x:c r="D66" s="50" t="n">
        <x:f>C66*(1+'Assumptions'!C$86)</x:f>
        <x:v>4746.96</x:v>
      </x:c>
      <x:c r="E66" s="50" t="n">
        <x:f>D66*(1+'Assumptions'!D$86)</x:f>
        <x:v>4509.612</x:v>
      </x:c>
      <x:c r="F66" s="50" t="n">
        <x:f>E66*(1+'Assumptions'!E$86)</x:f>
        <x:v>4509.612</x:v>
      </x:c>
      <x:c r="G66" s="50" t="n">
        <x:f>F66*(1+'Assumptions'!F$86)</x:f>
        <x:v>4509.612</x:v>
      </x:c>
      <x:c r="H66" s="50" t="n">
        <x:f>G66*(1+'Assumptions'!G$86)</x:f>
        <x:v>4554.70812</x:v>
      </x:c>
      <x:c r="I66" s="50" t="n">
        <x:f>H66*(1+'Assumptions'!H$86)</x:f>
        <x:v>4600.255201200001</x:v>
      </x:c>
      <x:c r="J66" s="50" t="n">
        <x:f>I66*(1+'Assumptions'!I$86)</x:f>
        <x:v>4646.257753212</x:v>
      </x:c>
      <x:c r="K66" s="50" t="n">
        <x:f>J66*(1+'Assumptions'!J$86)</x:f>
        <x:v>4692.7203307441205</x:v>
      </x:c>
      <x:c r="L66" s="51" t="n">
        <x:f>C66/$C$68</x:f>
        <x:v>0.12851703105288131</x:v>
      </x:c>
      <x:c r="M66" s="51" t="n">
        <x:f>K66/$K$68</x:f>
        <x:v>0.0959992342790575</x:v>
      </x:c>
      <x:c r="N66" s="51" t="n">
        <x:f>(K66/B66)^(1/9)-1</x:f>
        <x:v>-0.018509421660058645</x:v>
      </x:c>
    </x:row>
    <x:row r="67">
      <x:c r="A67" s="48" t="str">
        <x:v>Other / Eliminations</x:v>
      </x:c>
      <x:c r="B67" s="50" t="n">
        <x:f>'Assumptions'!$B$26</x:f>
        <x:v>500</x:v>
      </x:c>
      <x:c r="C67" s="50" t="n">
        <x:f>B67*(1+'Assumptions'!B$87)</x:f>
        <x:v>500</x:v>
      </x:c>
      <x:c r="D67" s="50" t="n">
        <x:f>C67*(1+'Assumptions'!C$87)</x:f>
        <x:v>500</x:v>
      </x:c>
      <x:c r="E67" s="50" t="n">
        <x:f>D67*(1+'Assumptions'!D$87)</x:f>
        <x:v>500</x:v>
      </x:c>
      <x:c r="F67" s="50" t="n">
        <x:f>E67*(1+'Assumptions'!E$87)</x:f>
        <x:v>500</x:v>
      </x:c>
      <x:c r="G67" s="50" t="n">
        <x:f>F67*(1+'Assumptions'!F$87)</x:f>
        <x:v>500</x:v>
      </x:c>
      <x:c r="H67" s="50" t="n">
        <x:f>G67*(1+'Assumptions'!G$87)</x:f>
        <x:v>500</x:v>
      </x:c>
      <x:c r="I67" s="50" t="n">
        <x:f>H67*(1+'Assumptions'!H$87)</x:f>
        <x:v>500</x:v>
      </x:c>
      <x:c r="J67" s="50" t="n">
        <x:f>I67*(1+'Assumptions'!I$87)</x:f>
        <x:v>500</x:v>
      </x:c>
      <x:c r="K67" s="50" t="n">
        <x:f>J67*(1+'Assumptions'!J$87)</x:f>
        <x:v>500</x:v>
      </x:c>
      <x:c r="L67" s="51" t="n">
        <x:f>C67/$C$68</x:f>
        <x:v>0.012859933462704263</x:v>
      </x:c>
      <x:c r="M67" s="51" t="n">
        <x:f>K67/$K$68</x:f>
        <x:v>0.010228527113593726</x:v>
      </x:c>
      <x:c r="N67" s="51" t="n">
        <x:f>(K67/B67)^(1/9)-1</x:f>
        <x:v>0</x:v>
      </x:c>
    </x:row>
    <x:row r="68">
      <x:c r="A68" s="52" t="str">
        <x:v>Total revenue</x:v>
      </x:c>
      <x:c r="B68" s="53" t="n">
        <x:f>SUM(B60:B67)</x:f>
        <x:v>42941</x:v>
      </x:c>
      <x:c r="C68" s="53" t="n">
        <x:f>SUM(C60:C67)</x:f>
        <x:v>38880.450000000004</x:v>
      </x:c>
      <x:c r="D68" s="53" t="n">
        <x:f>SUM(D60:D67)</x:f>
        <x:v>39623.310000000005</x:v>
      </x:c>
      <x:c r="E68" s="53" t="n">
        <x:f>SUM(E60:E67)</x:f>
        <x:v>41177.48425</x:v>
      </x:c>
      <x:c r="F68" s="53" t="n">
        <x:f>SUM(F60:F67)</x:f>
        <x:v>42876.93077</x:v>
      </x:c>
      <x:c r="G68" s="53" t="n">
        <x:f>SUM(G60:G67)</x:f>
        <x:v>44302.912114700004</x:v>
      </x:c>
      <x:c r="H68" s="53" t="n">
        <x:f>SUM(H60:H67)</x:f>
        <x:v>45642.47580705501</x:v>
      </x:c>
      <x:c r="I68" s="53" t="n">
        <x:f>SUM(I60:I67)</x:f>
        <x:v>46782.61769344206</x:v>
      </x:c>
      <x:c r="J68" s="53" t="n">
        <x:f>SUM(J60:J67)</x:f>
        <x:v>47919.45818394974</x:v>
      </x:c>
      <x:c r="K68" s="53" t="n">
        <x:f>SUM(K60:K67)</x:f>
        <x:v>48882.89334790924</x:v>
      </x:c>
      <x:c r="L68" s="52"/>
      <x:c r="M68" s="52"/>
      <x:c r="N68" s="52"/>
    </x:row>
    <x:row r="69">
      <x:c r="A69" s="54" t="str">
        <x:v>Aggregate growth</x:v>
      </x:c>
      <x:c r="B69" s="54"/>
      <x:c r="C69" s="55" t="n">
        <x:f>C68/B68-1</x:f>
        <x:v>-0.09456114203209043</x:v>
      </x:c>
      <x:c r="D69" s="55" t="n">
        <x:f>D68/C68-1</x:f>
        <x:v>0.019106260344208925</x:v>
      </x:c>
      <x:c r="E69" s="55" t="n">
        <x:f>E68/D68-1</x:f>
        <x:v>0.03922373597763529</x:v>
      </x:c>
      <x:c r="F69" s="55" t="n">
        <x:f>F68/E68-1</x:f>
        <x:v>0.041271256633411246</x:v>
      </x:c>
      <x:c r="G69" s="55" t="n">
        <x:f>G68/F68-1</x:f>
        <x:v>0.03325754243812917</x:v>
      </x:c>
      <x:c r="H69" s="55" t="n">
        <x:f>H68/G68-1</x:f>
        <x:v>0.030236470435326623</x:v>
      </x:c>
      <x:c r="I69" s="55" t="n">
        <x:f>I68/H68-1</x:f>
        <x:v>0.024979843144503855</x:v>
      </x:c>
      <x:c r="J69" s="55" t="n">
        <x:f>J68/I68-1</x:f>
        <x:v>0.024300489082444976</x:v>
      </x:c>
      <x:c r="K69" s="55" t="n">
        <x:f>K68/J68-1</x:f>
        <x:v>0.020105301697300737</x:v>
      </x:c>
      <x:c r="L69" s="54"/>
      <x:c r="M69" s="54"/>
      <x:c r="N69" s="54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</x:row>
    <x:row r="72">
      <x:c r="A72" s="49" t="str">
        <x:v>EBIT margin</x:v>
      </x:c>
      <x:c r="B72" s="49" t="str">
        <x:v>FY2026A</x:v>
      </x:c>
      <x:c r="C72" s="49" t="str">
        <x:v>FY2027E</x:v>
      </x:c>
      <x:c r="D72" s="49" t="str">
        <x:v>FY2028E</x:v>
      </x:c>
      <x:c r="E72" s="49" t="str">
        <x:v>FY2029E</x:v>
      </x:c>
      <x:c r="F72" s="49" t="str">
        <x:v>FY2030E</x:v>
      </x:c>
      <x:c r="G72" s="49" t="str">
        <x:v>FY2031E</x:v>
      </x:c>
      <x:c r="H72" s="49" t="str">
        <x:v>FY2032E</x:v>
      </x:c>
      <x:c r="I72" s="49" t="str">
        <x:v>FY2033E</x:v>
      </x:c>
      <x:c r="J72" s="49" t="str">
        <x:v>FY2034E</x:v>
      </x:c>
      <x:c r="K72" s="49" t="str">
        <x:v>FY2035E</x:v>
      </x:c>
      <x:c r="L72" s="49"/>
      <x:c r="M72" s="49"/>
      <x:c r="N72" s="49"/>
    </x:row>
    <x:row r="73">
      <x:c r="A73" s="48" t="str">
        <x:v>QCT Handsets</x:v>
      </x:c>
      <x:c r="B73" s="48"/>
      <x:c r="C73" s="51" t="n">
        <x:f>'Assumptions'!$B$92</x:f>
        <x:v>0.15</x:v>
      </x:c>
      <x:c r="D73" s="51" t="n">
        <x:f>'Assumptions'!$B$92+('Assumptions'!$C$92-'Assumptions'!$B$92)*0.125</x:f>
        <x:v>0.15375</x:v>
      </x:c>
      <x:c r="E73" s="51" t="n">
        <x:f>'Assumptions'!$B$92+('Assumptions'!$C$92-'Assumptions'!$B$92)*0.25</x:f>
        <x:v>0.1575</x:v>
      </x:c>
      <x:c r="F73" s="51" t="n">
        <x:f>'Assumptions'!$B$92+('Assumptions'!$C$92-'Assumptions'!$B$92)*0.375</x:f>
        <x:v>0.16125</x:v>
      </x:c>
      <x:c r="G73" s="51" t="n">
        <x:f>'Assumptions'!$B$92+('Assumptions'!$C$92-'Assumptions'!$B$92)*0.5</x:f>
        <x:v>0.16499999999999998</x:v>
      </x:c>
      <x:c r="H73" s="51" t="n">
        <x:f>'Assumptions'!$B$92+('Assumptions'!$C$92-'Assumptions'!$B$92)*0.625</x:f>
        <x:v>0.16874999999999998</x:v>
      </x:c>
      <x:c r="I73" s="51" t="n">
        <x:f>'Assumptions'!$B$92+('Assumptions'!$C$92-'Assumptions'!$B$92)*0.75</x:f>
        <x:v>0.1725</x:v>
      </x:c>
      <x:c r="J73" s="51" t="n">
        <x:f>'Assumptions'!$B$92+('Assumptions'!$C$92-'Assumptions'!$B$92)*0.875</x:f>
        <x:v>0.17625</x:v>
      </x:c>
      <x:c r="K73" s="51" t="n">
        <x:f>'Assumptions'!$B$92+('Assumptions'!$C$92-'Assumptions'!$B$92)*1</x:f>
        <x:v>0.18</x:v>
      </x:c>
      <x:c r="L73" s="48"/>
      <x:c r="M73" s="48"/>
      <x:c r="N73" s="48"/>
    </x:row>
    <x:row r="74">
      <x:c r="A74" s="48" t="str">
        <x:v>QCT Automotive</x:v>
      </x:c>
      <x:c r="B74" s="48"/>
      <x:c r="C74" s="51" t="n">
        <x:f>'Assumptions'!$B$93</x:f>
        <x:v>0.1</x:v>
      </x:c>
      <x:c r="D74" s="51" t="n">
        <x:f>'Assumptions'!$B$93+('Assumptions'!$C$93-'Assumptions'!$B$93)*0.125</x:f>
        <x:v>0.11</x:v>
      </x:c>
      <x:c r="E74" s="51" t="n">
        <x:f>'Assumptions'!$B$93+('Assumptions'!$C$93-'Assumptions'!$B$93)*0.25</x:f>
        <x:v>0.12</x:v>
      </x:c>
      <x:c r="F74" s="51" t="n">
        <x:f>'Assumptions'!$B$93+('Assumptions'!$C$93-'Assumptions'!$B$93)*0.375</x:f>
        <x:v>0.13</x:v>
      </x:c>
      <x:c r="G74" s="51" t="n">
        <x:f>'Assumptions'!$B$93+('Assumptions'!$C$93-'Assumptions'!$B$93)*0.5</x:f>
        <x:v>0.14</x:v>
      </x:c>
      <x:c r="H74" s="51" t="n">
        <x:f>'Assumptions'!$B$93+('Assumptions'!$C$93-'Assumptions'!$B$93)*0.625</x:f>
        <x:v>0.15</x:v>
      </x:c>
      <x:c r="I74" s="51" t="n">
        <x:f>'Assumptions'!$B$93+('Assumptions'!$C$93-'Assumptions'!$B$93)*0.75</x:f>
        <x:v>0.16</x:v>
      </x:c>
      <x:c r="J74" s="51" t="n">
        <x:f>'Assumptions'!$B$93+('Assumptions'!$C$93-'Assumptions'!$B$93)*0.875</x:f>
        <x:v>0.16999999999999998</x:v>
      </x:c>
      <x:c r="K74" s="51" t="n">
        <x:f>'Assumptions'!$B$93+('Assumptions'!$C$93-'Assumptions'!$B$93)*1</x:f>
        <x:v>0.18</x:v>
      </x:c>
      <x:c r="L74" s="48"/>
      <x:c r="M74" s="48"/>
      <x:c r="N74" s="48"/>
    </x:row>
    <x:row r="75">
      <x:c r="A75" s="48" t="str">
        <x:v>Industrial IoT / Physical AI</x:v>
      </x:c>
      <x:c r="B75" s="48"/>
      <x:c r="C75" s="51" t="n">
        <x:f>'Assumptions'!$B$94</x:f>
        <x:v>0.12</x:v>
      </x:c>
      <x:c r="D75" s="51" t="n">
        <x:f>'Assumptions'!$B$94+('Assumptions'!$C$94-'Assumptions'!$B$94)*0.125</x:f>
        <x:v>0.1275</x:v>
      </x:c>
      <x:c r="E75" s="51" t="n">
        <x:f>'Assumptions'!$B$94+('Assumptions'!$C$94-'Assumptions'!$B$94)*0.25</x:f>
        <x:v>0.135</x:v>
      </x:c>
      <x:c r="F75" s="51" t="n">
        <x:f>'Assumptions'!$B$94+('Assumptions'!$C$94-'Assumptions'!$B$94)*0.375</x:f>
        <x:v>0.1425</x:v>
      </x:c>
      <x:c r="G75" s="51" t="n">
        <x:f>'Assumptions'!$B$94+('Assumptions'!$C$94-'Assumptions'!$B$94)*0.5</x:f>
        <x:v>0.15</x:v>
      </x:c>
      <x:c r="H75" s="51" t="n">
        <x:f>'Assumptions'!$B$94+('Assumptions'!$C$94-'Assumptions'!$B$94)*0.625</x:f>
        <x:v>0.1575</x:v>
      </x:c>
      <x:c r="I75" s="51" t="n">
        <x:f>'Assumptions'!$B$94+('Assumptions'!$C$94-'Assumptions'!$B$94)*0.75</x:f>
        <x:v>0.16499999999999998</x:v>
      </x:c>
      <x:c r="J75" s="51" t="n">
        <x:f>'Assumptions'!$B$94+('Assumptions'!$C$94-'Assumptions'!$B$94)*0.875</x:f>
        <x:v>0.1725</x:v>
      </x:c>
      <x:c r="K75" s="51" t="n">
        <x:f>'Assumptions'!$B$94+('Assumptions'!$C$94-'Assumptions'!$B$94)*1</x:f>
        <x:v>0.18</x:v>
      </x:c>
      <x:c r="L75" s="48"/>
      <x:c r="M75" s="48"/>
      <x:c r="N75" s="48"/>
    </x:row>
    <x:row r="76">
      <x:c r="A76" s="48" t="str">
        <x:v>PC &amp; Consumer IoT</x:v>
      </x:c>
      <x:c r="B76" s="48"/>
      <x:c r="C76" s="51" t="n">
        <x:f>'Assumptions'!$B$95</x:f>
        <x:v>0.05</x:v>
      </x:c>
      <x:c r="D76" s="51" t="n">
        <x:f>'Assumptions'!$B$95+('Assumptions'!$C$95-'Assumptions'!$B$95)*0.125</x:f>
        <x:v>0.05625</x:v>
      </x:c>
      <x:c r="E76" s="51" t="n">
        <x:f>'Assumptions'!$B$95+('Assumptions'!$C$95-'Assumptions'!$B$95)*0.25</x:f>
        <x:v>0.0625</x:v>
      </x:c>
      <x:c r="F76" s="51" t="n">
        <x:f>'Assumptions'!$B$95+('Assumptions'!$C$95-'Assumptions'!$B$95)*0.375</x:f>
        <x:v>0.06875</x:v>
      </x:c>
      <x:c r="G76" s="51" t="n">
        <x:f>'Assumptions'!$B$95+('Assumptions'!$C$95-'Assumptions'!$B$95)*0.5</x:f>
        <x:v>0.07500000000000001</x:v>
      </x:c>
      <x:c r="H76" s="51" t="n">
        <x:f>'Assumptions'!$B$95+('Assumptions'!$C$95-'Assumptions'!$B$95)*0.625</x:f>
        <x:v>0.08125</x:v>
      </x:c>
      <x:c r="I76" s="51" t="n">
        <x:f>'Assumptions'!$B$95+('Assumptions'!$C$95-'Assumptions'!$B$95)*0.75</x:f>
        <x:v>0.08750000000000001</x:v>
      </x:c>
      <x:c r="J76" s="51" t="n">
        <x:f>'Assumptions'!$B$95+('Assumptions'!$C$95-'Assumptions'!$B$95)*0.875</x:f>
        <x:v>0.09375</x:v>
      </x:c>
      <x:c r="K76" s="51" t="n">
        <x:f>'Assumptions'!$B$95+('Assumptions'!$C$95-'Assumptions'!$B$95)*1</x:f>
        <x:v>0.1</x:v>
      </x:c>
      <x:c r="L76" s="48"/>
      <x:c r="M76" s="48"/>
      <x:c r="N76" s="48"/>
    </x:row>
    <x:row r="77">
      <x:c r="A77" s="48" t="str">
        <x:v>XR / AR &amp; Wearables</x:v>
      </x:c>
      <x:c r="B77" s="48"/>
      <x:c r="C77" s="51" t="n">
        <x:f>'Assumptions'!$B$96</x:f>
        <x:v>-0.15</x:v>
      </x:c>
      <x:c r="D77" s="51" t="n">
        <x:f>'Assumptions'!$B$96+('Assumptions'!$C$96-'Assumptions'!$B$96)*0.125</x:f>
        <x:v>-0.13125</x:v>
      </x:c>
      <x:c r="E77" s="51" t="n">
        <x:f>'Assumptions'!$B$96+('Assumptions'!$C$96-'Assumptions'!$B$96)*0.25</x:f>
        <x:v>-0.11249999999999999</x:v>
      </x:c>
      <x:c r="F77" s="51" t="n">
        <x:f>'Assumptions'!$B$96+('Assumptions'!$C$96-'Assumptions'!$B$96)*0.375</x:f>
        <x:v>-0.09375</x:v>
      </x:c>
      <x:c r="G77" s="51" t="n">
        <x:f>'Assumptions'!$B$96+('Assumptions'!$C$96-'Assumptions'!$B$96)*0.5</x:f>
        <x:v>-0.075</x:v>
      </x:c>
      <x:c r="H77" s="51" t="n">
        <x:f>'Assumptions'!$B$96+('Assumptions'!$C$96-'Assumptions'!$B$96)*0.625</x:f>
        <x:v>-0.056249999999999994</x:v>
      </x:c>
      <x:c r="I77" s="51" t="n">
        <x:f>'Assumptions'!$B$96+('Assumptions'!$C$96-'Assumptions'!$B$96)*0.75</x:f>
        <x:v>-0.037500000000000006</x:v>
      </x:c>
      <x:c r="J77" s="51" t="n">
        <x:f>'Assumptions'!$B$96+('Assumptions'!$C$96-'Assumptions'!$B$96)*0.875</x:f>
        <x:v>-0.01874999999999999</x:v>
      </x:c>
      <x:c r="K77" s="51" t="n">
        <x:f>'Assumptions'!$B$96+('Assumptions'!$C$96-'Assumptions'!$B$96)*1</x:f>
        <x:v>0</x:v>
      </x:c>
      <x:c r="L77" s="48"/>
      <x:c r="M77" s="48"/>
      <x:c r="N77" s="48"/>
    </x:row>
    <x:row r="78">
      <x:c r="A78" s="48" t="str">
        <x:v>Data Center</x:v>
      </x:c>
      <x:c r="B78" s="48"/>
      <x:c r="C78" s="51" t="n">
        <x:f>'Assumptions'!$B$97</x:f>
        <x:v>-0.2</x:v>
      </x:c>
      <x:c r="D78" s="51" t="n">
        <x:f>'Assumptions'!$B$97+('Assumptions'!$C$97-'Assumptions'!$B$97)*0.125</x:f>
        <x:v>-0.16</x:v>
      </x:c>
      <x:c r="E78" s="51" t="n">
        <x:f>'Assumptions'!$B$97+('Assumptions'!$C$97-'Assumptions'!$B$97)*0.25</x:f>
        <x:v>-0.12000000000000001</x:v>
      </x:c>
      <x:c r="F78" s="51" t="n">
        <x:f>'Assumptions'!$B$97+('Assumptions'!$C$97-'Assumptions'!$B$97)*0.375</x:f>
        <x:v>-0.08000000000000002</x:v>
      </x:c>
      <x:c r="G78" s="51" t="n">
        <x:f>'Assumptions'!$B$97+('Assumptions'!$C$97-'Assumptions'!$B$97)*0.5</x:f>
        <x:v>-0.04000000000000001</x:v>
      </x:c>
      <x:c r="H78" s="51" t="n">
        <x:f>'Assumptions'!$B$97+('Assumptions'!$C$97-'Assumptions'!$B$97)*0.625</x:f>
        <x:v>0</x:v>
      </x:c>
      <x:c r="I78" s="51" t="n">
        <x:f>'Assumptions'!$B$97+('Assumptions'!$C$97-'Assumptions'!$B$97)*0.75</x:f>
        <x:v>0.03999999999999998</x:v>
      </x:c>
      <x:c r="J78" s="51" t="n">
        <x:f>'Assumptions'!$B$97+('Assumptions'!$C$97-'Assumptions'!$B$97)*0.875</x:f>
        <x:v>0.08000000000000002</x:v>
      </x:c>
      <x:c r="K78" s="51" t="n">
        <x:f>'Assumptions'!$B$97+('Assumptions'!$C$97-'Assumptions'!$B$97)*1</x:f>
        <x:v>0.12</x:v>
      </x:c>
      <x:c r="L78" s="48"/>
      <x:c r="M78" s="48"/>
      <x:c r="N78" s="48"/>
    </x:row>
    <x:row r="79">
      <x:c r="A79" s="48" t="str">
        <x:v>QTL Licensing</x:v>
      </x:c>
      <x:c r="B79" s="48"/>
      <x:c r="C79" s="51" t="n">
        <x:f>'Assumptions'!$B$98</x:f>
        <x:v>0.6</x:v>
      </x:c>
      <x:c r="D79" s="51" t="n">
        <x:f>'Assumptions'!$B$98+('Assumptions'!$C$98-'Assumptions'!$B$98)*0.125</x:f>
        <x:v>0.59375</x:v>
      </x:c>
      <x:c r="E79" s="51" t="n">
        <x:f>'Assumptions'!$B$98+('Assumptions'!$C$98-'Assumptions'!$B$98)*0.25</x:f>
        <x:v>0.5875</x:v>
      </x:c>
      <x:c r="F79" s="51" t="n">
        <x:f>'Assumptions'!$B$98+('Assumptions'!$C$98-'Assumptions'!$B$98)*0.375</x:f>
        <x:v>0.58125</x:v>
      </x:c>
      <x:c r="G79" s="51" t="n">
        <x:f>'Assumptions'!$B$98+('Assumptions'!$C$98-'Assumptions'!$B$98)*0.5</x:f>
        <x:v>0.575</x:v>
      </x:c>
      <x:c r="H79" s="51" t="n">
        <x:f>'Assumptions'!$B$98+('Assumptions'!$C$98-'Assumptions'!$B$98)*0.625</x:f>
        <x:v>0.56875</x:v>
      </x:c>
      <x:c r="I79" s="51" t="n">
        <x:f>'Assumptions'!$B$98+('Assumptions'!$C$98-'Assumptions'!$B$98)*0.75</x:f>
        <x:v>0.5625</x:v>
      </x:c>
      <x:c r="J79" s="51" t="n">
        <x:f>'Assumptions'!$B$98+('Assumptions'!$C$98-'Assumptions'!$B$98)*0.875</x:f>
        <x:v>0.55625</x:v>
      </x:c>
      <x:c r="K79" s="51" t="n">
        <x:f>'Assumptions'!$B$98+('Assumptions'!$C$98-'Assumptions'!$B$98)*1</x:f>
        <x:v>0.55</x:v>
      </x:c>
      <x:c r="L79" s="48"/>
      <x:c r="M79" s="48"/>
      <x:c r="N79" s="48"/>
    </x:row>
    <x:row r="80">
      <x:c r="A80" s="48" t="str">
        <x:v>Other / Eliminations</x:v>
      </x:c>
      <x:c r="B80" s="48"/>
      <x:c r="C80" s="51" t="n">
        <x:f>'Assumptions'!$B$99</x:f>
        <x:v>-0.7</x:v>
      </x:c>
      <x:c r="D80" s="51" t="n">
        <x:f>'Assumptions'!$B$99+('Assumptions'!$C$99-'Assumptions'!$B$99)*0.125</x:f>
        <x:v>-0.6625</x:v>
      </x:c>
      <x:c r="E80" s="51" t="n">
        <x:f>'Assumptions'!$B$99+('Assumptions'!$C$99-'Assumptions'!$B$99)*0.25</x:f>
        <x:v>-0.625</x:v>
      </x:c>
      <x:c r="F80" s="51" t="n">
        <x:f>'Assumptions'!$B$99+('Assumptions'!$C$99-'Assumptions'!$B$99)*0.375</x:f>
        <x:v>-0.5875</x:v>
      </x:c>
      <x:c r="G80" s="51" t="n">
        <x:f>'Assumptions'!$B$99+('Assumptions'!$C$99-'Assumptions'!$B$99)*0.5</x:f>
        <x:v>-0.55</x:v>
      </x:c>
      <x:c r="H80" s="51" t="n">
        <x:f>'Assumptions'!$B$99+('Assumptions'!$C$99-'Assumptions'!$B$99)*0.625</x:f>
        <x:v>-0.5125</x:v>
      </x:c>
      <x:c r="I80" s="51" t="n">
        <x:f>'Assumptions'!$B$99+('Assumptions'!$C$99-'Assumptions'!$B$99)*0.75</x:f>
        <x:v>-0.475</x:v>
      </x:c>
      <x:c r="J80" s="51" t="n">
        <x:f>'Assumptions'!$B$99+('Assumptions'!$C$99-'Assumptions'!$B$99)*0.875</x:f>
        <x:v>-0.4375</x:v>
      </x:c>
      <x:c r="K80" s="51" t="n">
        <x:f>'Assumptions'!$B$99+('Assumptions'!$C$99-'Assumptions'!$B$99)*1</x:f>
        <x:v>-0.4</x:v>
      </x:c>
      <x:c r="L80" s="48"/>
      <x:c r="M80" s="48"/>
      <x:c r="N80" s="48"/>
    </x:row>
    <x:row r="81">
      <x:c r="A81" s="52" t="str">
        <x:v>EBIT ($M)</x:v>
      </x:c>
      <x:c r="B81" s="52"/>
      <x:c r="C81" s="53" t="n">
        <x:f>C60*C73+C61*C74+C62*C75+C63*C76+C64*C77+C65*C78+C66*C79+C67*C80</x:f>
        <x:v>6244.535</x:v>
      </x:c>
      <x:c r="D81" s="53" t="n">
        <x:f>D60*D73+D61*D74+D62*D75+D63*D76+D64*D77+D65*D78+D66*D79+D67*D80</x:f>
        <x:v>6248.175975000001</x:v>
      </x:c>
      <x:c r="E81" s="53" t="n">
        <x:f>E60*E73+E61*E74+E62*E75+E63*E76+E64*E77+E65*E78+E66*E79+E67*E80</x:f>
        <x:v>6454.814445624999</x:v>
      </x:c>
      <x:c r="F81" s="53" t="n">
        <x:f>F60*F73+F61*F74+F62*F75+F63*F76+F64*F77+F65*F78+F66*F79+F67*F80</x:f>
        <x:v>6889.627296437501</x:v>
      </x:c>
      <x:c r="G81" s="53" t="n">
        <x:f>G60*G73+G61*G74+G62*G75+G63*G76+G64*G77+G65*G78+G66*G79+G67*G80</x:f>
        <x:v>7358.808505949501</x:v>
      </x:c>
      <x:c r="H81" s="53" t="n">
        <x:f>H60*H73+H61*H74+H62*H75+H63*H76+H64*H77+H65*H78+H66*H79+H67*H80</x:f>
        <x:v>7882.136911822357</x:v>
      </x:c>
      <x:c r="I81" s="53" t="n">
        <x:f>I60*I73+I61*I74+I62*I75+I63*I76+I64*I77+I65*I78+I66*I79+I67*I80</x:f>
        <x:v>8419.927352940944</x:v>
      </x:c>
      <x:c r="J81" s="53" t="n">
        <x:f>J60*J73+J61*J74+J62*J75+J63*J76+J64*J77+J65*J78+J66*J79+J67*J80</x:f>
        <x:v>8991.28904356125</x:v>
      </x:c>
      <x:c r="K81" s="53" t="n">
        <x:f>K60*K73+K61*K74+K62*K75+K63*K76+K64*K77+K65*K78+K66*K79+K67*K80</x:f>
        <x:v>9563.450259662985</x:v>
      </x:c>
      <x:c r="L81" s="48"/>
      <x:c r="M81" s="48"/>
      <x:c r="N81" s="48"/>
    </x:row>
    <x:row r="82">
      <x:c r="A82" s="54" t="str">
        <x:v>Consolidated EBIT margin</x:v>
      </x:c>
      <x:c r="B82" s="54"/>
      <x:c r="C82" s="55" t="n">
        <x:f>C81/C68</x:f>
        <x:v>0.1606086092110559</x:v>
      </x:c>
      <x:c r="D82" s="55" t="n">
        <x:f>D81/D68</x:f>
        <x:v>0.1576893998759821</x:v>
      </x:c>
      <x:c r="E82" s="55" t="n">
        <x:f>E81/E68</x:f>
        <x:v>0.15675592045487818</x:v>
      </x:c>
      <x:c r="F82" s="55" t="n">
        <x:f>F81/F68</x:f>
        <x:v>0.16068377966218642</x:v>
      </x:c>
      <x:c r="G82" s="55" t="n">
        <x:f>G81/G68</x:f>
        <x:v>0.16610213989765693</x:v>
      </x:c>
      <x:c r="H82" s="55" t="n">
        <x:f>H81/H68</x:f>
        <x:v>0.17269301834419787</x:v>
      </x:c>
      <x:c r="I82" s="55" t="n">
        <x:f>I81/I68</x:f>
        <x:v>0.17997982515889102</x:v>
      </x:c>
      <x:c r="J82" s="55" t="n">
        <x:f>J81/J68</x:f>
        <x:v>0.18763336198514896</x:v>
      </x:c>
      <x:c r="K82" s="55" t="n">
        <x:f>K81/K68</x:f>
        <x:v>0.19564002056093557</x:v>
      </x:c>
      <x:c r="L82" s="48"/>
      <x:c r="M82" s="48"/>
      <x:c r="N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</x:row>
  </x:sheetData>
  <x:mergeCells>
    <x:mergeCell ref="A1:N1"/>
    <x:mergeCell ref="A2:N2"/>
    <x:mergeCell ref="A4:N4"/>
    <x:mergeCell ref="A31:N31"/>
    <x:mergeCell ref="A58:N5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2" max="12" width="25" hidden="0" customWidth="1"/>
    <x:col min="13" max="13" width="16" hidden="0" customWidth="1"/>
  </x:cols>
  <x:sheetData>
    <x:row r="1" ht="27" customHeight="1">
      <x:c r="A1" s="46" t="str">
        <x:v>QCOM DCF — Scenario Cash Flows and Valuation</x:v>
      </x:c>
      <x:c r="B1" s="46" t="str">
        <x:v>QCOM DCF — Scenario Cash Flows and Valuation</x:v>
      </x:c>
      <x:c r="C1" s="46" t="str">
        <x:v>QCOM DCF — Scenario Cash Flows and Valuation</x:v>
      </x:c>
      <x:c r="D1" s="46" t="str">
        <x:v>QCOM DCF — Scenario Cash Flows and Valuation</x:v>
      </x:c>
      <x:c r="E1" s="46" t="str">
        <x:v>QCOM DCF — Scenario Cash Flows and Valuation</x:v>
      </x:c>
      <x:c r="F1" s="46" t="str">
        <x:v>QCOM DCF — Scenario Cash Flows and Valuation</x:v>
      </x:c>
      <x:c r="G1" s="46" t="str">
        <x:v>QCOM DCF — Scenario Cash Flows and Valuation</x:v>
      </x:c>
      <x:c r="H1" s="46" t="str">
        <x:v>QCOM DCF — Scenario Cash Flows and Valuation</x:v>
      </x:c>
      <x:c r="I1" s="46" t="str">
        <x:v>QCOM DCF — Scenario Cash Flows and Valuation</x:v>
      </x:c>
      <x:c r="J1" s="46" t="str">
        <x:v>QCOM DCF — Scenario Cash Flows and Valuation</x:v>
      </x:c>
      <x:c r="K1" s="46" t="str">
        <x:v>QCOM DCF — Scenario Cash Flows and Valuation</x:v>
      </x:c>
      <x:c r="L1" s="46" t="str">
        <x:v>QCOM DCF — Scenario Cash Flows and Valuation</x:v>
      </x:c>
      <x:c r="M1" s="46" t="str">
        <x:v>QCOM DCF — Scenario Cash Flows and Valuation</x:v>
      </x:c>
    </x:row>
    <x:row r="2" ht="24" customHeight="1">
      <x:c r="A2" s="47" t="str">
        <x:v>Unlevered FCFF. EBIT margins include the modeled operating consequences of pricing lags, investment ahead of revenue, and regulatory / licensing pressure.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</x:row>
    <x:row r="4" ht="21" customHeight="1">
      <x:c r="A4" s="46" t="str">
        <x:v>Bull case DCF</x:v>
      </x:c>
      <x:c r="B4" s="46" t="str">
        <x:v>Bull case DCF</x:v>
      </x:c>
      <x:c r="C4" s="46" t="str">
        <x:v>Bull case DCF</x:v>
      </x:c>
      <x:c r="D4" s="46" t="str">
        <x:v>Bull case DCF</x:v>
      </x:c>
      <x:c r="E4" s="46" t="str">
        <x:v>Bull case DCF</x:v>
      </x:c>
      <x:c r="F4" s="46" t="str">
        <x:v>Bull case DCF</x:v>
      </x:c>
      <x:c r="G4" s="46" t="str">
        <x:v>Bull case DCF</x:v>
      </x:c>
      <x:c r="H4" s="46" t="str">
        <x:v>Bull case DCF</x:v>
      </x:c>
      <x:c r="I4" s="46" t="str">
        <x:v>Bull case DCF</x:v>
      </x:c>
      <x:c r="J4" s="46" t="str">
        <x:v>Bull case DCF</x:v>
      </x:c>
      <x:c r="K4" s="46" t="str">
        <x:v>Bull case DCF</x:v>
      </x:c>
      <x:c r="L4" s="46" t="str">
        <x:v>Bull case DCF</x:v>
      </x:c>
      <x:c r="M4" s="46" t="str">
        <x:v>Bull case DCF</x:v>
      </x:c>
    </x:row>
    <x:row r="5">
      <x:c r="A5" s="49" t="str">
        <x:v>Line item ($M)</x:v>
      </x:c>
      <x:c r="B5" s="49" t="str">
        <x:v>FY2027E</x:v>
      </x:c>
      <x:c r="C5" s="49" t="str">
        <x:v>FY2028E</x:v>
      </x:c>
      <x:c r="D5" s="49" t="str">
        <x:v>FY2029E</x:v>
      </x:c>
      <x:c r="E5" s="49" t="str">
        <x:v>FY2030E</x:v>
      </x:c>
      <x:c r="F5" s="49" t="str">
        <x:v>FY2031E</x:v>
      </x:c>
      <x:c r="G5" s="49" t="str">
        <x:v>FY2032E</x:v>
      </x:c>
      <x:c r="H5" s="49" t="str">
        <x:v>FY2033E</x:v>
      </x:c>
      <x:c r="I5" s="49" t="str">
        <x:v>FY2034E</x:v>
      </x:c>
      <x:c r="J5" s="49" t="str">
        <x:v>FY2035E</x:v>
      </x:c>
      <x:c r="K5" s="49"/>
      <x:c r="L5" s="48"/>
      <x:c r="M5" s="48"/>
    </x:row>
    <x:row r="6">
      <x:c r="A6" s="48" t="str">
        <x:v>Revenue</x:v>
      </x:c>
      <x:c r="B6" s="50" t="n">
        <x:f>'Segment Cases'!C$14</x:f>
        <x:v>48416.91</x:v>
      </x:c>
      <x:c r="C6" s="50" t="n">
        <x:f>'Segment Cases'!D$14</x:f>
        <x:v>56178.296</x:v>
      </x:c>
      <x:c r="D6" s="50" t="n">
        <x:f>'Segment Cases'!E$14</x:f>
        <x:v>64689.46450000002</x:v>
      </x:c>
      <x:c r="E6" s="50" t="n">
        <x:f>'Segment Cases'!F$14</x:f>
        <x:v>73532.35144900001</x:v>
      </x:c>
      <x:c r="F6" s="50" t="n">
        <x:f>'Segment Cases'!G$14</x:f>
        <x:v>81814.08298912001</x:v>
      </x:c>
      <x:c r="G6" s="50" t="n">
        <x:f>'Segment Cases'!H$14</x:f>
        <x:v>89983.4050600336</x:v>
      </x:c>
      <x:c r="H6" s="50" t="n">
        <x:f>'Segment Cases'!I$14</x:f>
        <x:v>97241.05010938822</x:v>
      </x:c>
      <x:c r="I6" s="50" t="n">
        <x:f>'Segment Cases'!J$14</x:f>
        <x:v>104002.84265618761</x:v>
      </x:c>
      <x:c r="J6" s="50" t="n">
        <x:f>'Segment Cases'!K$14</x:f>
        <x:v>110362.09695388212</x:v>
      </x:c>
      <x:c r="K6" s="48"/>
      <x:c r="L6" s="49" t="str">
        <x:v>Valuation bridge</x:v>
      </x:c>
      <x:c r="M6" s="49" t="str">
        <x:v>Value</x:v>
      </x:c>
    </x:row>
    <x:row r="7">
      <x:c r="A7" s="48" t="str">
        <x:v>EBIT</x:v>
      </x:c>
      <x:c r="B7" s="50" t="n">
        <x:f>'Segment Cases'!C$27</x:f>
        <x:v>11116.6345</x:v>
      </x:c>
      <x:c r="C7" s="50" t="n">
        <x:f>'Segment Cases'!D$27</x:f>
        <x:v>12568.491378750003</x:v>
      </x:c>
      <x:c r="D7" s="50" t="n">
        <x:f>'Segment Cases'!E$27</x:f>
        <x:v>14413.269028750003</x:v>
      </x:c>
      <x:c r="E7" s="50" t="n">
        <x:f>'Segment Cases'!F$27</x:f>
        <x:v>16659.266109526252</x:v>
      </x:c>
      <x:c r="F7" s="50" t="n">
        <x:f>'Segment Cases'!G$27</x:f>
        <x:v>19219.2317790528</x:v>
      </x:c>
      <x:c r="G7" s="50" t="n">
        <x:f>'Segment Cases'!H$27</x:f>
        <x:v>22161.514810233704</x:v>
      </x:c>
      <x:c r="H7" s="50" t="n">
        <x:f>'Segment Cases'!I$27</x:f>
        <x:v>25302.27421862953</x:v>
      </x:c>
      <x:c r="I7" s="50" t="n">
        <x:f>'Segment Cases'!J$27</x:f>
        <x:v>28684.92283316156</x:v>
      </x:c>
      <x:c r="J7" s="50" t="n">
        <x:f>'Segment Cases'!K$27</x:f>
        <x:v>32293.22651847015</x:v>
      </x:c>
      <x:c r="K7" s="48"/>
      <x:c r="L7" s="48" t="str">
        <x:v>PV of forecast FCFF</x:v>
      </x:c>
      <x:c r="M7" s="50" t="n">
        <x:f>SUM(B17:J17)</x:f>
        <x:v>91823.80744247002</x:v>
      </x:c>
    </x:row>
    <x:row r="8">
      <x:c r="A8" s="48" t="str">
        <x:v>EBIT margin</x:v>
      </x:c>
      <x:c r="B8" s="51" t="n">
        <x:f>B7/B6</x:f>
        <x:v>0.22960231249784424</x:v>
      </x:c>
      <x:c r="C8" s="51" t="n">
        <x:f>C7/C6</x:f>
        <x:v>0.22372503749045722</x:v>
      </x:c>
      <x:c r="D8" s="51" t="n">
        <x:f>D7/D6</x:f>
        <x:v>0.22280705428856964</x:v>
      </x:c>
      <x:c r="E8" s="51" t="n">
        <x:f>E7/E6</x:f>
        <x:v>0.226556961408757</x:v>
      </x:c>
      <x:c r="F8" s="51" t="n">
        <x:f>F7/F6</x:f>
        <x:v>0.23491349015802884</x:v>
      </x:c>
      <x:c r="G8" s="51" t="n">
        <x:f>G7/G6</x:f>
        <x:v>0.24628446540168555</x:v>
      </x:c>
      <x:c r="H8" s="51" t="n">
        <x:f>H7/H6</x:f>
        <x:v>0.2602015732056219</x:v>
      </x:c>
      <x:c r="I8" s="51" t="n">
        <x:f>I7/I6</x:f>
        <x:v>0.2758090269511971</x:v>
      </x:c>
      <x:c r="J8" s="51" t="n">
        <x:f>J7/J6</x:f>
        <x:v>0.29261157054640574</x:v>
      </x:c>
      <x:c r="K8" s="48"/>
      <x:c r="L8" s="48" t="str">
        <x:v>Terminal value</x:v>
      </x:c>
      <x:c r="M8" s="50" t="n">
        <x:f>J15*(1+'Assumptions'!$B$8)/('Assumptions'!$B$7-'Assumptions'!$B$8)</x:f>
        <x:v>421377.24539002386</x:v>
      </x:c>
    </x:row>
    <x:row r="9">
      <x:c r="A9" s="48" t="str">
        <x:v>Cash taxes</x:v>
      </x:c>
      <x:c r="B9" s="50" t="n">
        <x:f>-MAX(0,B7)*'Assumptions'!$B$9</x:f>
        <x:v>-1778.66152</x:v>
      </x:c>
      <x:c r="C9" s="50" t="n">
        <x:f>-MAX(0,C7)*'Assumptions'!$B$9</x:f>
        <x:v>-2010.9586206000006</x:v>
      </x:c>
      <x:c r="D9" s="50" t="n">
        <x:f>-MAX(0,D7)*'Assumptions'!$B$9</x:f>
        <x:v>-2306.1230446000004</x:v>
      </x:c>
      <x:c r="E9" s="50" t="n">
        <x:f>-MAX(0,E7)*'Assumptions'!$B$9</x:f>
        <x:v>-2665.4825775242</x:v>
      </x:c>
      <x:c r="F9" s="50" t="n">
        <x:f>-MAX(0,F7)*'Assumptions'!$B$9</x:f>
        <x:v>-3075.077084648448</x:v>
      </x:c>
      <x:c r="G9" s="50" t="n">
        <x:f>-MAX(0,G7)*'Assumptions'!$B$9</x:f>
        <x:v>-3545.842369637393</x:v>
      </x:c>
      <x:c r="H9" s="50" t="n">
        <x:f>-MAX(0,H7)*'Assumptions'!$B$9</x:f>
        <x:v>-4048.3638749807246</x:v>
      </x:c>
      <x:c r="I9" s="50" t="n">
        <x:f>-MAX(0,I7)*'Assumptions'!$B$9</x:f>
        <x:v>-4589.58765330585</x:v>
      </x:c>
      <x:c r="J9" s="50" t="n">
        <x:f>-MAX(0,J7)*'Assumptions'!$B$9</x:f>
        <x:v>-5166.916242955224</x:v>
      </x:c>
      <x:c r="K9" s="48"/>
      <x:c r="L9" s="48" t="str">
        <x:v>PV of terminal value</x:v>
      </x:c>
      <x:c r="M9" s="50" t="n">
        <x:f>M8*J16</x:f>
        <x:v>182402.3038937374</x:v>
      </x:c>
    </x:row>
    <x:row r="10">
      <x:c r="A10" s="48" t="str">
        <x:v>NOPAT</x:v>
      </x:c>
      <x:c r="B10" s="50" t="n">
        <x:f>B7+B9</x:f>
        <x:v>9337.97298</x:v>
      </x:c>
      <x:c r="C10" s="50" t="n">
        <x:f>C7+C9</x:f>
        <x:v>10557.532758150002</x:v>
      </x:c>
      <x:c r="D10" s="50" t="n">
        <x:f>D7+D9</x:f>
        <x:v>12107.145984150002</x:v>
      </x:c>
      <x:c r="E10" s="50" t="n">
        <x:f>E7+E9</x:f>
        <x:v>13993.783532002051</x:v>
      </x:c>
      <x:c r="F10" s="50" t="n">
        <x:f>F7+F9</x:f>
        <x:v>16144.154694404351</x:v>
      </x:c>
      <x:c r="G10" s="50" t="n">
        <x:f>G7+G9</x:f>
        <x:v>18615.67244059631</x:v>
      </x:c>
      <x:c r="H10" s="50" t="n">
        <x:f>H7+H9</x:f>
        <x:v>21253.910343648804</x:v>
      </x:c>
      <x:c r="I10" s="50" t="n">
        <x:f>I7+I9</x:f>
        <x:v>24095.33517985571</x:v>
      </x:c>
      <x:c r="J10" s="50" t="n">
        <x:f>J7+J9</x:f>
        <x:v>27126.310275514927</x:v>
      </x:c>
      <x:c r="K10" s="48"/>
      <x:c r="L10" s="48" t="str">
        <x:v>Enterprise value</x:v>
      </x:c>
      <x:c r="M10" s="50" t="n">
        <x:f>SUM(M7,M9)</x:f>
        <x:v>274226.1113362074</x:v>
      </x:c>
    </x:row>
    <x:row r="11">
      <x:c r="A11" s="48" t="str">
        <x:v>D&amp;A</x:v>
      </x:c>
      <x:c r="B11" s="50" t="n">
        <x:f>B6*'Assumptions'!$B$11</x:f>
        <x:v>1694.5918500000002</x:v>
      </x:c>
      <x:c r="C11" s="50" t="n">
        <x:f>C6*'Assumptions'!$B$11</x:f>
        <x:v>1966.2403600000002</x:v>
      </x:c>
      <x:c r="D11" s="50" t="n">
        <x:f>D6*'Assumptions'!$B$11</x:f>
        <x:v>2264.1312575000006</x:v>
      </x:c>
      <x:c r="E11" s="50" t="n">
        <x:f>E6*'Assumptions'!$B$11</x:f>
        <x:v>2573.6323007150004</x:v>
      </x:c>
      <x:c r="F11" s="50" t="n">
        <x:f>F6*'Assumptions'!$B$11</x:f>
        <x:v>2863.4929046192005</x:v>
      </x:c>
      <x:c r="G11" s="50" t="n">
        <x:f>G6*'Assumptions'!$B$11</x:f>
        <x:v>3149.4191771011765</x:v>
      </x:c>
      <x:c r="H11" s="50" t="n">
        <x:f>H6*'Assumptions'!$B$11</x:f>
        <x:v>3403.436753828588</x:v>
      </x:c>
      <x:c r="I11" s="50" t="n">
        <x:f>I6*'Assumptions'!$B$11</x:f>
        <x:v>3640.0994929665667</x:v>
      </x:c>
      <x:c r="J11" s="50" t="n">
        <x:f>J6*'Assumptions'!$B$11</x:f>
        <x:v>3862.6733933858745</x:v>
      </x:c>
      <x:c r="K11" s="48"/>
      <x:c r="L11" s="48" t="str">
        <x:v>+ Cash &amp; investments</x:v>
      </x:c>
      <x:c r="M11" s="50" t="n">
        <x:f>'Assumptions'!$G$6</x:f>
        <x:v>9799</x:v>
      </x:c>
    </x:row>
    <x:row r="12">
      <x:c r="A12" s="48" t="str">
        <x:v>Capex</x:v>
      </x:c>
      <x:c r="B12" s="50" t="n">
        <x:f>-B6*('Assumptions'!$B$12+('Assumptions'!$B$13-'Assumptions'!$B$12)*0)</x:f>
        <x:v>-1694.5918500000002</x:v>
      </x:c>
      <x:c r="C12" s="50" t="n">
        <x:f>-C6*('Assumptions'!$B$12+('Assumptions'!$B$13-'Assumptions'!$B$12)*0.125)</x:f>
        <x:v>-1931.1289250000002</x:v>
      </x:c>
      <x:c r="D12" s="50" t="n">
        <x:f>-D6*('Assumptions'!$B$12+('Assumptions'!$B$13-'Assumptions'!$B$12)*0.25)</x:f>
        <x:v>-2183.2694268750006</x:v>
      </x:c>
      <x:c r="E12" s="50" t="n">
        <x:f>-E6*('Assumptions'!$B$12+('Assumptions'!$B$13-'Assumptions'!$B$12)*0.375)</x:f>
        <x:v>-2435.7591417481253</x:v>
      </x:c>
      <x:c r="F12" s="50" t="n">
        <x:f>-F6*('Assumptions'!$B$12+('Assumptions'!$B$13-'Assumptions'!$B$12)*0.5)</x:f>
        <x:v>-2658.9576971464003</x:v>
      </x:c>
      <x:c r="G12" s="50" t="n">
        <x:f>-G6*('Assumptions'!$B$12+('Assumptions'!$B$13-'Assumptions'!$B$12)*0.625)</x:f>
        <x:v>-2868.221036288571</x:v>
      </x:c>
      <x:c r="H12" s="50" t="n">
        <x:f>-H6*('Assumptions'!$B$12+('Assumptions'!$B$13-'Assumptions'!$B$12)*0.75)</x:f>
        <x:v>-3038.782815918382</x:v>
      </x:c>
      <x:c r="I12" s="50" t="n">
        <x:f>-I6*('Assumptions'!$B$12+('Assumptions'!$B$13-'Assumptions'!$B$12)*0.875)</x:f>
        <x:v>-3185.0870563457456</x:v>
      </x:c>
      <x:c r="J12" s="50" t="n">
        <x:f>-J6*('Assumptions'!$B$12+('Assumptions'!$B$13-'Assumptions'!$B$12)*1)</x:f>
        <x:v>-3310.8629086164638</x:v>
      </x:c>
      <x:c r="K12" s="48"/>
      <x:c r="L12" s="48" t="str">
        <x:v>- Debt</x:v>
      </x:c>
      <x:c r="M12" s="50" t="n">
        <x:f>-'Assumptions'!$G$7</x:f>
        <x:v>-15270</x:v>
      </x:c>
    </x:row>
    <x:row r="13">
      <x:c r="A13" s="48" t="str">
        <x:v>Change in NWC</x:v>
      </x:c>
      <x:c r="B13" s="50" t="n">
        <x:f>-(B6-'Segment Cases'!B$14)*'Assumptions'!$B$14</x:f>
        <x:v>-54.75910000000004</x:v>
      </x:c>
      <x:c r="C13" s="50" t="n">
        <x:f>-(C6-B6)*'Assumptions'!$B$14</x:f>
        <x:v>-77.61385999999999</x:v>
      </x:c>
      <x:c r="D13" s="50" t="n">
        <x:f>-(D6-C6)*'Assumptions'!$B$14</x:f>
        <x:v>-85.11168500000015</x:v>
      </x:c>
      <x:c r="E13" s="50" t="n">
        <x:f>-(E6-D6)*'Assumptions'!$B$14</x:f>
        <x:v>-88.42886948999993</x:v>
      </x:c>
      <x:c r="F13" s="50" t="n">
        <x:f>-(F6-E6)*'Assumptions'!$B$14</x:f>
        <x:v>-82.81731540120003</x:v>
      </x:c>
      <x:c r="G13" s="50" t="n">
        <x:f>-(G6-F6)*'Assumptions'!$B$14</x:f>
        <x:v>-81.69322070913593</x:v>
      </x:c>
      <x:c r="H13" s="50" t="n">
        <x:f>-(H6-G6)*'Assumptions'!$B$14</x:f>
        <x:v>-72.57645049354615</x:v>
      </x:c>
      <x:c r="I13" s="50" t="n">
        <x:f>-(I6-H6)*'Assumptions'!$B$14</x:f>
        <x:v>-67.61792546799391</x:v>
      </x:c>
      <x:c r="J13" s="50" t="n">
        <x:f>-(J6-I6)*'Assumptions'!$B$14</x:f>
        <x:v>-63.59254297694512</x:v>
      </x:c>
      <x:c r="K13" s="48"/>
      <x:c r="L13" s="48" t="str">
        <x:v>Equity value</x:v>
      </x:c>
      <x:c r="M13" s="50" t="n">
        <x:f>SUM(M10:M12)</x:f>
        <x:v>268755.1113362074</x:v>
      </x:c>
    </x:row>
    <x:row r="14">
      <x:c r="A14" s="48" t="str">
        <x:v>Legal / regulatory cash cost</x:v>
      </x:c>
      <x:c r="B14" s="50" t="n">
        <x:f>-'Assumptions'!$B$10</x:f>
        <x:v>0</x:v>
      </x:c>
      <x:c r="C14" s="50" t="n">
        <x:f>0</x:f>
        <x:v>0</x:v>
      </x:c>
      <x:c r="D14" s="50" t="n">
        <x:f>0</x:f>
        <x:v>0</x:v>
      </x:c>
      <x:c r="E14" s="50" t="n">
        <x:f>0</x:f>
        <x:v>0</x:v>
      </x:c>
      <x:c r="F14" s="50" t="n">
        <x:f>0</x:f>
        <x:v>0</x:v>
      </x:c>
      <x:c r="G14" s="50" t="n">
        <x:f>0</x:f>
        <x:v>0</x:v>
      </x:c>
      <x:c r="H14" s="50" t="n">
        <x:f>0</x:f>
        <x:v>0</x:v>
      </x:c>
      <x:c r="I14" s="50" t="n">
        <x:f>0</x:f>
        <x:v>0</x:v>
      </x:c>
      <x:c r="J14" s="50" t="n">
        <x:f>0</x:f>
        <x:v>0</x:v>
      </x:c>
      <x:c r="K14" s="48"/>
      <x:c r="L14" s="48" t="str">
        <x:v>Diluted shares (M)</x:v>
      </x:c>
      <x:c r="M14" s="50" t="n">
        <x:f>'Assumptions'!$G$8</x:f>
        <x:v>1080</x:v>
      </x:c>
    </x:row>
    <x:row r="15">
      <x:c r="A15" s="52" t="str">
        <x:v>FCFF</x:v>
      </x:c>
      <x:c r="B15" s="53" t="n">
        <x:f>SUM(B10,B11,B12,B13,B14)</x:f>
        <x:v>9283.213880000001</x:v>
      </x:c>
      <x:c r="C15" s="53" t="n">
        <x:f>SUM(C10,C11,C12,C13,C14)</x:f>
        <x:v>10515.030333150002</x:v>
      </x:c>
      <x:c r="D15" s="53" t="n">
        <x:f>SUM(D10,D11,D12,D13,D14)</x:f>
        <x:v>12102.896129775003</x:v>
      </x:c>
      <x:c r="E15" s="53" t="n">
        <x:f>SUM(E10,E11,E12,E13,E14)</x:f>
        <x:v>14043.227821478926</x:v>
      </x:c>
      <x:c r="F15" s="53" t="n">
        <x:f>SUM(F10,F11,F12,F13,F14)</x:f>
        <x:v>16265.87258647595</x:v>
      </x:c>
      <x:c r="G15" s="53" t="n">
        <x:f>SUM(G10,G11,G12,G13,G14)</x:f>
        <x:v>18815.177360699778</x:v>
      </x:c>
      <x:c r="H15" s="53" t="n">
        <x:f>SUM(H10,H11,H12,H13,H14)</x:f>
        <x:v>21545.987831065464</x:v>
      </x:c>
      <x:c r="I15" s="53" t="n">
        <x:f>SUM(I10,I11,I12,I13,I14)</x:f>
        <x:v>24482.72969100853</x:v>
      </x:c>
      <x:c r="J15" s="53" t="n">
        <x:f>SUM(J10,J11,J12,J13,J14)</x:f>
        <x:v>27614.52821730739</x:v>
      </x:c>
      <x:c r="K15" s="48"/>
      <x:c r="L15" s="48" t="str">
        <x:v>Fair value / share</x:v>
      </x:c>
      <x:c r="M15" s="62" t="n">
        <x:f>M13/M14</x:f>
        <x:v>248.84732531130317</x:v>
      </x:c>
    </x:row>
    <x:row r="16">
      <x:c r="A16" s="54" t="str">
        <x:v>Discount factor</x:v>
      </x:c>
      <x:c r="B16" s="63" t="n">
        <x:f>1/(1+'Assumptions'!$B$7)^1</x:f>
        <x:v>0.9111617312072894</x:v>
      </x:c>
      <x:c r="C16" s="63" t="n">
        <x:f>1/(1+'Assumptions'!$B$7)^2</x:f>
        <x:v>0.8302157004166646</x:v>
      </x:c>
      <x:c r="D16" s="63" t="n">
        <x:f>1/(1+'Assumptions'!$B$7)^3</x:f>
        <x:v>0.7564607748671205</x:v>
      </x:c>
      <x:c r="E16" s="63" t="n">
        <x:f>1/(1+'Assumptions'!$B$7)^4</x:f>
        <x:v>0.6892581092183331</x:v>
      </x:c>
      <x:c r="F16" s="63" t="n">
        <x:f>1/(1+'Assumptions'!$B$7)^5</x:f>
        <x:v>0.6280256120440393</x:v>
      </x:c>
      <x:c r="G16" s="63" t="n">
        <x:f>1/(1+'Assumptions'!$B$7)^6</x:f>
        <x:v>0.5722329039125643</x:v>
      </x:c>
      <x:c r="H16" s="63" t="n">
        <x:f>1/(1+'Assumptions'!$B$7)^7</x:f>
        <x:v>0.5213967233827466</x:v>
      </x:c>
      <x:c r="I16" s="63" t="n">
        <x:f>1/(1+'Assumptions'!$B$7)^8</x:f>
        <x:v>0.4750767411232315</x:v>
      </x:c>
      <x:c r="J16" s="63" t="n">
        <x:f>1/(1+'Assumptions'!$B$7)^9</x:f>
        <x:v>0.4328717458981609</x:v>
      </x:c>
      <x:c r="K16" s="48"/>
      <x:c r="L16" s="48" t="str">
        <x:v>Terminal weight</x:v>
      </x:c>
      <x:c r="M16" s="51" t="n">
        <x:f>M9/M10</x:f>
        <x:v>0.6651529389559409</x:v>
      </x:c>
    </x:row>
    <x:row r="17">
      <x:c r="A17" s="54" t="str">
        <x:v>PV of FCFF</x:v>
      </x:c>
      <x:c r="B17" s="64" t="n">
        <x:f>B15*B16</x:f>
        <x:v>8458.50923006834</x:v>
      </x:c>
      <x:c r="C17" s="64" t="n">
        <x:f>C15*C16</x:f>
        <x:v>8729.743272938602</x:v>
      </x:c>
      <x:c r="D17" s="64" t="n">
        <x:f>D15*D16</x:f>
        <x:v>9155.366184465873</x:v>
      </x:c>
      <x:c r="E17" s="64" t="n">
        <x:f>E15*E16</x:f>
        <x:v>9679.408655554855</x:v>
      </x:c>
      <x:c r="F17" s="64" t="n">
        <x:f>F15*F16</x:f>
        <x:v>10215.38458655192</x:v>
      </x:c>
      <x:c r="G17" s="64" t="n">
        <x:f>G15*G16</x:f>
        <x:v>10766.663578743171</x:v>
      </x:c>
      <x:c r="H17" s="64" t="n">
        <x:f>H15*H16</x:f>
        <x:v>11234.007457162063</x:v>
      </x:c>
      <x:c r="I17" s="64" t="n">
        <x:f>I15*I16</x:f>
        <x:v>11631.175435405314</x:v>
      </x:c>
      <x:c r="J17" s="64" t="n">
        <x:f>J15*J16</x:f>
        <x:v>11953.54904157988</x:v>
      </x:c>
      <x:c r="K17" s="48"/>
      <x:c r="L17" s="48"/>
      <x:c r="M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</x:row>
    <x:row r="21" ht="21" customHeight="1">
      <x:c r="A21" s="46" t="str">
        <x:v>Base case DCF</x:v>
      </x:c>
      <x:c r="B21" s="46" t="str">
        <x:v>Base case DCF</x:v>
      </x:c>
      <x:c r="C21" s="46" t="str">
        <x:v>Base case DCF</x:v>
      </x:c>
      <x:c r="D21" s="46" t="str">
        <x:v>Base case DCF</x:v>
      </x:c>
      <x:c r="E21" s="46" t="str">
        <x:v>Base case DCF</x:v>
      </x:c>
      <x:c r="F21" s="46" t="str">
        <x:v>Base case DCF</x:v>
      </x:c>
      <x:c r="G21" s="46" t="str">
        <x:v>Base case DCF</x:v>
      </x:c>
      <x:c r="H21" s="46" t="str">
        <x:v>Base case DCF</x:v>
      </x:c>
      <x:c r="I21" s="46" t="str">
        <x:v>Base case DCF</x:v>
      </x:c>
      <x:c r="J21" s="46" t="str">
        <x:v>Base case DCF</x:v>
      </x:c>
      <x:c r="K21" s="46" t="str">
        <x:v>Base case DCF</x:v>
      </x:c>
      <x:c r="L21" s="46" t="str">
        <x:v>Base case DCF</x:v>
      </x:c>
      <x:c r="M21" s="46" t="str">
        <x:v>Base case DCF</x:v>
      </x:c>
    </x:row>
    <x:row r="22">
      <x:c r="A22" s="49" t="str">
        <x:v>Line item ($M)</x:v>
      </x:c>
      <x:c r="B22" s="49" t="str">
        <x:v>FY2027E</x:v>
      </x:c>
      <x:c r="C22" s="49" t="str">
        <x:v>FY2028E</x:v>
      </x:c>
      <x:c r="D22" s="49" t="str">
        <x:v>FY2029E</x:v>
      </x:c>
      <x:c r="E22" s="49" t="str">
        <x:v>FY2030E</x:v>
      </x:c>
      <x:c r="F22" s="49" t="str">
        <x:v>FY2031E</x:v>
      </x:c>
      <x:c r="G22" s="49" t="str">
        <x:v>FY2032E</x:v>
      </x:c>
      <x:c r="H22" s="49" t="str">
        <x:v>FY2033E</x:v>
      </x:c>
      <x:c r="I22" s="49" t="str">
        <x:v>FY2034E</x:v>
      </x:c>
      <x:c r="J22" s="49" t="str">
        <x:v>FY2035E</x:v>
      </x:c>
      <x:c r="K22" s="49"/>
      <x:c r="L22" s="48"/>
      <x:c r="M22" s="48"/>
    </x:row>
    <x:row r="23">
      <x:c r="A23" s="48" t="str">
        <x:v>Revenue</x:v>
      </x:c>
      <x:c r="B23" s="50" t="n">
        <x:f>'Segment Cases'!C$41</x:f>
        <x:v>44206.590000000004</x:v>
      </x:c>
      <x:c r="C23" s="50" t="n">
        <x:f>'Segment Cases'!D$41</x:f>
        <x:v>49097.74180000001</x:v>
      </x:c>
      <x:c r="D23" s="50" t="n">
        <x:f>'Segment Cases'!E$41</x:f>
        <x:v>54284.706356</x:v>
      </x:c>
      <x:c r="E23" s="50" t="n">
        <x:f>'Segment Cases'!F$41</x:f>
        <x:v>59497.51315952</x:v>
      </x:c>
      <x:c r="F23" s="50" t="n">
        <x:f>'Segment Cases'!G$41</x:f>
        <x:v>64446.65724139041</x:v>
      </x:c>
      <x:c r="G23" s="50" t="n">
        <x:f>'Segment Cases'!H$41</x:f>
        <x:v>69051.47062666857</x:v>
      </x:c>
      <x:c r="H23" s="50" t="n">
        <x:f>'Segment Cases'!I$41</x:f>
        <x:v>73370.88564007351</x:v>
      </x:c>
      <x:c r="I23" s="50" t="n">
        <x:f>'Segment Cases'!J$41</x:f>
        <x:v>77454.55624811174</x:v>
      </x:c>
      <x:c r="J23" s="50" t="n">
        <x:f>'Segment Cases'!K$41</x:f>
        <x:v>81184.43512079491</x:v>
      </x:c>
      <x:c r="K23" s="48"/>
      <x:c r="L23" s="49" t="str">
        <x:v>Valuation bridge</x:v>
      </x:c>
      <x:c r="M23" s="49" t="str">
        <x:v>Value</x:v>
      </x:c>
    </x:row>
    <x:row r="24">
      <x:c r="A24" s="48" t="str">
        <x:v>EBIT</x:v>
      </x:c>
      <x:c r="B24" s="50" t="n">
        <x:f>'Segment Cases'!C$54</x:f>
        <x:v>9229.1173</x:v>
      </x:c>
      <x:c r="C24" s="50" t="n">
        <x:f>'Segment Cases'!D$54</x:f>
        <x:v>10014.099649250002</x:v>
      </x:c>
      <x:c r="D24" s="50" t="n">
        <x:f>'Segment Cases'!E$54</x:f>
        <x:v>10982.007929450003</x:v>
      </x:c>
      <x:c r="E24" s="50" t="n">
        <x:f>'Segment Cases'!F$54</x:f>
        <x:v>12198.940418403801</x:v>
      </x:c>
      <x:c r="F24" s="50" t="n">
        <x:f>'Segment Cases'!G$54</x:f>
        <x:v>13628.658351277118</x:v>
      </x:c>
      <x:c r="G24" s="50" t="n">
        <x:f>'Segment Cases'!H$54</x:f>
        <x:v>15221.929516662287</x:v>
      </x:c>
      <x:c r="H24" s="50" t="n">
        <x:f>'Segment Cases'!I$54</x:f>
        <x:v>16946.5863717697</x:v>
      </x:c>
      <x:c r="I24" s="50" t="n">
        <x:f>'Segment Cases'!J$54</x:f>
        <x:v>18793.418082055774</x:v>
      </x:c>
      <x:c r="J24" s="50" t="n">
        <x:f>'Segment Cases'!K$54</x:f>
        <x:v>20719.518741488315</x:v>
      </x:c>
      <x:c r="K24" s="48"/>
      <x:c r="L24" s="48" t="str">
        <x:v>PV of forecast FCFF</x:v>
      </x:c>
      <x:c r="M24" s="50" t="n">
        <x:f>SUM(B34:J34)</x:f>
        <x:v>59863.4873240314</x:v>
      </x:c>
    </x:row>
    <x:row r="25">
      <x:c r="A25" s="48" t="str">
        <x:v>EBIT margin</x:v>
      </x:c>
      <x:c r="B25" s="51" t="n">
        <x:f>B24/B23</x:f>
        <x:v>0.20877243189307293</x:v>
      </x:c>
      <x:c r="C25" s="51" t="n">
        <x:f>C24/C23</x:f>
        <x:v>0.20396253029401037</x:v>
      </x:c>
      <x:c r="D25" s="51" t="n">
        <x:f>D24/D23</x:f>
        <x:v>0.20230390227092349</x:v>
      </x:c>
      <x:c r="E25" s="51" t="n">
        <x:f>E24/E23</x:f>
        <x:v>0.2050327781885097</x:v>
      </x:c>
      <x:c r="F25" s="51" t="n">
        <x:f>F24/F23</x:f>
        <x:v>0.21147192010641955</x:v>
      </x:c>
      <x:c r="G25" s="51" t="n">
        <x:f>G24/G23</x:f>
        <x:v>0.2204432342789725</x:v>
      </x:c>
      <x:c r="H25" s="51" t="n">
        <x:f>H24/H23</x:f>
        <x:v>0.23097153896850142</x:v>
      </x:c>
      <x:c r="I25" s="51" t="n">
        <x:f>I24/I23</x:f>
        <x:v>0.24263799306853479</x:v>
      </x:c>
      <x:c r="J25" s="51" t="n">
        <x:f>J24/J23</x:f>
        <x:v>0.25521540810944354</x:v>
      </x:c>
      <x:c r="K25" s="48"/>
      <x:c r="L25" s="48" t="str">
        <x:v>Terminal value</x:v>
      </x:c>
      <x:c r="M25" s="50" t="n">
        <x:f>J32*(1+'Assumptions'!$C$8)/('Assumptions'!$C$7-'Assumptions'!$C$8)</x:f>
        <x:v>209865.19351614857</x:v>
      </x:c>
    </x:row>
    <x:row r="26">
      <x:c r="A26" s="48" t="str">
        <x:v>Cash taxes</x:v>
      </x:c>
      <x:c r="B26" s="50" t="n">
        <x:f>-MAX(0,B24)*'Assumptions'!$C$9</x:f>
        <x:v>-1568.949941</x:v>
      </x:c>
      <x:c r="C26" s="50" t="n">
        <x:f>-MAX(0,C24)*'Assumptions'!$C$9</x:f>
        <x:v>-1702.3969403725005</x:v>
      </x:c>
      <x:c r="D26" s="50" t="n">
        <x:f>-MAX(0,D24)*'Assumptions'!$C$9</x:f>
        <x:v>-1866.9413480065007</x:v>
      </x:c>
      <x:c r="E26" s="50" t="n">
        <x:f>-MAX(0,E24)*'Assumptions'!$C$9</x:f>
        <x:v>-2073.8198711286464</x:v>
      </x:c>
      <x:c r="F26" s="50" t="n">
        <x:f>-MAX(0,F24)*'Assumptions'!$C$9</x:f>
        <x:v>-2316.8719197171104</x:v>
      </x:c>
      <x:c r="G26" s="50" t="n">
        <x:f>-MAX(0,G24)*'Assumptions'!$C$9</x:f>
        <x:v>-2587.728017832589</x:v>
      </x:c>
      <x:c r="H26" s="50" t="n">
        <x:f>-MAX(0,H24)*'Assumptions'!$C$9</x:f>
        <x:v>-2880.9196832008492</x:v>
      </x:c>
      <x:c r="I26" s="50" t="n">
        <x:f>-MAX(0,I24)*'Assumptions'!$C$9</x:f>
        <x:v>-3194.881073949482</x:v>
      </x:c>
      <x:c r="J26" s="50" t="n">
        <x:f>-MAX(0,J24)*'Assumptions'!$C$9</x:f>
        <x:v>-3522.318186053014</x:v>
      </x:c>
      <x:c r="K26" s="48"/>
      <x:c r="L26" s="48" t="str">
        <x:v>PV of terminal value</x:v>
      </x:c>
      <x:c r="M26" s="50" t="n">
        <x:f>M25*J33</x:f>
        <x:v>82041.50280844004</x:v>
      </x:c>
    </x:row>
    <x:row r="27">
      <x:c r="A27" s="48" t="str">
        <x:v>NOPAT</x:v>
      </x:c>
      <x:c r="B27" s="50" t="n">
        <x:f>B24+B26</x:f>
        <x:v>7660.167359</x:v>
      </x:c>
      <x:c r="C27" s="50" t="n">
        <x:f>C24+C26</x:f>
        <x:v>8311.702708877501</x:v>
      </x:c>
      <x:c r="D27" s="50" t="n">
        <x:f>D24+D26</x:f>
        <x:v>9115.066581443501</x:v>
      </x:c>
      <x:c r="E27" s="50" t="n">
        <x:f>E24+E26</x:f>
        <x:v>10125.120547275155</x:v>
      </x:c>
      <x:c r="F27" s="50" t="n">
        <x:f>F24+F26</x:f>
        <x:v>11311.786431560007</x:v>
      </x:c>
      <x:c r="G27" s="50" t="n">
        <x:f>G24+G26</x:f>
        <x:v>12634.201498829698</x:v>
      </x:c>
      <x:c r="H27" s="50" t="n">
        <x:f>H24+H26</x:f>
        <x:v>14065.66668856885</x:v>
      </x:c>
      <x:c r="I27" s="50" t="n">
        <x:f>I24+I26</x:f>
        <x:v>15598.537008106292</x:v>
      </x:c>
      <x:c r="J27" s="50" t="n">
        <x:f>J24+J26</x:f>
        <x:v>17197.2005554353</x:v>
      </x:c>
      <x:c r="K27" s="48"/>
      <x:c r="L27" s="48" t="str">
        <x:v>Enterprise value</x:v>
      </x:c>
      <x:c r="M27" s="50" t="n">
        <x:f>SUM(M24,M26)</x:f>
        <x:v>141904.99013247143</x:v>
      </x:c>
    </x:row>
    <x:row r="28">
      <x:c r="A28" s="48" t="str">
        <x:v>D&amp;A</x:v>
      </x:c>
      <x:c r="B28" s="50" t="n">
        <x:f>B23*'Assumptions'!$C$11</x:f>
        <x:v>1547.2306500000002</x:v>
      </x:c>
      <x:c r="C28" s="50" t="n">
        <x:f>C23*'Assumptions'!$C$11</x:f>
        <x:v>1718.4209630000005</x:v>
      </x:c>
      <x:c r="D28" s="50" t="n">
        <x:f>D23*'Assumptions'!$C$11</x:f>
        <x:v>1899.9647224600003</x:v>
      </x:c>
      <x:c r="E28" s="50" t="n">
        <x:f>E23*'Assumptions'!$C$11</x:f>
        <x:v>2082.4129605832004</x:v>
      </x:c>
      <x:c r="F28" s="50" t="n">
        <x:f>F23*'Assumptions'!$C$11</x:f>
        <x:v>2255.6330034486646</x:v>
      </x:c>
      <x:c r="G28" s="50" t="n">
        <x:f>G23*'Assumptions'!$C$11</x:f>
        <x:v>2416.8014719334</x:v>
      </x:c>
      <x:c r="H28" s="50" t="n">
        <x:f>H23*'Assumptions'!$C$11</x:f>
        <x:v>2567.980997402573</x:v>
      </x:c>
      <x:c r="I28" s="50" t="n">
        <x:f>I23*'Assumptions'!$C$11</x:f>
        <x:v>2710.909468683911</x:v>
      </x:c>
      <x:c r="J28" s="50" t="n">
        <x:f>J23*'Assumptions'!$C$11</x:f>
        <x:v>2841.455229227822</x:v>
      </x:c>
      <x:c r="K28" s="48"/>
      <x:c r="L28" s="48" t="str">
        <x:v>+ Cash &amp; investments</x:v>
      </x:c>
      <x:c r="M28" s="50" t="n">
        <x:f>'Assumptions'!$G$6</x:f>
        <x:v>9799</x:v>
      </x:c>
    </x:row>
    <x:row r="29">
      <x:c r="A29" s="48" t="str">
        <x:v>Capex</x:v>
      </x:c>
      <x:c r="B29" s="50" t="n">
        <x:f>-B23*('Assumptions'!$C$12+('Assumptions'!$C$13-'Assumptions'!$C$12)*0)</x:f>
        <x:v>-1768.2636000000002</x:v>
      </x:c>
      <x:c r="C29" s="50" t="n">
        <x:f>-C23*('Assumptions'!$C$12+('Assumptions'!$C$13-'Assumptions'!$C$12)*0.125)</x:f>
        <x:v>-1914.8119302000005</x:v>
      </x:c>
      <x:c r="D29" s="50" t="n">
        <x:f>-D23*('Assumptions'!$C$12+('Assumptions'!$C$13-'Assumptions'!$C$12)*0.25)</x:f>
        <x:v>-2062.818841528</x:v>
      </x:c>
      <x:c r="E29" s="50" t="n">
        <x:f>-E23*('Assumptions'!$C$12+('Assumptions'!$C$13-'Assumptions'!$C$12)*0.375)</x:f>
        <x:v>-2201.40798690224</x:v>
      </x:c>
      <x:c r="F29" s="50" t="n">
        <x:f>-F23*('Assumptions'!$C$12+('Assumptions'!$C$13-'Assumptions'!$C$12)*0.5)</x:f>
        <x:v>-2320.079660690055</x:v>
      </x:c>
      <x:c r="G29" s="50" t="n">
        <x:f>-G23*('Assumptions'!$C$12+('Assumptions'!$C$13-'Assumptions'!$C$12)*0.625)</x:f>
        <x:v>-2416.8014719334</x:v>
      </x:c>
      <x:c r="H29" s="50" t="n">
        <x:f>-H23*('Assumptions'!$C$12+('Assumptions'!$C$13-'Assumptions'!$C$12)*0.75)</x:f>
        <x:v>-2494.6101117624994</x:v>
      </x:c>
      <x:c r="I29" s="50" t="n">
        <x:f>-I23*('Assumptions'!$C$12+('Assumptions'!$C$13-'Assumptions'!$C$12)*0.875)</x:f>
        <x:v>-2556.0003561876874</x:v>
      </x:c>
      <x:c r="J29" s="50" t="n">
        <x:f>-J23*('Assumptions'!$C$12+('Assumptions'!$C$13-'Assumptions'!$C$12)*1)</x:f>
        <x:v>-2597.9019238654373</x:v>
      </x:c>
      <x:c r="K29" s="48"/>
      <x:c r="L29" s="48" t="str">
        <x:v>- Debt</x:v>
      </x:c>
      <x:c r="M29" s="50" t="n">
        <x:f>-'Assumptions'!$G$7</x:f>
        <x:v>-15270</x:v>
      </x:c>
    </x:row>
    <x:row r="30">
      <x:c r="A30" s="48" t="str">
        <x:v>Change in NWC</x:v>
      </x:c>
      <x:c r="B30" s="50" t="n">
        <x:f>-(B23-'Segment Cases'!B$41)*'Assumptions'!$C$14</x:f>
        <x:v>-12.655900000000038</x:v>
      </x:c>
      <x:c r="C30" s="50" t="n">
        <x:f>-(C23-B23)*'Assumptions'!$C$14</x:f>
        <x:v>-48.91151800000007</x:v>
      </x:c>
      <x:c r="D30" s="50" t="n">
        <x:f>-(D23-C23)*'Assumptions'!$C$14</x:f>
        <x:v>-51.86964555999992</x:v>
      </x:c>
      <x:c r="E30" s="50" t="n">
        <x:f>-(E23-D23)*'Assumptions'!$C$14</x:f>
        <x:v>-52.12806803519998</x:v>
      </x:c>
      <x:c r="F30" s="50" t="n">
        <x:f>-(F23-E23)*'Assumptions'!$C$14</x:f>
        <x:v>-49.49144081870407</x:v>
      </x:c>
      <x:c r="G30" s="50" t="n">
        <x:f>-(G23-F23)*'Assumptions'!$C$14</x:f>
        <x:v>-46.04813385278161</x:v>
      </x:c>
      <x:c r="H30" s="50" t="n">
        <x:f>-(H23-G23)*'Assumptions'!$C$14</x:f>
        <x:v>-43.194150134049416</x:v>
      </x:c>
      <x:c r="I30" s="50" t="n">
        <x:f>-(I23-H23)*'Assumptions'!$C$14</x:f>
        <x:v>-40.836706080382285</x:v>
      </x:c>
      <x:c r="J30" s="50" t="n">
        <x:f>-(J23-I23)*'Assumptions'!$C$14</x:f>
        <x:v>-37.2987887268317</x:v>
      </x:c>
      <x:c r="K30" s="48"/>
      <x:c r="L30" s="48" t="str">
        <x:v>Equity value</x:v>
      </x:c>
      <x:c r="M30" s="50" t="n">
        <x:f>SUM(M27:M29)</x:f>
        <x:v>136433.99013247143</x:v>
      </x:c>
    </x:row>
    <x:row r="31">
      <x:c r="A31" s="48" t="str">
        <x:v>Legal / regulatory cash cost</x:v>
      </x:c>
      <x:c r="B31" s="50" t="n">
        <x:f>-'Assumptions'!$C$10</x:f>
        <x:v>-250</x:v>
      </x:c>
      <x:c r="C31" s="50" t="n">
        <x:f>0</x:f>
        <x:v>0</x:v>
      </x:c>
      <x:c r="D31" s="50" t="n">
        <x:f>0</x:f>
        <x:v>0</x:v>
      </x:c>
      <x:c r="E31" s="50" t="n">
        <x:f>0</x:f>
        <x:v>0</x:v>
      </x:c>
      <x:c r="F31" s="50" t="n">
        <x:f>0</x:f>
        <x:v>0</x:v>
      </x:c>
      <x:c r="G31" s="50" t="n">
        <x:f>0</x:f>
        <x:v>0</x:v>
      </x:c>
      <x:c r="H31" s="50" t="n">
        <x:f>0</x:f>
        <x:v>0</x:v>
      </x:c>
      <x:c r="I31" s="50" t="n">
        <x:f>0</x:f>
        <x:v>0</x:v>
      </x:c>
      <x:c r="J31" s="50" t="n">
        <x:f>0</x:f>
        <x:v>0</x:v>
      </x:c>
      <x:c r="K31" s="48"/>
      <x:c r="L31" s="48" t="str">
        <x:v>Diluted shares (M)</x:v>
      </x:c>
      <x:c r="M31" s="50" t="n">
        <x:f>'Assumptions'!$G$8</x:f>
        <x:v>1080</x:v>
      </x:c>
    </x:row>
    <x:row r="32">
      <x:c r="A32" s="52" t="str">
        <x:v>FCFF</x:v>
      </x:c>
      <x:c r="B32" s="53" t="n">
        <x:f>SUM(B27,B28,B29,B30,B31)</x:f>
        <x:v>7176.4785090000005</x:v>
      </x:c>
      <x:c r="C32" s="53" t="n">
        <x:f>SUM(C27,C28,C29,C30,C31)</x:f>
        <x:v>8066.400223677501</x:v>
      </x:c>
      <x:c r="D32" s="53" t="n">
        <x:f>SUM(D27,D28,D29,D30,D31)</x:f>
        <x:v>8900.342816815502</x:v>
      </x:c>
      <x:c r="E32" s="53" t="n">
        <x:f>SUM(E27,E28,E29,E30,E31)</x:f>
        <x:v>9953.997452920918</x:v>
      </x:c>
      <x:c r="F32" s="53" t="n">
        <x:f>SUM(F27,F28,F29,F30,F31)</x:f>
        <x:v>11197.848333499915</x:v>
      </x:c>
      <x:c r="G32" s="53" t="n">
        <x:f>SUM(G27,G28,G29,G30,G31)</x:f>
        <x:v>12588.153364976915</x:v>
      </x:c>
      <x:c r="H32" s="53" t="n">
        <x:f>SUM(H27,H28,H29,H30,H31)</x:f>
        <x:v>14095.843424074874</x:v>
      </x:c>
      <x:c r="I32" s="53" t="n">
        <x:f>SUM(I27,I28,I29,I30,I31)</x:f>
        <x:v>15712.609414522132</x:v>
      </x:c>
      <x:c r="J32" s="53" t="n">
        <x:f>SUM(J27,J28,J29,J30,J31)</x:f>
        <x:v>17403.455072070858</x:v>
      </x:c>
      <x:c r="K32" s="48"/>
      <x:c r="L32" s="48" t="str">
        <x:v>Fair value / share</x:v>
      </x:c>
      <x:c r="M32" s="62" t="n">
        <x:f>M30/M31</x:f>
        <x:v>126.32776864117724</x:v>
      </x:c>
    </x:row>
    <x:row r="33">
      <x:c r="A33" s="54" t="str">
        <x:v>Discount factor</x:v>
      </x:c>
      <x:c r="B33" s="63" t="n">
        <x:f>1/(1+'Assumptions'!$C$7)^1</x:f>
        <x:v>0.9009009009009008</x:v>
      </x:c>
      <x:c r="C33" s="63" t="n">
        <x:f>1/(1+'Assumptions'!$C$7)^2</x:f>
        <x:v>0.8116224332440547</x:v>
      </x:c>
      <x:c r="D33" s="63" t="n">
        <x:f>1/(1+'Assumptions'!$C$7)^3</x:f>
        <x:v>0.7311913813009502</x:v>
      </x:c>
      <x:c r="E33" s="63" t="n">
        <x:f>1/(1+'Assumptions'!$C$7)^4</x:f>
        <x:v>0.6587309741450001</x:v>
      </x:c>
      <x:c r="F33" s="63" t="n">
        <x:f>1/(1+'Assumptions'!$C$7)^5</x:f>
        <x:v>0.5934513280585586</x:v>
      </x:c>
      <x:c r="G33" s="63" t="n">
        <x:f>1/(1+'Assumptions'!$C$7)^6</x:f>
        <x:v>0.5346408360887914</x:v>
      </x:c>
      <x:c r="H33" s="63" t="n">
        <x:f>1/(1+'Assumptions'!$C$7)^7</x:f>
        <x:v>0.4816584108908031</x:v>
      </x:c>
      <x:c r="I33" s="63" t="n">
        <x:f>1/(1+'Assumptions'!$C$7)^8</x:f>
        <x:v>0.43392649629802077</x:v>
      </x:c>
      <x:c r="J33" s="63" t="n">
        <x:f>1/(1+'Assumptions'!$C$7)^9</x:f>
        <x:v>0.3909247714396583</x:v>
      </x:c>
      <x:c r="K33" s="48"/>
      <x:c r="L33" s="48" t="str">
        <x:v>Terminal weight</x:v>
      </x:c>
      <x:c r="M33" s="51" t="n">
        <x:f>M26/M27</x:f>
        <x:v>0.5781438886106295</x:v>
      </x:c>
    </x:row>
    <x:row r="34">
      <x:c r="A34" s="54" t="str">
        <x:v>PV of FCFF</x:v>
      </x:c>
      <x:c r="B34" s="64" t="n">
        <x:f>B32*B33</x:f>
        <x:v>6465.295954054054</x:v>
      </x:c>
      <x:c r="C34" s="64" t="n">
        <x:f>C32*C33</x:f>
        <x:v>6546.87137706152</x:v>
      </x:c>
      <x:c r="D34" s="64" t="n">
        <x:f>D32*D33</x:f>
        <x:v>6507.853958279317</x:v>
      </x:c>
      <x:c r="E34" s="64" t="n">
        <x:f>E32*E33</x:f>
        <x:v>6557.006438799446</x:v>
      </x:c>
      <x:c r="F34" s="64" t="n">
        <x:f>F32*F33</x:f>
        <x:v>6645.377964913841</x:v>
      </x:c>
      <x:c r="G34" s="64" t="n">
        <x:f>G32*G33</x:f>
        <x:v>6730.140839865191</x:v>
      </x:c>
      <x:c r="H34" s="64" t="n">
        <x:f>H32*H33</x:f>
        <x:v>6789.38154380548</x:v>
      </x:c>
      <x:c r="I34" s="64" t="n">
        <x:f>I32*I33</x:f>
        <x:v>6818.117550942884</x:v>
      </x:c>
      <x:c r="J34" s="64" t="n">
        <x:f>J32*J33</x:f>
        <x:v>6803.441696309662</x:v>
      </x:c>
      <x:c r="K34" s="48"/>
      <x:c r="L34" s="48"/>
      <x:c r="M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</x:row>
    <x:row r="38" ht="21" customHeight="1">
      <x:c r="A38" s="46" t="str">
        <x:v>Bear case DCF</x:v>
      </x:c>
      <x:c r="B38" s="46" t="str">
        <x:v>Bear case DCF</x:v>
      </x:c>
      <x:c r="C38" s="46" t="str">
        <x:v>Bear case DCF</x:v>
      </x:c>
      <x:c r="D38" s="46" t="str">
        <x:v>Bear case DCF</x:v>
      </x:c>
      <x:c r="E38" s="46" t="str">
        <x:v>Bear case DCF</x:v>
      </x:c>
      <x:c r="F38" s="46" t="str">
        <x:v>Bear case DCF</x:v>
      </x:c>
      <x:c r="G38" s="46" t="str">
        <x:v>Bear case DCF</x:v>
      </x:c>
      <x:c r="H38" s="46" t="str">
        <x:v>Bear case DCF</x:v>
      </x:c>
      <x:c r="I38" s="46" t="str">
        <x:v>Bear case DCF</x:v>
      </x:c>
      <x:c r="J38" s="46" t="str">
        <x:v>Bear case DCF</x:v>
      </x:c>
      <x:c r="K38" s="46" t="str">
        <x:v>Bear case DCF</x:v>
      </x:c>
      <x:c r="L38" s="46" t="str">
        <x:v>Bear case DCF</x:v>
      </x:c>
      <x:c r="M38" s="46" t="str">
        <x:v>Bear case DCF</x:v>
      </x:c>
    </x:row>
    <x:row r="39">
      <x:c r="A39" s="49" t="str">
        <x:v>Line item ($M)</x:v>
      </x:c>
      <x:c r="B39" s="49" t="str">
        <x:v>FY2027E</x:v>
      </x:c>
      <x:c r="C39" s="49" t="str">
        <x:v>FY2028E</x:v>
      </x:c>
      <x:c r="D39" s="49" t="str">
        <x:v>FY2029E</x:v>
      </x:c>
      <x:c r="E39" s="49" t="str">
        <x:v>FY2030E</x:v>
      </x:c>
      <x:c r="F39" s="49" t="str">
        <x:v>FY2031E</x:v>
      </x:c>
      <x:c r="G39" s="49" t="str">
        <x:v>FY2032E</x:v>
      </x:c>
      <x:c r="H39" s="49" t="str">
        <x:v>FY2033E</x:v>
      </x:c>
      <x:c r="I39" s="49" t="str">
        <x:v>FY2034E</x:v>
      </x:c>
      <x:c r="J39" s="49" t="str">
        <x:v>FY2035E</x:v>
      </x:c>
      <x:c r="K39" s="49"/>
      <x:c r="L39" s="48"/>
      <x:c r="M39" s="48"/>
    </x:row>
    <x:row r="40">
      <x:c r="A40" s="48" t="str">
        <x:v>Revenue</x:v>
      </x:c>
      <x:c r="B40" s="50" t="n">
        <x:f>'Segment Cases'!C$68</x:f>
        <x:v>38880.450000000004</x:v>
      </x:c>
      <x:c r="C40" s="50" t="n">
        <x:f>'Segment Cases'!D$68</x:f>
        <x:v>39623.310000000005</x:v>
      </x:c>
      <x:c r="D40" s="50" t="n">
        <x:f>'Segment Cases'!E$68</x:f>
        <x:v>41177.48425</x:v>
      </x:c>
      <x:c r="E40" s="50" t="n">
        <x:f>'Segment Cases'!F$68</x:f>
        <x:v>42876.93077</x:v>
      </x:c>
      <x:c r="F40" s="50" t="n">
        <x:f>'Segment Cases'!G$68</x:f>
        <x:v>44302.912114700004</x:v>
      </x:c>
      <x:c r="G40" s="50" t="n">
        <x:f>'Segment Cases'!H$68</x:f>
        <x:v>45642.47580705501</x:v>
      </x:c>
      <x:c r="H40" s="50" t="n">
        <x:f>'Segment Cases'!I$68</x:f>
        <x:v>46782.61769344206</x:v>
      </x:c>
      <x:c r="I40" s="50" t="n">
        <x:f>'Segment Cases'!J$68</x:f>
        <x:v>47919.45818394974</x:v>
      </x:c>
      <x:c r="J40" s="50" t="n">
        <x:f>'Segment Cases'!K$68</x:f>
        <x:v>48882.89334790924</x:v>
      </x:c>
      <x:c r="K40" s="48"/>
      <x:c r="L40" s="49" t="str">
        <x:v>Valuation bridge</x:v>
      </x:c>
      <x:c r="M40" s="49" t="str">
        <x:v>Value</x:v>
      </x:c>
    </x:row>
    <x:row r="41">
      <x:c r="A41" s="48" t="str">
        <x:v>EBIT</x:v>
      </x:c>
      <x:c r="B41" s="50" t="n">
        <x:f>'Segment Cases'!C$81</x:f>
        <x:v>6244.535</x:v>
      </x:c>
      <x:c r="C41" s="50" t="n">
        <x:f>'Segment Cases'!D$81</x:f>
        <x:v>6248.175975000001</x:v>
      </x:c>
      <x:c r="D41" s="50" t="n">
        <x:f>'Segment Cases'!E$81</x:f>
        <x:v>6454.814445624999</x:v>
      </x:c>
      <x:c r="E41" s="50" t="n">
        <x:f>'Segment Cases'!F$81</x:f>
        <x:v>6889.627296437501</x:v>
      </x:c>
      <x:c r="F41" s="50" t="n">
        <x:f>'Segment Cases'!G$81</x:f>
        <x:v>7358.808505949501</x:v>
      </x:c>
      <x:c r="G41" s="50" t="n">
        <x:f>'Segment Cases'!H$81</x:f>
        <x:v>7882.136911822357</x:v>
      </x:c>
      <x:c r="H41" s="50" t="n">
        <x:f>'Segment Cases'!I$81</x:f>
        <x:v>8419.927352940944</x:v>
      </x:c>
      <x:c r="I41" s="50" t="n">
        <x:f>'Segment Cases'!J$81</x:f>
        <x:v>8991.28904356125</x:v>
      </x:c>
      <x:c r="J41" s="50" t="n">
        <x:f>'Segment Cases'!K$81</x:f>
        <x:v>9563.450259662985</x:v>
      </x:c>
      <x:c r="K41" s="48"/>
      <x:c r="L41" s="48" t="str">
        <x:v>PV of forecast FCFF</x:v>
      </x:c>
      <x:c r="M41" s="50" t="n">
        <x:f>SUM(B51:J51)</x:f>
        <x:v>27694.1912563184</x:v>
      </x:c>
    </x:row>
    <x:row r="42">
      <x:c r="A42" s="48" t="str">
        <x:v>EBIT margin</x:v>
      </x:c>
      <x:c r="B42" s="51" t="n">
        <x:f>B41/B40</x:f>
        <x:v>0.1606086092110559</x:v>
      </x:c>
      <x:c r="C42" s="51" t="n">
        <x:f>C41/C40</x:f>
        <x:v>0.1576893998759821</x:v>
      </x:c>
      <x:c r="D42" s="51" t="n">
        <x:f>D41/D40</x:f>
        <x:v>0.15675592045487818</x:v>
      </x:c>
      <x:c r="E42" s="51" t="n">
        <x:f>E41/E40</x:f>
        <x:v>0.16068377966218642</x:v>
      </x:c>
      <x:c r="F42" s="51" t="n">
        <x:f>F41/F40</x:f>
        <x:v>0.16610213989765693</x:v>
      </x:c>
      <x:c r="G42" s="51" t="n">
        <x:f>G41/G40</x:f>
        <x:v>0.17269301834419787</x:v>
      </x:c>
      <x:c r="H42" s="51" t="n">
        <x:f>H41/H40</x:f>
        <x:v>0.17997982515889102</x:v>
      </x:c>
      <x:c r="I42" s="51" t="n">
        <x:f>I41/I40</x:f>
        <x:v>0.18763336198514896</x:v>
      </x:c>
      <x:c r="J42" s="51" t="n">
        <x:f>J41/J40</x:f>
        <x:v>0.19564002056093557</x:v>
      </x:c>
      <x:c r="K42" s="48"/>
      <x:c r="L42" s="48" t="str">
        <x:v>Terminal value</x:v>
      </x:c>
      <x:c r="M42" s="50" t="n">
        <x:f>J49*(1+'Assumptions'!$D$8)/('Assumptions'!$D$7-'Assumptions'!$D$8)</x:f>
        <x:v>70036.03048930319</x:v>
      </x:c>
    </x:row>
    <x:row r="43">
      <x:c r="A43" s="48" t="str">
        <x:v>Cash taxes</x:v>
      </x:c>
      <x:c r="B43" s="50" t="n">
        <x:f>-MAX(0,B41)*'Assumptions'!$D$9</x:f>
        <x:v>-1186.46165</x:v>
      </x:c>
      <x:c r="C43" s="50" t="n">
        <x:f>-MAX(0,C41)*'Assumptions'!$D$9</x:f>
        <x:v>-1187.1534352500003</x:v>
      </x:c>
      <x:c r="D43" s="50" t="n">
        <x:f>-MAX(0,D41)*'Assumptions'!$D$9</x:f>
        <x:v>-1226.4147446687498</x:v>
      </x:c>
      <x:c r="E43" s="50" t="n">
        <x:f>-MAX(0,E41)*'Assumptions'!$D$9</x:f>
        <x:v>-1309.0291863231253</x:v>
      </x:c>
      <x:c r="F43" s="50" t="n">
        <x:f>-MAX(0,F41)*'Assumptions'!$D$9</x:f>
        <x:v>-1398.1736161304052</x:v>
      </x:c>
      <x:c r="G43" s="50" t="n">
        <x:f>-MAX(0,G41)*'Assumptions'!$D$9</x:f>
        <x:v>-1497.606013246248</x:v>
      </x:c>
      <x:c r="H43" s="50" t="n">
        <x:f>-MAX(0,H41)*'Assumptions'!$D$9</x:f>
        <x:v>-1599.7861970587794</x:v>
      </x:c>
      <x:c r="I43" s="50" t="n">
        <x:f>-MAX(0,I41)*'Assumptions'!$D$9</x:f>
        <x:v>-1708.3449182766376</x:v>
      </x:c>
      <x:c r="J43" s="50" t="n">
        <x:f>-MAX(0,J41)*'Assumptions'!$D$9</x:f>
        <x:v>-1817.055549335967</x:v>
      </x:c>
      <x:c r="K43" s="48"/>
      <x:c r="L43" s="48" t="str">
        <x:v>PV of terminal value</x:v>
      </x:c>
      <x:c r="M43" s="50" t="n">
        <x:f>M42*J50</x:f>
        <x:v>24263.241509699816</x:v>
      </x:c>
    </x:row>
    <x:row r="44">
      <x:c r="A44" s="48" t="str">
        <x:v>NOPAT</x:v>
      </x:c>
      <x:c r="B44" s="50" t="n">
        <x:f>B41+B43</x:f>
        <x:v>5058.07335</x:v>
      </x:c>
      <x:c r="C44" s="50" t="n">
        <x:f>C41+C43</x:f>
        <x:v>5061.022539750001</x:v>
      </x:c>
      <x:c r="D44" s="50" t="n">
        <x:f>D41+D43</x:f>
        <x:v>5228.39970095625</x:v>
      </x:c>
      <x:c r="E44" s="50" t="n">
        <x:f>E41+E43</x:f>
        <x:v>5580.598110114376</x:v>
      </x:c>
      <x:c r="F44" s="50" t="n">
        <x:f>F41+F43</x:f>
        <x:v>5960.634889819095</x:v>
      </x:c>
      <x:c r="G44" s="50" t="n">
        <x:f>G41+G43</x:f>
        <x:v>6384.530898576109</x:v>
      </x:c>
      <x:c r="H44" s="50" t="n">
        <x:f>H41+H43</x:f>
        <x:v>6820.141155882165</x:v>
      </x:c>
      <x:c r="I44" s="50" t="n">
        <x:f>I41+I43</x:f>
        <x:v>7282.944125284612</x:v>
      </x:c>
      <x:c r="J44" s="50" t="n">
        <x:f>J41+J43</x:f>
        <x:v>7746.3947103270175</x:v>
      </x:c>
      <x:c r="K44" s="48"/>
      <x:c r="L44" s="48" t="str">
        <x:v>Enterprise value</x:v>
      </x:c>
      <x:c r="M44" s="50" t="n">
        <x:f>SUM(M41,M43)</x:f>
        <x:v>51957.43276601822</x:v>
      </x:c>
    </x:row>
    <x:row r="45">
      <x:c r="A45" s="48" t="str">
        <x:v>D&amp;A</x:v>
      </x:c>
      <x:c r="B45" s="50" t="n">
        <x:f>B40*'Assumptions'!$D$11</x:f>
        <x:v>1360.8157500000002</x:v>
      </x:c>
      <x:c r="C45" s="50" t="n">
        <x:f>C40*'Assumptions'!$D$11</x:f>
        <x:v>1386.8158500000004</x:v>
      </x:c>
      <x:c r="D45" s="50" t="n">
        <x:f>D40*'Assumptions'!$D$11</x:f>
        <x:v>1441.2119487500001</x:v>
      </x:c>
      <x:c r="E45" s="50" t="n">
        <x:f>E40*'Assumptions'!$D$11</x:f>
        <x:v>1500.69257695</x:v>
      </x:c>
      <x:c r="F45" s="50" t="n">
        <x:f>F40*'Assumptions'!$D$11</x:f>
        <x:v>1550.6019240145004</x:v>
      </x:c>
      <x:c r="G45" s="50" t="n">
        <x:f>G40*'Assumptions'!$D$11</x:f>
        <x:v>1597.4866532469255</x:v>
      </x:c>
      <x:c r="H45" s="50" t="n">
        <x:f>H40*'Assumptions'!$D$11</x:f>
        <x:v>1637.3916192704721</x:v>
      </x:c>
      <x:c r="I45" s="50" t="n">
        <x:f>I40*'Assumptions'!$D$11</x:f>
        <x:v>1677.181036438241</x:v>
      </x:c>
      <x:c r="J45" s="50" t="n">
        <x:f>J40*'Assumptions'!$D$11</x:f>
        <x:v>1710.9012671768235</x:v>
      </x:c>
      <x:c r="K45" s="48"/>
      <x:c r="L45" s="48" t="str">
        <x:v>+ Cash &amp; investments</x:v>
      </x:c>
      <x:c r="M45" s="50" t="n">
        <x:f>'Assumptions'!$G$6</x:f>
        <x:v>9799</x:v>
      </x:c>
    </x:row>
    <x:row r="46">
      <x:c r="A46" s="48" t="str">
        <x:v>Capex</x:v>
      </x:c>
      <x:c r="B46" s="50" t="n">
        <x:f>-B40*('Assumptions'!$D$12+('Assumptions'!$D$13-'Assumptions'!$D$12)*0)</x:f>
        <x:v>-1749.6202500000002</x:v>
      </x:c>
      <x:c r="C46" s="50" t="n">
        <x:f>-C40*('Assumptions'!$D$12+('Assumptions'!$D$13-'Assumptions'!$D$12)*0.125)</x:f>
        <x:v>-1748.37855375</x:v>
      </x:c>
      <x:c r="D46" s="50" t="n">
        <x:f>-D40*('Assumptions'!$D$12+('Assumptions'!$D$13-'Assumptions'!$D$12)*0.25)</x:f>
        <x:v>-1780.9261938124998</x:v>
      </x:c>
      <x:c r="E46" s="50" t="n">
        <x:f>-E40*('Assumptions'!$D$12+('Assumptions'!$D$13-'Assumptions'!$D$12)*0.375)</x:f>
        <x:v>-1816.9099413787499</x:v>
      </x:c>
      <x:c r="F46" s="50" t="n">
        <x:f>-F40*('Assumptions'!$D$12+('Assumptions'!$D$13-'Assumptions'!$D$12)*0.5)</x:f>
        <x:v>-1838.57085276005</x:v>
      </x:c>
      <x:c r="G46" s="50" t="n">
        <x:f>-G40*('Assumptions'!$D$12+('Assumptions'!$D$13-'Assumptions'!$D$12)*0.625)</x:f>
        <x:v>-1854.2255796616098</x:v>
      </x:c>
      <x:c r="H46" s="50" t="n">
        <x:f>-H40*('Assumptions'!$D$12+('Assumptions'!$D$13-'Assumptions'!$D$12)*0.75)</x:f>
        <x:v>-1859.609053314322</x:v>
      </x:c>
      <x:c r="I46" s="50" t="n">
        <x:f>-I40*('Assumptions'!$D$12+('Assumptions'!$D$13-'Assumptions'!$D$12)*0.875)</x:f>
        <x:v>-1862.8689369010463</x:v>
      </x:c>
      <x:c r="J46" s="50" t="n">
        <x:f>-J40*('Assumptions'!$D$12+('Assumptions'!$D$13-'Assumptions'!$D$12)*1)</x:f>
        <x:v>-1857.549947220551</x:v>
      </x:c>
      <x:c r="K46" s="48"/>
      <x:c r="L46" s="48" t="str">
        <x:v>- Debt</x:v>
      </x:c>
      <x:c r="M46" s="50" t="n">
        <x:f>-'Assumptions'!$G$7</x:f>
        <x:v>-15270</x:v>
      </x:c>
    </x:row>
    <x:row r="47">
      <x:c r="A47" s="48" t="str">
        <x:v>Change in NWC</x:v>
      </x:c>
      <x:c r="B47" s="50" t="n">
        <x:f>-(B40-'Segment Cases'!B$68)*'Assumptions'!$D$14</x:f>
        <x:v>40.60549999999996</x:v>
      </x:c>
      <x:c r="C47" s="50" t="n">
        <x:f>-(C40-B40)*'Assumptions'!$D$14</x:f>
        <x:v>-7.428600000000006</x:v>
      </x:c>
      <x:c r="D47" s="50" t="n">
        <x:f>-(D40-C40)*'Assumptions'!$D$14</x:f>
        <x:v>-15.541742499999964</x:v>
      </x:c>
      <x:c r="E47" s="50" t="n">
        <x:f>-(E40-D40)*'Assumptions'!$D$14</x:f>
        <x:v>-16.994465199999976</x:v>
      </x:c>
      <x:c r="F47" s="50" t="n">
        <x:f>-(F40-E40)*'Assumptions'!$D$14</x:f>
        <x:v>-14.259813447000052</x:v>
      </x:c>
      <x:c r="G47" s="50" t="n">
        <x:f>-(G40-F40)*'Assumptions'!$D$14</x:f>
        <x:v>-13.395636923550047</x:v>
      </x:c>
      <x:c r="H47" s="50" t="n">
        <x:f>-(H40-G40)*'Assumptions'!$D$14</x:f>
        <x:v>-11.401418863870495</x:v>
      </x:c>
      <x:c r="I47" s="50" t="n">
        <x:f>-(I40-H40)*'Assumptions'!$D$14</x:f>
        <x:v>-11.368404905076822</x:v>
      </x:c>
      <x:c r="J47" s="50" t="n">
        <x:f>-(J40-I40)*'Assumptions'!$D$14</x:f>
        <x:v>-9.63435163959497</x:v>
      </x:c>
      <x:c r="K47" s="48"/>
      <x:c r="L47" s="48" t="str">
        <x:v>Equity value</x:v>
      </x:c>
      <x:c r="M47" s="50" t="n">
        <x:f>SUM(M44:M46)</x:f>
        <x:v>46486.43276601822</x:v>
      </x:c>
    </x:row>
    <x:row r="48">
      <x:c r="A48" s="48" t="str">
        <x:v>Legal / regulatory cash cost</x:v>
      </x:c>
      <x:c r="B48" s="50" t="n">
        <x:f>-'Assumptions'!$D$10</x:f>
        <x:v>-1500</x:v>
      </x:c>
      <x:c r="C48" s="50" t="n">
        <x:f>0</x:f>
        <x:v>0</x:v>
      </x:c>
      <x:c r="D48" s="50" t="n">
        <x:f>0</x:f>
        <x:v>0</x:v>
      </x:c>
      <x:c r="E48" s="50" t="n">
        <x:f>0</x:f>
        <x:v>0</x:v>
      </x:c>
      <x:c r="F48" s="50" t="n">
        <x:f>0</x:f>
        <x:v>0</x:v>
      </x:c>
      <x:c r="G48" s="50" t="n">
        <x:f>0</x:f>
        <x:v>0</x:v>
      </x:c>
      <x:c r="H48" s="50" t="n">
        <x:f>0</x:f>
        <x:v>0</x:v>
      </x:c>
      <x:c r="I48" s="50" t="n">
        <x:f>0</x:f>
        <x:v>0</x:v>
      </x:c>
      <x:c r="J48" s="50" t="n">
        <x:f>0</x:f>
        <x:v>0</x:v>
      </x:c>
      <x:c r="K48" s="48"/>
      <x:c r="L48" s="48" t="str">
        <x:v>Diluted shares (M)</x:v>
      </x:c>
      <x:c r="M48" s="50" t="n">
        <x:f>'Assumptions'!$G$8</x:f>
        <x:v>1080</x:v>
      </x:c>
    </x:row>
    <x:row r="49">
      <x:c r="A49" s="52" t="str">
        <x:v>FCFF</x:v>
      </x:c>
      <x:c r="B49" s="53" t="n">
        <x:f>SUM(B44,B45,B46,B47,B48)</x:f>
        <x:v>3209.87435</x:v>
      </x:c>
      <x:c r="C49" s="53" t="n">
        <x:f>SUM(C44,C45,C46,C47,C48)</x:f>
        <x:v>4692.031236000001</x:v>
      </x:c>
      <x:c r="D49" s="53" t="n">
        <x:f>SUM(D44,D45,D46,D47,D48)</x:f>
        <x:v>4873.143713393751</x:v>
      </x:c>
      <x:c r="E49" s="53" t="n">
        <x:f>SUM(E44,E45,E46,E47,E48)</x:f>
        <x:v>5247.386280485626</x:v>
      </x:c>
      <x:c r="F49" s="53" t="n">
        <x:f>SUM(F44,F45,F46,F47,F48)</x:f>
        <x:v>5658.406147626546</x:v>
      </x:c>
      <x:c r="G49" s="53" t="n">
        <x:f>SUM(G44,G45,G46,G47,G48)</x:f>
        <x:v>6114.396335237875</x:v>
      </x:c>
      <x:c r="H49" s="53" t="n">
        <x:f>SUM(H44,H45,H46,H47,H48)</x:f>
        <x:v>6586.522302974445</x:v>
      </x:c>
      <x:c r="I49" s="53" t="n">
        <x:f>SUM(I44,I45,I46,I47,I48)</x:f>
        <x:v>7085.88781991673</x:v>
      </x:c>
      <x:c r="J49" s="53" t="n">
        <x:f>SUM(J44,J45,J46,J47,J48)</x:f>
        <x:v>7590.111678643696</x:v>
      </x:c>
      <x:c r="K49" s="48"/>
      <x:c r="L49" s="48" t="str">
        <x:v>Fair value / share</x:v>
      </x:c>
      <x:c r="M49" s="62" t="n">
        <x:f>M47/M48</x:f>
        <x:v>43.04299330186872</x:v>
      </x:c>
    </x:row>
    <x:row r="50">
      <x:c r="A50" s="54" t="str">
        <x:v>Discount factor</x:v>
      </x:c>
      <x:c r="B50" s="63" t="n">
        <x:f>1/(1+'Assumptions'!$D$7)^1</x:f>
        <x:v>0.8888888888888888</x:v>
      </x:c>
      <x:c r="C50" s="63" t="n">
        <x:f>1/(1+'Assumptions'!$D$7)^2</x:f>
        <x:v>0.7901234567901234</x:v>
      </x:c>
      <x:c r="D50" s="63" t="n">
        <x:f>1/(1+'Assumptions'!$D$7)^3</x:f>
        <x:v>0.7023319615912208</x:v>
      </x:c>
      <x:c r="E50" s="63" t="n">
        <x:f>1/(1+'Assumptions'!$D$7)^4</x:f>
        <x:v>0.6242950769699741</x:v>
      </x:c>
      <x:c r="F50" s="63" t="n">
        <x:f>1/(1+'Assumptions'!$D$7)^5</x:f>
        <x:v>0.5549289573066436</x:v>
      </x:c>
      <x:c r="G50" s="63" t="n">
        <x:f>1/(1+'Assumptions'!$D$7)^6</x:f>
        <x:v>0.49327018427257213</x:v>
      </x:c>
      <x:c r="H50" s="63" t="n">
        <x:f>1/(1+'Assumptions'!$D$7)^7</x:f>
        <x:v>0.4384623860200641</x:v>
      </x:c>
      <x:c r="I50" s="63" t="n">
        <x:f>1/(1+'Assumptions'!$D$7)^8</x:f>
        <x:v>0.38974434312894585</x:v>
      </x:c>
      <x:c r="J50" s="63" t="n">
        <x:f>1/(1+'Assumptions'!$D$7)^9</x:f>
        <x:v>0.34643941611461854</x:v>
      </x:c>
      <x:c r="K50" s="48"/>
      <x:c r="L50" s="48" t="str">
        <x:v>Terminal weight</x:v>
      </x:c>
      <x:c r="M50" s="51" t="n">
        <x:f>M43/M44</x:f>
        <x:v>0.4669830709104768</x:v>
      </x:c>
    </x:row>
    <x:row r="51">
      <x:c r="A51" s="54" t="str">
        <x:v>PV of FCFF</x:v>
      </x:c>
      <x:c r="B51" s="64" t="n">
        <x:f>B49*B50</x:f>
        <x:v>2853.2216444444443</x:v>
      </x:c>
      <x:c r="C51" s="64" t="n">
        <x:f>C49*C50</x:f>
        <x:v>3707.283939555556</x:v>
      </x:c>
      <x:c r="D51" s="64" t="n">
        <x:f>D49*D50</x:f>
        <x:v>3422.564583343759</x:v>
      </x:c>
      <x:c r="E51" s="64" t="n">
        <x:f>E49*E50</x:f>
        <x:v>3275.91742186696</x:v>
      </x:c>
      <x:c r="F51" s="64" t="n">
        <x:f>F49*F50</x:f>
        <x:v>3140.013423519901</x:v>
      </x:c>
      <x:c r="G51" s="64" t="n">
        <x:f>G49*G50</x:f>
        <x:v>3016.0494069983265</x:v>
      </x:c>
      <x:c r="H51" s="64" t="n">
        <x:f>H49*H50</x:f>
        <x:v>2887.9422845365425</x:v>
      </x:c>
      <x:c r="I51" s="64" t="n">
        <x:f>I49*I50</x:f>
        <x:v>2761.684693858844</x:v>
      </x:c>
      <x:c r="J51" s="64" t="n">
        <x:f>J49*J50</x:f>
        <x:v>2629.513858194069</x:v>
      </x:c>
      <x:c r="K51" s="48"/>
      <x:c r="L51" s="48"/>
      <x:c r="M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</x:row>
  </x:sheetData>
  <x:mergeCells>
    <x:mergeCell ref="A1:M1"/>
    <x:mergeCell ref="A2:M2"/>
    <x:mergeCell ref="A4:M4"/>
    <x:mergeCell ref="A21:M21"/>
    <x:mergeCell ref="A38:M3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7" customHeight="1">
      <x:c r="A1" s="46" t="str">
        <x:v>QCOM Base-Case Sensitivity — WACC × Terminal Growth</x:v>
      </x:c>
      <x:c r="B1" s="46" t="str">
        <x:v>QCOM Base-Case Sensitivity — WACC × Terminal Growth</x:v>
      </x:c>
      <x:c r="C1" s="46" t="str">
        <x:v>QCOM Base-Case Sensitivity — WACC × Terminal Growth</x:v>
      </x:c>
      <x:c r="D1" s="46" t="str">
        <x:v>QCOM Base-Case Sensitivity — WACC × Terminal Growth</x:v>
      </x:c>
      <x:c r="E1" s="46" t="str">
        <x:v>QCOM Base-Case Sensitivity — WACC × Terminal Growth</x:v>
      </x:c>
      <x:c r="F1" s="46" t="str">
        <x:v>QCOM Base-Case Sensitivity — WACC × Terminal Growth</x:v>
      </x:c>
      <x:c r="G1" s="46" t="str">
        <x:v>QCOM Base-Case Sensitivity — WACC × Terminal Growth</x:v>
      </x:c>
      <x:c r="H1" s="46" t="str">
        <x:v>QCOM Base-Case Sensitivity — WACC × Terminal Growth</x:v>
      </x:c>
      <x:c r="I1" s="46" t="str">
        <x:v>QCOM Base-Case Sensitivity — WACC × Terminal Growth</x:v>
      </x:c>
    </x:row>
    <x:row r="2" ht="24" customHeight="1">
      <x:c r="A2" s="47" t="str">
        <x:v>Each cell fully re-discounts the Base FCFF stream and terminal value. It does not scale the final answer.</x:v>
      </x:c>
      <x:c r="B2" s="47"/>
      <x:c r="C2" s="47"/>
      <x:c r="D2" s="47"/>
      <x:c r="E2" s="47"/>
      <x:c r="F2" s="47"/>
      <x:c r="G2" s="47"/>
      <x:c r="H2" s="47"/>
      <x:c r="I2" s="47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</x:row>
    <x:row r="4">
      <x:c r="A4" s="49" t="str">
        <x:v>WACC / g</x:v>
      </x:c>
      <x:c r="B4" s="80" t="n">
        <x:v>0.015</x:v>
      </x:c>
      <x:c r="C4" s="80" t="n">
        <x:v>0.02</x:v>
      </x:c>
      <x:c r="D4" s="80" t="n">
        <x:v>0.025</x:v>
      </x:c>
      <x:c r="E4" s="80" t="n">
        <x:v>0.03</x:v>
      </x:c>
      <x:c r="F4" s="80" t="n">
        <x:v>0.035</x:v>
      </x:c>
      <x:c r="G4" s="49" t="str">
        <x:v>Base WACC</x:v>
      </x:c>
      <x:c r="H4" s="48"/>
      <x:c r="I4" s="48"/>
    </x:row>
    <x:row r="5">
      <x:c r="A5" s="51" t="n">
        <x:v>0.095</x:v>
      </x:c>
      <x:c r="B5" s="75" t="n">
        <x:f>('DCF Model'!B32/(1+$A5)^1+'DCF Model'!C32/(1+$A5)^2+'DCF Model'!D32/(1+$A5)^3+'DCF Model'!E32/(1+$A5)^4+'DCF Model'!F32/(1+$A5)^5+'DCF Model'!G32/(1+$A5)^6+'DCF Model'!H32/(1+$A5)^7+'DCF Model'!I32/(1+$A5)^8+'DCF Model'!J32/(1+$A5)^9+('DCF Model'!J32*(1+B$4)/($A5-B$4))/(1+$A5)^9+'Assumptions'!$G$6-'Assumptions'!$G$7)/'Assumptions'!$G$8</x:f>
        <x:v>144.67711510990733</x:v>
      </x:c>
      <x:c r="C5" s="75" t="n">
        <x:f>('DCF Model'!B32/(1+$A5)^1+'DCF Model'!C32/(1+$A5)^2+'DCF Model'!D32/(1+$A5)^3+'DCF Model'!E32/(1+$A5)^4+'DCF Model'!F32/(1+$A5)^5+'DCF Model'!G32/(1+$A5)^6+'DCF Model'!H32/(1+$A5)^7+'DCF Model'!I32/(1+$A5)^8+'DCF Model'!J32/(1+$A5)^9+('DCF Model'!J32*(1+C$4)/($A5-C$4))/(1+$A5)^9+'Assumptions'!$G$6-'Assumptions'!$G$7)/'Assumptions'!$G$8</x:f>
        <x:v>151.17418474443002</x:v>
      </x:c>
      <x:c r="D5" s="75" t="n">
        <x:f>('DCF Model'!B32/(1+$A5)^1+'DCF Model'!C32/(1+$A5)^2+'DCF Model'!D32/(1+$A5)^3+'DCF Model'!E32/(1+$A5)^4+'DCF Model'!F32/(1+$A5)^5+'DCF Model'!G32/(1+$A5)^6+'DCF Model'!H32/(1+$A5)^7+'DCF Model'!I32/(1+$A5)^8+'DCF Model'!J32/(1+$A5)^9+('DCF Model'!J32*(1+D$4)/($A5-D$4))/(1+$A5)^9+'Assumptions'!$G$6-'Assumptions'!$G$7)/'Assumptions'!$G$8</x:f>
        <x:v>158.59940718388447</x:v>
      </x:c>
      <x:c r="E5" s="75" t="n">
        <x:f>('DCF Model'!B32/(1+$A5)^1+'DCF Model'!C32/(1+$A5)^2+'DCF Model'!D32/(1+$A5)^3+'DCF Model'!E32/(1+$A5)^4+'DCF Model'!F32/(1+$A5)^5+'DCF Model'!G32/(1+$A5)^6+'DCF Model'!H32/(1+$A5)^7+'DCF Model'!I32/(1+$A5)^8+'DCF Model'!J32/(1+$A5)^9+('DCF Model'!J32*(1+E$4)/($A5-E$4))/(1+$A5)^9+'Assumptions'!$G$6-'Assumptions'!$G$7)/'Assumptions'!$G$8</x:f>
        <x:v>167.16697153710123</x:v>
      </x:c>
      <x:c r="F5" s="75" t="n">
        <x:f>('DCF Model'!B32/(1+$A5)^1+'DCF Model'!C32/(1+$A5)^2+'DCF Model'!D32/(1+$A5)^3+'DCF Model'!E32/(1+$A5)^4+'DCF Model'!F32/(1+$A5)^5+'DCF Model'!G32/(1+$A5)^6+'DCF Model'!H32/(1+$A5)^7+'DCF Model'!I32/(1+$A5)^8+'DCF Model'!J32/(1+$A5)^9+('DCF Model'!J32*(1+F$4)/($A5-F$4))/(1+$A5)^9+'Assumptions'!$G$6-'Assumptions'!$G$7)/'Assumptions'!$G$8</x:f>
        <x:v>177.16246328252075</x:v>
      </x:c>
      <x:c r="G5" s="48" t="str"/>
      <x:c r="H5" s="48"/>
      <x:c r="I5" s="48"/>
    </x:row>
    <x:row r="6">
      <x:c r="A6" s="51" t="n">
        <x:v>0.1</x:v>
      </x:c>
      <x:c r="B6" s="75" t="n">
        <x:f>('DCF Model'!B32/(1+$A6)^1+'DCF Model'!C32/(1+$A6)^2+'DCF Model'!D32/(1+$A6)^3+'DCF Model'!E32/(1+$A6)^4+'DCF Model'!F32/(1+$A6)^5+'DCF Model'!G32/(1+$A6)^6+'DCF Model'!H32/(1+$A6)^7+'DCF Model'!I32/(1+$A6)^8+'DCF Model'!J32/(1+$A6)^9+('DCF Model'!J32*(1+B$4)/($A6-B$4))/(1+$A6)^9+'Assumptions'!$G$6-'Assumptions'!$G$7)/'Assumptions'!$G$8</x:f>
        <x:v>134.57691732205566</x:v>
      </x:c>
      <x:c r="C6" s="75" t="n">
        <x:f>('DCF Model'!B32/(1+$A6)^1+'DCF Model'!C32/(1+$A6)^2+'DCF Model'!D32/(1+$A6)^3+'DCF Model'!E32/(1+$A6)^4+'DCF Model'!F32/(1+$A6)^5+'DCF Model'!G32/(1+$A6)^6+'DCF Model'!H32/(1+$A6)^7+'DCF Model'!I32/(1+$A6)^8+'DCF Model'!J32/(1+$A6)^9+('DCF Model'!J32*(1+C$4)/($A6-C$4))/(1+$A6)^9+'Assumptions'!$G$6-'Assumptions'!$G$7)/'Assumptions'!$G$8</x:f>
        <x:v>140.10445015992988</x:v>
      </x:c>
      <x:c r="D6" s="75" t="n">
        <x:f>('DCF Model'!B32/(1+$A6)^1+'DCF Model'!C32/(1+$A6)^2+'DCF Model'!D32/(1+$A6)^3+'DCF Model'!E32/(1+$A6)^4+'DCF Model'!F32/(1+$A6)^5+'DCF Model'!G32/(1+$A6)^6+'DCF Model'!H32/(1+$A6)^7+'DCF Model'!I32/(1+$A6)^8+'DCF Model'!J32/(1+$A6)^9+('DCF Model'!J32*(1+D$4)/($A6-D$4))/(1+$A6)^9+'Assumptions'!$G$6-'Assumptions'!$G$7)/'Assumptions'!$G$8</x:f>
        <x:v>146.36898737618722</x:v>
      </x:c>
      <x:c r="E6" s="75" t="n">
        <x:f>('DCF Model'!B32/(1+$A6)^1+'DCF Model'!C32/(1+$A6)^2+'DCF Model'!D32/(1+$A6)^3+'DCF Model'!E32/(1+$A6)^4+'DCF Model'!F32/(1+$A6)^5+'DCF Model'!G32/(1+$A6)^6+'DCF Model'!H32/(1+$A6)^7+'DCF Model'!I32/(1+$A6)^8+'DCF Model'!J32/(1+$A6)^9+('DCF Model'!J32*(1+E$4)/($A6-E$4))/(1+$A6)^9+'Assumptions'!$G$6-'Assumptions'!$G$7)/'Assumptions'!$G$8</x:f>
        <x:v>153.52845848048136</x:v>
      </x:c>
      <x:c r="F6" s="75" t="n">
        <x:f>('DCF Model'!B32/(1+$A6)^1+'DCF Model'!C32/(1+$A6)^2+'DCF Model'!D32/(1+$A6)^3+'DCF Model'!E32/(1+$A6)^4+'DCF Model'!F32/(1+$A6)^5+'DCF Model'!G32/(1+$A6)^6+'DCF Model'!H32/(1+$A6)^7+'DCF Model'!I32/(1+$A6)^8+'DCF Model'!J32/(1+$A6)^9+('DCF Model'!J32*(1+F$4)/($A6-F$4))/(1+$A6)^9+'Assumptions'!$G$6-'Assumptions'!$G$7)/'Assumptions'!$G$8</x:f>
        <x:v>161.78938667774386</x:v>
      </x:c>
      <x:c r="G6" s="48" t="str"/>
      <x:c r="H6" s="48"/>
      <x:c r="I6" s="48"/>
    </x:row>
    <x:row r="7">
      <x:c r="A7" s="51" t="n">
        <x:v>0.105</x:v>
      </x:c>
      <x:c r="B7" s="75" t="n">
        <x:f>('DCF Model'!B32/(1+$A7)^1+'DCF Model'!C32/(1+$A7)^2+'DCF Model'!D32/(1+$A7)^3+'DCF Model'!E32/(1+$A7)^4+'DCF Model'!F32/(1+$A7)^5+'DCF Model'!G32/(1+$A7)^6+'DCF Model'!H32/(1+$A7)^7+'DCF Model'!I32/(1+$A7)^8+'DCF Model'!J32/(1+$A7)^9+('DCF Model'!J32*(1+B$4)/($A7-B$4))/(1+$A7)^9+'Assumptions'!$G$6-'Assumptions'!$G$7)/'Assumptions'!$G$8</x:f>
        <x:v>125.63542399259512</x:v>
      </x:c>
      <x:c r="C7" s="75" t="n">
        <x:f>('DCF Model'!B32/(1+$A7)^1+'DCF Model'!C32/(1+$A7)^2+'DCF Model'!D32/(1+$A7)^3+'DCF Model'!E32/(1+$A7)^4+'DCF Model'!F32/(1+$A7)^5+'DCF Model'!G32/(1+$A7)^6+'DCF Model'!H32/(1+$A7)^7+'DCF Model'!I32/(1+$A7)^8+'DCF Model'!J32/(1+$A7)^9+('DCF Model'!J32*(1+C$4)/($A7-C$4))/(1+$A7)^9+'Assumptions'!$G$6-'Assumptions'!$G$7)/'Assumptions'!$G$8</x:f>
        <x:v>130.37371866666865</x:v>
      </x:c>
      <x:c r="D7" s="75" t="n">
        <x:f>('DCF Model'!B32/(1+$A7)^1+'DCF Model'!C32/(1+$A7)^2+'DCF Model'!D32/(1+$A7)^3+'DCF Model'!E32/(1+$A7)^4+'DCF Model'!F32/(1+$A7)^5+'DCF Model'!G32/(1+$A7)^6+'DCF Model'!H32/(1+$A7)^7+'DCF Model'!I32/(1+$A7)^8+'DCF Model'!J32/(1+$A7)^9+('DCF Model'!J32*(1+D$4)/($A7-D$4))/(1+$A7)^9+'Assumptions'!$G$6-'Assumptions'!$G$7)/'Assumptions'!$G$8</x:f>
        <x:v>135.7043001750013</x:v>
      </x:c>
      <x:c r="E7" s="75" t="n">
        <x:f>('DCF Model'!B32/(1+$A7)^1+'DCF Model'!C32/(1+$A7)^2+'DCF Model'!D32/(1+$A7)^3+'DCF Model'!E32/(1+$A7)^4+'DCF Model'!F32/(1+$A7)^5+'DCF Model'!G32/(1+$A7)^6+'DCF Model'!H32/(1+$A7)^7+'DCF Model'!I32/(1+$A7)^8+'DCF Model'!J32/(1+$A7)^9+('DCF Model'!J32*(1+E$4)/($A7-E$4))/(1+$A7)^9+'Assumptions'!$G$6-'Assumptions'!$G$7)/'Assumptions'!$G$8</x:f>
        <x:v>141.74562588444496</x:v>
      </x:c>
      <x:c r="F7" s="75" t="n">
        <x:f>('DCF Model'!B32/(1+$A7)^1+'DCF Model'!C32/(1+$A7)^2+'DCF Model'!D32/(1+$A7)^3+'DCF Model'!E32/(1+$A7)^4+'DCF Model'!F32/(1+$A7)^5+'DCF Model'!G32/(1+$A7)^6+'DCF Model'!H32/(1+$A7)^7+'DCF Model'!I32/(1+$A7)^8+'DCF Model'!J32/(1+$A7)^9+('DCF Model'!J32*(1+F$4)/($A7-F$4))/(1+$A7)^9+'Assumptions'!$G$6-'Assumptions'!$G$7)/'Assumptions'!$G$8</x:f>
        <x:v>148.64999812380918</x:v>
      </x:c>
      <x:c r="G7" s="48" t="str"/>
      <x:c r="H7" s="48"/>
      <x:c r="I7" s="48"/>
    </x:row>
    <x:row r="8">
      <x:c r="A8" s="51" t="n">
        <x:v>0.11</x:v>
      </x:c>
      <x:c r="B8" s="75" t="n">
        <x:f>('DCF Model'!B32/(1+$A8)^1+'DCF Model'!C32/(1+$A8)^2+'DCF Model'!D32/(1+$A8)^3+'DCF Model'!E32/(1+$A8)^4+'DCF Model'!F32/(1+$A8)^5+'DCF Model'!G32/(1+$A8)^6+'DCF Model'!H32/(1+$A8)^7+'DCF Model'!I32/(1+$A8)^8+'DCF Model'!J32/(1+$A8)^9+('DCF Model'!J32*(1+B$4)/($A8-B$4))/(1+$A8)^9+'Assumptions'!$G$6-'Assumptions'!$G$7)/'Assumptions'!$G$8</x:f>
        <x:v>117.66841732492486</x:v>
      </x:c>
      <x:c r="C8" s="75" t="n">
        <x:f>('DCF Model'!B32/(1+$A8)^1+'DCF Model'!C32/(1+$A8)^2+'DCF Model'!D32/(1+$A8)^3+'DCF Model'!E32/(1+$A8)^4+'DCF Model'!F32/(1+$A8)^5+'DCF Model'!G32/(1+$A8)^6+'DCF Model'!H32/(1+$A8)^7+'DCF Model'!I32/(1+$A8)^8+'DCF Model'!J32/(1+$A8)^9+('DCF Model'!J32*(1+C$4)/($A8-C$4))/(1+$A8)^9+'Assumptions'!$G$6-'Assumptions'!$G$7)/'Assumptions'!$G$8</x:f>
        <x:v>121.7575554464885</x:v>
      </x:c>
      <x:c r="D8" s="75" t="n">
        <x:f>('DCF Model'!B32/(1+$A8)^1+'DCF Model'!C32/(1+$A8)^2+'DCF Model'!D32/(1+$A8)^3+'DCF Model'!E32/(1+$A8)^4+'DCF Model'!F32/(1+$A8)^5+'DCF Model'!G32/(1+$A8)^6+'DCF Model'!H32/(1+$A8)^7+'DCF Model'!I32/(1+$A8)^8+'DCF Model'!J32/(1+$A8)^9+('DCF Model'!J32*(1+D$4)/($A8-D$4))/(1+$A8)^9+'Assumptions'!$G$6-'Assumptions'!$G$7)/'Assumptions'!$G$8</x:f>
        <x:v>126.32776864117724</x:v>
      </x:c>
      <x:c r="E8" s="75" t="n">
        <x:f>('DCF Model'!B32/(1+$A8)^1+'DCF Model'!C32/(1+$A8)^2+'DCF Model'!D32/(1+$A8)^3+'DCF Model'!E32/(1+$A8)^4+'DCF Model'!F32/(1+$A8)^5+'DCF Model'!G32/(1+$A8)^6+'DCF Model'!H32/(1+$A8)^7+'DCF Model'!I32/(1+$A8)^8+'DCF Model'!J32/(1+$A8)^9+('DCF Model'!J32*(1+E$4)/($A8-E$4))/(1+$A8)^9+'Assumptions'!$G$6-'Assumptions'!$G$7)/'Assumptions'!$G$8</x:f>
        <x:v>131.46925848520212</x:v>
      </x:c>
      <x:c r="F8" s="75" t="n">
        <x:f>('DCF Model'!B32/(1+$A8)^1+'DCF Model'!C32/(1+$A8)^2+'DCF Model'!D32/(1+$A8)^3+'DCF Model'!E32/(1+$A8)^4+'DCF Model'!F32/(1+$A8)^5+'DCF Model'!G32/(1+$A8)^6+'DCF Model'!H32/(1+$A8)^7+'DCF Model'!I32/(1+$A8)^8+'DCF Model'!J32/(1+$A8)^9+('DCF Model'!J32*(1+F$4)/($A8-F$4))/(1+$A8)^9+'Assumptions'!$G$6-'Assumptions'!$G$7)/'Assumptions'!$G$8</x:f>
        <x:v>137.2962803084303</x:v>
      </x:c>
      <x:c r="G8" s="48" t="str">
        <x:v>Base</x:v>
      </x:c>
      <x:c r="H8" s="48"/>
      <x:c r="I8" s="48"/>
    </x:row>
    <x:row r="9">
      <x:c r="A9" s="51" t="n">
        <x:v>0.115</x:v>
      </x:c>
      <x:c r="B9" s="75" t="n">
        <x:f>('DCF Model'!B32/(1+$A9)^1+'DCF Model'!C32/(1+$A9)^2+'DCF Model'!D32/(1+$A9)^3+'DCF Model'!E32/(1+$A9)^4+'DCF Model'!F32/(1+$A9)^5+'DCF Model'!G32/(1+$A9)^6+'DCF Model'!H32/(1+$A9)^7+'DCF Model'!I32/(1+$A9)^8+'DCF Model'!J32/(1+$A9)^9+('DCF Model'!J32*(1+B$4)/($A9-B$4))/(1+$A9)^9+'Assumptions'!$G$6-'Assumptions'!$G$7)/'Assumptions'!$G$8</x:f>
        <x:v>110.52857392349938</x:v>
      </x:c>
      <x:c r="C9" s="75" t="n">
        <x:f>('DCF Model'!B32/(1+$A9)^1+'DCF Model'!C32/(1+$A9)^2+'DCF Model'!D32/(1+$A9)^3+'DCF Model'!E32/(1+$A9)^4+'DCF Model'!F32/(1+$A9)^5+'DCF Model'!G32/(1+$A9)^6+'DCF Model'!H32/(1+$A9)^7+'DCF Model'!I32/(1+$A9)^8+'DCF Model'!J32/(1+$A9)^9+('DCF Model'!J32*(1+C$4)/($A9-C$4))/(1+$A9)^9+'Assumptions'!$G$6-'Assumptions'!$G$7)/'Assumptions'!$G$8</x:f>
        <x:v>114.07882592484982</x:v>
      </x:c>
      <x:c r="D9" s="75" t="n">
        <x:f>('DCF Model'!B32/(1+$A9)^1+'DCF Model'!C32/(1+$A9)^2+'DCF Model'!D32/(1+$A9)^3+'DCF Model'!E32/(1+$A9)^4+'DCF Model'!F32/(1+$A9)^5+'DCF Model'!G32/(1+$A9)^6+'DCF Model'!H32/(1+$A9)^7+'DCF Model'!I32/(1+$A9)^8+'DCF Model'!J32/(1+$A9)^9+('DCF Model'!J32*(1+D$4)/($A9-D$4))/(1+$A9)^9+'Assumptions'!$G$6-'Assumptions'!$G$7)/'Assumptions'!$G$8</x:f>
        <x:v>118.02355037079472</x:v>
      </x:c>
      <x:c r="E9" s="75" t="n">
        <x:f>('DCF Model'!B32/(1+$A9)^1+'DCF Model'!C32/(1+$A9)^2+'DCF Model'!D32/(1+$A9)^3+'DCF Model'!E32/(1+$A9)^4+'DCF Model'!F32/(1+$A9)^5+'DCF Model'!G32/(1+$A9)^6+'DCF Model'!H32/(1+$A9)^7+'DCF Model'!I32/(1+$A9)^8+'DCF Model'!J32/(1+$A9)^9+('DCF Model'!J32*(1+E$4)/($A9-E$4))/(1+$A9)^9+'Assumptions'!$G$6-'Assumptions'!$G$7)/'Assumptions'!$G$8</x:f>
        <x:v>122.43236004567433</x:v>
      </x:c>
      <x:c r="F9" s="75" t="n">
        <x:f>('DCF Model'!B32/(1+$A9)^1+'DCF Model'!C32/(1+$A9)^2+'DCF Model'!D32/(1+$A9)^3+'DCF Model'!E32/(1+$A9)^4+'DCF Model'!F32/(1+$A9)^5+'DCF Model'!G32/(1+$A9)^6+'DCF Model'!H32/(1+$A9)^7+'DCF Model'!I32/(1+$A9)^8+'DCF Model'!J32/(1+$A9)^9+('DCF Model'!J32*(1+F$4)/($A9-F$4))/(1+$A9)^9+'Assumptions'!$G$6-'Assumptions'!$G$7)/'Assumptions'!$G$8</x:f>
        <x:v>127.39227092991388</x:v>
      </x:c>
      <x:c r="G9" s="48" t="str"/>
      <x:c r="H9" s="48"/>
      <x:c r="I9" s="48"/>
    </x:row>
    <x:row r="10">
      <x:c r="A10" s="51" t="n">
        <x:v>0.12</x:v>
      </x:c>
      <x:c r="B10" s="75" t="n">
        <x:f>('DCF Model'!B32/(1+$A10)^1+'DCF Model'!C32/(1+$A10)^2+'DCF Model'!D32/(1+$A10)^3+'DCF Model'!E32/(1+$A10)^4+'DCF Model'!F32/(1+$A10)^5+'DCF Model'!G32/(1+$A10)^6+'DCF Model'!H32/(1+$A10)^7+'DCF Model'!I32/(1+$A10)^8+'DCF Model'!J32/(1+$A10)^9+('DCF Model'!J32*(1+B$4)/($A10-B$4))/(1+$A10)^9+'Assumptions'!$G$6-'Assumptions'!$G$7)/'Assumptions'!$G$8</x:f>
        <x:v>104.09667811159606</x:v>
      </x:c>
      <x:c r="C10" s="75" t="n">
        <x:f>('DCF Model'!B32/(1+$A10)^1+'DCF Model'!C32/(1+$A10)^2+'DCF Model'!D32/(1+$A10)^3+'DCF Model'!E32/(1+$A10)^4+'DCF Model'!F32/(1+$A10)^5+'DCF Model'!G32/(1+$A10)^6+'DCF Model'!H32/(1+$A10)^7+'DCF Model'!I32/(1+$A10)^8+'DCF Model'!J32/(1+$A10)^9+('DCF Model'!J32*(1+C$4)/($A10-C$4))/(1+$A10)^9+'Assumptions'!$G$6-'Assumptions'!$G$7)/'Assumptions'!$G$8</x:f>
        <x:v>107.19586841693202</x:v>
      </x:c>
      <x:c r="D10" s="75" t="n">
        <x:f>('DCF Model'!B32/(1+$A10)^1+'DCF Model'!C32/(1+$A10)^2+'DCF Model'!D32/(1+$A10)^3+'DCF Model'!E32/(1+$A10)^4+'DCF Model'!F32/(1+$A10)^5+'DCF Model'!G32/(1+$A10)^6+'DCF Model'!H32/(1+$A10)^7+'DCF Model'!I32/(1+$A10)^8+'DCF Model'!J32/(1+$A10)^9+('DCF Model'!J32*(1+D$4)/($A10-D$4))/(1+$A10)^9+'Assumptions'!$G$6-'Assumptions'!$G$7)/'Assumptions'!$G$8</x:f>
        <x:v>110.62128928072434</x:v>
      </x:c>
      <x:c r="E10" s="75" t="n">
        <x:f>('DCF Model'!B32/(1+$A10)^1+'DCF Model'!C32/(1+$A10)^2+'DCF Model'!D32/(1+$A10)^3+'DCF Model'!E32/(1+$A10)^4+'DCF Model'!F32/(1+$A10)^5+'DCF Model'!G32/(1+$A10)^6+'DCF Model'!H32/(1+$A10)^7+'DCF Model'!I32/(1+$A10)^8+'DCF Model'!J32/(1+$A10)^9+('DCF Model'!J32*(1+E$4)/($A10-E$4))/(1+$A10)^9+'Assumptions'!$G$6-'Assumptions'!$G$7)/'Assumptions'!$G$8</x:f>
        <x:v>114.42731246271586</x:v>
      </x:c>
      <x:c r="F10" s="75" t="n">
        <x:f>('DCF Model'!B32/(1+$A10)^1+'DCF Model'!C32/(1+$A10)^2+'DCF Model'!D32/(1+$A10)^3+'DCF Model'!E32/(1+$A10)^4+'DCF Model'!F32/(1+$A10)^5+'DCF Model'!G32/(1+$A10)^6+'DCF Model'!H32/(1+$A10)^7+'DCF Model'!I32/(1+$A10)^8+'DCF Model'!J32/(1+$A10)^9+('DCF Model'!J32*(1+F$4)/($A10-F$4))/(1+$A10)^9+'Assumptions'!$G$6-'Assumptions'!$G$7)/'Assumptions'!$G$8</x:f>
        <x:v>118.68110307788282</x:v>
      </x:c>
      <x:c r="G10" s="48" t="str"/>
      <x:c r="H10" s="48"/>
      <x:c r="I10" s="48"/>
    </x:row>
    <x:row r="11">
      <x:c r="A11" s="51" t="n">
        <x:v>0.125</x:v>
      </x:c>
      <x:c r="B11" s="75" t="n">
        <x:f>('DCF Model'!B32/(1+$A11)^1+'DCF Model'!C32/(1+$A11)^2+'DCF Model'!D32/(1+$A11)^3+'DCF Model'!E32/(1+$A11)^4+'DCF Model'!F32/(1+$A11)^5+'DCF Model'!G32/(1+$A11)^6+'DCF Model'!H32/(1+$A11)^7+'DCF Model'!I32/(1+$A11)^8+'DCF Model'!J32/(1+$A11)^9+('DCF Model'!J32*(1+B$4)/($A11-B$4))/(1+$A11)^9+'Assumptions'!$G$6-'Assumptions'!$G$7)/'Assumptions'!$G$8</x:f>
        <x:v>98.27523173206457</x:v>
      </x:c>
      <x:c r="C11" s="75" t="n">
        <x:f>('DCF Model'!B32/(1+$A11)^1+'DCF Model'!C32/(1+$A11)^2+'DCF Model'!D32/(1+$A11)^3+'DCF Model'!E32/(1+$A11)^4+'DCF Model'!F32/(1+$A11)^5+'DCF Model'!G32/(1+$A11)^6+'DCF Model'!H32/(1+$A11)^7+'DCF Model'!I32/(1+$A11)^8+'DCF Model'!J32/(1+$A11)^9+('DCF Model'!J32*(1+C$4)/($A11-C$4))/(1+$A11)^9+'Assumptions'!$G$6-'Assumptions'!$G$7)/'Assumptions'!$G$8</x:f>
        <x:v>100.99404613211203</x:v>
      </x:c>
      <x:c r="D11" s="75" t="n">
        <x:f>('DCF Model'!B32/(1+$A11)^1+'DCF Model'!C32/(1+$A11)^2+'DCF Model'!D32/(1+$A11)^3+'DCF Model'!E32/(1+$A11)^4+'DCF Model'!F32/(1+$A11)^5+'DCF Model'!G32/(1+$A11)^6+'DCF Model'!H32/(1+$A11)^7+'DCF Model'!I32/(1+$A11)^8+'DCF Model'!J32/(1+$A11)^9+('DCF Model'!J32*(1+D$4)/($A11-D$4))/(1+$A11)^9+'Assumptions'!$G$6-'Assumptions'!$G$7)/'Assumptions'!$G$8</x:f>
        <x:v>103.9847419721642</x:v>
      </x:c>
      <x:c r="E11" s="75" t="n">
        <x:f>('DCF Model'!B32/(1+$A11)^1+'DCF Model'!C32/(1+$A11)^2+'DCF Model'!D32/(1+$A11)^3+'DCF Model'!E32/(1+$A11)^4+'DCF Model'!F32/(1+$A11)^5+'DCF Model'!G32/(1+$A11)^6+'DCF Model'!H32/(1+$A11)^7+'DCF Model'!I32/(1+$A11)^8+'DCF Model'!J32/(1+$A11)^9+('DCF Model'!J32*(1+E$4)/($A11-E$4))/(1+$A11)^9+'Assumptions'!$G$6-'Assumptions'!$G$7)/'Assumptions'!$G$8</x:f>
        <x:v>107.29024790064294</x:v>
      </x:c>
      <x:c r="F11" s="75" t="n">
        <x:f>('DCF Model'!B32/(1+$A11)^1+'DCF Model'!C32/(1+$A11)^2+'DCF Model'!D32/(1+$A11)^3+'DCF Model'!E32/(1+$A11)^4+'DCF Model'!F32/(1+$A11)^5+'DCF Model'!G32/(1+$A11)^6+'DCF Model'!H32/(1+$A11)^7+'DCF Model'!I32/(1+$A11)^8+'DCF Model'!J32/(1+$A11)^9+('DCF Model'!J32*(1+F$4)/($A11-F$4))/(1+$A11)^9+'Assumptions'!$G$6-'Assumptions'!$G$7)/'Assumptions'!$G$8</x:f>
        <x:v>110.96303226561932</x:v>
      </x:c>
      <x:c r="G11" s="48" t="str"/>
      <x:c r="H11" s="48"/>
      <x:c r="I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</x:row>
    <x:row r="14" ht="21" customHeight="1">
      <x:c r="A14" s="46" t="str">
        <x:v>Scenario comparison</x:v>
      </x:c>
      <x:c r="B14" s="46" t="str">
        <x:v>Scenario comparison</x:v>
      </x:c>
      <x:c r="C14" s="46" t="str">
        <x:v>Scenario comparison</x:v>
      </x:c>
      <x:c r="D14" s="46" t="str">
        <x:v>Scenario comparison</x:v>
      </x:c>
      <x:c r="E14" s="46" t="str">
        <x:v>Scenario comparison</x:v>
      </x:c>
      <x:c r="F14" s="46" t="str">
        <x:v>Scenario comparison</x:v>
      </x:c>
      <x:c r="G14" s="46" t="str">
        <x:v>Scenario comparison</x:v>
      </x:c>
      <x:c r="H14" s="48"/>
      <x:c r="I14" s="48"/>
    </x:row>
    <x:row r="15">
      <x:c r="A15" s="49" t="str">
        <x:v>Case</x:v>
      </x:c>
      <x:c r="B15" s="49" t="str">
        <x:v>Probability</x:v>
      </x:c>
      <x:c r="C15" s="49" t="str">
        <x:v>WACC</x:v>
      </x:c>
      <x:c r="D15" s="49" t="str">
        <x:v>Terminal g</x:v>
      </x:c>
      <x:c r="E15" s="49" t="str">
        <x:v>Fair value</x:v>
      </x:c>
      <x:c r="F15" s="49" t="str">
        <x:v>Terminal weight</x:v>
      </x:c>
      <x:c r="G15" s="49" t="str">
        <x:v>Current-price upside</x:v>
      </x:c>
      <x:c r="H15" s="48"/>
      <x:c r="I15" s="48"/>
    </x:row>
    <x:row r="16">
      <x:c r="A16" s="48" t="str">
        <x:v>Bull</x:v>
      </x:c>
      <x:c r="B16" s="51" t="n">
        <x:f>'Assumptions'!$B$6</x:f>
        <x:v>0.2</x:v>
      </x:c>
      <x:c r="C16" s="51" t="n">
        <x:f>'Assumptions'!$B$7</x:f>
        <x:v>0.0975</x:v>
      </x:c>
      <x:c r="D16" s="51" t="n">
        <x:f>'Assumptions'!$B$8</x:f>
        <x:v>0.03</x:v>
      </x:c>
      <x:c r="E16" s="75" t="n">
        <x:f>'DCF Model'!M15</x:f>
        <x:v>248.84732531130317</x:v>
      </x:c>
      <x:c r="F16" s="51" t="n">
        <x:f>'DCF Model'!M16</x:f>
        <x:v>0.6651529389559409</x:v>
      </x:c>
      <x:c r="G16" s="51" t="n">
        <x:f>E16/'Assumptions'!$G$9-1</x:f>
        <x:v>0.5297677833116321</x:v>
      </x:c>
      <x:c r="H16" s="48"/>
      <x:c r="I16" s="48"/>
    </x:row>
    <x:row r="17">
      <x:c r="A17" s="48" t="str">
        <x:v>Base</x:v>
      </x:c>
      <x:c r="B17" s="51" t="n">
        <x:f>'Assumptions'!$C$6</x:f>
        <x:v>0.5</x:v>
      </x:c>
      <x:c r="C17" s="51" t="n">
        <x:f>'Assumptions'!$C$7</x:f>
        <x:v>0.11</x:v>
      </x:c>
      <x:c r="D17" s="51" t="n">
        <x:f>'Assumptions'!$C$8</x:f>
        <x:v>0.025</x:v>
      </x:c>
      <x:c r="E17" s="75" t="n">
        <x:f>'DCF Model'!M32</x:f>
        <x:v>126.32776864117724</x:v>
      </x:c>
      <x:c r="F17" s="51" t="n">
        <x:f>'DCF Model'!M33</x:f>
        <x:v>0.5781438886106295</x:v>
      </x:c>
      <x:c r="G17" s="51" t="n">
        <x:f>E17/'Assumptions'!$G$9-1</x:f>
        <x:v>-0.22341077862434833</x:v>
      </x:c>
      <x:c r="H17" s="48"/>
      <x:c r="I17" s="48"/>
    </x:row>
    <x:row r="18">
      <x:c r="A18" s="48" t="str">
        <x:v>Bear</x:v>
      </x:c>
      <x:c r="B18" s="51" t="n">
        <x:f>'Assumptions'!$D$6</x:f>
        <x:v>0.3</x:v>
      </x:c>
      <x:c r="C18" s="51" t="n">
        <x:f>'Assumptions'!$D$7</x:f>
        <x:v>0.125</x:v>
      </x:c>
      <x:c r="D18" s="51" t="n">
        <x:f>'Assumptions'!$D$8</x:f>
        <x:v>0.015</x:v>
      </x:c>
      <x:c r="E18" s="75" t="n">
        <x:f>'DCF Model'!M49</x:f>
        <x:v>43.04299330186872</x:v>
      </x:c>
      <x:c r="F18" s="51" t="n">
        <x:f>'DCF Model'!M50</x:f>
        <x:v>0.4669830709104768</x:v>
      </x:c>
      <x:c r="G18" s="51" t="n">
        <x:f>E18/'Assumptions'!$G$9-1</x:f>
        <x:v>-0.7353968568152165</x:v>
      </x:c>
      <x:c r="H18" s="48"/>
      <x:c r="I18" s="48"/>
    </x:row>
    <x:row r="19">
      <x:c r="A19" s="48" t="str">
        <x:v>Probability-weighted</x:v>
      </x:c>
      <x:c r="B19" s="51" t="n">
        <x:v>1</x:v>
      </x:c>
      <x:c r="C19" s="51"/>
      <x:c r="D19" s="51"/>
      <x:c r="E19" s="75" t="n">
        <x:f>'Summary'!$B$6</x:f>
        <x:v>125.84624737340988</x:v>
      </x:c>
      <x:c r="F19" s="51"/>
      <x:c r="G19" s="51" t="n">
        <x:f>E19/'Assumptions'!$G$9-1</x:f>
        <x:v>-0.22637088969441266</x:v>
      </x:c>
      <x:c r="H19" s="48"/>
      <x:c r="I19" s="48"/>
    </x:row>
  </x:sheetData>
  <x:mergeCells>
    <x:mergeCell ref="A1:I1"/>
    <x:mergeCell ref="A2:I2"/>
    <x:mergeCell ref="A14:G14"/>
  </x:mergeCells>
  <x:conditionalFormatting sqref="B5:F1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48" hidden="0" customWidth="1"/>
  </x:cols>
  <x:sheetData>
    <x:row r="1" ht="27" customHeight="1">
      <x:c r="A1" s="46" t="str">
        <x:v>QCOM DCF — Model Checks</x:v>
      </x:c>
      <x:c r="B1" s="46" t="str">
        <x:v>QCOM DCF — Model Checks</x:v>
      </x:c>
      <x:c r="C1" s="46" t="str">
        <x:v>QCOM DCF — Model Checks</x:v>
      </x:c>
      <x:c r="D1" s="46" t="str">
        <x:v>QCOM DCF — Model Checks</x:v>
      </x:c>
      <x:c r="E1" s="46" t="str">
        <x:v>QCOM DCF — Model Checks</x:v>
      </x:c>
      <x:c r="F1" s="46" t="str">
        <x:v>QCOM DCF — Model Checks</x:v>
      </x:c>
      <x:c r="G1" s="46" t="str">
        <x:v>QCOM DCF — Model Checks</x:v>
      </x:c>
    </x:row>
    <x:row r="2">
      <x:c r="A2" s="48"/>
      <x:c r="B2" s="48"/>
      <x:c r="C2" s="48"/>
      <x:c r="D2" s="48"/>
      <x:c r="E2" s="48"/>
      <x:c r="F2" s="48"/>
      <x:c r="G2" s="48"/>
    </x:row>
    <x:row r="3">
      <x:c r="A3" s="49" t="str">
        <x:v>Check</x:v>
      </x:c>
      <x:c r="B3" s="49" t="str">
        <x:v>Actual</x:v>
      </x:c>
      <x:c r="C3" s="49" t="str">
        <x:v>Expected</x:v>
      </x:c>
      <x:c r="D3" s="49" t="str">
        <x:v>Difference</x:v>
      </x:c>
      <x:c r="E3" s="49" t="str">
        <x:v>Tolerance</x:v>
      </x:c>
      <x:c r="F3" s="49" t="str">
        <x:v>Status</x:v>
      </x:c>
      <x:c r="G3" s="49" t="str">
        <x:v>Notes</x:v>
      </x:c>
    </x:row>
    <x:row r="4">
      <x:c r="A4" s="48" t="str">
        <x:v>Scenario probabilities sum to 100%</x:v>
      </x:c>
      <x:c r="B4" s="51" t="n">
        <x:f>SUM('Assumptions'!B6:D6)</x:f>
        <x:v>1</x:v>
      </x:c>
      <x:c r="C4" s="51" t="n">
        <x:v>1</x:v>
      </x:c>
      <x:c r="D4" s="51" t="n">
        <x:f>B4-C4</x:f>
        <x:v>0</x:v>
      </x:c>
      <x:c r="E4" s="84" t="n">
        <x:v>0.000001</x:v>
      </x:c>
      <x:c r="F4" s="48" t="str">
        <x:f>IF(ABS(D4)&lt;=E4,"OK","FAIL")</x:f>
        <x:v>OK</x:v>
      </x:c>
      <x:c r="G4" s="85" t="str">
        <x:v>Owner-editable probabilities</x:v>
      </x:c>
    </x:row>
    <x:row r="5">
      <x:c r="A5" s="48" t="str">
        <x:v>FY2026 QCT split ties</x:v>
      </x:c>
      <x:c r="B5" s="84" t="n">
        <x:f>SUM('Assumptions'!B19:B24)</x:f>
        <x:v>36889</x:v>
      </x:c>
      <x:c r="C5" s="84" t="n">
        <x:v>36889</x:v>
      </x:c>
      <x:c r="D5" s="84" t="n">
        <x:f>B5-C5</x:f>
        <x:v>0</x:v>
      </x:c>
      <x:c r="E5" s="84" t="n">
        <x:v>1</x:v>
      </x:c>
      <x:c r="F5" s="48" t="str">
        <x:f>IF(ABS(D5)&lt;=E5,"OK","FAIL")</x:f>
        <x:v>OK</x:v>
      </x:c>
      <x:c r="G5" s="85" t="str">
        <x:v>Handsets + Auto + IoT subsegments + Data Center</x:v>
      </x:c>
    </x:row>
    <x:row r="6">
      <x:c r="A6" s="48" t="str">
        <x:v>FY2026 IoT / personal AI split ties</x:v>
      </x:c>
      <x:c r="B6" s="84" t="n">
        <x:f>SUM('Assumptions'!B21:B24)</x:f>
        <x:v>7064</x:v>
      </x:c>
      <x:c r="C6" s="84" t="n">
        <x:v>7064</x:v>
      </x:c>
      <x:c r="D6" s="84" t="n">
        <x:f>B6-C6</x:f>
        <x:v>0</x:v>
      </x:c>
      <x:c r="E6" s="84" t="n">
        <x:v>1</x:v>
      </x:c>
      <x:c r="F6" s="48" t="str">
        <x:f>IF(ABS(D6)&lt;=E6,"OK","FAIL")</x:f>
        <x:v>OK</x:v>
      </x:c>
      <x:c r="G6" s="85" t="str">
        <x:v>Analyst split of reported IoT / non-handset categories</x:v>
      </x:c>
    </x:row>
    <x:row r="7">
      <x:c r="A7" s="48" t="str">
        <x:v>Bull WACC exceeds terminal g</x:v>
      </x:c>
      <x:c r="B7" s="51" t="n">
        <x:f>'Assumptions'!B7-'Assumptions'!B8</x:f>
        <x:v>0.0675</x:v>
      </x:c>
      <x:c r="C7" s="51" t="n">
        <x:v>0</x:v>
      </x:c>
      <x:c r="D7" s="51" t="n">
        <x:f>MIN(0,B7)</x:f>
        <x:v>0</x:v>
      </x:c>
      <x:c r="E7" s="84" t="n">
        <x:v>0</x:v>
      </x:c>
      <x:c r="F7" s="48" t="str">
        <x:f>IF(ABS(D7)&lt;=E7,"OK","FAIL")</x:f>
        <x:v>OK</x:v>
      </x:c>
      <x:c r="G7" s="85" t="str">
        <x:v>Must remain positive</x:v>
      </x:c>
    </x:row>
    <x:row r="8">
      <x:c r="A8" s="48" t="str">
        <x:v>Base WACC exceeds terminal g</x:v>
      </x:c>
      <x:c r="B8" s="51" t="n">
        <x:f>'Assumptions'!C7-'Assumptions'!C8</x:f>
        <x:v>0.08499999999999999</x:v>
      </x:c>
      <x:c r="C8" s="51" t="n">
        <x:v>0</x:v>
      </x:c>
      <x:c r="D8" s="51" t="n">
        <x:f>MIN(0,B8)</x:f>
        <x:v>0</x:v>
      </x:c>
      <x:c r="E8" s="84" t="n">
        <x:v>0</x:v>
      </x:c>
      <x:c r="F8" s="48" t="str">
        <x:f>IF(ABS(D8)&lt;=E8,"OK","FAIL")</x:f>
        <x:v>OK</x:v>
      </x:c>
      <x:c r="G8" s="85" t="str">
        <x:v>Must remain positive</x:v>
      </x:c>
    </x:row>
    <x:row r="9">
      <x:c r="A9" s="48" t="str">
        <x:v>Bear WACC exceeds terminal g</x:v>
      </x:c>
      <x:c r="B9" s="51" t="n">
        <x:f>'Assumptions'!D7-'Assumptions'!D8</x:f>
        <x:v>0.11</x:v>
      </x:c>
      <x:c r="C9" s="51" t="n">
        <x:v>0</x:v>
      </x:c>
      <x:c r="D9" s="51" t="n">
        <x:f>MIN(0,B9)</x:f>
        <x:v>0</x:v>
      </x:c>
      <x:c r="E9" s="84" t="n">
        <x:v>0</x:v>
      </x:c>
      <x:c r="F9" s="48" t="str">
        <x:f>IF(ABS(D9)&lt;=E9,"OK","FAIL")</x:f>
        <x:v>OK</x:v>
      </x:c>
      <x:c r="G9" s="85" t="str">
        <x:v>Must remain positive</x:v>
      </x:c>
    </x:row>
    <x:row r="10">
      <x:c r="A10" s="48" t="str">
        <x:v>Probability-weighted FV is formula-driven</x:v>
      </x:c>
      <x:c r="B10" s="75" t="n">
        <x:f>'Summary'!B6</x:f>
        <x:v>125.84624737340988</x:v>
      </x:c>
      <x:c r="C10" s="75" t="n">
        <x:f>'Assumptions'!B6*'DCF Model'!M15+'Assumptions'!C6*'DCF Model'!M32+'Assumptions'!D6*'DCF Model'!M49</x:f>
        <x:v>125.84624737340988</x:v>
      </x:c>
      <x:c r="D10" s="75" t="n">
        <x:f>B10-C10</x:f>
        <x:v>0</x:v>
      </x:c>
      <x:c r="E10" s="84" t="n">
        <x:v>0.01</x:v>
      </x:c>
      <x:c r="F10" s="48" t="str">
        <x:f>IF(ABS(D10)&lt;=E10,"OK","FAIL")</x:f>
        <x:v>OK</x:v>
      </x:c>
      <x:c r="G10" s="85" t="str">
        <x:v>Not a pasted scenario average</x:v>
      </x:c>
    </x:row>
    <x:row r="11">
      <x:c r="A11" s="48" t="str">
        <x:v>Base terminal value weight</x:v>
      </x:c>
      <x:c r="B11" s="51" t="n">
        <x:f>'DCF Model'!M33</x:f>
        <x:v>0.5781438886106295</x:v>
      </x:c>
      <x:c r="C11" s="51" t="n">
        <x:v>0.75</x:v>
      </x:c>
      <x:c r="D11" s="51" t="n">
        <x:f>MAX(0,B11-C11)</x:f>
        <x:v>0</x:v>
      </x:c>
      <x:c r="E11" s="84" t="n">
        <x:v>0</x:v>
      </x:c>
      <x:c r="F11" s="48" t="str">
        <x:f>IF(ABS(D11)&lt;=E11,"OK","FAIL")</x:f>
        <x:v>OK</x:v>
      </x:c>
      <x:c r="G11" s="85" t="str">
        <x:v>Guardrail: &lt;=75%</x:v>
      </x:c>
    </x:row>
    <x:row r="12">
      <x:c r="A12" s="48"/>
      <x:c r="B12" s="48"/>
      <x:c r="C12" s="48"/>
      <x:c r="D12" s="48"/>
      <x:c r="E12" s="48"/>
      <x:c r="F12" s="48"/>
      <x:c r="G12" s="48"/>
    </x:row>
    <x:row r="13">
      <x:c r="A13" s="48"/>
      <x:c r="B13" s="48"/>
      <x:c r="C13" s="48"/>
      <x:c r="D13" s="48"/>
      <x:c r="E13" s="48"/>
      <x:c r="F13" s="48"/>
      <x:c r="G13" s="48"/>
    </x:row>
    <x:row r="14" ht="21" customHeight="1">
      <x:c r="A14" s="46" t="str">
        <x:v>Overall status</x:v>
      </x:c>
      <x:c r="B14" s="46" t="str">
        <x:v>Overall status</x:v>
      </x:c>
      <x:c r="C14" s="46" t="str">
        <x:v>Overall status</x:v>
      </x:c>
      <x:c r="D14" s="46" t="str">
        <x:v>Overall status</x:v>
      </x:c>
      <x:c r="E14" s="46" t="str">
        <x:v>Overall status</x:v>
      </x:c>
      <x:c r="F14" s="46" t="str">
        <x:v>Overall status</x:v>
      </x:c>
      <x:c r="G14" s="46" t="str">
        <x:v>Overall status</x:v>
      </x:c>
    </x:row>
    <x:row r="15">
      <x:c r="A15" s="48" t="str">
        <x:v>Model status</x:v>
      </x:c>
      <x:c r="B15" s="86" t="str">
        <x:f>IF(COUNTIF(F4:F11,"FAIL")=0,"OK","REVIEW")</x:f>
        <x:v>OK</x:v>
      </x:c>
      <x:c r="C15" s="48"/>
      <x:c r="D15" s="48"/>
      <x:c r="E15" s="48"/>
      <x:c r="F15" s="48"/>
      <x:c r="G15" s="48"/>
    </x:row>
  </x:sheetData>
  <x:mergeCells>
    <x:mergeCell ref="A1:G1"/>
    <x:mergeCell ref="A14:G14"/>
  </x:mergeCells>
  <x:conditionalFormatting sqref="F4:F11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14" hidden="0" customWidth="1"/>
    <x:col min="4" max="4" width="43" hidden="0" customWidth="1"/>
    <x:col min="5" max="5" width="72" hidden="0" customWidth="1"/>
    <x:col min="6" max="6" width="42" hidden="0" customWidth="1"/>
  </x:cols>
  <x:sheetData>
    <x:row r="1" ht="27" customHeight="1">
      <x:c r="A1" s="46" t="str">
        <x:v>QCOM DCF — Sources and Audit Trail</x:v>
      </x:c>
      <x:c r="B1" s="46" t="str">
        <x:v>QCOM DCF — Sources and Audit Trail</x:v>
      </x:c>
      <x:c r="C1" s="46" t="str">
        <x:v>QCOM DCF — Sources and Audit Trail</x:v>
      </x:c>
      <x:c r="D1" s="46" t="str">
        <x:v>QCOM DCF — Sources and Audit Trail</x:v>
      </x:c>
      <x:c r="E1" s="46" t="str">
        <x:v>QCOM DCF — Sources and Audit Trail</x:v>
      </x:c>
      <x:c r="F1" s="46" t="str">
        <x:v>QCOM DCF — Sources and Audit Trail</x:v>
      </x:c>
    </x:row>
    <x:row r="2">
      <x:c r="A2" s="48"/>
      <x:c r="B2" s="48"/>
      <x:c r="C2" s="48"/>
      <x:c r="D2" s="48"/>
      <x:c r="E2" s="48"/>
      <x:c r="F2" s="48"/>
    </x:row>
    <x:row r="3">
      <x:c r="A3" s="49" t="str">
        <x:v>ID</x:v>
      </x:c>
      <x:c r="B3" s="49" t="str">
        <x:v>Source</x:v>
      </x:c>
      <x:c r="C3" s="49" t="str">
        <x:v>As of</x:v>
      </x:c>
      <x:c r="D3" s="49" t="str">
        <x:v>Used for</x:v>
      </x:c>
      <x:c r="E3" s="49" t="str">
        <x:v>URL</x:v>
      </x:c>
      <x:c r="F3" s="49" t="str">
        <x:v>Limit / interpretation</x:v>
      </x:c>
    </x:row>
    <x:row r="4" ht="45" customHeight="1">
      <x:c r="A4" s="85" t="str">
        <x:v>S1</x:v>
      </x:c>
      <x:c r="B4" s="85" t="str">
        <x:v>Qualcomm Q3 FY2026 earnings presentation</x:v>
      </x:c>
      <x:c r="C4" s="85" t="str">
        <x:v>2026-07-29</x:v>
      </x:c>
      <x:c r="D4" s="85" t="str">
        <x:v>Q3 actuals, Q4 guidance, Apple / memory headwinds, FY2027 and FY2029 targets</x:v>
      </x:c>
      <x:c r="E4" s="85" t="str">
        <x:v>https://s204.q4cdn.com/645488518/files/doc_financials/2026/q3/FY2026-3rd-Quarter-Earnings-Presentation_7-29-26_Final.pdf</x:v>
      </x:c>
      <x:c r="F4" s="85" t="str">
        <x:v>Management guidance; not a guarantee</x:v>
      </x:c>
    </x:row>
    <x:row r="5" ht="45" customHeight="1">
      <x:c r="A5" s="85" t="str">
        <x:v>S2</x:v>
      </x:c>
      <x:c r="B5" s="85" t="str">
        <x:v>Qualcomm Q3 FY2026 earnings-call transcript</x:v>
      </x:c>
      <x:c r="C5" s="85" t="str">
        <x:v>2026-07-29</x:v>
      </x:c>
      <x:c r="D5" s="85" t="str">
        <x:v>Pricing lag, Apple runoff, QCT margin guidance, non-handset replacement claim</x:v>
      </x:c>
      <x:c r="E5" s="85" t="str">
        <x:v>https://s204.q4cdn.com/645488518/files/doc_financials/2026/q3/Q3FY26-Earnings-Call-Transcript_7-30-26_Final.pdf</x:v>
      </x:c>
      <x:c r="F5" s="85" t="str">
        <x:v>Edited LSEG transcript hosted by Qualcomm IR</x:v>
      </x:c>
    </x:row>
    <x:row r="6" ht="45" customHeight="1">
      <x:c r="A6" s="85" t="str">
        <x:v>S3</x:v>
      </x:c>
      <x:c r="B6" s="85" t="str">
        <x:v>Qualcomm Q2 FY2026 Form 10-Q</x:v>
      </x:c>
      <x:c r="C6" s="85" t="str">
        <x:v>2026-03-29</x:v>
      </x:c>
      <x:c r="D6" s="85" t="str">
        <x:v>Cash, debt, China / trade risk, licensing and regulatory remedies</x:v>
      </x:c>
      <x:c r="E6" s="85" t="str">
        <x:v>https://www.sec.gov/Archives/edgar/data/804328/000080432826000061/qcom-20260329.htm</x:v>
      </x:c>
      <x:c r="F6" s="85" t="str">
        <x:v>Latest available 10-Q when model was built</x:v>
      </x:c>
    </x:row>
    <x:row r="7" ht="45" customHeight="1">
      <x:c r="A7" s="85" t="str">
        <x:v>S4</x:v>
      </x:c>
      <x:c r="B7" s="85" t="str">
        <x:v>Qualcomm 2026 Investor Day</x:v>
      </x:c>
      <x:c r="C7" s="85" t="str">
        <x:v>2026-06-24</x:v>
      </x:c>
      <x:c r="D7" s="85" t="str">
        <x:v>FY2029 segment targets and strategic framing</x:v>
      </x:c>
      <x:c r="E7" s="85" t="str">
        <x:v>https://investor.qualcomm.com/news-events/press-releases/news-details/2026/Qualcomm-Accelerates-Diversification-with-Comprehensive-Strategy-for-Data-Center-and-Sees-Multiple-Inflection-Points-Over-the-Next-3-to-5-Years/default.aspx</x:v>
      </x:c>
      <x:c r="F7" s="85" t="str">
        <x:v>Long-range management targets</x:v>
      </x:c>
    </x:row>
    <x:row r="8" ht="45" customHeight="1">
      <x:c r="A8" s="85" t="str">
        <x:v>S5</x:v>
      </x:c>
      <x:c r="B8" s="85" t="str">
        <x:v>QCOM price history</x:v>
      </x:c>
      <x:c r="C8" s="85" t="str">
        <x:v>2026-08-04</x:v>
      </x:c>
      <x:c r="D8" s="85" t="str">
        <x:v>Current price</x:v>
      </x:c>
      <x:c r="E8" s="85" t="str">
        <x:v>https://stockanalysis.com/stocks/qcom/history/</x:v>
      </x:c>
      <x:c r="F8" s="85" t="str">
        <x:v>S&amp;P Global Market Intelligence data via StockAnalysis</x:v>
      </x:c>
    </x:row>
    <x:row r="9" ht="45" customHeight="1">
      <x:c r="A9" s="85" t="str">
        <x:v>S6</x:v>
      </x:c>
      <x:c r="B9" s="85" t="str">
        <x:v>Existing repository DCF</x:v>
      </x:c>
      <x:c r="C9" s="85" t="str">
        <x:v>2026-07-08</x:v>
      </x:c>
      <x:c r="D9" s="85" t="str">
        <x:v>Style and native valuation mechanics cross-check</x:v>
      </x:c>
      <x:c r="E9" s="85" t="str">
        <x:v>C:/Users/Bhanu/.gemini/antigravity/scratch/earnings-summary/dcf/QCOM.xlsx</x:v>
      </x:c>
      <x:c r="F9" s="85" t="str">
        <x:v>Stale price and only QCT / QTL segment granularity</x:v>
      </x:c>
    </x:row>
    <x:row r="10" ht="45" customHeight="1">
      <x:c r="A10" s="85" t="str">
        <x:v>S7</x:v>
      </x:c>
      <x:c r="B10" s="85" t="str">
        <x:v>Analyst estimates</x:v>
      </x:c>
      <x:c r="C10" s="85" t="str">
        <x:v>2026-08-04</x:v>
      </x:c>
      <x:c r="D10" s="85" t="str">
        <x:v>FY2026 IoT split, scenario probabilities, margins, regulatory cash costs</x:v>
      </x:c>
      <x:c r="E10" s="85" t="str">
        <x:v>Model assumptions sheet</x:v>
      </x:c>
      <x:c r="F10" s="85" t="str">
        <x:v>Not company-disclosed; deliberately uncertainty-weighted</x:v>
      </x:c>
    </x:row>
  </x:sheetData>
  <x:mergeCells>
    <x:mergeCell ref="A1:F1"/>
  </x:mergeCells>
  <x:pageMargins left="0.7" right="0.7" top="0.75" bottom="0.75" header="0.3" footer="0.3"/>
</x:worksheet>
</file>